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24226"/>
  <bookViews>
    <workbookView xWindow="360" yWindow="300" windowWidth="18735" windowHeight="11700" firstSheet="2" activeTab="9"/>
  </bookViews>
  <sheets>
    <sheet name="analítica" sheetId="4" r:id="rId1"/>
    <sheet name="tabular" sheetId="5" r:id="rId2"/>
    <sheet name="1_T" sheetId="6" r:id="rId3"/>
    <sheet name="oscilatória" sheetId="7" r:id="rId4"/>
    <sheet name="chapra 24.55" sheetId="8" r:id="rId5"/>
    <sheet name="planilha" sheetId="1" r:id="rId6"/>
    <sheet name="VBA" sheetId="2" r:id="rId7"/>
    <sheet name="lnx" sheetId="9" r:id="rId8"/>
    <sheet name="senx" sheetId="10" r:id="rId9"/>
    <sheet name="gaussiana 4 pontos - coefic." sheetId="11" r:id="rId10"/>
    <sheet name="Relatório de População 1" sheetId="12" r:id="rId11"/>
    <sheet name="Relatório de Respostas 1" sheetId="13" r:id="rId12"/>
    <sheet name="Plan3" sheetId="3" r:id="rId13"/>
  </sheets>
  <functionGroups builtInGroupCount="18"/>
  <definedNames>
    <definedName name="solver_adj" localSheetId="9" hidden="1">'gaussiana 4 pontos - coefic.'!$B$2:$C$3</definedName>
    <definedName name="solver_cvg" localSheetId="9" hidden="1">0.0001</definedName>
    <definedName name="solver_drv" localSheetId="9" hidden="1">2</definedName>
    <definedName name="solver_eng" localSheetId="9" hidden="1">1</definedName>
    <definedName name="solver_est" localSheetId="9" hidden="1">1</definedName>
    <definedName name="solver_itr" localSheetId="9" hidden="1">2147483647</definedName>
    <definedName name="solver_lhs1" localSheetId="9" hidden="1">'gaussiana 4 pontos - coefic.'!$B$2:$C$3</definedName>
    <definedName name="solver_lhs2" localSheetId="9" hidden="1">'gaussiana 4 pontos - coefic.'!$B$2:$C$3</definedName>
    <definedName name="solver_lhs3" localSheetId="9" hidden="1">'gaussiana 4 pontos - coefic.'!$F$3:$F$10</definedName>
    <definedName name="solver_lhs4" localSheetId="9" hidden="1">'gaussiana 4 pontos - coefic.'!$B$3:$E$3</definedName>
    <definedName name="solver_lhs5" localSheetId="9" hidden="1">'gaussiana 4 pontos - coefic.'!$B$3:$E$3</definedName>
    <definedName name="solver_lhs6" localSheetId="9" hidden="1">'gaussiana 4 pontos - coefic.'!$B$3:$E$3</definedName>
    <definedName name="solver_mip" localSheetId="9" hidden="1">2147483647</definedName>
    <definedName name="solver_mni" localSheetId="9" hidden="1">30</definedName>
    <definedName name="solver_mrt" localSheetId="9" hidden="1">0.075</definedName>
    <definedName name="solver_msl" localSheetId="9" hidden="1">1</definedName>
    <definedName name="solver_neg" localSheetId="9" hidden="1">2</definedName>
    <definedName name="solver_nod" localSheetId="9" hidden="1">2147483647</definedName>
    <definedName name="solver_num" localSheetId="9" hidden="1">3</definedName>
    <definedName name="solver_nwt" localSheetId="9" hidden="1">1</definedName>
    <definedName name="solver_pre" localSheetId="9" hidden="1">0.000001</definedName>
    <definedName name="solver_rbv" localSheetId="9" hidden="1">1</definedName>
    <definedName name="solver_rel1" localSheetId="9" hidden="1">1</definedName>
    <definedName name="solver_rel2" localSheetId="9" hidden="1">3</definedName>
    <definedName name="solver_rel3" localSheetId="9" hidden="1">2</definedName>
    <definedName name="solver_rel4" localSheetId="9" hidden="1">3</definedName>
    <definedName name="solver_rel5" localSheetId="9" hidden="1">3</definedName>
    <definedName name="solver_rel6" localSheetId="9" hidden="1">3</definedName>
    <definedName name="solver_rhs1" localSheetId="9" hidden="1">'gaussiana 4 pontos - coefic.'!$B$14</definedName>
    <definedName name="solver_rhs2" localSheetId="9" hidden="1">'gaussiana 4 pontos - coefic.'!$B$13</definedName>
    <definedName name="solver_rhs3" localSheetId="9" hidden="1">'gaussiana 4 pontos - coefic.'!$H$3:$H$10</definedName>
    <definedName name="solver_rhs4" localSheetId="9" hidden="1">'gaussiana 4 pontos - coefic.'!$B$13</definedName>
    <definedName name="solver_rhs5" localSheetId="9" hidden="1">'gaussiana 4 pontos - coefic.'!$B$13</definedName>
    <definedName name="solver_rhs6" localSheetId="9" hidden="1">'gaussiana 4 pontos - coefic.'!$B$13</definedName>
    <definedName name="solver_rlx" localSheetId="9" hidden="1">2</definedName>
    <definedName name="solver_rsd" localSheetId="9" hidden="1">0</definedName>
    <definedName name="solver_scl" localSheetId="9" hidden="1">1</definedName>
    <definedName name="solver_sho" localSheetId="9" hidden="1">2</definedName>
    <definedName name="solver_ssz" localSheetId="9" hidden="1">300</definedName>
    <definedName name="solver_tim" localSheetId="9" hidden="1">2147483647</definedName>
    <definedName name="solver_tol" localSheetId="9" hidden="1">0.01</definedName>
    <definedName name="solver_typ" localSheetId="9" hidden="1">1</definedName>
    <definedName name="solver_val" localSheetId="9" hidden="1">0</definedName>
    <definedName name="solver_ver" localSheetId="9" hidden="1">3</definedName>
  </definedNames>
  <calcPr calcId="162913"/>
</workbook>
</file>

<file path=xl/calcChain.xml><?xml version="1.0" encoding="utf-8"?>
<calcChain xmlns="http://schemas.openxmlformats.org/spreadsheetml/2006/main">
  <c r="D2" i="11" l="1"/>
  <c r="E2" i="11"/>
  <c r="E4" i="11" s="1"/>
  <c r="F4" i="11" s="1"/>
  <c r="N2" i="11"/>
  <c r="O2" i="11"/>
  <c r="D3" i="11"/>
  <c r="E3" i="11"/>
  <c r="F3" i="11" s="1"/>
  <c r="N3" i="11"/>
  <c r="O3" i="11"/>
  <c r="B4" i="11"/>
  <c r="C4" i="11"/>
  <c r="D4" i="11"/>
  <c r="B5" i="11"/>
  <c r="C5" i="11"/>
  <c r="F5" i="11" s="1"/>
  <c r="D5" i="11"/>
  <c r="E5" i="11"/>
  <c r="H5" i="11"/>
  <c r="B6" i="11"/>
  <c r="C6" i="11"/>
  <c r="D6" i="11"/>
  <c r="B7" i="11"/>
  <c r="C7" i="11"/>
  <c r="D7" i="11"/>
  <c r="H7" i="11"/>
  <c r="B8" i="11"/>
  <c r="C8" i="11"/>
  <c r="D8" i="11"/>
  <c r="B9" i="11"/>
  <c r="C9" i="11"/>
  <c r="F9" i="11" s="1"/>
  <c r="D9" i="11"/>
  <c r="E9" i="11"/>
  <c r="H9" i="11"/>
  <c r="B10" i="11"/>
  <c r="C10" i="11"/>
  <c r="F10" i="11" s="1"/>
  <c r="D10" i="11"/>
  <c r="E10" i="11"/>
  <c r="F8" i="11" l="1"/>
  <c r="F6" i="11"/>
  <c r="E6" i="11"/>
  <c r="E8" i="11"/>
  <c r="E7" i="11"/>
  <c r="F7" i="11" s="1"/>
  <c r="B3" i="10"/>
  <c r="C3" i="10" s="1"/>
  <c r="D3" i="10" s="1"/>
  <c r="E4" i="10" s="1"/>
  <c r="F3" i="10"/>
  <c r="A4" i="10"/>
  <c r="A5" i="10" s="1"/>
  <c r="B4" i="10"/>
  <c r="F4" i="10"/>
  <c r="B3" i="9"/>
  <c r="A4" i="9"/>
  <c r="B4" i="9" s="1"/>
  <c r="A5" i="9"/>
  <c r="B5" i="9" s="1"/>
  <c r="A6" i="9"/>
  <c r="F13" i="9"/>
  <c r="C4" i="9" l="1"/>
  <c r="D4" i="9" s="1"/>
  <c r="C3" i="9"/>
  <c r="D3" i="9" s="1"/>
  <c r="E4" i="9" s="1"/>
  <c r="E5" i="9" s="1"/>
  <c r="B6" i="9"/>
  <c r="A7" i="9"/>
  <c r="C4" i="10"/>
  <c r="D4" i="10" s="1"/>
  <c r="A6" i="10"/>
  <c r="B5" i="10"/>
  <c r="F5" i="10"/>
  <c r="E5" i="10"/>
  <c r="E6" i="8"/>
  <c r="E7" i="8"/>
  <c r="F7" i="8" s="1"/>
  <c r="G7" i="8"/>
  <c r="E8" i="8"/>
  <c r="F8" i="8" s="1"/>
  <c r="H8" i="8" s="1"/>
  <c r="G8" i="8"/>
  <c r="E9" i="8"/>
  <c r="G9" i="8"/>
  <c r="E10" i="8"/>
  <c r="F10" i="8" s="1"/>
  <c r="H10" i="8" s="1"/>
  <c r="G10" i="8"/>
  <c r="E11" i="8"/>
  <c r="G11" i="8"/>
  <c r="E12" i="8"/>
  <c r="F12" i="8" s="1"/>
  <c r="H12" i="8" s="1"/>
  <c r="G12" i="8"/>
  <c r="E13" i="8"/>
  <c r="G13" i="8"/>
  <c r="E14" i="8"/>
  <c r="F14" i="8" s="1"/>
  <c r="H14" i="8" s="1"/>
  <c r="G14" i="8"/>
  <c r="B5" i="7"/>
  <c r="C5" i="7"/>
  <c r="D5" i="7" s="1"/>
  <c r="A6" i="7"/>
  <c r="B6" i="7" s="1"/>
  <c r="A7" i="7"/>
  <c r="E2" i="6"/>
  <c r="B5" i="6"/>
  <c r="C5" i="6" s="1"/>
  <c r="D5" i="6" s="1"/>
  <c r="A6" i="6"/>
  <c r="B6" i="6" s="1"/>
  <c r="A7" i="6"/>
  <c r="A8" i="6" s="1"/>
  <c r="B8" i="6" s="1"/>
  <c r="B7" i="6"/>
  <c r="C7" i="6" s="1"/>
  <c r="A9" i="6"/>
  <c r="A10" i="6" s="1"/>
  <c r="B10" i="6" s="1"/>
  <c r="F3" i="5"/>
  <c r="G4" i="5" s="1"/>
  <c r="G10" i="5" s="1"/>
  <c r="F4" i="5"/>
  <c r="F5" i="5"/>
  <c r="G6" i="5" s="1"/>
  <c r="G5" i="5"/>
  <c r="F6" i="5"/>
  <c r="F7" i="5"/>
  <c r="G7" i="5"/>
  <c r="F8" i="5"/>
  <c r="G8" i="5" s="1"/>
  <c r="F9" i="5"/>
  <c r="G9" i="5"/>
  <c r="C5" i="4"/>
  <c r="G5" i="4"/>
  <c r="B6" i="4"/>
  <c r="C6" i="4" s="1"/>
  <c r="D6" i="4" s="1"/>
  <c r="F6" i="4"/>
  <c r="F7" i="4" s="1"/>
  <c r="G6" i="4"/>
  <c r="H6" i="4" s="1"/>
  <c r="I7" i="2"/>
  <c r="E5" i="2"/>
  <c r="B12" i="2"/>
  <c r="C12" i="2" s="1"/>
  <c r="C10" i="2"/>
  <c r="C8" i="2"/>
  <c r="B10" i="2"/>
  <c r="B11" i="2" s="1"/>
  <c r="E58" i="1"/>
  <c r="B5" i="1"/>
  <c r="C5" i="1"/>
  <c r="C4" i="1"/>
  <c r="B13" i="2"/>
  <c r="C11" i="2"/>
  <c r="D5" i="1"/>
  <c r="E5" i="1" s="1"/>
  <c r="B6" i="1"/>
  <c r="D11" i="2"/>
  <c r="E11" i="2" s="1"/>
  <c r="F11" i="2" s="1"/>
  <c r="C13" i="2"/>
  <c r="D13" i="2" s="1"/>
  <c r="E13" i="2" s="1"/>
  <c r="B14" i="2"/>
  <c r="B7" i="1"/>
  <c r="B8" i="1" s="1"/>
  <c r="B9" i="1" s="1"/>
  <c r="C6" i="1"/>
  <c r="D7" i="1" s="1"/>
  <c r="C7" i="1"/>
  <c r="C8" i="1"/>
  <c r="D8" i="1"/>
  <c r="I5" i="2"/>
  <c r="B7" i="9" l="1"/>
  <c r="A8" i="9"/>
  <c r="B6" i="10"/>
  <c r="F6" i="10"/>
  <c r="A7" i="10"/>
  <c r="C5" i="9"/>
  <c r="D5" i="9" s="1"/>
  <c r="E6" i="9"/>
  <c r="G7" i="4"/>
  <c r="H7" i="4" s="1"/>
  <c r="F8" i="4"/>
  <c r="D6" i="6"/>
  <c r="D7" i="6" s="1"/>
  <c r="B7" i="4"/>
  <c r="A11" i="6"/>
  <c r="B9" i="6"/>
  <c r="C9" i="6" s="1"/>
  <c r="C6" i="6"/>
  <c r="B7" i="7"/>
  <c r="A8" i="7"/>
  <c r="F13" i="8"/>
  <c r="H13" i="8" s="1"/>
  <c r="F11" i="8"/>
  <c r="H11" i="8" s="1"/>
  <c r="F9" i="8"/>
  <c r="H9" i="8" s="1"/>
  <c r="H7" i="8"/>
  <c r="F12" i="2"/>
  <c r="F13" i="2" s="1"/>
  <c r="F14" i="2" s="1"/>
  <c r="B15" i="2"/>
  <c r="C14" i="2"/>
  <c r="D14" i="2" s="1"/>
  <c r="E14" i="2" s="1"/>
  <c r="B10" i="1"/>
  <c r="C9" i="1"/>
  <c r="D12" i="2"/>
  <c r="E12" i="2" s="1"/>
  <c r="D6" i="1"/>
  <c r="E6" i="1" s="1"/>
  <c r="E7" i="1" s="1"/>
  <c r="E8" i="1" s="1"/>
  <c r="A8" i="10" l="1"/>
  <c r="B7" i="10"/>
  <c r="F7" i="10"/>
  <c r="C5" i="10"/>
  <c r="D5" i="10" s="1"/>
  <c r="E6" i="10" s="1"/>
  <c r="A9" i="9"/>
  <c r="B8" i="9"/>
  <c r="E7" i="9"/>
  <c r="E8" i="9" s="1"/>
  <c r="C7" i="9"/>
  <c r="D7" i="9" s="1"/>
  <c r="C6" i="9"/>
  <c r="D6" i="9" s="1"/>
  <c r="C6" i="7"/>
  <c r="D6" i="7" s="1"/>
  <c r="C8" i="6"/>
  <c r="D8" i="6"/>
  <c r="D9" i="6" s="1"/>
  <c r="A12" i="6"/>
  <c r="B11" i="6"/>
  <c r="F9" i="4"/>
  <c r="G8" i="4"/>
  <c r="H8" i="4" s="1"/>
  <c r="B8" i="4"/>
  <c r="C7" i="4"/>
  <c r="D7" i="4" s="1"/>
  <c r="H16" i="8"/>
  <c r="B8" i="7"/>
  <c r="A9" i="7"/>
  <c r="F15" i="2"/>
  <c r="D9" i="1"/>
  <c r="E9" i="1" s="1"/>
  <c r="D10" i="1"/>
  <c r="E10" i="1" s="1"/>
  <c r="C15" i="2"/>
  <c r="D15" i="2" s="1"/>
  <c r="E15" i="2" s="1"/>
  <c r="B16" i="2"/>
  <c r="C10" i="1"/>
  <c r="B11" i="1"/>
  <c r="A10" i="9" l="1"/>
  <c r="B9" i="9"/>
  <c r="B8" i="10"/>
  <c r="F8" i="10"/>
  <c r="A9" i="10"/>
  <c r="C6" i="10"/>
  <c r="D6" i="10" s="1"/>
  <c r="E7" i="10" s="1"/>
  <c r="B9" i="7"/>
  <c r="A10" i="7"/>
  <c r="C8" i="4"/>
  <c r="D8" i="4" s="1"/>
  <c r="B9" i="4"/>
  <c r="B12" i="6"/>
  <c r="A13" i="6"/>
  <c r="G9" i="4"/>
  <c r="H9" i="4" s="1"/>
  <c r="F10" i="4"/>
  <c r="C10" i="6"/>
  <c r="D10" i="6" s="1"/>
  <c r="C7" i="7"/>
  <c r="D7" i="7" s="1"/>
  <c r="B17" i="2"/>
  <c r="C16" i="2"/>
  <c r="D16" i="2" s="1"/>
  <c r="E16" i="2" s="1"/>
  <c r="F16" i="2"/>
  <c r="B12" i="1"/>
  <c r="C11" i="1"/>
  <c r="A10" i="10" l="1"/>
  <c r="B9" i="10"/>
  <c r="F9" i="10"/>
  <c r="B10" i="9"/>
  <c r="A11" i="9"/>
  <c r="C8" i="10"/>
  <c r="D8" i="10" s="1"/>
  <c r="C7" i="10"/>
  <c r="D7" i="10" s="1"/>
  <c r="E8" i="10" s="1"/>
  <c r="E9" i="10" s="1"/>
  <c r="C9" i="9"/>
  <c r="D9" i="9" s="1"/>
  <c r="C8" i="9"/>
  <c r="D8" i="9" s="1"/>
  <c r="E9" i="9" s="1"/>
  <c r="E10" i="9" s="1"/>
  <c r="C9" i="7"/>
  <c r="A14" i="6"/>
  <c r="B13" i="6"/>
  <c r="C8" i="7"/>
  <c r="D8" i="7" s="1"/>
  <c r="D9" i="7" s="1"/>
  <c r="F11" i="4"/>
  <c r="G10" i="4"/>
  <c r="H10" i="4" s="1"/>
  <c r="C12" i="6"/>
  <c r="B10" i="7"/>
  <c r="A11" i="7"/>
  <c r="B10" i="4"/>
  <c r="C9" i="4"/>
  <c r="D9" i="4" s="1"/>
  <c r="C11" i="6"/>
  <c r="D11" i="6" s="1"/>
  <c r="D12" i="6" s="1"/>
  <c r="D12" i="1"/>
  <c r="E12" i="1" s="1"/>
  <c r="C17" i="2"/>
  <c r="D17" i="2" s="1"/>
  <c r="E17" i="2" s="1"/>
  <c r="B18" i="2"/>
  <c r="C12" i="1"/>
  <c r="B13" i="1"/>
  <c r="F17" i="2"/>
  <c r="D11" i="1"/>
  <c r="E11" i="1" s="1"/>
  <c r="A12" i="9" l="1"/>
  <c r="B11" i="9"/>
  <c r="B10" i="10"/>
  <c r="F10" i="10"/>
  <c r="A11" i="10"/>
  <c r="C10" i="9"/>
  <c r="D10" i="9" s="1"/>
  <c r="E11" i="9" s="1"/>
  <c r="B11" i="7"/>
  <c r="A12" i="7"/>
  <c r="G11" i="4"/>
  <c r="H11" i="4" s="1"/>
  <c r="F12" i="4"/>
  <c r="C10" i="7"/>
  <c r="D10" i="7" s="1"/>
  <c r="C10" i="4"/>
  <c r="D10" i="4" s="1"/>
  <c r="B11" i="4"/>
  <c r="B14" i="6"/>
  <c r="A15" i="6"/>
  <c r="C13" i="1"/>
  <c r="B14" i="1"/>
  <c r="B19" i="2"/>
  <c r="C18" i="2"/>
  <c r="D18" i="2" s="1"/>
  <c r="E18" i="2" s="1"/>
  <c r="F18" i="2" s="1"/>
  <c r="A12" i="10" l="1"/>
  <c r="B11" i="10"/>
  <c r="F11" i="10"/>
  <c r="A13" i="9"/>
  <c r="B13" i="9" s="1"/>
  <c r="B12" i="9"/>
  <c r="C12" i="9" s="1"/>
  <c r="D12" i="9" s="1"/>
  <c r="C10" i="10"/>
  <c r="D10" i="10" s="1"/>
  <c r="C9" i="10"/>
  <c r="D9" i="10" s="1"/>
  <c r="E10" i="10" s="1"/>
  <c r="E11" i="10" s="1"/>
  <c r="B12" i="7"/>
  <c r="C11" i="7" s="1"/>
  <c r="D11" i="7" s="1"/>
  <c r="A13" i="7"/>
  <c r="C11" i="4"/>
  <c r="D11" i="4" s="1"/>
  <c r="B12" i="4"/>
  <c r="F13" i="4"/>
  <c r="G12" i="4"/>
  <c r="H12" i="4" s="1"/>
  <c r="A16" i="6"/>
  <c r="B15" i="6"/>
  <c r="C13" i="6"/>
  <c r="D13" i="6" s="1"/>
  <c r="F19" i="2"/>
  <c r="B20" i="2"/>
  <c r="C19" i="2"/>
  <c r="D19" i="2" s="1"/>
  <c r="E19" i="2" s="1"/>
  <c r="D13" i="1"/>
  <c r="E13" i="1" s="1"/>
  <c r="B15" i="1"/>
  <c r="C14" i="1"/>
  <c r="B12" i="10" l="1"/>
  <c r="F12" i="10"/>
  <c r="A13" i="10"/>
  <c r="C11" i="9"/>
  <c r="D11" i="9" s="1"/>
  <c r="E12" i="9" s="1"/>
  <c r="E13" i="9" s="1"/>
  <c r="G13" i="4"/>
  <c r="H13" i="4" s="1"/>
  <c r="F14" i="4"/>
  <c r="B13" i="7"/>
  <c r="A14" i="7"/>
  <c r="B16" i="6"/>
  <c r="C15" i="6" s="1"/>
  <c r="A17" i="6"/>
  <c r="C12" i="4"/>
  <c r="D12" i="4" s="1"/>
  <c r="B13" i="4"/>
  <c r="C14" i="6"/>
  <c r="D14" i="6" s="1"/>
  <c r="D15" i="6" s="1"/>
  <c r="F20" i="2"/>
  <c r="B21" i="2"/>
  <c r="C20" i="2"/>
  <c r="D20" i="2" s="1"/>
  <c r="E20" i="2" s="1"/>
  <c r="B16" i="1"/>
  <c r="C15" i="1"/>
  <c r="D14" i="1"/>
  <c r="E14" i="1" s="1"/>
  <c r="A14" i="10" l="1"/>
  <c r="B13" i="10"/>
  <c r="F13" i="10"/>
  <c r="C12" i="10"/>
  <c r="D12" i="10" s="1"/>
  <c r="C11" i="10"/>
  <c r="D11" i="10" s="1"/>
  <c r="E12" i="10" s="1"/>
  <c r="B14" i="7"/>
  <c r="C13" i="7" s="1"/>
  <c r="A15" i="7"/>
  <c r="C13" i="4"/>
  <c r="D13" i="4" s="1"/>
  <c r="B14" i="4"/>
  <c r="C12" i="7"/>
  <c r="D12" i="7" s="1"/>
  <c r="A18" i="6"/>
  <c r="B17" i="6"/>
  <c r="C16" i="6"/>
  <c r="D16" i="6" s="1"/>
  <c r="F15" i="4"/>
  <c r="G14" i="4"/>
  <c r="H14" i="4" s="1"/>
  <c r="B17" i="1"/>
  <c r="C16" i="1"/>
  <c r="B22" i="2"/>
  <c r="C21" i="2"/>
  <c r="D21" i="2" s="1"/>
  <c r="E21" i="2" s="1"/>
  <c r="F21" i="2" s="1"/>
  <c r="D16" i="1"/>
  <c r="D15" i="1"/>
  <c r="E15" i="1" s="1"/>
  <c r="E13" i="10" l="1"/>
  <c r="B14" i="10"/>
  <c r="F14" i="10"/>
  <c r="A15" i="10"/>
  <c r="B18" i="6"/>
  <c r="A19" i="6"/>
  <c r="F16" i="4"/>
  <c r="G15" i="4"/>
  <c r="H15" i="4" s="1"/>
  <c r="D13" i="7"/>
  <c r="D14" i="7" s="1"/>
  <c r="B15" i="7"/>
  <c r="A16" i="7"/>
  <c r="C14" i="7"/>
  <c r="C14" i="4"/>
  <c r="D14" i="4" s="1"/>
  <c r="B15" i="4"/>
  <c r="C15" i="4" s="1"/>
  <c r="C17" i="6"/>
  <c r="D17" i="6" s="1"/>
  <c r="F22" i="2"/>
  <c r="C17" i="1"/>
  <c r="B18" i="1"/>
  <c r="C22" i="2"/>
  <c r="D22" i="2" s="1"/>
  <c r="E22" i="2" s="1"/>
  <c r="B23" i="2"/>
  <c r="C23" i="2" s="1"/>
  <c r="D23" i="2" s="1"/>
  <c r="E23" i="2" s="1"/>
  <c r="E16" i="1"/>
  <c r="D17" i="1"/>
  <c r="E17" i="1" s="1"/>
  <c r="A16" i="10" l="1"/>
  <c r="B15" i="10"/>
  <c r="F15" i="10"/>
  <c r="C13" i="10"/>
  <c r="D13" i="10" s="1"/>
  <c r="E14" i="10" s="1"/>
  <c r="G16" i="4"/>
  <c r="H16" i="4" s="1"/>
  <c r="F17" i="4"/>
  <c r="D15" i="4"/>
  <c r="D16" i="4" s="1"/>
  <c r="A20" i="6"/>
  <c r="B19" i="6"/>
  <c r="B16" i="7"/>
  <c r="A17" i="7"/>
  <c r="C18" i="6"/>
  <c r="D18" i="6" s="1"/>
  <c r="F23" i="2"/>
  <c r="B19" i="1"/>
  <c r="C18" i="1"/>
  <c r="D18" i="1"/>
  <c r="E18" i="1" s="1"/>
  <c r="C15" i="10" l="1"/>
  <c r="D15" i="10" s="1"/>
  <c r="B16" i="10"/>
  <c r="F16" i="10"/>
  <c r="A17" i="10"/>
  <c r="C14" i="10"/>
  <c r="D14" i="10" s="1"/>
  <c r="E15" i="10" s="1"/>
  <c r="E16" i="10" s="1"/>
  <c r="G17" i="4"/>
  <c r="H17" i="4" s="1"/>
  <c r="F18" i="4"/>
  <c r="B20" i="6"/>
  <c r="C19" i="6" s="1"/>
  <c r="D19" i="6" s="1"/>
  <c r="A21" i="6"/>
  <c r="B17" i="7"/>
  <c r="A18" i="7"/>
  <c r="C15" i="7"/>
  <c r="D15" i="7" s="1"/>
  <c r="D19" i="1"/>
  <c r="E19" i="1" s="1"/>
  <c r="B20" i="1"/>
  <c r="C19" i="1"/>
  <c r="C16" i="10" l="1"/>
  <c r="D16" i="10" s="1"/>
  <c r="E17" i="10" s="1"/>
  <c r="B17" i="10"/>
  <c r="F17" i="10"/>
  <c r="A18" i="10"/>
  <c r="F19" i="4"/>
  <c r="G18" i="4"/>
  <c r="H18" i="4" s="1"/>
  <c r="A22" i="6"/>
  <c r="B21" i="6"/>
  <c r="C20" i="6"/>
  <c r="D20" i="6" s="1"/>
  <c r="B18" i="7"/>
  <c r="A19" i="7"/>
  <c r="C16" i="7"/>
  <c r="D16" i="7" s="1"/>
  <c r="D20" i="1"/>
  <c r="E20" i="1" s="1"/>
  <c r="B21" i="1"/>
  <c r="C20" i="1"/>
  <c r="C17" i="10" l="1"/>
  <c r="D17" i="10" s="1"/>
  <c r="E18" i="10" s="1"/>
  <c r="A19" i="10"/>
  <c r="F18" i="10"/>
  <c r="B18" i="10"/>
  <c r="F20" i="4"/>
  <c r="G19" i="4"/>
  <c r="H19" i="4" s="1"/>
  <c r="B19" i="7"/>
  <c r="A20" i="7"/>
  <c r="B22" i="6"/>
  <c r="A23" i="6"/>
  <c r="C17" i="7"/>
  <c r="D17" i="7" s="1"/>
  <c r="D21" i="1"/>
  <c r="E21" i="1" s="1"/>
  <c r="C21" i="1"/>
  <c r="B22" i="1"/>
  <c r="B19" i="10" l="1"/>
  <c r="F19" i="10"/>
  <c r="A20" i="10"/>
  <c r="G20" i="4"/>
  <c r="H20" i="4" s="1"/>
  <c r="F21" i="4"/>
  <c r="A24" i="6"/>
  <c r="B23" i="6"/>
  <c r="B20" i="7"/>
  <c r="A21" i="7"/>
  <c r="C18" i="7"/>
  <c r="D18" i="7" s="1"/>
  <c r="C22" i="6"/>
  <c r="C21" i="6"/>
  <c r="D21" i="6" s="1"/>
  <c r="D22" i="6" s="1"/>
  <c r="B23" i="1"/>
  <c r="C22" i="1"/>
  <c r="D22" i="1"/>
  <c r="E22" i="1" s="1"/>
  <c r="A21" i="10" l="1"/>
  <c r="F20" i="10"/>
  <c r="B20" i="10"/>
  <c r="C19" i="10"/>
  <c r="D19" i="10" s="1"/>
  <c r="C18" i="10"/>
  <c r="D18" i="10" s="1"/>
  <c r="E19" i="10" s="1"/>
  <c r="B21" i="7"/>
  <c r="A22" i="7"/>
  <c r="G21" i="4"/>
  <c r="H21" i="4" s="1"/>
  <c r="F22" i="4"/>
  <c r="C19" i="7"/>
  <c r="D19" i="7" s="1"/>
  <c r="B24" i="6"/>
  <c r="C23" i="6" s="1"/>
  <c r="D23" i="6" s="1"/>
  <c r="A25" i="6"/>
  <c r="C23" i="1"/>
  <c r="B24" i="1"/>
  <c r="E20" i="10" l="1"/>
  <c r="B21" i="10"/>
  <c r="F21" i="10"/>
  <c r="A22" i="10"/>
  <c r="D20" i="7"/>
  <c r="A26" i="6"/>
  <c r="B25" i="6"/>
  <c r="B22" i="7"/>
  <c r="A23" i="7"/>
  <c r="C21" i="7"/>
  <c r="C24" i="6"/>
  <c r="D24" i="6" s="1"/>
  <c r="C20" i="7"/>
  <c r="F23" i="4"/>
  <c r="G22" i="4"/>
  <c r="H22" i="4" s="1"/>
  <c r="D24" i="1"/>
  <c r="E24" i="1" s="1"/>
  <c r="D23" i="1"/>
  <c r="E23" i="1" s="1"/>
  <c r="B25" i="1"/>
  <c r="C24" i="1"/>
  <c r="A23" i="10" l="1"/>
  <c r="F22" i="10"/>
  <c r="B22" i="10"/>
  <c r="C20" i="10"/>
  <c r="D20" i="10" s="1"/>
  <c r="E21" i="10" s="1"/>
  <c r="F24" i="4"/>
  <c r="G23" i="4"/>
  <c r="H23" i="4" s="1"/>
  <c r="D21" i="7"/>
  <c r="B26" i="6"/>
  <c r="A27" i="6"/>
  <c r="B23" i="7"/>
  <c r="A24" i="7"/>
  <c r="C22" i="7"/>
  <c r="D25" i="1"/>
  <c r="E25" i="1" s="1"/>
  <c r="C25" i="1"/>
  <c r="B26" i="1"/>
  <c r="F23" i="10" l="1"/>
  <c r="B23" i="10"/>
  <c r="A24" i="10"/>
  <c r="C22" i="10"/>
  <c r="D22" i="10" s="1"/>
  <c r="C21" i="10"/>
  <c r="D21" i="10" s="1"/>
  <c r="E22" i="10" s="1"/>
  <c r="E23" i="10" s="1"/>
  <c r="D22" i="7"/>
  <c r="A28" i="6"/>
  <c r="B27" i="6"/>
  <c r="G24" i="4"/>
  <c r="H24" i="4" s="1"/>
  <c r="F25" i="4"/>
  <c r="B24" i="7"/>
  <c r="A25" i="7"/>
  <c r="C25" i="6"/>
  <c r="D25" i="6" s="1"/>
  <c r="C26" i="1"/>
  <c r="B27" i="1"/>
  <c r="A25" i="10" l="1"/>
  <c r="B24" i="10"/>
  <c r="F24" i="10"/>
  <c r="C23" i="10"/>
  <c r="D23" i="10" s="1"/>
  <c r="E24" i="10" s="1"/>
  <c r="C27" i="6"/>
  <c r="G25" i="4"/>
  <c r="H25" i="4" s="1"/>
  <c r="F26" i="4"/>
  <c r="B28" i="6"/>
  <c r="A29" i="6"/>
  <c r="B25" i="7"/>
  <c r="A26" i="7"/>
  <c r="C26" i="6"/>
  <c r="D26" i="6" s="1"/>
  <c r="D27" i="6" s="1"/>
  <c r="C23" i="7"/>
  <c r="D23" i="7" s="1"/>
  <c r="D27" i="1"/>
  <c r="E27" i="1" s="1"/>
  <c r="D26" i="1"/>
  <c r="E26" i="1" s="1"/>
  <c r="B28" i="1"/>
  <c r="C27" i="1"/>
  <c r="C24" i="10" l="1"/>
  <c r="D24" i="10" s="1"/>
  <c r="E25" i="10" s="1"/>
  <c r="B25" i="10"/>
  <c r="A26" i="10"/>
  <c r="F25" i="10"/>
  <c r="B26" i="7"/>
  <c r="A27" i="7"/>
  <c r="F27" i="4"/>
  <c r="G26" i="4"/>
  <c r="H26" i="4" s="1"/>
  <c r="A30" i="6"/>
  <c r="B29" i="6"/>
  <c r="C28" i="6"/>
  <c r="D28" i="6" s="1"/>
  <c r="C24" i="7"/>
  <c r="D24" i="7" s="1"/>
  <c r="D28" i="1"/>
  <c r="E28" i="1" s="1"/>
  <c r="C28" i="1"/>
  <c r="B29" i="1"/>
  <c r="A27" i="10" l="1"/>
  <c r="F26" i="10"/>
  <c r="B26" i="10"/>
  <c r="B30" i="6"/>
  <c r="A31" i="6"/>
  <c r="B27" i="7"/>
  <c r="A28" i="7"/>
  <c r="C26" i="7"/>
  <c r="F28" i="4"/>
  <c r="G27" i="4"/>
  <c r="H27" i="4" s="1"/>
  <c r="C29" i="6"/>
  <c r="D29" i="6" s="1"/>
  <c r="C25" i="7"/>
  <c r="D25" i="7" s="1"/>
  <c r="D26" i="7" s="1"/>
  <c r="C29" i="1"/>
  <c r="B30" i="1"/>
  <c r="F27" i="10" l="1"/>
  <c r="B27" i="10"/>
  <c r="A28" i="10"/>
  <c r="C25" i="10"/>
  <c r="D25" i="10" s="1"/>
  <c r="E26" i="10" s="1"/>
  <c r="B28" i="7"/>
  <c r="A29" i="7"/>
  <c r="G28" i="4"/>
  <c r="H28" i="4" s="1"/>
  <c r="F29" i="4"/>
  <c r="A32" i="6"/>
  <c r="B31" i="6"/>
  <c r="C27" i="7"/>
  <c r="D27" i="7" s="1"/>
  <c r="D30" i="1"/>
  <c r="E30" i="1" s="1"/>
  <c r="D29" i="1"/>
  <c r="E29" i="1" s="1"/>
  <c r="C30" i="1"/>
  <c r="B31" i="1"/>
  <c r="A29" i="10" l="1"/>
  <c r="F28" i="10"/>
  <c r="B28" i="10"/>
  <c r="C27" i="10"/>
  <c r="D27" i="10" s="1"/>
  <c r="C26" i="10"/>
  <c r="D26" i="10" s="1"/>
  <c r="E27" i="10" s="1"/>
  <c r="E28" i="10" s="1"/>
  <c r="C31" i="6"/>
  <c r="B29" i="7"/>
  <c r="A30" i="7"/>
  <c r="B32" i="6"/>
  <c r="A33" i="6"/>
  <c r="G29" i="4"/>
  <c r="H29" i="4" s="1"/>
  <c r="F30" i="4"/>
  <c r="C30" i="6"/>
  <c r="D30" i="6" s="1"/>
  <c r="D31" i="6" s="1"/>
  <c r="C31" i="1"/>
  <c r="B32" i="1"/>
  <c r="C28" i="10" l="1"/>
  <c r="D28" i="10" s="1"/>
  <c r="E29" i="10" s="1"/>
  <c r="A30" i="10"/>
  <c r="F29" i="10"/>
  <c r="B29" i="10"/>
  <c r="B30" i="7"/>
  <c r="A31" i="7"/>
  <c r="C28" i="7"/>
  <c r="D28" i="7" s="1"/>
  <c r="A34" i="6"/>
  <c r="B33" i="6"/>
  <c r="F31" i="4"/>
  <c r="G30" i="4"/>
  <c r="H30" i="4" s="1"/>
  <c r="C32" i="6"/>
  <c r="D32" i="6" s="1"/>
  <c r="D32" i="1"/>
  <c r="E32" i="1" s="1"/>
  <c r="D31" i="1"/>
  <c r="E31" i="1" s="1"/>
  <c r="B33" i="1"/>
  <c r="C32" i="1"/>
  <c r="A31" i="10" l="1"/>
  <c r="F30" i="10"/>
  <c r="B30" i="10"/>
  <c r="B34" i="6"/>
  <c r="A35" i="6"/>
  <c r="F32" i="4"/>
  <c r="G31" i="4"/>
  <c r="H31" i="4" s="1"/>
  <c r="C33" i="6"/>
  <c r="D33" i="6" s="1"/>
  <c r="B31" i="7"/>
  <c r="A32" i="7"/>
  <c r="C30" i="7"/>
  <c r="C29" i="7"/>
  <c r="D29" i="7" s="1"/>
  <c r="D30" i="7" s="1"/>
  <c r="D33" i="1"/>
  <c r="E33" i="1" s="1"/>
  <c r="C33" i="1"/>
  <c r="B34" i="1"/>
  <c r="C30" i="10" l="1"/>
  <c r="D30" i="10" s="1"/>
  <c r="F31" i="10"/>
  <c r="B31" i="10"/>
  <c r="A32" i="10"/>
  <c r="C29" i="10"/>
  <c r="D29" i="10" s="1"/>
  <c r="E30" i="10" s="1"/>
  <c r="E31" i="10" s="1"/>
  <c r="C34" i="6"/>
  <c r="D34" i="6" s="1"/>
  <c r="B32" i="7"/>
  <c r="A33" i="7"/>
  <c r="C31" i="7"/>
  <c r="D31" i="7" s="1"/>
  <c r="G32" i="4"/>
  <c r="H32" i="4" s="1"/>
  <c r="F33" i="4"/>
  <c r="A36" i="6"/>
  <c r="B35" i="6"/>
  <c r="C34" i="1"/>
  <c r="B35" i="1"/>
  <c r="A33" i="10" l="1"/>
  <c r="B32" i="10"/>
  <c r="C31" i="10" s="1"/>
  <c r="D31" i="10" s="1"/>
  <c r="E32" i="10" s="1"/>
  <c r="F32" i="10"/>
  <c r="G33" i="4"/>
  <c r="H33" i="4" s="1"/>
  <c r="F34" i="4"/>
  <c r="B36" i="6"/>
  <c r="A37" i="6"/>
  <c r="B33" i="7"/>
  <c r="A34" i="7"/>
  <c r="D35" i="1"/>
  <c r="E35" i="1" s="1"/>
  <c r="D34" i="1"/>
  <c r="E34" i="1" s="1"/>
  <c r="B36" i="1"/>
  <c r="C35" i="1"/>
  <c r="C32" i="10" l="1"/>
  <c r="D32" i="10" s="1"/>
  <c r="E33" i="10" s="1"/>
  <c r="B33" i="10"/>
  <c r="A34" i="10"/>
  <c r="F33" i="10"/>
  <c r="A38" i="6"/>
  <c r="B37" i="6"/>
  <c r="F35" i="4"/>
  <c r="G34" i="4"/>
  <c r="H34" i="4" s="1"/>
  <c r="B34" i="7"/>
  <c r="A35" i="7"/>
  <c r="C35" i="6"/>
  <c r="D35" i="6" s="1"/>
  <c r="C32" i="7"/>
  <c r="D32" i="7" s="1"/>
  <c r="D36" i="1"/>
  <c r="E36" i="1" s="1"/>
  <c r="C36" i="1"/>
  <c r="B37" i="1"/>
  <c r="A35" i="10" l="1"/>
  <c r="F34" i="10"/>
  <c r="B34" i="10"/>
  <c r="C37" i="6"/>
  <c r="F36" i="4"/>
  <c r="G35" i="4"/>
  <c r="H35" i="4" s="1"/>
  <c r="B35" i="7"/>
  <c r="A36" i="7"/>
  <c r="C36" i="6"/>
  <c r="D36" i="6" s="1"/>
  <c r="D37" i="6" s="1"/>
  <c r="C33" i="7"/>
  <c r="D33" i="7" s="1"/>
  <c r="B38" i="6"/>
  <c r="A39" i="6"/>
  <c r="C37" i="1"/>
  <c r="B38" i="1"/>
  <c r="F35" i="10" l="1"/>
  <c r="B35" i="10"/>
  <c r="C35" i="10" s="1"/>
  <c r="D35" i="10" s="1"/>
  <c r="C33" i="10"/>
  <c r="D33" i="10" s="1"/>
  <c r="E34" i="10" s="1"/>
  <c r="A40" i="6"/>
  <c r="B39" i="6"/>
  <c r="G36" i="4"/>
  <c r="H36" i="4" s="1"/>
  <c r="F37" i="4"/>
  <c r="B36" i="7"/>
  <c r="A37" i="7"/>
  <c r="C34" i="7"/>
  <c r="D34" i="7" s="1"/>
  <c r="D38" i="1"/>
  <c r="E38" i="1" s="1"/>
  <c r="D37" i="1"/>
  <c r="E37" i="1" s="1"/>
  <c r="B39" i="1"/>
  <c r="C38" i="1"/>
  <c r="C34" i="10" l="1"/>
  <c r="D34" i="10" s="1"/>
  <c r="E35" i="10" s="1"/>
  <c r="C39" i="6"/>
  <c r="C38" i="6"/>
  <c r="D38" i="6" s="1"/>
  <c r="D39" i="6" s="1"/>
  <c r="B40" i="6"/>
  <c r="A41" i="6"/>
  <c r="C35" i="7"/>
  <c r="D35" i="7" s="1"/>
  <c r="G37" i="4"/>
  <c r="H37" i="4" s="1"/>
  <c r="F38" i="4"/>
  <c r="B37" i="7"/>
  <c r="A38" i="7"/>
  <c r="D39" i="1"/>
  <c r="E39" i="1" s="1"/>
  <c r="C39" i="1"/>
  <c r="B40" i="1"/>
  <c r="A42" i="6" l="1"/>
  <c r="B41" i="6"/>
  <c r="C36" i="7"/>
  <c r="D36" i="7" s="1"/>
  <c r="B38" i="7"/>
  <c r="A39" i="7"/>
  <c r="F39" i="4"/>
  <c r="G38" i="4"/>
  <c r="H38" i="4" s="1"/>
  <c r="C40" i="6"/>
  <c r="D40" i="6" s="1"/>
  <c r="B41" i="1"/>
  <c r="C40" i="1"/>
  <c r="D40" i="1"/>
  <c r="E40" i="1" s="1"/>
  <c r="C37" i="7" l="1"/>
  <c r="D37" i="7" s="1"/>
  <c r="B39" i="7"/>
  <c r="C38" i="7" s="1"/>
  <c r="A40" i="7"/>
  <c r="B42" i="6"/>
  <c r="A43" i="6"/>
  <c r="F40" i="4"/>
  <c r="G39" i="4"/>
  <c r="H39" i="4" s="1"/>
  <c r="C41" i="6"/>
  <c r="D41" i="6" s="1"/>
  <c r="B42" i="1"/>
  <c r="C41" i="1"/>
  <c r="D41" i="1"/>
  <c r="E41" i="1" s="1"/>
  <c r="D38" i="7" l="1"/>
  <c r="A44" i="6"/>
  <c r="B43" i="6"/>
  <c r="B40" i="7"/>
  <c r="A41" i="7"/>
  <c r="G40" i="4"/>
  <c r="H40" i="4" s="1"/>
  <c r="F41" i="4"/>
  <c r="C42" i="1"/>
  <c r="B43" i="1"/>
  <c r="B41" i="7" l="1"/>
  <c r="A42" i="7"/>
  <c r="B44" i="6"/>
  <c r="A45" i="6"/>
  <c r="C40" i="7"/>
  <c r="C43" i="6"/>
  <c r="C39" i="7"/>
  <c r="D39" i="7" s="1"/>
  <c r="D40" i="7" s="1"/>
  <c r="G41" i="4"/>
  <c r="H41" i="4" s="1"/>
  <c r="F42" i="4"/>
  <c r="C42" i="6"/>
  <c r="D42" i="6" s="1"/>
  <c r="D43" i="6" s="1"/>
  <c r="D43" i="1"/>
  <c r="E43" i="1" s="1"/>
  <c r="D42" i="1"/>
  <c r="E42" i="1" s="1"/>
  <c r="B44" i="1"/>
  <c r="C43" i="1"/>
  <c r="A46" i="6" l="1"/>
  <c r="B45" i="6"/>
  <c r="C44" i="6" s="1"/>
  <c r="D44" i="6" s="1"/>
  <c r="F43" i="4"/>
  <c r="G42" i="4"/>
  <c r="H42" i="4" s="1"/>
  <c r="B42" i="7"/>
  <c r="A43" i="7"/>
  <c r="D44" i="1"/>
  <c r="E44" i="1" s="1"/>
  <c r="B45" i="1"/>
  <c r="C44" i="1"/>
  <c r="C41" i="7" l="1"/>
  <c r="D41" i="7" s="1"/>
  <c r="F44" i="4"/>
  <c r="G43" i="4"/>
  <c r="H43" i="4" s="1"/>
  <c r="B46" i="6"/>
  <c r="C45" i="6" s="1"/>
  <c r="D45" i="6" s="1"/>
  <c r="A47" i="6"/>
  <c r="B43" i="7"/>
  <c r="A44" i="7"/>
  <c r="D45" i="1"/>
  <c r="E45" i="1" s="1"/>
  <c r="B46" i="1"/>
  <c r="C45" i="1"/>
  <c r="G44" i="4" l="1"/>
  <c r="H44" i="4" s="1"/>
  <c r="F45" i="4"/>
  <c r="A48" i="6"/>
  <c r="B47" i="6"/>
  <c r="B44" i="7"/>
  <c r="C43" i="7" s="1"/>
  <c r="A45" i="7"/>
  <c r="C46" i="6"/>
  <c r="D46" i="6" s="1"/>
  <c r="C42" i="7"/>
  <c r="D42" i="7" s="1"/>
  <c r="D43" i="7" s="1"/>
  <c r="D46" i="1"/>
  <c r="E46" i="1" s="1"/>
  <c r="B47" i="1"/>
  <c r="C46" i="1"/>
  <c r="G45" i="4" l="1"/>
  <c r="H45" i="4" s="1"/>
  <c r="F46" i="4"/>
  <c r="B45" i="7"/>
  <c r="A46" i="7"/>
  <c r="B48" i="6"/>
  <c r="A49" i="6"/>
  <c r="D47" i="1"/>
  <c r="E47" i="1" s="1"/>
  <c r="B48" i="1"/>
  <c r="C47" i="1"/>
  <c r="A50" i="6" l="1"/>
  <c r="B49" i="6"/>
  <c r="C44" i="7"/>
  <c r="D44" i="7" s="1"/>
  <c r="B46" i="7"/>
  <c r="A47" i="7"/>
  <c r="F47" i="4"/>
  <c r="G46" i="4"/>
  <c r="H46" i="4" s="1"/>
  <c r="C48" i="6"/>
  <c r="C47" i="6"/>
  <c r="D47" i="6" s="1"/>
  <c r="D48" i="1"/>
  <c r="E48" i="1" s="1"/>
  <c r="B49" i="1"/>
  <c r="C48" i="1"/>
  <c r="F48" i="4" l="1"/>
  <c r="G47" i="4"/>
  <c r="H47" i="4" s="1"/>
  <c r="D45" i="7"/>
  <c r="D48" i="6"/>
  <c r="B47" i="7"/>
  <c r="C46" i="7" s="1"/>
  <c r="A48" i="7"/>
  <c r="B50" i="6"/>
  <c r="A51" i="6"/>
  <c r="C45" i="7"/>
  <c r="D49" i="1"/>
  <c r="E49" i="1" s="1"/>
  <c r="B50" i="1"/>
  <c r="C49" i="1"/>
  <c r="D46" i="7" l="1"/>
  <c r="B48" i="7"/>
  <c r="A49" i="7"/>
  <c r="C49" i="6"/>
  <c r="A52" i="6"/>
  <c r="B51" i="6"/>
  <c r="D49" i="6"/>
  <c r="G48" i="4"/>
  <c r="H48" i="4" s="1"/>
  <c r="F49" i="4"/>
  <c r="D50" i="1"/>
  <c r="E50" i="1" s="1"/>
  <c r="C50" i="1"/>
  <c r="B51" i="1"/>
  <c r="C47" i="7" l="1"/>
  <c r="D47" i="7"/>
  <c r="B49" i="7"/>
  <c r="A50" i="7"/>
  <c r="G49" i="4"/>
  <c r="H49" i="4" s="1"/>
  <c r="F50" i="4"/>
  <c r="B52" i="6"/>
  <c r="C51" i="6" s="1"/>
  <c r="A53" i="6"/>
  <c r="C50" i="6"/>
  <c r="D50" i="6" s="1"/>
  <c r="B52" i="1"/>
  <c r="C51" i="1"/>
  <c r="D51" i="1"/>
  <c r="E51" i="1" s="1"/>
  <c r="D51" i="6" l="1"/>
  <c r="F51" i="4"/>
  <c r="G50" i="4"/>
  <c r="H50" i="4" s="1"/>
  <c r="A54" i="6"/>
  <c r="B53" i="6"/>
  <c r="B50" i="7"/>
  <c r="A51" i="7"/>
  <c r="C52" i="6"/>
  <c r="C48" i="7"/>
  <c r="D48" i="7" s="1"/>
  <c r="B53" i="1"/>
  <c r="C52" i="1"/>
  <c r="D52" i="1"/>
  <c r="E52" i="1" s="1"/>
  <c r="F52" i="4" l="1"/>
  <c r="G51" i="4"/>
  <c r="H51" i="4" s="1"/>
  <c r="B51" i="7"/>
  <c r="C50" i="7" s="1"/>
  <c r="A52" i="7"/>
  <c r="C49" i="7"/>
  <c r="D49" i="7" s="1"/>
  <c r="C53" i="6"/>
  <c r="B54" i="6"/>
  <c r="A55" i="6"/>
  <c r="D52" i="6"/>
  <c r="B54" i="1"/>
  <c r="C53" i="1"/>
  <c r="D53" i="1"/>
  <c r="E53" i="1" s="1"/>
  <c r="D50" i="7" l="1"/>
  <c r="D53" i="6"/>
  <c r="G52" i="4"/>
  <c r="H52" i="4" s="1"/>
  <c r="F53" i="4"/>
  <c r="A56" i="6"/>
  <c r="B55" i="6"/>
  <c r="B52" i="7"/>
  <c r="A53" i="7"/>
  <c r="C54" i="6"/>
  <c r="B55" i="1"/>
  <c r="C54" i="1"/>
  <c r="D54" i="1"/>
  <c r="E54" i="1" s="1"/>
  <c r="B53" i="7" l="1"/>
  <c r="A54" i="7"/>
  <c r="G53" i="4"/>
  <c r="H53" i="4" s="1"/>
  <c r="F54" i="4"/>
  <c r="C51" i="7"/>
  <c r="C55" i="6"/>
  <c r="D54" i="6"/>
  <c r="B56" i="6"/>
  <c r="A57" i="6"/>
  <c r="D51" i="7"/>
  <c r="B56" i="1"/>
  <c r="C56" i="1" s="1"/>
  <c r="C55" i="1"/>
  <c r="D55" i="1"/>
  <c r="E55" i="1" s="1"/>
  <c r="D55" i="6" l="1"/>
  <c r="A58" i="6"/>
  <c r="B57" i="6"/>
  <c r="C56" i="6" s="1"/>
  <c r="B54" i="7"/>
  <c r="C53" i="7" s="1"/>
  <c r="A55" i="7"/>
  <c r="F55" i="4"/>
  <c r="G54" i="4"/>
  <c r="H54" i="4" s="1"/>
  <c r="C52" i="7"/>
  <c r="D52" i="7" s="1"/>
  <c r="D56" i="1"/>
  <c r="E56" i="1" s="1"/>
  <c r="D53" i="7" l="1"/>
  <c r="B55" i="7"/>
  <c r="C54" i="7" s="1"/>
  <c r="A56" i="7"/>
  <c r="B58" i="6"/>
  <c r="A59" i="6"/>
  <c r="C57" i="6"/>
  <c r="F56" i="4"/>
  <c r="G56" i="4" s="1"/>
  <c r="H56" i="4" s="1"/>
  <c r="H57" i="4" s="1"/>
  <c r="G55" i="4"/>
  <c r="H55" i="4" s="1"/>
  <c r="D56" i="6"/>
  <c r="B56" i="7" l="1"/>
  <c r="C55" i="7" s="1"/>
  <c r="A57" i="7"/>
  <c r="D57" i="6"/>
  <c r="A60" i="6"/>
  <c r="B59" i="6"/>
  <c r="D54" i="7"/>
  <c r="D55" i="7" l="1"/>
  <c r="B60" i="6"/>
  <c r="A61" i="6"/>
  <c r="C58" i="6"/>
  <c r="D58" i="6" s="1"/>
  <c r="B57" i="7"/>
  <c r="A58" i="7"/>
  <c r="B58" i="7" l="1"/>
  <c r="A59" i="7"/>
  <c r="A62" i="6"/>
  <c r="B61" i="6"/>
  <c r="C60" i="6"/>
  <c r="C56" i="7"/>
  <c r="D56" i="7" s="1"/>
  <c r="C59" i="6"/>
  <c r="D59" i="6" s="1"/>
  <c r="D60" i="6" s="1"/>
  <c r="C58" i="7" l="1"/>
  <c r="B59" i="7"/>
  <c r="A60" i="7"/>
  <c r="C57" i="7"/>
  <c r="D57" i="7" s="1"/>
  <c r="D58" i="7" s="1"/>
  <c r="B62" i="6"/>
  <c r="A63" i="6"/>
  <c r="C61" i="6" l="1"/>
  <c r="D61" i="6" s="1"/>
  <c r="A64" i="6"/>
  <c r="B63" i="6"/>
  <c r="B60" i="7"/>
  <c r="A61" i="7"/>
  <c r="C59" i="7" l="1"/>
  <c r="D59" i="7" s="1"/>
  <c r="D62" i="6"/>
  <c r="C62" i="6"/>
  <c r="B61" i="7"/>
  <c r="A62" i="7"/>
  <c r="B64" i="6"/>
  <c r="A65" i="6"/>
  <c r="C63" i="6" l="1"/>
  <c r="D63" i="6" s="1"/>
  <c r="B62" i="7"/>
  <c r="A63" i="7"/>
  <c r="A66" i="6"/>
  <c r="B65" i="6"/>
  <c r="C60" i="7"/>
  <c r="D60" i="7" s="1"/>
  <c r="C61" i="7" l="1"/>
  <c r="D61" i="7" s="1"/>
  <c r="B66" i="6"/>
  <c r="A67" i="6"/>
  <c r="C65" i="6"/>
  <c r="B63" i="7"/>
  <c r="C62" i="7" s="1"/>
  <c r="A64" i="7"/>
  <c r="C64" i="6"/>
  <c r="D64" i="6" s="1"/>
  <c r="D65" i="6" s="1"/>
  <c r="D62" i="7" l="1"/>
  <c r="A68" i="6"/>
  <c r="B67" i="6"/>
  <c r="B64" i="7"/>
  <c r="C63" i="7" s="1"/>
  <c r="A65" i="7"/>
  <c r="C66" i="6"/>
  <c r="D66" i="6" s="1"/>
  <c r="B65" i="7" l="1"/>
  <c r="A66" i="7"/>
  <c r="C64" i="7"/>
  <c r="D63" i="7"/>
  <c r="B68" i="6"/>
  <c r="A69" i="6"/>
  <c r="C67" i="6"/>
  <c r="D67" i="6" s="1"/>
  <c r="B69" i="6" l="1"/>
  <c r="A70" i="6"/>
  <c r="B66" i="7"/>
  <c r="C65" i="7" s="1"/>
  <c r="A67" i="7"/>
  <c r="C68" i="6"/>
  <c r="D68" i="6" s="1"/>
  <c r="D64" i="7"/>
  <c r="A71" i="6" l="1"/>
  <c r="B70" i="6"/>
  <c r="D65" i="7"/>
  <c r="B67" i="7"/>
  <c r="A68" i="7"/>
  <c r="B68" i="7" l="1"/>
  <c r="A69" i="7"/>
  <c r="A72" i="6"/>
  <c r="B71" i="6"/>
  <c r="C67" i="7"/>
  <c r="C66" i="7"/>
  <c r="D66" i="7" s="1"/>
  <c r="D67" i="7" s="1"/>
  <c r="C69" i="6"/>
  <c r="D69" i="6" s="1"/>
  <c r="B69" i="7" l="1"/>
  <c r="A70" i="7"/>
  <c r="B72" i="6"/>
  <c r="A73" i="6"/>
  <c r="C70" i="6"/>
  <c r="D70" i="6" s="1"/>
  <c r="B70" i="7" l="1"/>
  <c r="A71" i="7"/>
  <c r="C71" i="6"/>
  <c r="D71" i="6" s="1"/>
  <c r="B73" i="6"/>
  <c r="A74" i="6"/>
  <c r="C68" i="7"/>
  <c r="D68" i="7" s="1"/>
  <c r="C73" i="6" l="1"/>
  <c r="C72" i="6"/>
  <c r="D72" i="6" s="1"/>
  <c r="D73" i="6" s="1"/>
  <c r="C69" i="7"/>
  <c r="B71" i="7"/>
  <c r="A72" i="7"/>
  <c r="A75" i="6"/>
  <c r="B74" i="6"/>
  <c r="D69" i="7"/>
  <c r="A76" i="6" l="1"/>
  <c r="B75" i="6"/>
  <c r="B72" i="7"/>
  <c r="A73" i="7"/>
  <c r="C70" i="7"/>
  <c r="D70" i="7"/>
  <c r="C72" i="7" l="1"/>
  <c r="C75" i="6"/>
  <c r="C71" i="7"/>
  <c r="D71" i="7" s="1"/>
  <c r="D72" i="7" s="1"/>
  <c r="B76" i="6"/>
  <c r="A77" i="6"/>
  <c r="C74" i="6"/>
  <c r="D74" i="6" s="1"/>
  <c r="D75" i="6" s="1"/>
  <c r="B73" i="7"/>
  <c r="A74" i="7"/>
  <c r="B74" i="7" l="1"/>
  <c r="C73" i="7" s="1"/>
  <c r="D73" i="7" s="1"/>
  <c r="A75" i="7"/>
  <c r="B77" i="6"/>
  <c r="C76" i="6" s="1"/>
  <c r="D76" i="6" s="1"/>
  <c r="A78" i="6"/>
  <c r="B75" i="7" l="1"/>
  <c r="A76" i="7"/>
  <c r="A79" i="6"/>
  <c r="B78" i="6"/>
  <c r="C77" i="6"/>
  <c r="D77" i="6" s="1"/>
  <c r="A80" i="6" l="1"/>
  <c r="B79" i="6"/>
  <c r="C78" i="6" s="1"/>
  <c r="D78" i="6" s="1"/>
  <c r="B76" i="7"/>
  <c r="A77" i="7"/>
  <c r="C74" i="7"/>
  <c r="D74" i="7" s="1"/>
  <c r="B77" i="7" l="1"/>
  <c r="A78" i="7"/>
  <c r="C75" i="7"/>
  <c r="D75" i="7" s="1"/>
  <c r="B80" i="6"/>
  <c r="A81" i="6"/>
  <c r="B81" i="6" l="1"/>
  <c r="A82" i="6"/>
  <c r="B78" i="7"/>
  <c r="A79" i="7"/>
  <c r="C79" i="6"/>
  <c r="D79" i="6" s="1"/>
  <c r="C76" i="7"/>
  <c r="D76" i="7" s="1"/>
  <c r="B79" i="7" l="1"/>
  <c r="A80" i="7"/>
  <c r="C80" i="6"/>
  <c r="C77" i="7"/>
  <c r="D77" i="7" s="1"/>
  <c r="D80" i="6"/>
  <c r="A83" i="6"/>
  <c r="B82" i="6"/>
  <c r="B80" i="7" l="1"/>
  <c r="A81" i="7"/>
  <c r="C78" i="7"/>
  <c r="D78" i="7" s="1"/>
  <c r="C81" i="6"/>
  <c r="D81" i="6"/>
  <c r="A84" i="6"/>
  <c r="B83" i="6"/>
  <c r="C79" i="7" l="1"/>
  <c r="D79" i="7" s="1"/>
  <c r="D80" i="7" s="1"/>
  <c r="B81" i="7"/>
  <c r="C80" i="7" s="1"/>
  <c r="A82" i="7"/>
  <c r="B84" i="6"/>
  <c r="C83" i="6" s="1"/>
  <c r="A85" i="6"/>
  <c r="C82" i="6"/>
  <c r="D82" i="6" s="1"/>
  <c r="D83" i="6" l="1"/>
  <c r="B82" i="7"/>
  <c r="A83" i="7"/>
  <c r="B85" i="6"/>
  <c r="C84" i="6" s="1"/>
  <c r="A86" i="6"/>
  <c r="A87" i="6" l="1"/>
  <c r="B86" i="6"/>
  <c r="C85" i="6"/>
  <c r="C81" i="7"/>
  <c r="D81" i="7" s="1"/>
  <c r="A84" i="7"/>
  <c r="B83" i="7"/>
  <c r="D84" i="6"/>
  <c r="D85" i="6" s="1"/>
  <c r="B84" i="7" l="1"/>
  <c r="C83" i="7" s="1"/>
  <c r="A85" i="7"/>
  <c r="A88" i="6"/>
  <c r="B87" i="6"/>
  <c r="D82" i="7"/>
  <c r="C82" i="7"/>
  <c r="B88" i="6" l="1"/>
  <c r="A89" i="6"/>
  <c r="C86" i="6"/>
  <c r="D86" i="6" s="1"/>
  <c r="D83" i="7"/>
  <c r="A86" i="7"/>
  <c r="B85" i="7"/>
  <c r="B89" i="6" l="1"/>
  <c r="A90" i="6"/>
  <c r="C88" i="6"/>
  <c r="B86" i="7"/>
  <c r="C85" i="7" s="1"/>
  <c r="A87" i="7"/>
  <c r="C84" i="7"/>
  <c r="D84" i="7" s="1"/>
  <c r="D87" i="6"/>
  <c r="D88" i="6" s="1"/>
  <c r="C87" i="6"/>
  <c r="D85" i="7" l="1"/>
  <c r="A88" i="7"/>
  <c r="B87" i="7"/>
  <c r="A91" i="6"/>
  <c r="B90" i="6"/>
  <c r="C89" i="6"/>
  <c r="D89" i="6" s="1"/>
  <c r="C86" i="7" l="1"/>
  <c r="D86" i="7" s="1"/>
  <c r="B88" i="7"/>
  <c r="C87" i="7" s="1"/>
  <c r="A89" i="7"/>
  <c r="A92" i="6"/>
  <c r="B91" i="6"/>
  <c r="D87" i="7" l="1"/>
  <c r="B92" i="6"/>
  <c r="A93" i="6"/>
  <c r="C91" i="6"/>
  <c r="C90" i="6"/>
  <c r="D90" i="6" s="1"/>
  <c r="D91" i="6" s="1"/>
  <c r="A90" i="7"/>
  <c r="B89" i="7"/>
  <c r="B93" i="6" l="1"/>
  <c r="A94" i="6"/>
  <c r="B90" i="7"/>
  <c r="A91" i="7"/>
  <c r="C88" i="7"/>
  <c r="D88" i="7" s="1"/>
  <c r="C92" i="6"/>
  <c r="D92" i="6" s="1"/>
  <c r="A95" i="6" l="1"/>
  <c r="B94" i="6"/>
  <c r="C93" i="6" s="1"/>
  <c r="D93" i="6" s="1"/>
  <c r="A92" i="7"/>
  <c r="B91" i="7"/>
  <c r="C89" i="7"/>
  <c r="D89" i="7" s="1"/>
  <c r="C91" i="7" l="1"/>
  <c r="A96" i="6"/>
  <c r="B95" i="6"/>
  <c r="B92" i="7"/>
  <c r="A93" i="7"/>
  <c r="C90" i="7"/>
  <c r="D90" i="7" s="1"/>
  <c r="D91" i="7" s="1"/>
  <c r="C94" i="6"/>
  <c r="D94" i="6" s="1"/>
  <c r="A97" i="6" l="1"/>
  <c r="B96" i="6"/>
  <c r="A94" i="7"/>
  <c r="B93" i="7"/>
  <c r="C95" i="6"/>
  <c r="D95" i="6" s="1"/>
  <c r="C92" i="7" l="1"/>
  <c r="D92" i="7" s="1"/>
  <c r="B94" i="7"/>
  <c r="A95" i="7"/>
  <c r="A98" i="6"/>
  <c r="B97" i="6"/>
  <c r="C96" i="6"/>
  <c r="D96" i="6" s="1"/>
  <c r="D93" i="7" l="1"/>
  <c r="A99" i="6"/>
  <c r="B98" i="6"/>
  <c r="C97" i="6" s="1"/>
  <c r="D97" i="6" s="1"/>
  <c r="C93" i="7"/>
  <c r="A96" i="7"/>
  <c r="B95" i="7"/>
  <c r="C94" i="7" s="1"/>
  <c r="B96" i="7" l="1"/>
  <c r="A97" i="7"/>
  <c r="A100" i="6"/>
  <c r="B99" i="6"/>
  <c r="D94" i="7"/>
  <c r="C95" i="7"/>
  <c r="C98" i="6"/>
  <c r="D98" i="6" s="1"/>
  <c r="A101" i="6" l="1"/>
  <c r="B100" i="6"/>
  <c r="D95" i="7"/>
  <c r="A98" i="7"/>
  <c r="B97" i="7"/>
  <c r="C99" i="6"/>
  <c r="D99" i="6" s="1"/>
  <c r="A102" i="6" l="1"/>
  <c r="B101" i="6"/>
  <c r="C100" i="6" s="1"/>
  <c r="D100" i="6" s="1"/>
  <c r="B98" i="7"/>
  <c r="A99" i="7"/>
  <c r="C96" i="7"/>
  <c r="D96" i="7" s="1"/>
  <c r="A100" i="7" l="1"/>
  <c r="B99" i="7"/>
  <c r="A103" i="6"/>
  <c r="B102" i="6"/>
  <c r="C97" i="7"/>
  <c r="D97" i="7" s="1"/>
  <c r="C101" i="6"/>
  <c r="D101" i="6" s="1"/>
  <c r="C99" i="7" l="1"/>
  <c r="B100" i="7"/>
  <c r="A101" i="7"/>
  <c r="C98" i="7"/>
  <c r="D98" i="7" s="1"/>
  <c r="D99" i="7" s="1"/>
  <c r="C102" i="6"/>
  <c r="D102" i="6" s="1"/>
  <c r="A104" i="6"/>
  <c r="B103" i="6"/>
  <c r="A105" i="6" l="1"/>
  <c r="B104" i="6"/>
  <c r="C103" i="6" s="1"/>
  <c r="D103" i="6" s="1"/>
  <c r="A102" i="7"/>
  <c r="B101" i="7"/>
  <c r="A106" i="6" l="1"/>
  <c r="B105" i="6"/>
  <c r="B102" i="7"/>
  <c r="C101" i="7" s="1"/>
  <c r="A103" i="7"/>
  <c r="C100" i="7"/>
  <c r="D100" i="7" s="1"/>
  <c r="D101" i="7" l="1"/>
  <c r="A107" i="6"/>
  <c r="B106" i="6"/>
  <c r="C105" i="6" s="1"/>
  <c r="C104" i="6"/>
  <c r="D104" i="6" s="1"/>
  <c r="A104" i="7"/>
  <c r="B103" i="7"/>
  <c r="C102" i="7" s="1"/>
  <c r="D105" i="6" l="1"/>
  <c r="C106" i="6"/>
  <c r="A108" i="6"/>
  <c r="B107" i="6"/>
  <c r="B104" i="7"/>
  <c r="C103" i="7" s="1"/>
  <c r="A105" i="7"/>
  <c r="D102" i="7"/>
  <c r="B105" i="7" l="1"/>
  <c r="A106" i="7"/>
  <c r="D103" i="7"/>
  <c r="A109" i="6"/>
  <c r="B108" i="6"/>
  <c r="C104" i="7"/>
  <c r="D106" i="6"/>
  <c r="A110" i="6" l="1"/>
  <c r="B109" i="6"/>
  <c r="C107" i="6"/>
  <c r="D107" i="6" s="1"/>
  <c r="D104" i="7"/>
  <c r="A107" i="7"/>
  <c r="B106" i="7"/>
  <c r="C105" i="7"/>
  <c r="A108" i="7" l="1"/>
  <c r="B107" i="7"/>
  <c r="D105" i="7"/>
  <c r="A111" i="6"/>
  <c r="B110" i="6"/>
  <c r="C108" i="6"/>
  <c r="D108" i="6" s="1"/>
  <c r="C110" i="6" l="1"/>
  <c r="A112" i="6"/>
  <c r="B111" i="6"/>
  <c r="B108" i="7"/>
  <c r="A109" i="7"/>
  <c r="C106" i="7"/>
  <c r="D106" i="7" s="1"/>
  <c r="C109" i="6"/>
  <c r="D109" i="6" s="1"/>
  <c r="D110" i="6" s="1"/>
  <c r="B109" i="7" l="1"/>
  <c r="A110" i="7"/>
  <c r="A113" i="6"/>
  <c r="B112" i="6"/>
  <c r="C107" i="7"/>
  <c r="D107" i="7" s="1"/>
  <c r="C111" i="6"/>
  <c r="D111" i="6" s="1"/>
  <c r="A111" i="7" l="1"/>
  <c r="B110" i="7"/>
  <c r="C109" i="7" s="1"/>
  <c r="C108" i="7"/>
  <c r="D108" i="7" s="1"/>
  <c r="D109" i="7" s="1"/>
  <c r="A114" i="6"/>
  <c r="B113" i="6"/>
  <c r="A115" i="6" l="1"/>
  <c r="B114" i="6"/>
  <c r="A112" i="7"/>
  <c r="B111" i="7"/>
  <c r="C112" i="6"/>
  <c r="D112" i="6" s="1"/>
  <c r="C110" i="7"/>
  <c r="D110" i="7" s="1"/>
  <c r="C114" i="6" l="1"/>
  <c r="A116" i="6"/>
  <c r="B115" i="6"/>
  <c r="C113" i="6"/>
  <c r="D113" i="6"/>
  <c r="D114" i="6" s="1"/>
  <c r="B112" i="7"/>
  <c r="A113" i="7"/>
  <c r="A117" i="6" l="1"/>
  <c r="B116" i="6"/>
  <c r="C115" i="6" s="1"/>
  <c r="D115" i="6" s="1"/>
  <c r="B113" i="7"/>
  <c r="A114" i="7"/>
  <c r="C111" i="7"/>
  <c r="D111" i="7" s="1"/>
  <c r="A115" i="7" l="1"/>
  <c r="B114" i="7"/>
  <c r="D112" i="7"/>
  <c r="A118" i="6"/>
  <c r="B117" i="6"/>
  <c r="C116" i="6"/>
  <c r="D116" i="6" s="1"/>
  <c r="C112" i="7"/>
  <c r="C113" i="7" l="1"/>
  <c r="C117" i="6"/>
  <c r="D117" i="6" s="1"/>
  <c r="A116" i="7"/>
  <c r="B115" i="7"/>
  <c r="D113" i="7"/>
  <c r="A119" i="6"/>
  <c r="B118" i="6"/>
  <c r="C114" i="7" l="1"/>
  <c r="D114" i="7" s="1"/>
  <c r="A120" i="6"/>
  <c r="B119" i="6"/>
  <c r="C118" i="6"/>
  <c r="D118" i="6" s="1"/>
  <c r="B116" i="7"/>
  <c r="A117" i="7"/>
  <c r="C115" i="7" l="1"/>
  <c r="D115" i="7" s="1"/>
  <c r="A121" i="6"/>
  <c r="B120" i="6"/>
  <c r="B117" i="7"/>
  <c r="C116" i="7" s="1"/>
  <c r="A118" i="7"/>
  <c r="C119" i="6"/>
  <c r="D119" i="6" s="1"/>
  <c r="D116" i="7" l="1"/>
  <c r="A119" i="7"/>
  <c r="B118" i="7"/>
  <c r="C117" i="7" s="1"/>
  <c r="A122" i="6"/>
  <c r="B121" i="6"/>
  <c r="A123" i="6" l="1"/>
  <c r="B122" i="6"/>
  <c r="D117" i="7"/>
  <c r="C120" i="6"/>
  <c r="D120" i="6" s="1"/>
  <c r="A120" i="7"/>
  <c r="B119" i="7"/>
  <c r="C118" i="7" s="1"/>
  <c r="A121" i="7" l="1"/>
  <c r="B120" i="7"/>
  <c r="D118" i="7"/>
  <c r="C122" i="6"/>
  <c r="C121" i="6"/>
  <c r="D121" i="6" s="1"/>
  <c r="D122" i="6" s="1"/>
  <c r="A124" i="6"/>
  <c r="B123" i="6"/>
  <c r="A125" i="6" l="1"/>
  <c r="B124" i="6"/>
  <c r="C119" i="7"/>
  <c r="D119" i="7" s="1"/>
  <c r="A122" i="7"/>
  <c r="B121" i="7"/>
  <c r="A126" i="6" l="1"/>
  <c r="B125" i="6"/>
  <c r="A123" i="7"/>
  <c r="B122" i="7"/>
  <c r="C123" i="6"/>
  <c r="D123" i="6" s="1"/>
  <c r="C121" i="7"/>
  <c r="C120" i="7"/>
  <c r="D120" i="7" s="1"/>
  <c r="D121" i="7" s="1"/>
  <c r="A127" i="6" l="1"/>
  <c r="B126" i="6"/>
  <c r="C124" i="6"/>
  <c r="D124" i="6"/>
  <c r="A124" i="7"/>
  <c r="B123" i="7"/>
  <c r="A128" i="6" l="1"/>
  <c r="B127" i="6"/>
  <c r="A125" i="7"/>
  <c r="B124" i="7"/>
  <c r="D125" i="6"/>
  <c r="C125" i="6"/>
  <c r="C123" i="7"/>
  <c r="C122" i="7"/>
  <c r="D122" i="7" s="1"/>
  <c r="D123" i="7" s="1"/>
  <c r="A129" i="6" l="1"/>
  <c r="B128" i="6"/>
  <c r="A126" i="7"/>
  <c r="B125" i="7"/>
  <c r="C127" i="6"/>
  <c r="C124" i="7"/>
  <c r="D124" i="7" s="1"/>
  <c r="C126" i="6"/>
  <c r="D126" i="6" s="1"/>
  <c r="D127" i="6" s="1"/>
  <c r="C125" i="7" l="1"/>
  <c r="D125" i="7" s="1"/>
  <c r="A127" i="7"/>
  <c r="B126" i="7"/>
  <c r="A130" i="6"/>
  <c r="B129" i="6"/>
  <c r="A128" i="7" l="1"/>
  <c r="B127" i="7"/>
  <c r="A131" i="6"/>
  <c r="B130" i="6"/>
  <c r="C128" i="6"/>
  <c r="D128" i="6" s="1"/>
  <c r="C127" i="7" l="1"/>
  <c r="A129" i="7"/>
  <c r="B128" i="7"/>
  <c r="C126" i="7"/>
  <c r="D126" i="7" s="1"/>
  <c r="C129" i="6"/>
  <c r="D129" i="6"/>
  <c r="A132" i="6"/>
  <c r="B131" i="6"/>
  <c r="C130" i="6" l="1"/>
  <c r="A133" i="6"/>
  <c r="B132" i="6"/>
  <c r="D127" i="7"/>
  <c r="D130" i="6"/>
  <c r="A130" i="7"/>
  <c r="B129" i="7"/>
  <c r="C128" i="7" s="1"/>
  <c r="A134" i="6" l="1"/>
  <c r="B133" i="6"/>
  <c r="A131" i="7"/>
  <c r="B130" i="7"/>
  <c r="D131" i="6"/>
  <c r="C129" i="7"/>
  <c r="D128" i="7"/>
  <c r="D129" i="7" s="1"/>
  <c r="C131" i="6"/>
  <c r="A132" i="7" l="1"/>
  <c r="B131" i="7"/>
  <c r="C132" i="6"/>
  <c r="D132" i="6" s="1"/>
  <c r="D133" i="6" s="1"/>
  <c r="A135" i="6"/>
  <c r="B134" i="6"/>
  <c r="C133" i="6" s="1"/>
  <c r="A136" i="6" l="1"/>
  <c r="B135" i="6"/>
  <c r="A133" i="7"/>
  <c r="B132" i="7"/>
  <c r="C131" i="7" s="1"/>
  <c r="C134" i="6"/>
  <c r="D134" i="6" s="1"/>
  <c r="C130" i="7"/>
  <c r="D130" i="7" s="1"/>
  <c r="D131" i="7" l="1"/>
  <c r="C135" i="6"/>
  <c r="D135" i="6" s="1"/>
  <c r="A137" i="6"/>
  <c r="B136" i="6"/>
  <c r="A134" i="7"/>
  <c r="B133" i="7"/>
  <c r="C132" i="7" l="1"/>
  <c r="D132" i="7" s="1"/>
  <c r="A135" i="7"/>
  <c r="B134" i="7"/>
  <c r="C133" i="7" s="1"/>
  <c r="A138" i="6"/>
  <c r="B137" i="6"/>
  <c r="D133" i="7" l="1"/>
  <c r="A136" i="7"/>
  <c r="B135" i="7"/>
  <c r="A139" i="6"/>
  <c r="B138" i="6"/>
  <c r="C136" i="6"/>
  <c r="D136" i="6" s="1"/>
  <c r="A137" i="7" l="1"/>
  <c r="B136" i="7"/>
  <c r="C137" i="6"/>
  <c r="D137" i="6" s="1"/>
  <c r="C134" i="7"/>
  <c r="D134" i="7" s="1"/>
  <c r="A140" i="6"/>
  <c r="B139" i="6"/>
  <c r="A141" i="6" l="1"/>
  <c r="B140" i="6"/>
  <c r="A138" i="7"/>
  <c r="B137" i="7"/>
  <c r="C139" i="6"/>
  <c r="C138" i="6"/>
  <c r="D138" i="6" s="1"/>
  <c r="D139" i="6" s="1"/>
  <c r="C135" i="7"/>
  <c r="D135" i="7" s="1"/>
  <c r="C140" i="6" l="1"/>
  <c r="D140" i="6" s="1"/>
  <c r="A142" i="6"/>
  <c r="B141" i="6"/>
  <c r="A139" i="7"/>
  <c r="B138" i="7"/>
  <c r="C136" i="7"/>
  <c r="D136" i="7" s="1"/>
  <c r="C137" i="7" l="1"/>
  <c r="D137" i="7" s="1"/>
  <c r="A140" i="7"/>
  <c r="B139" i="7"/>
  <c r="C138" i="7" s="1"/>
  <c r="A143" i="6"/>
  <c r="B142" i="6"/>
  <c r="C141" i="6" s="1"/>
  <c r="D141" i="6" s="1"/>
  <c r="D138" i="7" l="1"/>
  <c r="A144" i="6"/>
  <c r="B143" i="6"/>
  <c r="A141" i="7"/>
  <c r="B140" i="7"/>
  <c r="A145" i="6" l="1"/>
  <c r="B144" i="6"/>
  <c r="A142" i="7"/>
  <c r="B141" i="7"/>
  <c r="C140" i="7" s="1"/>
  <c r="C142" i="6"/>
  <c r="D142" i="6" s="1"/>
  <c r="C139" i="7"/>
  <c r="D139" i="7" s="1"/>
  <c r="D140" i="7" l="1"/>
  <c r="A143" i="7"/>
  <c r="B142" i="7"/>
  <c r="C141" i="7" s="1"/>
  <c r="A146" i="6"/>
  <c r="B145" i="6"/>
  <c r="C143" i="6"/>
  <c r="D143" i="6" s="1"/>
  <c r="A147" i="6" l="1"/>
  <c r="B146" i="6"/>
  <c r="C144" i="6"/>
  <c r="D144" i="6" s="1"/>
  <c r="A144" i="7"/>
  <c r="B143" i="7"/>
  <c r="D141" i="7"/>
  <c r="A148" i="6" l="1"/>
  <c r="B147" i="6"/>
  <c r="C146" i="6" s="1"/>
  <c r="A145" i="7"/>
  <c r="B144" i="7"/>
  <c r="C143" i="7" s="1"/>
  <c r="C142" i="7"/>
  <c r="D142" i="7" s="1"/>
  <c r="C145" i="6"/>
  <c r="D145" i="6" s="1"/>
  <c r="D146" i="6" s="1"/>
  <c r="D143" i="7" l="1"/>
  <c r="A149" i="6"/>
  <c r="B148" i="6"/>
  <c r="A146" i="7"/>
  <c r="B145" i="7"/>
  <c r="C147" i="6"/>
  <c r="D147" i="6" s="1"/>
  <c r="A150" i="6" l="1"/>
  <c r="B149" i="6"/>
  <c r="A147" i="7"/>
  <c r="B146" i="7"/>
  <c r="C145" i="7" s="1"/>
  <c r="D144" i="7"/>
  <c r="C144" i="7"/>
  <c r="A151" i="6" l="1"/>
  <c r="B150" i="6"/>
  <c r="C148" i="6"/>
  <c r="D148" i="6" s="1"/>
  <c r="D145" i="7"/>
  <c r="A148" i="7"/>
  <c r="B147" i="7"/>
  <c r="C146" i="7" l="1"/>
  <c r="A149" i="7"/>
  <c r="B148" i="7"/>
  <c r="D146" i="7"/>
  <c r="A152" i="6"/>
  <c r="B151" i="6"/>
  <c r="C149" i="6"/>
  <c r="D149" i="6" s="1"/>
  <c r="A150" i="7" l="1"/>
  <c r="B149" i="7"/>
  <c r="A153" i="6"/>
  <c r="B152" i="6"/>
  <c r="C151" i="6"/>
  <c r="C150" i="6"/>
  <c r="D150" i="6" s="1"/>
  <c r="D151" i="6" s="1"/>
  <c r="C147" i="7"/>
  <c r="D147" i="7" s="1"/>
  <c r="A151" i="7" l="1"/>
  <c r="B150" i="7"/>
  <c r="C149" i="7" s="1"/>
  <c r="C148" i="7"/>
  <c r="D148" i="7" s="1"/>
  <c r="D149" i="7" s="1"/>
  <c r="A154" i="6"/>
  <c r="B153" i="6"/>
  <c r="A155" i="6" l="1"/>
  <c r="B154" i="6"/>
  <c r="A152" i="7"/>
  <c r="B151" i="7"/>
  <c r="C153" i="6"/>
  <c r="C152" i="6"/>
  <c r="D152" i="6" s="1"/>
  <c r="D153" i="6" s="1"/>
  <c r="C150" i="7"/>
  <c r="D150" i="7" s="1"/>
  <c r="A153" i="7" l="1"/>
  <c r="B152" i="7"/>
  <c r="C151" i="7" s="1"/>
  <c r="D151" i="7" s="1"/>
  <c r="A156" i="6"/>
  <c r="B155" i="6"/>
  <c r="A157" i="6" l="1"/>
  <c r="B156" i="6"/>
  <c r="A154" i="7"/>
  <c r="B153" i="7"/>
  <c r="C152" i="7" s="1"/>
  <c r="D152" i="7" s="1"/>
  <c r="C154" i="6"/>
  <c r="D154" i="6" s="1"/>
  <c r="A158" i="6" l="1"/>
  <c r="B157" i="6"/>
  <c r="C156" i="6" s="1"/>
  <c r="C155" i="6"/>
  <c r="D155" i="6" s="1"/>
  <c r="D156" i="6" s="1"/>
  <c r="A155" i="7"/>
  <c r="B154" i="7"/>
  <c r="C153" i="7" s="1"/>
  <c r="D153" i="7" s="1"/>
  <c r="A156" i="7" l="1"/>
  <c r="B155" i="7"/>
  <c r="A159" i="6"/>
  <c r="B158" i="6"/>
  <c r="C157" i="6"/>
  <c r="D157" i="6" s="1"/>
  <c r="A157" i="7" l="1"/>
  <c r="B156" i="7"/>
  <c r="C154" i="7"/>
  <c r="D154" i="7" s="1"/>
  <c r="A160" i="6"/>
  <c r="B159" i="6"/>
  <c r="A158" i="7" l="1"/>
  <c r="B157" i="7"/>
  <c r="A161" i="6"/>
  <c r="B160" i="6"/>
  <c r="C155" i="7"/>
  <c r="D155" i="7" s="1"/>
  <c r="C158" i="6"/>
  <c r="D158" i="6" s="1"/>
  <c r="A159" i="7" l="1"/>
  <c r="B158" i="7"/>
  <c r="C159" i="6"/>
  <c r="D159" i="6" s="1"/>
  <c r="A162" i="6"/>
  <c r="B161" i="6"/>
  <c r="C156" i="7"/>
  <c r="D156" i="7" s="1"/>
  <c r="A163" i="6" l="1"/>
  <c r="B162" i="6"/>
  <c r="A160" i="7"/>
  <c r="B159" i="7"/>
  <c r="C157" i="7"/>
  <c r="D157" i="7" s="1"/>
  <c r="C161" i="6"/>
  <c r="C160" i="6"/>
  <c r="D160" i="6" s="1"/>
  <c r="D161" i="6" s="1"/>
  <c r="A164" i="6" l="1"/>
  <c r="B163" i="6"/>
  <c r="C158" i="7"/>
  <c r="D158" i="7" s="1"/>
  <c r="A161" i="7"/>
  <c r="B160" i="7"/>
  <c r="C162" i="6"/>
  <c r="D162" i="6" s="1"/>
  <c r="A165" i="6" l="1"/>
  <c r="B164" i="6"/>
  <c r="C163" i="6" s="1"/>
  <c r="D163" i="6" s="1"/>
  <c r="A162" i="7"/>
  <c r="B161" i="7"/>
  <c r="C159" i="7"/>
  <c r="D159" i="7" s="1"/>
  <c r="A166" i="6" l="1"/>
  <c r="B165" i="6"/>
  <c r="A163" i="7"/>
  <c r="B162" i="7"/>
  <c r="C161" i="7" s="1"/>
  <c r="C160" i="7"/>
  <c r="D160" i="7" s="1"/>
  <c r="C164" i="6"/>
  <c r="D164" i="6" s="1"/>
  <c r="D161" i="7" l="1"/>
  <c r="C165" i="6"/>
  <c r="D165" i="6" s="1"/>
  <c r="A167" i="6"/>
  <c r="B166" i="6"/>
  <c r="A164" i="7"/>
  <c r="B163" i="7"/>
  <c r="A168" i="6" l="1"/>
  <c r="B167" i="6"/>
  <c r="A165" i="7"/>
  <c r="B164" i="7"/>
  <c r="C163" i="7" s="1"/>
  <c r="C162" i="7"/>
  <c r="D162" i="7" s="1"/>
  <c r="D163" i="7" l="1"/>
  <c r="A166" i="7"/>
  <c r="B165" i="7"/>
  <c r="C164" i="7" s="1"/>
  <c r="C166" i="6"/>
  <c r="D166" i="6" s="1"/>
  <c r="A169" i="6"/>
  <c r="B168" i="6"/>
  <c r="C167" i="6" s="1"/>
  <c r="A170" i="6" l="1"/>
  <c r="B169" i="6"/>
  <c r="A167" i="7"/>
  <c r="B166" i="7"/>
  <c r="D167" i="6"/>
  <c r="D164" i="7"/>
  <c r="C168" i="6" l="1"/>
  <c r="D168" i="6" s="1"/>
  <c r="A171" i="6"/>
  <c r="B170" i="6"/>
  <c r="A168" i="7"/>
  <c r="B167" i="7"/>
  <c r="C166" i="7" s="1"/>
  <c r="C165" i="7"/>
  <c r="D165" i="7" s="1"/>
  <c r="D166" i="7" l="1"/>
  <c r="A169" i="7"/>
  <c r="B168" i="7"/>
  <c r="A172" i="6"/>
  <c r="B171" i="6"/>
  <c r="C169" i="6"/>
  <c r="D169" i="6" s="1"/>
  <c r="C167" i="7" l="1"/>
  <c r="A170" i="7"/>
  <c r="B169" i="7"/>
  <c r="A173" i="6"/>
  <c r="B172" i="6"/>
  <c r="C170" i="6"/>
  <c r="D170" i="6" s="1"/>
  <c r="D167" i="7"/>
  <c r="C172" i="6" l="1"/>
  <c r="A174" i="6"/>
  <c r="B173" i="6"/>
  <c r="C171" i="6"/>
  <c r="D171" i="6" s="1"/>
  <c r="D172" i="6" s="1"/>
  <c r="C168" i="7"/>
  <c r="D168" i="7" s="1"/>
  <c r="A171" i="7"/>
  <c r="B170" i="7"/>
  <c r="C169" i="7" s="1"/>
  <c r="D169" i="7" l="1"/>
  <c r="A175" i="6"/>
  <c r="B174" i="6"/>
  <c r="A172" i="7"/>
  <c r="B171" i="7"/>
  <c r="A176" i="6" l="1"/>
  <c r="B175" i="6"/>
  <c r="C173" i="6"/>
  <c r="D173" i="6" s="1"/>
  <c r="A173" i="7"/>
  <c r="B172" i="7"/>
  <c r="D170" i="7"/>
  <c r="C171" i="7"/>
  <c r="C170" i="7"/>
  <c r="A177" i="6" l="1"/>
  <c r="B176" i="6"/>
  <c r="C175" i="6" s="1"/>
  <c r="D171" i="7"/>
  <c r="A174" i="7"/>
  <c r="B173" i="7"/>
  <c r="C174" i="6"/>
  <c r="D174" i="6" s="1"/>
  <c r="D175" i="6" s="1"/>
  <c r="A178" i="6" l="1"/>
  <c r="B177" i="6"/>
  <c r="A175" i="7"/>
  <c r="B174" i="7"/>
  <c r="C173" i="7" s="1"/>
  <c r="C172" i="7"/>
  <c r="D172" i="7" s="1"/>
  <c r="D173" i="7" l="1"/>
  <c r="A179" i="6"/>
  <c r="B178" i="6"/>
  <c r="C177" i="6" s="1"/>
  <c r="C176" i="6"/>
  <c r="D176" i="6" s="1"/>
  <c r="A176" i="7"/>
  <c r="B175" i="7"/>
  <c r="C174" i="7" s="1"/>
  <c r="A180" i="6" l="1"/>
  <c r="B179" i="6"/>
  <c r="A177" i="7"/>
  <c r="B176" i="7"/>
  <c r="D177" i="6"/>
  <c r="C178" i="6"/>
  <c r="D174" i="7"/>
  <c r="A178" i="7" l="1"/>
  <c r="B177" i="7"/>
  <c r="C175" i="7"/>
  <c r="D175" i="7" s="1"/>
  <c r="D178" i="6"/>
  <c r="A181" i="6"/>
  <c r="B180" i="6"/>
  <c r="A182" i="6" l="1"/>
  <c r="B181" i="6"/>
  <c r="C180" i="6" s="1"/>
  <c r="A179" i="7"/>
  <c r="B178" i="7"/>
  <c r="C177" i="7" s="1"/>
  <c r="C179" i="6"/>
  <c r="D179" i="6" s="1"/>
  <c r="C176" i="7"/>
  <c r="D176" i="7" s="1"/>
  <c r="D177" i="7" l="1"/>
  <c r="D180" i="6"/>
  <c r="A180" i="7"/>
  <c r="B179" i="7"/>
  <c r="C178" i="7" s="1"/>
  <c r="A183" i="6"/>
  <c r="B182" i="6"/>
  <c r="A181" i="7" l="1"/>
  <c r="B180" i="7"/>
  <c r="C179" i="7" s="1"/>
  <c r="C181" i="6"/>
  <c r="D181" i="6" s="1"/>
  <c r="A184" i="6"/>
  <c r="B183" i="6"/>
  <c r="D178" i="7"/>
  <c r="C182" i="6" l="1"/>
  <c r="D182" i="6" s="1"/>
  <c r="D179" i="7"/>
  <c r="A185" i="6"/>
  <c r="B184" i="6"/>
  <c r="A182" i="7"/>
  <c r="B181" i="7"/>
  <c r="C180" i="7" s="1"/>
  <c r="A183" i="7" l="1"/>
  <c r="B182" i="7"/>
  <c r="C181" i="7" s="1"/>
  <c r="A186" i="6"/>
  <c r="B185" i="6"/>
  <c r="C184" i="6" s="1"/>
  <c r="C183" i="6"/>
  <c r="D183" i="6" s="1"/>
  <c r="D180" i="7"/>
  <c r="D184" i="6" l="1"/>
  <c r="A184" i="7"/>
  <c r="B183" i="7"/>
  <c r="C182" i="7" s="1"/>
  <c r="D181" i="7"/>
  <c r="A187" i="6"/>
  <c r="B186" i="6"/>
  <c r="C185" i="6" s="1"/>
  <c r="A185" i="7" l="1"/>
  <c r="B184" i="7"/>
  <c r="C183" i="7" s="1"/>
  <c r="A188" i="6"/>
  <c r="B187" i="6"/>
  <c r="D182" i="7"/>
  <c r="D185" i="6"/>
  <c r="A189" i="6" l="1"/>
  <c r="B188" i="6"/>
  <c r="D183" i="7"/>
  <c r="C186" i="6"/>
  <c r="D186" i="6" s="1"/>
  <c r="A186" i="7"/>
  <c r="B185" i="7"/>
  <c r="C184" i="7" s="1"/>
  <c r="A187" i="7" l="1"/>
  <c r="B186" i="7"/>
  <c r="C185" i="7" s="1"/>
  <c r="D184" i="7"/>
  <c r="A190" i="6"/>
  <c r="B189" i="6"/>
  <c r="C188" i="6" s="1"/>
  <c r="C187" i="6"/>
  <c r="D187" i="6" s="1"/>
  <c r="D188" i="6" s="1"/>
  <c r="C189" i="6" l="1"/>
  <c r="D189" i="6" s="1"/>
  <c r="A191" i="6"/>
  <c r="B190" i="6"/>
  <c r="A188" i="7"/>
  <c r="B187" i="7"/>
  <c r="D185" i="7"/>
  <c r="A192" i="6" l="1"/>
  <c r="B191" i="6"/>
  <c r="A189" i="7"/>
  <c r="B188" i="7"/>
  <c r="C187" i="7" s="1"/>
  <c r="C186" i="7"/>
  <c r="D186" i="7" s="1"/>
  <c r="D187" i="7" l="1"/>
  <c r="A190" i="7"/>
  <c r="B189" i="7"/>
  <c r="A193" i="6"/>
  <c r="B192" i="6"/>
  <c r="C191" i="6"/>
  <c r="C190" i="6"/>
  <c r="D190" i="6" s="1"/>
  <c r="D191" i="6" s="1"/>
  <c r="A191" i="7" l="1"/>
  <c r="B190" i="7"/>
  <c r="C188" i="7"/>
  <c r="D188" i="7" s="1"/>
  <c r="A194" i="6"/>
  <c r="B193" i="6"/>
  <c r="A192" i="7" l="1"/>
  <c r="B191" i="7"/>
  <c r="C190" i="7" s="1"/>
  <c r="A195" i="6"/>
  <c r="B194" i="6"/>
  <c r="C192" i="6"/>
  <c r="D192" i="6" s="1"/>
  <c r="C189" i="7"/>
  <c r="D189" i="7" s="1"/>
  <c r="D190" i="7" s="1"/>
  <c r="A193" i="7" l="1"/>
  <c r="B192" i="7"/>
  <c r="C193" i="6"/>
  <c r="D193" i="6" s="1"/>
  <c r="A196" i="6"/>
  <c r="B195" i="6"/>
  <c r="A197" i="6" l="1"/>
  <c r="B196" i="6"/>
  <c r="A194" i="7"/>
  <c r="B193" i="7"/>
  <c r="C191" i="7"/>
  <c r="D191" i="7" s="1"/>
  <c r="C194" i="6"/>
  <c r="D194" i="6" s="1"/>
  <c r="A198" i="6" l="1"/>
  <c r="B197" i="6"/>
  <c r="C196" i="6" s="1"/>
  <c r="B194" i="7"/>
  <c r="C193" i="7" s="1"/>
  <c r="A195" i="7"/>
  <c r="C192" i="7"/>
  <c r="D192" i="7" s="1"/>
  <c r="C195" i="6"/>
  <c r="D195" i="6" s="1"/>
  <c r="D196" i="6" s="1"/>
  <c r="D193" i="7" l="1"/>
  <c r="A199" i="6"/>
  <c r="B198" i="6"/>
  <c r="B195" i="7"/>
  <c r="C194" i="7" s="1"/>
  <c r="A196" i="7"/>
  <c r="C197" i="6"/>
  <c r="D197" i="6" s="1"/>
  <c r="A200" i="6" l="1"/>
  <c r="B199" i="6"/>
  <c r="B196" i="7"/>
  <c r="A197" i="7"/>
  <c r="D194" i="7"/>
  <c r="C195" i="7"/>
  <c r="A201" i="6" l="1"/>
  <c r="B200" i="6"/>
  <c r="D195" i="7"/>
  <c r="A198" i="7"/>
  <c r="B197" i="7"/>
  <c r="C196" i="7" s="1"/>
  <c r="C198" i="6"/>
  <c r="D198" i="6" s="1"/>
  <c r="D196" i="7" l="1"/>
  <c r="A202" i="6"/>
  <c r="B201" i="6"/>
  <c r="C200" i="6" s="1"/>
  <c r="B198" i="7"/>
  <c r="A199" i="7"/>
  <c r="C199" i="6"/>
  <c r="D199" i="6" s="1"/>
  <c r="D200" i="6" l="1"/>
  <c r="A203" i="6"/>
  <c r="B202" i="6"/>
  <c r="C201" i="6" s="1"/>
  <c r="B199" i="7"/>
  <c r="C198" i="7" s="1"/>
  <c r="A200" i="7"/>
  <c r="C197" i="7"/>
  <c r="D197" i="7" s="1"/>
  <c r="D198" i="7" l="1"/>
  <c r="B200" i="7"/>
  <c r="A201" i="7"/>
  <c r="A204" i="6"/>
  <c r="B203" i="6"/>
  <c r="D201" i="6"/>
  <c r="A202" i="7" l="1"/>
  <c r="B201" i="7"/>
  <c r="C200" i="7" s="1"/>
  <c r="C199" i="7"/>
  <c r="C202" i="6"/>
  <c r="D202" i="6" s="1"/>
  <c r="A205" i="6"/>
  <c r="B204" i="6"/>
  <c r="D199" i="7"/>
  <c r="A206" i="6" l="1"/>
  <c r="B206" i="6" s="1"/>
  <c r="C206" i="6" s="1"/>
  <c r="B205" i="6"/>
  <c r="C205" i="6" s="1"/>
  <c r="D200" i="7"/>
  <c r="C204" i="6"/>
  <c r="C203" i="6"/>
  <c r="D203" i="6" s="1"/>
  <c r="D204" i="6" s="1"/>
  <c r="D205" i="6" s="1"/>
  <c r="F2" i="6" s="1"/>
  <c r="B202" i="7"/>
  <c r="A203" i="7"/>
  <c r="B203" i="7" l="1"/>
  <c r="A204" i="7"/>
  <c r="C201" i="7"/>
  <c r="D201" i="7" s="1"/>
  <c r="B204" i="7" l="1"/>
  <c r="C203" i="7" s="1"/>
  <c r="A205" i="7"/>
  <c r="C202" i="7"/>
  <c r="D202" i="7" s="1"/>
  <c r="D203" i="7" s="1"/>
  <c r="A206" i="7" l="1"/>
  <c r="B206" i="7" s="1"/>
  <c r="C206" i="7" s="1"/>
  <c r="B205" i="7"/>
  <c r="C205" i="7" s="1"/>
  <c r="C204" i="7" l="1"/>
  <c r="D204" i="7" s="1"/>
  <c r="D205" i="7" s="1"/>
</calcChain>
</file>

<file path=xl/sharedStrings.xml><?xml version="1.0" encoding="utf-8"?>
<sst xmlns="http://schemas.openxmlformats.org/spreadsheetml/2006/main" count="225" uniqueCount="117">
  <si>
    <t>1/x</t>
  </si>
  <si>
    <t>x</t>
  </si>
  <si>
    <t>h=</t>
  </si>
  <si>
    <t>f(x).h</t>
  </si>
  <si>
    <t>S[f(x).h]</t>
  </si>
  <si>
    <t>min</t>
  </si>
  <si>
    <t>max</t>
  </si>
  <si>
    <t>delta</t>
  </si>
  <si>
    <t>integ</t>
  </si>
  <si>
    <t>y.h</t>
  </si>
  <si>
    <t>soma</t>
  </si>
  <si>
    <t>f(x)=sen(x)</t>
  </si>
  <si>
    <t>Soma :</t>
  </si>
  <si>
    <t>f(t).dt</t>
  </si>
  <si>
    <t>i(t)^2</t>
  </si>
  <si>
    <t>t</t>
  </si>
  <si>
    <t>h =</t>
  </si>
  <si>
    <t>T=</t>
  </si>
  <si>
    <t>f(x).dx</t>
  </si>
  <si>
    <t>f(x)=F.cos(Th)</t>
  </si>
  <si>
    <t>Theta</t>
  </si>
  <si>
    <t>F(x)</t>
  </si>
  <si>
    <t>S[f(t).dt]</t>
  </si>
  <si>
    <t>fm(t).dt</t>
  </si>
  <si>
    <t>f(t)=1/t</t>
  </si>
  <si>
    <t>h = dt =</t>
  </si>
  <si>
    <t>ln(t)</t>
  </si>
  <si>
    <t>f(t) = 1/t</t>
  </si>
  <si>
    <t>f(t)</t>
  </si>
  <si>
    <t>f(t) = [ 10 . Exp(-t) . Sin(2.pi.t) ]^2</t>
  </si>
  <si>
    <t>f(r ).dr</t>
  </si>
  <si>
    <t>dr</t>
  </si>
  <si>
    <t>f(r )médio</t>
  </si>
  <si>
    <t>f(r ) = Rho.v.2.pi.r</t>
  </si>
  <si>
    <t>v</t>
  </si>
  <si>
    <t>r</t>
  </si>
  <si>
    <t>Rho =</t>
  </si>
  <si>
    <t>R =</t>
  </si>
  <si>
    <t>f(x)-f(1)</t>
  </si>
  <si>
    <t>f´m . dx</t>
  </si>
  <si>
    <t>f´médio</t>
  </si>
  <si>
    <t>f´(x)=1/x</t>
  </si>
  <si>
    <t>dx=</t>
  </si>
  <si>
    <t>sen(x)</t>
  </si>
  <si>
    <t>f(x)-f(0)</t>
  </si>
  <si>
    <t>f´(x)=cos(x)</t>
  </si>
  <si>
    <t>Superior</t>
  </si>
  <si>
    <t>Inferior</t>
  </si>
  <si>
    <t>n</t>
  </si>
  <si>
    <t>=</t>
  </si>
  <si>
    <t>Cs</t>
  </si>
  <si>
    <t>as</t>
  </si>
  <si>
    <t>$F$10</t>
  </si>
  <si>
    <t>$F$9</t>
  </si>
  <si>
    <t>$F$8</t>
  </si>
  <si>
    <t>$F$7</t>
  </si>
  <si>
    <t>$F$6</t>
  </si>
  <si>
    <t>$F$5</t>
  </si>
  <si>
    <t>$F$4</t>
  </si>
  <si>
    <t>$F$3</t>
  </si>
  <si>
    <t>Valor</t>
  </si>
  <si>
    <t>Desvio</t>
  </si>
  <si>
    <t>Nome</t>
  </si>
  <si>
    <t>Célula</t>
  </si>
  <si>
    <t>Mínimo</t>
  </si>
  <si>
    <t>Máximo</t>
  </si>
  <si>
    <t>Padrão</t>
  </si>
  <si>
    <t>Média</t>
  </si>
  <si>
    <t>Melhor</t>
  </si>
  <si>
    <t>Restrições</t>
  </si>
  <si>
    <t>$C$3</t>
  </si>
  <si>
    <t>$B$3</t>
  </si>
  <si>
    <t>$C$2</t>
  </si>
  <si>
    <t>$B$2</t>
  </si>
  <si>
    <t>Células Variáveis</t>
  </si>
  <si>
    <t>Relatório Criado: 15/09/2017 12:39:28</t>
  </si>
  <si>
    <t>Planilha: [quadratura gaussiana.xlsx]Planilha1</t>
  </si>
  <si>
    <t>Microsoft Excel 16.0 Relatório de População</t>
  </si>
  <si>
    <t>Não-associação</t>
  </si>
  <si>
    <t>$C$3&gt;=$B$13</t>
  </si>
  <si>
    <t>$B$3&gt;=$B$13</t>
  </si>
  <si>
    <t>$C$2&gt;=$B$13</t>
  </si>
  <si>
    <t>$B$2&gt;=$B$13</t>
  </si>
  <si>
    <t>$C$3&lt;=$B$14</t>
  </si>
  <si>
    <t>$B$3&lt;=$B$14</t>
  </si>
  <si>
    <t>$C$2&lt;=$B$14</t>
  </si>
  <si>
    <t>$B$2&lt;=$B$14</t>
  </si>
  <si>
    <t>Associação</t>
  </si>
  <si>
    <t>$F$10=$H$10</t>
  </si>
  <si>
    <t>$F$9=$H$9</t>
  </si>
  <si>
    <t>$F$8=$H$8</t>
  </si>
  <si>
    <t>$F$7=$H$7</t>
  </si>
  <si>
    <t>$F$6=$H$6</t>
  </si>
  <si>
    <t>$F$5=$H$5</t>
  </si>
  <si>
    <t>$F$4=$H$4</t>
  </si>
  <si>
    <t>$F$3=$H$3</t>
  </si>
  <si>
    <t>Margem de Atraso</t>
  </si>
  <si>
    <t>Status</t>
  </si>
  <si>
    <t>Fórmula</t>
  </si>
  <si>
    <t>Valor da Célula</t>
  </si>
  <si>
    <t>Conting.</t>
  </si>
  <si>
    <t>Número Inteiro</t>
  </si>
  <si>
    <t>Valor Final</t>
  </si>
  <si>
    <t>Valor Original</t>
  </si>
  <si>
    <t>NENHUM</t>
  </si>
  <si>
    <t>Célula do Objetivo (Máx.)</t>
  </si>
  <si>
    <t>Subproblemas Máx. Ilimitado, Soluç. Máx. Núm. Inteiro Ilimitado, Tolerância de Número Inteiro 1%</t>
  </si>
  <si>
    <t xml:space="preserve"> Convergência 0,0001, Tamanho da População 300, Propagação Aleatória 0, Taxa de Mutação 0,075, Tempo sem Aperfeiçoamento 30 s, Limites Necessários</t>
  </si>
  <si>
    <t>Tempo Máx. Ilimitado,  Iterações Ilimitado, Precision 0,000001, Usar Escala Automática</t>
  </si>
  <si>
    <t>Opções do Solver</t>
  </si>
  <si>
    <t>Iterações: 0 Subproblemas: 3322</t>
  </si>
  <si>
    <t>Tempo da Solução: 34,851 Segundos.</t>
  </si>
  <si>
    <t>Mecanismo: Evolutionary</t>
  </si>
  <si>
    <t>Mecanismo do Solver</t>
  </si>
  <si>
    <t>Resultado: O Solver não encontrou uma solução viável.</t>
  </si>
  <si>
    <t>Relatório Criado: 15/09/2017 12:39:27</t>
  </si>
  <si>
    <t>Microsoft Excel 16.0 Relatório de Respostas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</si>
</sst>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"/>
    <numFmt numFmtId="167" formatCode="0.00000000000"/>
    <numFmt numFmtId="168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59996337778862885"/>
        <bgColor indexed="64"/>
      </patternFill>
    </fill>
  </fills>
  <borders count="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/>
      <diagonal/>
    </border>
    <border>
      <left/>
      <right/>
      <top style="medium">
        <color indexed="23"/>
      </top>
      <bottom style="medium">
        <color indexed="23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167" fontId="0" fillId="0" borderId="0" xfId="0" applyNumberFormat="1"/>
    <xf numFmtId="166" fontId="0" fillId="0" borderId="1" xfId="0" applyNumberFormat="1" applyBorder="1"/>
    <xf numFmtId="0" fontId="0" fillId="0" borderId="1" xfId="0" applyBorder="1"/>
    <xf numFmtId="166" fontId="0" fillId="0" borderId="2" xfId="0" applyNumberFormat="1" applyBorder="1"/>
    <xf numFmtId="166" fontId="0" fillId="0" borderId="2" xfId="0" applyNumberFormat="1" applyBorder="1" applyAlignment="1">
      <alignment horizontal="right"/>
    </xf>
    <xf numFmtId="2" fontId="0" fillId="0" borderId="1" xfId="0" applyNumberFormat="1" applyBorder="1"/>
    <xf numFmtId="164" fontId="0" fillId="0" borderId="0" xfId="0" applyNumberFormat="1"/>
    <xf numFmtId="9" fontId="1" fillId="0" borderId="0" xfId="1" applyFont="1"/>
    <xf numFmtId="168" fontId="1" fillId="0" borderId="0" xfId="1" applyNumberFormat="1" applyFont="1"/>
    <xf numFmtId="0" fontId="0" fillId="0" borderId="0" xfId="0" applyAlignment="1">
      <alignment horizontal="center"/>
    </xf>
    <xf numFmtId="0" fontId="0" fillId="2" borderId="0" xfId="0" applyFill="1"/>
    <xf numFmtId="165" fontId="0" fillId="2" borderId="0" xfId="0" applyNumberFormat="1" applyFill="1"/>
    <xf numFmtId="165" fontId="0" fillId="0" borderId="0" xfId="0" applyNumberFormat="1" applyAlignment="1">
      <alignment horizontal="center"/>
    </xf>
    <xf numFmtId="165" fontId="0" fillId="3" borderId="0" xfId="0" applyNumberFormat="1" applyFill="1"/>
    <xf numFmtId="0" fontId="0" fillId="0" borderId="3" xfId="0" applyFill="1" applyBorder="1" applyAlignment="1"/>
    <xf numFmtId="165" fontId="0" fillId="0" borderId="3" xfId="0" applyNumberFormat="1" applyFill="1" applyBorder="1" applyAlignment="1"/>
    <xf numFmtId="0" fontId="0" fillId="0" borderId="4" xfId="0" applyFill="1" applyBorder="1" applyAlignment="1"/>
    <xf numFmtId="165" fontId="0" fillId="0" borderId="4" xfId="0" applyNumberFormat="1" applyFill="1" applyBorder="1" applyAlignment="1"/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2" fillId="0" borderId="0" xfId="0" applyFont="1"/>
    <xf numFmtId="0" fontId="3" fillId="0" borderId="7" xfId="0" applyFont="1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1:H80"/>
  <sheetViews>
    <sheetView workbookViewId="0">
      <selection activeCell="C24" sqref="C24"/>
    </sheetView>
  </sheetViews>
  <sheetFormatPr defaultColWidth="9.28515625" defaultRowHeight="15" x14ac:dyDescent="0.25"/>
  <sheetData>
    <row r="1" spans="2:8" x14ac:dyDescent="0.25">
      <c r="B1" s="1" t="s">
        <v>17</v>
      </c>
      <c r="C1" s="2">
        <v>1</v>
      </c>
      <c r="F1" s="1" t="s">
        <v>17</v>
      </c>
      <c r="G1" s="2">
        <v>1</v>
      </c>
    </row>
    <row r="2" spans="2:8" x14ac:dyDescent="0.25">
      <c r="B2" s="1" t="s">
        <v>16</v>
      </c>
      <c r="C2" s="2">
        <v>0.1</v>
      </c>
      <c r="F2" s="1" t="s">
        <v>16</v>
      </c>
      <c r="G2" s="2">
        <v>0.01</v>
      </c>
    </row>
    <row r="4" spans="2:8" x14ac:dyDescent="0.25">
      <c r="B4" t="s">
        <v>15</v>
      </c>
      <c r="C4" t="s">
        <v>14</v>
      </c>
      <c r="D4" t="s">
        <v>13</v>
      </c>
      <c r="F4" t="s">
        <v>15</v>
      </c>
      <c r="G4" t="s">
        <v>14</v>
      </c>
      <c r="H4" t="s">
        <v>13</v>
      </c>
    </row>
    <row r="5" spans="2:8" x14ac:dyDescent="0.25">
      <c r="B5">
        <v>0</v>
      </c>
      <c r="C5" s="5">
        <f t="shared" ref="C5:C15" si="0">IF(B5&lt;$C$1/2,(10*EXP(-B5/$C$1)*SIN(2*PI()/$C$1*B5))^2,0)</f>
        <v>0</v>
      </c>
      <c r="D5" s="5"/>
      <c r="F5">
        <v>0</v>
      </c>
      <c r="G5" s="5">
        <f t="shared" ref="G5:G36" si="1">IF(F5&lt;$G$1/2,(10*EXP(-F5/$G$1)*SIN(2*PI()/$G$1*F5))^2,0)</f>
        <v>0</v>
      </c>
      <c r="H5" s="5"/>
    </row>
    <row r="6" spans="2:8" x14ac:dyDescent="0.25">
      <c r="B6">
        <f t="shared" ref="B6:B15" si="2">B5+$C$2</f>
        <v>0.1</v>
      </c>
      <c r="C6" s="5">
        <f t="shared" si="0"/>
        <v>28.286451827974329</v>
      </c>
      <c r="D6" s="5">
        <f t="shared" ref="D6:D15" si="3">(C6+C5)/2*$C$2</f>
        <v>1.4143225913987165</v>
      </c>
      <c r="F6">
        <f t="shared" ref="F6:F37" si="4">F5+$G$2</f>
        <v>0.01</v>
      </c>
      <c r="G6" s="5">
        <f t="shared" si="1"/>
        <v>0.38645796550881661</v>
      </c>
      <c r="H6" s="5">
        <f t="shared" ref="H6:H37" si="5">(G6+G5)/2*$G$2</f>
        <v>1.9322898275440832E-3</v>
      </c>
    </row>
    <row r="7" spans="2:8" x14ac:dyDescent="0.25">
      <c r="B7">
        <f t="shared" si="2"/>
        <v>0.2</v>
      </c>
      <c r="C7" s="5">
        <f t="shared" si="0"/>
        <v>60.631017747433425</v>
      </c>
      <c r="D7" s="5">
        <f t="shared" si="3"/>
        <v>4.4458734787703875</v>
      </c>
      <c r="F7">
        <f t="shared" si="4"/>
        <v>0.02</v>
      </c>
      <c r="G7" s="5">
        <f t="shared" si="1"/>
        <v>1.5092483499580709</v>
      </c>
      <c r="H7" s="5">
        <f t="shared" si="5"/>
        <v>9.4785315773344373E-3</v>
      </c>
    </row>
    <row r="8" spans="2:8" x14ac:dyDescent="0.25">
      <c r="B8">
        <f t="shared" si="2"/>
        <v>0.30000000000000004</v>
      </c>
      <c r="C8" s="5">
        <f t="shared" si="0"/>
        <v>49.640478820240645</v>
      </c>
      <c r="D8" s="5">
        <f t="shared" si="3"/>
        <v>5.5135748283837032</v>
      </c>
      <c r="F8">
        <f t="shared" si="4"/>
        <v>0.03</v>
      </c>
      <c r="G8" s="5">
        <f t="shared" si="1"/>
        <v>3.3067007507048896</v>
      </c>
      <c r="H8" s="5">
        <f t="shared" si="5"/>
        <v>2.4079745503314803E-2</v>
      </c>
    </row>
    <row r="9" spans="2:8" x14ac:dyDescent="0.25">
      <c r="B9">
        <f t="shared" si="2"/>
        <v>0.4</v>
      </c>
      <c r="C9" s="5">
        <f t="shared" si="0"/>
        <v>15.523933907005469</v>
      </c>
      <c r="D9" s="5">
        <f t="shared" si="3"/>
        <v>3.2582206363623061</v>
      </c>
      <c r="F9">
        <f t="shared" si="4"/>
        <v>0.04</v>
      </c>
      <c r="G9" s="5">
        <f t="shared" si="1"/>
        <v>5.7091662795170883</v>
      </c>
      <c r="H9" s="5">
        <f t="shared" si="5"/>
        <v>4.5079335151109894E-2</v>
      </c>
    </row>
    <row r="10" spans="2:8" x14ac:dyDescent="0.25">
      <c r="B10">
        <f t="shared" si="2"/>
        <v>0.5</v>
      </c>
      <c r="C10" s="5">
        <f t="shared" si="0"/>
        <v>0</v>
      </c>
      <c r="D10" s="5">
        <f t="shared" si="3"/>
        <v>0.77619669535027347</v>
      </c>
      <c r="F10">
        <f t="shared" si="4"/>
        <v>0.05</v>
      </c>
      <c r="G10" s="5">
        <f t="shared" si="1"/>
        <v>8.6404284849259856</v>
      </c>
      <c r="H10" s="5">
        <f t="shared" si="5"/>
        <v>7.1747973822215372E-2</v>
      </c>
    </row>
    <row r="11" spans="2:8" x14ac:dyDescent="0.25">
      <c r="B11">
        <f t="shared" si="2"/>
        <v>0.6</v>
      </c>
      <c r="C11" s="5">
        <f t="shared" si="0"/>
        <v>0</v>
      </c>
      <c r="D11" s="5">
        <f t="shared" si="3"/>
        <v>0</v>
      </c>
      <c r="F11">
        <f t="shared" si="4"/>
        <v>6.0000000000000005E-2</v>
      </c>
      <c r="G11" s="5">
        <f t="shared" si="1"/>
        <v>12.019163166572614</v>
      </c>
      <c r="H11" s="5">
        <f t="shared" si="5"/>
        <v>0.10329795825749301</v>
      </c>
    </row>
    <row r="12" spans="2:8" x14ac:dyDescent="0.25">
      <c r="B12">
        <f t="shared" si="2"/>
        <v>0.7</v>
      </c>
      <c r="C12" s="5">
        <f t="shared" si="0"/>
        <v>0</v>
      </c>
      <c r="D12" s="5">
        <f t="shared" si="3"/>
        <v>0</v>
      </c>
      <c r="F12">
        <f t="shared" si="4"/>
        <v>7.0000000000000007E-2</v>
      </c>
      <c r="G12" s="5">
        <f t="shared" si="1"/>
        <v>15.760422023500933</v>
      </c>
      <c r="H12" s="5">
        <f t="shared" si="5"/>
        <v>0.13889792595036773</v>
      </c>
    </row>
    <row r="13" spans="2:8" x14ac:dyDescent="0.25">
      <c r="B13">
        <f t="shared" si="2"/>
        <v>0.79999999999999993</v>
      </c>
      <c r="C13" s="5">
        <f t="shared" si="0"/>
        <v>0</v>
      </c>
      <c r="D13" s="5">
        <f t="shared" si="3"/>
        <v>0</v>
      </c>
      <c r="F13">
        <f t="shared" si="4"/>
        <v>0.08</v>
      </c>
      <c r="G13" s="5">
        <f t="shared" si="1"/>
        <v>19.777115683159394</v>
      </c>
      <c r="H13" s="5">
        <f t="shared" si="5"/>
        <v>0.17768768853330166</v>
      </c>
    </row>
    <row r="14" spans="2:8" x14ac:dyDescent="0.25">
      <c r="B14">
        <f t="shared" si="2"/>
        <v>0.89999999999999991</v>
      </c>
      <c r="C14" s="5">
        <f t="shared" si="0"/>
        <v>0</v>
      </c>
      <c r="D14" s="5">
        <f t="shared" si="3"/>
        <v>0</v>
      </c>
      <c r="F14">
        <f t="shared" si="4"/>
        <v>0.09</v>
      </c>
      <c r="G14" s="5">
        <f t="shared" si="1"/>
        <v>23.981472626558617</v>
      </c>
      <c r="H14" s="5">
        <f t="shared" si="5"/>
        <v>0.21879294154859005</v>
      </c>
    </row>
    <row r="15" spans="2:8" x14ac:dyDescent="0.25">
      <c r="B15">
        <f t="shared" si="2"/>
        <v>0.99999999999999989</v>
      </c>
      <c r="C15" s="5">
        <f t="shared" si="0"/>
        <v>0</v>
      </c>
      <c r="D15" s="5">
        <f t="shared" si="3"/>
        <v>0</v>
      </c>
      <c r="F15">
        <f t="shared" si="4"/>
        <v>9.9999999999999992E-2</v>
      </c>
      <c r="G15" s="5">
        <f t="shared" si="1"/>
        <v>28.286451827974336</v>
      </c>
      <c r="H15" s="5">
        <f t="shared" si="5"/>
        <v>0.26133962227266477</v>
      </c>
    </row>
    <row r="16" spans="2:8" x14ac:dyDescent="0.25">
      <c r="C16" s="11" t="s">
        <v>12</v>
      </c>
      <c r="D16" s="10">
        <f>SUM(D6:D15)</f>
        <v>15.408188230265388</v>
      </c>
      <c r="F16">
        <f t="shared" si="4"/>
        <v>0.10999999999999999</v>
      </c>
      <c r="G16" s="5">
        <f t="shared" si="1"/>
        <v>32.607088531025674</v>
      </c>
      <c r="H16" s="5">
        <f t="shared" si="5"/>
        <v>0.3044677017950001</v>
      </c>
    </row>
    <row r="17" spans="6:8" x14ac:dyDescent="0.25">
      <c r="F17">
        <f t="shared" si="4"/>
        <v>0.11999999999999998</v>
      </c>
      <c r="G17" s="5">
        <f t="shared" si="1"/>
        <v>36.861754449697578</v>
      </c>
      <c r="H17" s="5">
        <f t="shared" si="5"/>
        <v>0.34734421490361628</v>
      </c>
    </row>
    <row r="18" spans="6:8" x14ac:dyDescent="0.25">
      <c r="F18">
        <f t="shared" si="4"/>
        <v>0.12999999999999998</v>
      </c>
      <c r="G18" s="5">
        <f t="shared" si="1"/>
        <v>40.973315773003641</v>
      </c>
      <c r="H18" s="5">
        <f t="shared" si="5"/>
        <v>0.3891753511135061</v>
      </c>
    </row>
    <row r="19" spans="6:8" hidden="1" x14ac:dyDescent="0.25">
      <c r="F19">
        <f t="shared" si="4"/>
        <v>0.13999999999999999</v>
      </c>
      <c r="G19" s="5">
        <f t="shared" si="1"/>
        <v>44.870174623610843</v>
      </c>
      <c r="H19" s="5">
        <f t="shared" si="5"/>
        <v>0.42921745198307243</v>
      </c>
    </row>
    <row r="20" spans="6:8" hidden="1" x14ac:dyDescent="0.25">
      <c r="F20">
        <f t="shared" si="4"/>
        <v>0.15</v>
      </c>
      <c r="G20" s="5">
        <f t="shared" si="1"/>
        <v>48.487182030748947</v>
      </c>
      <c r="H20" s="5">
        <f t="shared" si="5"/>
        <v>0.46678678327179896</v>
      </c>
    </row>
    <row r="21" spans="6:8" hidden="1" x14ac:dyDescent="0.25">
      <c r="F21">
        <f t="shared" si="4"/>
        <v>0.16</v>
      </c>
      <c r="G21" s="5">
        <f t="shared" si="1"/>
        <v>51.766412982479338</v>
      </c>
      <c r="H21" s="5">
        <f t="shared" si="5"/>
        <v>0.5012679750661414</v>
      </c>
    </row>
    <row r="22" spans="6:8" hidden="1" x14ac:dyDescent="0.25">
      <c r="F22">
        <f t="shared" si="4"/>
        <v>0.17</v>
      </c>
      <c r="G22" s="5">
        <f t="shared" si="1"/>
        <v>54.657796678483251</v>
      </c>
      <c r="H22" s="5">
        <f t="shared" si="5"/>
        <v>0.53212104830481299</v>
      </c>
    </row>
    <row r="23" spans="6:8" hidden="1" x14ac:dyDescent="0.25">
      <c r="F23">
        <f t="shared" si="4"/>
        <v>0.18000000000000002</v>
      </c>
      <c r="G23" s="5">
        <f t="shared" si="1"/>
        <v>57.119597669421779</v>
      </c>
      <c r="H23" s="5">
        <f t="shared" si="5"/>
        <v>0.55888697173952517</v>
      </c>
    </row>
    <row r="24" spans="6:8" hidden="1" x14ac:dyDescent="0.25">
      <c r="F24">
        <f t="shared" si="4"/>
        <v>0.19000000000000003</v>
      </c>
      <c r="G24" s="5">
        <f t="shared" si="1"/>
        <v>59.118746101617951</v>
      </c>
      <c r="H24" s="5">
        <f t="shared" si="5"/>
        <v>0.5811917188551986</v>
      </c>
    </row>
    <row r="25" spans="6:8" hidden="1" x14ac:dyDescent="0.25">
      <c r="F25">
        <f t="shared" si="4"/>
        <v>0.20000000000000004</v>
      </c>
      <c r="G25" s="5">
        <f t="shared" si="1"/>
        <v>60.63101774743344</v>
      </c>
      <c r="H25" s="5">
        <f t="shared" si="5"/>
        <v>0.59874881924525691</v>
      </c>
    </row>
    <row r="26" spans="6:8" hidden="1" x14ac:dyDescent="0.25">
      <c r="F26">
        <f t="shared" si="4"/>
        <v>0.21000000000000005</v>
      </c>
      <c r="G26" s="5">
        <f t="shared" si="1"/>
        <v>61.641066856028395</v>
      </c>
      <c r="H26" s="5">
        <f t="shared" si="5"/>
        <v>0.6113604230173092</v>
      </c>
    </row>
    <row r="27" spans="6:8" hidden="1" x14ac:dyDescent="0.25">
      <c r="F27">
        <f t="shared" si="4"/>
        <v>0.22000000000000006</v>
      </c>
      <c r="G27" s="5">
        <f t="shared" si="1"/>
        <v>62.142317073093551</v>
      </c>
      <c r="H27" s="5">
        <f t="shared" si="5"/>
        <v>0.6189169196456098</v>
      </c>
    </row>
    <row r="28" spans="6:8" hidden="1" x14ac:dyDescent="0.25">
      <c r="F28">
        <f t="shared" si="4"/>
        <v>0.23000000000000007</v>
      </c>
      <c r="G28" s="5">
        <f t="shared" si="1"/>
        <v>62.136717722041517</v>
      </c>
      <c r="H28" s="5">
        <f t="shared" si="5"/>
        <v>0.62139517397567534</v>
      </c>
    </row>
    <row r="29" spans="6:8" hidden="1" x14ac:dyDescent="0.25">
      <c r="F29">
        <f t="shared" si="4"/>
        <v>0.24000000000000007</v>
      </c>
      <c r="G29" s="5">
        <f t="shared" si="1"/>
        <v>61.634374587312479</v>
      </c>
      <c r="H29" s="5">
        <f t="shared" si="5"/>
        <v>0.61885546154677007</v>
      </c>
    </row>
    <row r="30" spans="6:8" hidden="1" x14ac:dyDescent="0.25">
      <c r="F30">
        <f t="shared" si="4"/>
        <v>0.25000000000000006</v>
      </c>
      <c r="G30" s="5">
        <f t="shared" si="1"/>
        <v>60.653065971263345</v>
      </c>
      <c r="H30" s="5">
        <f t="shared" si="5"/>
        <v>0.61143720279287916</v>
      </c>
    </row>
    <row r="31" spans="6:8" hidden="1" x14ac:dyDescent="0.25">
      <c r="F31">
        <f t="shared" si="4"/>
        <v>0.26000000000000006</v>
      </c>
      <c r="G31" s="5">
        <f t="shared" si="1"/>
        <v>59.217656192248178</v>
      </c>
      <c r="H31" s="5">
        <f t="shared" si="5"/>
        <v>0.59935361081755756</v>
      </c>
    </row>
    <row r="32" spans="6:8" hidden="1" x14ac:dyDescent="0.25">
      <c r="F32">
        <f t="shared" si="4"/>
        <v>0.27000000000000007</v>
      </c>
      <c r="G32" s="5">
        <f t="shared" si="1"/>
        <v>57.359419840028693</v>
      </c>
      <c r="H32" s="5">
        <f t="shared" si="5"/>
        <v>0.58288538016138436</v>
      </c>
    </row>
    <row r="33" spans="6:8" hidden="1" x14ac:dyDescent="0.25">
      <c r="F33">
        <f t="shared" si="4"/>
        <v>0.28000000000000008</v>
      </c>
      <c r="G33" s="5">
        <f t="shared" si="1"/>
        <v>55.115290997084166</v>
      </c>
      <c r="H33" s="5">
        <f t="shared" si="5"/>
        <v>0.56237355418556434</v>
      </c>
    </row>
    <row r="34" spans="6:8" hidden="1" x14ac:dyDescent="0.25">
      <c r="F34">
        <f t="shared" si="4"/>
        <v>0.29000000000000009</v>
      </c>
      <c r="G34" s="5">
        <f t="shared" si="1"/>
        <v>52.527052266615563</v>
      </c>
      <c r="H34" s="5">
        <f t="shared" si="5"/>
        <v>0.53821171631849862</v>
      </c>
    </row>
    <row r="35" spans="6:8" hidden="1" x14ac:dyDescent="0.25">
      <c r="F35">
        <f t="shared" si="4"/>
        <v>0.3000000000000001</v>
      </c>
      <c r="G35" s="5">
        <f t="shared" si="1"/>
        <v>49.640478820240631</v>
      </c>
      <c r="H35" s="5">
        <f t="shared" si="5"/>
        <v>0.51083765543428106</v>
      </c>
    </row>
    <row r="36" spans="6:8" hidden="1" x14ac:dyDescent="0.25">
      <c r="F36">
        <f t="shared" si="4"/>
        <v>0.31000000000000011</v>
      </c>
      <c r="G36" s="5">
        <f t="shared" si="1"/>
        <v>46.504452794852341</v>
      </c>
      <c r="H36" s="5">
        <f t="shared" si="5"/>
        <v>0.48072465807546488</v>
      </c>
    </row>
    <row r="37" spans="6:8" hidden="1" x14ac:dyDescent="0.25">
      <c r="F37">
        <f t="shared" si="4"/>
        <v>0.32000000000000012</v>
      </c>
      <c r="G37" s="5">
        <f t="shared" ref="G37:G56" si="6">IF(F37&lt;$G$1/2,(10*EXP(-F37/$G$1)*SIN(2*PI()/$G$1*F37))^2,0)</f>
        <v>43.170063237041276</v>
      </c>
      <c r="H37" s="5">
        <f t="shared" si="5"/>
        <v>0.44837258015946807</v>
      </c>
    </row>
    <row r="38" spans="6:8" hidden="1" x14ac:dyDescent="0.25">
      <c r="F38">
        <f t="shared" ref="F38:F56" si="7">F37+$G$2</f>
        <v>0.33000000000000013</v>
      </c>
      <c r="G38" s="5">
        <f t="shared" si="6"/>
        <v>39.689706426650147</v>
      </c>
      <c r="H38" s="5">
        <f t="shared" ref="H38:H56" si="8">(G38+G37)/2*$G$2</f>
        <v>0.41429884831845715</v>
      </c>
    </row>
    <row r="39" spans="6:8" hidden="1" x14ac:dyDescent="0.25">
      <c r="F39">
        <f t="shared" si="7"/>
        <v>0.34000000000000014</v>
      </c>
      <c r="G39" s="5">
        <f t="shared" si="6"/>
        <v>36.116200823491873</v>
      </c>
      <c r="H39" s="5">
        <f t="shared" si="8"/>
        <v>0.37902953625071006</v>
      </c>
    </row>
    <row r="40" spans="6:8" hidden="1" x14ac:dyDescent="0.25">
      <c r="F40">
        <f t="shared" si="7"/>
        <v>0.35000000000000014</v>
      </c>
      <c r="G40" s="5">
        <f t="shared" si="6"/>
        <v>32.501930090990008</v>
      </c>
      <c r="H40" s="5">
        <f t="shared" si="8"/>
        <v>0.34309065457240939</v>
      </c>
    </row>
    <row r="41" spans="6:8" hidden="1" x14ac:dyDescent="0.25">
      <c r="F41">
        <f t="shared" si="7"/>
        <v>0.36000000000000015</v>
      </c>
      <c r="G41" s="5">
        <f t="shared" si="6"/>
        <v>28.898026677965863</v>
      </c>
      <c r="H41" s="5">
        <f t="shared" si="8"/>
        <v>0.30699978384477938</v>
      </c>
    </row>
    <row r="42" spans="6:8" hidden="1" x14ac:dyDescent="0.25">
      <c r="F42">
        <f t="shared" si="7"/>
        <v>0.37000000000000016</v>
      </c>
      <c r="G42" s="5">
        <f t="shared" si="6"/>
        <v>25.353607307563205</v>
      </c>
      <c r="H42" s="5">
        <f t="shared" si="8"/>
        <v>0.27125816992764534</v>
      </c>
    </row>
    <row r="43" spans="6:8" hidden="1" x14ac:dyDescent="0.25">
      <c r="F43">
        <f t="shared" si="7"/>
        <v>0.38000000000000017</v>
      </c>
      <c r="G43" s="5">
        <f t="shared" si="6"/>
        <v>21.915070454576909</v>
      </c>
      <c r="H43" s="5">
        <f t="shared" si="8"/>
        <v>0.23634338881070058</v>
      </c>
    </row>
    <row r="44" spans="6:8" hidden="1" x14ac:dyDescent="0.25">
      <c r="F44">
        <f t="shared" si="7"/>
        <v>0.39000000000000018</v>
      </c>
      <c r="G44" s="5">
        <f t="shared" si="6"/>
        <v>18.625464514642552</v>
      </c>
      <c r="H44" s="5">
        <f t="shared" si="8"/>
        <v>0.20270267484609733</v>
      </c>
    </row>
    <row r="45" spans="6:8" hidden="1" x14ac:dyDescent="0.25">
      <c r="F45">
        <f t="shared" si="7"/>
        <v>0.40000000000000019</v>
      </c>
      <c r="G45" s="5">
        <f t="shared" si="6"/>
        <v>15.523933907005402</v>
      </c>
      <c r="H45" s="5">
        <f t="shared" si="8"/>
        <v>0.17074699210823976</v>
      </c>
    </row>
    <row r="46" spans="6:8" hidden="1" x14ac:dyDescent="0.25">
      <c r="F46">
        <f t="shared" si="7"/>
        <v>0.4100000000000002</v>
      </c>
      <c r="G46" s="5">
        <f t="shared" si="6"/>
        <v>12.64524883338005</v>
      </c>
      <c r="H46" s="5">
        <f t="shared" si="8"/>
        <v>0.14084591370192726</v>
      </c>
    </row>
    <row r="47" spans="6:8" hidden="1" x14ac:dyDescent="0.25">
      <c r="F47">
        <f t="shared" si="7"/>
        <v>0.42000000000000021</v>
      </c>
      <c r="G47" s="5">
        <f t="shared" si="6"/>
        <v>10.019422865068488</v>
      </c>
      <c r="H47" s="5">
        <f t="shared" si="8"/>
        <v>0.11332335849224269</v>
      </c>
    </row>
    <row r="48" spans="6:8" hidden="1" x14ac:dyDescent="0.25">
      <c r="F48">
        <f t="shared" si="7"/>
        <v>0.43000000000000022</v>
      </c>
      <c r="G48" s="5">
        <f t="shared" si="6"/>
        <v>7.6714209748202578</v>
      </c>
      <c r="H48" s="5">
        <f t="shared" si="8"/>
        <v>8.8454219199443726E-2</v>
      </c>
    </row>
    <row r="49" spans="6:8" hidden="1" x14ac:dyDescent="0.25">
      <c r="F49">
        <f t="shared" si="7"/>
        <v>0.44000000000000022</v>
      </c>
      <c r="G49" s="5">
        <f t="shared" si="6"/>
        <v>5.6209590937600868</v>
      </c>
      <c r="H49" s="5">
        <f t="shared" si="8"/>
        <v>6.6461900342901725E-2</v>
      </c>
    </row>
    <row r="50" spans="6:8" hidden="1" x14ac:dyDescent="0.25">
      <c r="F50">
        <f t="shared" si="7"/>
        <v>0.45000000000000023</v>
      </c>
      <c r="G50" s="5">
        <f t="shared" si="6"/>
        <v>3.8823947806606971</v>
      </c>
      <c r="H50" s="5">
        <f t="shared" si="8"/>
        <v>4.7516769372103917E-2</v>
      </c>
    </row>
    <row r="51" spans="6:8" hidden="1" x14ac:dyDescent="0.25">
      <c r="F51">
        <f t="shared" si="7"/>
        <v>0.46000000000000024</v>
      </c>
      <c r="G51" s="5">
        <f t="shared" si="6"/>
        <v>2.4647071628739479</v>
      </c>
      <c r="H51" s="5">
        <f t="shared" si="8"/>
        <v>3.1735509717673221E-2</v>
      </c>
    </row>
    <row r="52" spans="6:8" hidden="1" x14ac:dyDescent="0.25">
      <c r="F52">
        <f t="shared" si="7"/>
        <v>0.47000000000000025</v>
      </c>
      <c r="G52" s="5">
        <f t="shared" si="6"/>
        <v>1.3715629654370254</v>
      </c>
      <c r="H52" s="5">
        <f t="shared" si="8"/>
        <v>1.9181350641554868E-2</v>
      </c>
    </row>
    <row r="53" spans="6:8" hidden="1" x14ac:dyDescent="0.25">
      <c r="F53">
        <f t="shared" si="7"/>
        <v>0.48000000000000026</v>
      </c>
      <c r="G53" s="5">
        <f t="shared" si="6"/>
        <v>0.60146420518366139</v>
      </c>
      <c r="H53" s="5">
        <f t="shared" si="8"/>
        <v>9.865135853103434E-3</v>
      </c>
    </row>
    <row r="54" spans="6:8" hidden="1" x14ac:dyDescent="0.25">
      <c r="F54">
        <f t="shared" si="7"/>
        <v>0.49000000000000027</v>
      </c>
      <c r="G54" s="5">
        <f t="shared" si="6"/>
        <v>0.14797200572173358</v>
      </c>
      <c r="H54" s="5">
        <f t="shared" si="8"/>
        <v>3.7471810545269746E-3</v>
      </c>
    </row>
    <row r="55" spans="6:8" x14ac:dyDescent="0.25">
      <c r="F55">
        <f t="shared" si="7"/>
        <v>0.50000000000000022</v>
      </c>
      <c r="G55" s="5">
        <f t="shared" si="6"/>
        <v>0</v>
      </c>
      <c r="H55" s="5">
        <f t="shared" si="8"/>
        <v>7.3986002860866791E-4</v>
      </c>
    </row>
    <row r="56" spans="6:8" ht="15.75" thickBot="1" x14ac:dyDescent="0.3">
      <c r="F56">
        <f t="shared" si="7"/>
        <v>0.51000000000000023</v>
      </c>
      <c r="G56" s="5">
        <f t="shared" si="6"/>
        <v>0</v>
      </c>
      <c r="H56" s="5">
        <f t="shared" si="8"/>
        <v>0</v>
      </c>
    </row>
    <row r="57" spans="6:8" x14ac:dyDescent="0.25">
      <c r="F57" s="9"/>
      <c r="G57" s="8" t="s">
        <v>12</v>
      </c>
      <c r="H57" s="8">
        <f>SUM(H6:H56)</f>
        <v>15.412607631935453</v>
      </c>
    </row>
    <row r="58" spans="6:8" x14ac:dyDescent="0.25">
      <c r="G58" s="5"/>
      <c r="H58" s="5"/>
    </row>
    <row r="59" spans="6:8" x14ac:dyDescent="0.25">
      <c r="G59" s="5"/>
      <c r="H59" s="5"/>
    </row>
    <row r="60" spans="6:8" x14ac:dyDescent="0.25">
      <c r="G60" s="5"/>
      <c r="H60" s="5"/>
    </row>
    <row r="61" spans="6:8" x14ac:dyDescent="0.25">
      <c r="G61" s="5"/>
      <c r="H61" s="5"/>
    </row>
    <row r="62" spans="6:8" x14ac:dyDescent="0.25">
      <c r="G62" s="5"/>
      <c r="H62" s="5"/>
    </row>
    <row r="63" spans="6:8" x14ac:dyDescent="0.25">
      <c r="G63" s="5"/>
      <c r="H63" s="5"/>
    </row>
    <row r="64" spans="6:8" x14ac:dyDescent="0.25">
      <c r="G64" s="5"/>
      <c r="H64" s="5"/>
    </row>
    <row r="65" spans="7:8" x14ac:dyDescent="0.25">
      <c r="G65" s="5"/>
      <c r="H65" s="5"/>
    </row>
    <row r="66" spans="7:8" x14ac:dyDescent="0.25">
      <c r="G66" s="5"/>
      <c r="H66" s="5"/>
    </row>
    <row r="67" spans="7:8" x14ac:dyDescent="0.25">
      <c r="G67" s="5"/>
      <c r="H67" s="5"/>
    </row>
    <row r="68" spans="7:8" x14ac:dyDescent="0.25">
      <c r="G68" s="5"/>
      <c r="H68" s="5"/>
    </row>
    <row r="69" spans="7:8" x14ac:dyDescent="0.25">
      <c r="G69" s="5"/>
      <c r="H69" s="5"/>
    </row>
    <row r="70" spans="7:8" x14ac:dyDescent="0.25">
      <c r="G70" s="5"/>
      <c r="H70" s="5"/>
    </row>
    <row r="71" spans="7:8" x14ac:dyDescent="0.25">
      <c r="G71" s="5"/>
      <c r="H71" s="5"/>
    </row>
    <row r="72" spans="7:8" x14ac:dyDescent="0.25">
      <c r="G72" s="5"/>
      <c r="H72" s="5"/>
    </row>
    <row r="73" spans="7:8" x14ac:dyDescent="0.25">
      <c r="G73" s="5"/>
      <c r="H73" s="5"/>
    </row>
    <row r="74" spans="7:8" x14ac:dyDescent="0.25">
      <c r="G74" s="5"/>
      <c r="H74" s="5"/>
    </row>
    <row r="75" spans="7:8" x14ac:dyDescent="0.25">
      <c r="G75" s="5"/>
      <c r="H75" s="5"/>
    </row>
    <row r="76" spans="7:8" x14ac:dyDescent="0.25">
      <c r="G76" s="5"/>
      <c r="H76" s="5"/>
    </row>
    <row r="77" spans="7:8" x14ac:dyDescent="0.25">
      <c r="G77" s="5"/>
      <c r="H77" s="5"/>
    </row>
    <row r="78" spans="7:8" x14ac:dyDescent="0.25">
      <c r="G78" s="5"/>
      <c r="H78" s="5"/>
    </row>
    <row r="79" spans="7:8" x14ac:dyDescent="0.25">
      <c r="G79" s="5"/>
      <c r="H79" s="5"/>
    </row>
    <row r="80" spans="7:8" x14ac:dyDescent="0.25">
      <c r="G80" s="5"/>
      <c r="H80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C2:G10"/>
  <sheetViews>
    <sheetView workbookViewId="0">
      <selection activeCell="C24" sqref="C24"/>
    </sheetView>
  </sheetViews>
  <sheetFormatPr defaultRowHeight="15" x14ac:dyDescent="0.25"/>
  <sheetData>
    <row r="2" spans="3:7" x14ac:dyDescent="0.25">
      <c r="C2" t="s">
        <v>1</v>
      </c>
      <c r="D2" t="s">
        <v>21</v>
      </c>
      <c r="E2" t="s">
        <v>20</v>
      </c>
      <c r="F2" t="s">
        <v>19</v>
      </c>
      <c r="G2" t="s">
        <v>18</v>
      </c>
    </row>
    <row r="3" spans="3:7" x14ac:dyDescent="0.25">
      <c r="C3">
        <v>0</v>
      </c>
      <c r="D3" s="13">
        <v>0</v>
      </c>
      <c r="E3" s="3">
        <v>0.5</v>
      </c>
      <c r="F3" s="4">
        <f t="shared" ref="F3:F9" si="0">D3*COS(E3)</f>
        <v>0</v>
      </c>
    </row>
    <row r="4" spans="3:7" x14ac:dyDescent="0.25">
      <c r="C4">
        <v>5</v>
      </c>
      <c r="D4" s="13">
        <v>9</v>
      </c>
      <c r="E4" s="3">
        <v>1.4</v>
      </c>
      <c r="F4" s="4">
        <f t="shared" si="0"/>
        <v>1.5297042861021692</v>
      </c>
      <c r="G4" s="3">
        <f t="shared" ref="G4:G9" si="1">(F4+F3)/2*(C4-C3)</f>
        <v>3.8242607152554231</v>
      </c>
    </row>
    <row r="5" spans="3:7" x14ac:dyDescent="0.25">
      <c r="C5">
        <v>10</v>
      </c>
      <c r="D5" s="13">
        <v>13</v>
      </c>
      <c r="E5" s="3">
        <v>0.75</v>
      </c>
      <c r="F5" s="4">
        <f t="shared" si="0"/>
        <v>9.5119552953596713</v>
      </c>
      <c r="G5" s="3">
        <f t="shared" si="1"/>
        <v>27.604148953654601</v>
      </c>
    </row>
    <row r="6" spans="3:7" x14ac:dyDescent="0.25">
      <c r="C6">
        <v>15</v>
      </c>
      <c r="D6" s="13">
        <v>14</v>
      </c>
      <c r="E6" s="3">
        <v>0.9</v>
      </c>
      <c r="F6" s="4">
        <f t="shared" si="0"/>
        <v>8.7025395557893006</v>
      </c>
      <c r="G6" s="3">
        <f t="shared" si="1"/>
        <v>45.536237127872425</v>
      </c>
    </row>
    <row r="7" spans="3:7" x14ac:dyDescent="0.25">
      <c r="C7">
        <v>20</v>
      </c>
      <c r="D7" s="13">
        <v>10.5</v>
      </c>
      <c r="E7" s="3">
        <v>1.3</v>
      </c>
      <c r="F7" s="4">
        <f t="shared" si="0"/>
        <v>2.8087377005581673</v>
      </c>
      <c r="G7" s="3">
        <f t="shared" si="1"/>
        <v>28.77819314086867</v>
      </c>
    </row>
    <row r="8" spans="3:7" x14ac:dyDescent="0.25">
      <c r="C8">
        <v>25</v>
      </c>
      <c r="D8" s="13">
        <v>12</v>
      </c>
      <c r="E8" s="3">
        <v>1.48</v>
      </c>
      <c r="F8" s="4">
        <f t="shared" si="0"/>
        <v>1.0880594935717163</v>
      </c>
      <c r="G8" s="3">
        <f t="shared" si="1"/>
        <v>9.7419929853247087</v>
      </c>
    </row>
    <row r="9" spans="3:7" ht="15.75" thickBot="1" x14ac:dyDescent="0.3">
      <c r="C9">
        <v>30</v>
      </c>
      <c r="D9" s="13">
        <v>5</v>
      </c>
      <c r="E9" s="3">
        <v>1.5</v>
      </c>
      <c r="F9" s="4">
        <f t="shared" si="0"/>
        <v>0.35368600833851455</v>
      </c>
      <c r="G9" s="3">
        <f t="shared" si="1"/>
        <v>3.6043637547755769</v>
      </c>
    </row>
    <row r="10" spans="3:7" x14ac:dyDescent="0.25">
      <c r="F10" s="9" t="s">
        <v>12</v>
      </c>
      <c r="G10" s="12">
        <f>SUM(G4:G9)</f>
        <v>119.0891966777514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F206"/>
  <sheetViews>
    <sheetView zoomScale="260" zoomScaleNormal="4" workbookViewId="0">
      <selection activeCell="C24" sqref="C24"/>
    </sheetView>
  </sheetViews>
  <sheetFormatPr defaultRowHeight="15" x14ac:dyDescent="0.25"/>
  <sheetData>
    <row r="1" spans="1:6" x14ac:dyDescent="0.25">
      <c r="B1" t="s">
        <v>27</v>
      </c>
      <c r="D1" t="s">
        <v>15</v>
      </c>
      <c r="E1" t="s">
        <v>26</v>
      </c>
    </row>
    <row r="2" spans="1:6" x14ac:dyDescent="0.25">
      <c r="B2" s="1" t="s">
        <v>25</v>
      </c>
      <c r="C2" s="2">
        <v>0.01</v>
      </c>
      <c r="D2">
        <v>3</v>
      </c>
      <c r="E2" s="4">
        <f>LN(D2)</f>
        <v>1.0986122886681098</v>
      </c>
      <c r="F2" s="15">
        <f>D205/E2-1</f>
        <v>3.0358331089881396E-3</v>
      </c>
    </row>
    <row r="3" spans="1:6" x14ac:dyDescent="0.25">
      <c r="F3" s="14"/>
    </row>
    <row r="4" spans="1:6" x14ac:dyDescent="0.25">
      <c r="A4" t="s">
        <v>15</v>
      </c>
      <c r="B4" t="s">
        <v>24</v>
      </c>
      <c r="C4" t="s">
        <v>23</v>
      </c>
      <c r="D4" t="s">
        <v>22</v>
      </c>
    </row>
    <row r="5" spans="1:6" x14ac:dyDescent="0.25">
      <c r="A5">
        <v>1</v>
      </c>
      <c r="B5">
        <f t="shared" ref="B5:B68" si="0">1/A5</f>
        <v>1</v>
      </c>
      <c r="C5" s="4">
        <f t="shared" ref="C5:C68" si="1">(B5+B6)/2*$C$2</f>
        <v>9.9504950495049507E-3</v>
      </c>
      <c r="D5" s="4">
        <f>C5</f>
        <v>9.9504950495049507E-3</v>
      </c>
    </row>
    <row r="6" spans="1:6" x14ac:dyDescent="0.25">
      <c r="A6" s="3">
        <f t="shared" ref="A6:A69" si="2">A5+$C$2</f>
        <v>1.01</v>
      </c>
      <c r="B6" s="4">
        <f t="shared" si="0"/>
        <v>0.99009900990099009</v>
      </c>
      <c r="C6" s="4">
        <f t="shared" si="1"/>
        <v>9.8524558338186768E-3</v>
      </c>
      <c r="D6" s="4">
        <f t="shared" ref="D6:D37" si="3">D5+C6</f>
        <v>1.9802950883323629E-2</v>
      </c>
    </row>
    <row r="7" spans="1:6" x14ac:dyDescent="0.25">
      <c r="A7" s="3">
        <f t="shared" si="2"/>
        <v>1.02</v>
      </c>
      <c r="B7" s="4">
        <f t="shared" si="0"/>
        <v>0.98039215686274506</v>
      </c>
      <c r="C7" s="4">
        <f t="shared" si="1"/>
        <v>9.7563297163525617E-3</v>
      </c>
      <c r="D7" s="4">
        <f t="shared" si="3"/>
        <v>2.9559280599676191E-2</v>
      </c>
    </row>
    <row r="8" spans="1:6" x14ac:dyDescent="0.25">
      <c r="A8" s="3">
        <f t="shared" si="2"/>
        <v>1.03</v>
      </c>
      <c r="B8" s="4">
        <f t="shared" si="0"/>
        <v>0.970873786407767</v>
      </c>
      <c r="C8" s="4">
        <f t="shared" si="1"/>
        <v>9.6620612397311425E-3</v>
      </c>
      <c r="D8" s="4">
        <f t="shared" si="3"/>
        <v>3.9221341839407335E-2</v>
      </c>
    </row>
    <row r="9" spans="1:6" hidden="1" x14ac:dyDescent="0.25">
      <c r="A9" s="3">
        <f t="shared" si="2"/>
        <v>1.04</v>
      </c>
      <c r="B9" s="4">
        <f t="shared" si="0"/>
        <v>0.96153846153846145</v>
      </c>
      <c r="C9" s="4">
        <f t="shared" si="1"/>
        <v>9.5695970695970686E-3</v>
      </c>
      <c r="D9" s="4">
        <f t="shared" si="3"/>
        <v>4.8790938909004405E-2</v>
      </c>
    </row>
    <row r="10" spans="1:6" hidden="1" x14ac:dyDescent="0.25">
      <c r="A10" s="3">
        <f t="shared" si="2"/>
        <v>1.05</v>
      </c>
      <c r="B10" s="4">
        <f t="shared" si="0"/>
        <v>0.95238095238095233</v>
      </c>
      <c r="C10" s="4">
        <f t="shared" si="1"/>
        <v>9.478885893980233E-3</v>
      </c>
      <c r="D10" s="4">
        <f t="shared" si="3"/>
        <v>5.8269824802984635E-2</v>
      </c>
    </row>
    <row r="11" spans="1:6" hidden="1" x14ac:dyDescent="0.25">
      <c r="A11" s="3">
        <f t="shared" si="2"/>
        <v>1.06</v>
      </c>
      <c r="B11" s="4">
        <f t="shared" si="0"/>
        <v>0.94339622641509424</v>
      </c>
      <c r="C11" s="4">
        <f t="shared" si="1"/>
        <v>9.3898783283371534E-3</v>
      </c>
      <c r="D11" s="4">
        <f t="shared" si="3"/>
        <v>6.7659703131321788E-2</v>
      </c>
    </row>
    <row r="12" spans="1:6" hidden="1" x14ac:dyDescent="0.25">
      <c r="A12" s="3">
        <f t="shared" si="2"/>
        <v>1.07</v>
      </c>
      <c r="B12" s="4">
        <f t="shared" si="0"/>
        <v>0.93457943925233644</v>
      </c>
      <c r="C12" s="4">
        <f t="shared" si="1"/>
        <v>9.3025268258913104E-3</v>
      </c>
      <c r="D12" s="4">
        <f t="shared" si="3"/>
        <v>7.6962229957213094E-2</v>
      </c>
    </row>
    <row r="13" spans="1:6" hidden="1" x14ac:dyDescent="0.25">
      <c r="A13" s="3">
        <f t="shared" si="2"/>
        <v>1.08</v>
      </c>
      <c r="B13" s="4">
        <f t="shared" si="0"/>
        <v>0.92592592592592582</v>
      </c>
      <c r="C13" s="4">
        <f t="shared" si="1"/>
        <v>9.2167855929323819E-3</v>
      </c>
      <c r="D13" s="4">
        <f t="shared" si="3"/>
        <v>8.6179015550145482E-2</v>
      </c>
    </row>
    <row r="14" spans="1:6" hidden="1" x14ac:dyDescent="0.25">
      <c r="A14" s="3">
        <f t="shared" si="2"/>
        <v>1.0900000000000001</v>
      </c>
      <c r="B14" s="4">
        <f t="shared" si="0"/>
        <v>0.9174311926605504</v>
      </c>
      <c r="C14" s="4">
        <f t="shared" si="1"/>
        <v>9.1326105087572978E-3</v>
      </c>
      <c r="D14" s="4">
        <f t="shared" si="3"/>
        <v>9.5311626058902782E-2</v>
      </c>
    </row>
    <row r="15" spans="1:6" hidden="1" x14ac:dyDescent="0.25">
      <c r="A15" s="3">
        <f t="shared" si="2"/>
        <v>1.1000000000000001</v>
      </c>
      <c r="B15" s="4">
        <f t="shared" si="0"/>
        <v>0.90909090909090906</v>
      </c>
      <c r="C15" s="4">
        <f t="shared" si="1"/>
        <v>9.0499590499590488E-3</v>
      </c>
      <c r="D15" s="4">
        <f t="shared" si="3"/>
        <v>0.10436158510886183</v>
      </c>
    </row>
    <row r="16" spans="1:6" hidden="1" x14ac:dyDescent="0.25">
      <c r="A16" s="3">
        <f t="shared" si="2"/>
        <v>1.1100000000000001</v>
      </c>
      <c r="B16" s="4">
        <f t="shared" si="0"/>
        <v>0.9009009009009008</v>
      </c>
      <c r="C16" s="4">
        <f t="shared" si="1"/>
        <v>8.9687902187902176E-3</v>
      </c>
      <c r="D16" s="4">
        <f t="shared" si="3"/>
        <v>0.11333037532765204</v>
      </c>
    </row>
    <row r="17" spans="1:4" hidden="1" x14ac:dyDescent="0.25">
      <c r="A17" s="3">
        <f t="shared" si="2"/>
        <v>1.1200000000000001</v>
      </c>
      <c r="B17" s="4">
        <f t="shared" si="0"/>
        <v>0.89285714285714279</v>
      </c>
      <c r="C17" s="4">
        <f t="shared" si="1"/>
        <v>8.8890644753476609E-3</v>
      </c>
      <c r="D17" s="4">
        <f t="shared" si="3"/>
        <v>0.12221943980299971</v>
      </c>
    </row>
    <row r="18" spans="1:4" hidden="1" x14ac:dyDescent="0.25">
      <c r="A18" s="3">
        <f t="shared" si="2"/>
        <v>1.1300000000000001</v>
      </c>
      <c r="B18" s="4">
        <f t="shared" si="0"/>
        <v>0.88495575221238931</v>
      </c>
      <c r="C18" s="4">
        <f t="shared" si="1"/>
        <v>8.8107436733426484E-3</v>
      </c>
      <c r="D18" s="4">
        <f t="shared" si="3"/>
        <v>0.13103018347634235</v>
      </c>
    </row>
    <row r="19" spans="1:4" hidden="1" x14ac:dyDescent="0.25">
      <c r="A19" s="3">
        <f t="shared" si="2"/>
        <v>1.1400000000000001</v>
      </c>
      <c r="B19" s="4">
        <f t="shared" si="0"/>
        <v>0.8771929824561403</v>
      </c>
      <c r="C19" s="4">
        <f t="shared" si="1"/>
        <v>8.7337909992372242E-3</v>
      </c>
      <c r="D19" s="4">
        <f t="shared" si="3"/>
        <v>0.13976397447557956</v>
      </c>
    </row>
    <row r="20" spans="1:4" hidden="1" x14ac:dyDescent="0.25">
      <c r="A20" s="3">
        <f t="shared" si="2"/>
        <v>1.1500000000000001</v>
      </c>
      <c r="B20" s="4">
        <f t="shared" si="0"/>
        <v>0.86956521739130421</v>
      </c>
      <c r="C20" s="4">
        <f t="shared" si="1"/>
        <v>8.6581709145427278E-3</v>
      </c>
      <c r="D20" s="4">
        <f t="shared" si="3"/>
        <v>0.1484221453901223</v>
      </c>
    </row>
    <row r="21" spans="1:4" hidden="1" x14ac:dyDescent="0.25">
      <c r="A21" s="3">
        <f t="shared" si="2"/>
        <v>1.1600000000000001</v>
      </c>
      <c r="B21" s="4">
        <f t="shared" si="0"/>
        <v>0.86206896551724133</v>
      </c>
      <c r="C21" s="4">
        <f t="shared" si="1"/>
        <v>8.583849101090479E-3</v>
      </c>
      <c r="D21" s="4">
        <f t="shared" si="3"/>
        <v>0.15700599449121277</v>
      </c>
    </row>
    <row r="22" spans="1:4" hidden="1" x14ac:dyDescent="0.25">
      <c r="A22" s="3">
        <f t="shared" si="2"/>
        <v>1.1700000000000002</v>
      </c>
      <c r="B22" s="4">
        <f t="shared" si="0"/>
        <v>0.85470085470085455</v>
      </c>
      <c r="C22" s="4">
        <f t="shared" si="1"/>
        <v>8.5107924090974917E-3</v>
      </c>
      <c r="D22" s="4">
        <f t="shared" si="3"/>
        <v>0.16551678690031027</v>
      </c>
    </row>
    <row r="23" spans="1:4" hidden="1" x14ac:dyDescent="0.25">
      <c r="A23" s="3">
        <f t="shared" si="2"/>
        <v>1.1800000000000002</v>
      </c>
      <c r="B23" s="4">
        <f t="shared" si="0"/>
        <v>0.84745762711864392</v>
      </c>
      <c r="C23" s="4">
        <f t="shared" si="1"/>
        <v>8.438968807862126E-3</v>
      </c>
      <c r="D23" s="4">
        <f t="shared" si="3"/>
        <v>0.1739557557081724</v>
      </c>
    </row>
    <row r="24" spans="1:4" hidden="1" x14ac:dyDescent="0.25">
      <c r="A24" s="3">
        <f t="shared" si="2"/>
        <v>1.1900000000000002</v>
      </c>
      <c r="B24" s="4">
        <f t="shared" si="0"/>
        <v>0.84033613445378141</v>
      </c>
      <c r="C24" s="4">
        <f t="shared" si="1"/>
        <v>8.368347338935574E-3</v>
      </c>
      <c r="D24" s="4">
        <f t="shared" si="3"/>
        <v>0.18232410304710797</v>
      </c>
    </row>
    <row r="25" spans="1:4" hidden="1" x14ac:dyDescent="0.25">
      <c r="A25" s="3">
        <f t="shared" si="2"/>
        <v>1.2000000000000002</v>
      </c>
      <c r="B25" s="4">
        <f t="shared" si="0"/>
        <v>0.83333333333333326</v>
      </c>
      <c r="C25" s="4">
        <f t="shared" si="1"/>
        <v>8.2988980716253435E-3</v>
      </c>
      <c r="D25" s="4">
        <f t="shared" si="3"/>
        <v>0.19062300111873332</v>
      </c>
    </row>
    <row r="26" spans="1:4" hidden="1" x14ac:dyDescent="0.25">
      <c r="A26" s="3">
        <f t="shared" si="2"/>
        <v>1.2100000000000002</v>
      </c>
      <c r="B26" s="4">
        <f t="shared" si="0"/>
        <v>0.82644628099173545</v>
      </c>
      <c r="C26" s="4">
        <f t="shared" si="1"/>
        <v>8.2305920606963821E-3</v>
      </c>
      <c r="D26" s="4">
        <f t="shared" si="3"/>
        <v>0.19885359317942969</v>
      </c>
    </row>
    <row r="27" spans="1:4" hidden="1" x14ac:dyDescent="0.25">
      <c r="A27" s="3">
        <f t="shared" si="2"/>
        <v>1.2200000000000002</v>
      </c>
      <c r="B27" s="4">
        <f t="shared" si="0"/>
        <v>0.81967213114754089</v>
      </c>
      <c r="C27" s="4">
        <f t="shared" si="1"/>
        <v>8.1634013061442079E-3</v>
      </c>
      <c r="D27" s="4">
        <f t="shared" si="3"/>
        <v>0.2070169944855739</v>
      </c>
    </row>
    <row r="28" spans="1:4" hidden="1" x14ac:dyDescent="0.25">
      <c r="A28" s="3">
        <f t="shared" si="2"/>
        <v>1.2300000000000002</v>
      </c>
      <c r="B28" s="4">
        <f t="shared" si="0"/>
        <v>0.81300813008130068</v>
      </c>
      <c r="C28" s="4">
        <f t="shared" si="1"/>
        <v>8.0972987149226325E-3</v>
      </c>
      <c r="D28" s="4">
        <f t="shared" si="3"/>
        <v>0.21511429320049652</v>
      </c>
    </row>
    <row r="29" spans="1:4" hidden="1" x14ac:dyDescent="0.25">
      <c r="A29" s="3">
        <f t="shared" si="2"/>
        <v>1.2400000000000002</v>
      </c>
      <c r="B29" s="4">
        <f t="shared" si="0"/>
        <v>0.80645161290322565</v>
      </c>
      <c r="C29" s="4">
        <f t="shared" si="1"/>
        <v>8.0322580645161273E-3</v>
      </c>
      <c r="D29" s="4">
        <f t="shared" si="3"/>
        <v>0.22314655126501265</v>
      </c>
    </row>
    <row r="30" spans="1:4" hidden="1" x14ac:dyDescent="0.25">
      <c r="A30" s="3">
        <f t="shared" si="2"/>
        <v>1.2500000000000002</v>
      </c>
      <c r="B30" s="4">
        <f t="shared" si="0"/>
        <v>0.79999999999999982</v>
      </c>
      <c r="C30" s="4">
        <f t="shared" si="1"/>
        <v>7.9682539682539664E-3</v>
      </c>
      <c r="D30" s="4">
        <f t="shared" si="3"/>
        <v>0.23111480523326661</v>
      </c>
    </row>
    <row r="31" spans="1:4" hidden="1" x14ac:dyDescent="0.25">
      <c r="A31" s="3">
        <f t="shared" si="2"/>
        <v>1.2600000000000002</v>
      </c>
      <c r="B31" s="4">
        <f t="shared" si="0"/>
        <v>0.7936507936507935</v>
      </c>
      <c r="C31" s="4">
        <f t="shared" si="1"/>
        <v>7.905261842269716E-3</v>
      </c>
      <c r="D31" s="4">
        <f t="shared" si="3"/>
        <v>0.23902006707553633</v>
      </c>
    </row>
    <row r="32" spans="1:4" hidden="1" x14ac:dyDescent="0.25">
      <c r="A32" s="3">
        <f t="shared" si="2"/>
        <v>1.2700000000000002</v>
      </c>
      <c r="B32" s="4">
        <f t="shared" si="0"/>
        <v>0.78740157480314943</v>
      </c>
      <c r="C32" s="4">
        <f t="shared" si="1"/>
        <v>7.8432578740157462E-3</v>
      </c>
      <c r="D32" s="4">
        <f t="shared" si="3"/>
        <v>0.24686332494955207</v>
      </c>
    </row>
    <row r="33" spans="1:4" hidden="1" x14ac:dyDescent="0.25">
      <c r="A33" s="3">
        <f t="shared" si="2"/>
        <v>1.2800000000000002</v>
      </c>
      <c r="B33" s="4">
        <f t="shared" si="0"/>
        <v>0.78124999999999989</v>
      </c>
      <c r="C33" s="4">
        <f t="shared" si="1"/>
        <v>7.7822189922480602E-3</v>
      </c>
      <c r="D33" s="4">
        <f t="shared" si="3"/>
        <v>0.25464554394180011</v>
      </c>
    </row>
    <row r="34" spans="1:4" hidden="1" x14ac:dyDescent="0.25">
      <c r="A34" s="3">
        <f t="shared" si="2"/>
        <v>1.2900000000000003</v>
      </c>
      <c r="B34" s="4">
        <f t="shared" si="0"/>
        <v>0.77519379844961223</v>
      </c>
      <c r="C34" s="4">
        <f t="shared" si="1"/>
        <v>7.7221228384019057E-3</v>
      </c>
      <c r="D34" s="4">
        <f t="shared" si="3"/>
        <v>0.26236766678020201</v>
      </c>
    </row>
    <row r="35" spans="1:4" hidden="1" x14ac:dyDescent="0.25">
      <c r="A35" s="3">
        <f t="shared" si="2"/>
        <v>1.3000000000000003</v>
      </c>
      <c r="B35" s="4">
        <f t="shared" si="0"/>
        <v>0.76923076923076905</v>
      </c>
      <c r="C35" s="4">
        <f t="shared" si="1"/>
        <v>7.6629477392836159E-3</v>
      </c>
      <c r="D35" s="4">
        <f t="shared" si="3"/>
        <v>0.27003061451948562</v>
      </c>
    </row>
    <row r="36" spans="1:4" hidden="1" x14ac:dyDescent="0.25">
      <c r="A36" s="3">
        <f t="shared" si="2"/>
        <v>1.3100000000000003</v>
      </c>
      <c r="B36" s="4">
        <f t="shared" si="0"/>
        <v>0.76335877862595403</v>
      </c>
      <c r="C36" s="4">
        <f t="shared" si="1"/>
        <v>7.6046726810085575E-3</v>
      </c>
      <c r="D36" s="4">
        <f t="shared" si="3"/>
        <v>0.27763528720049419</v>
      </c>
    </row>
    <row r="37" spans="1:4" hidden="1" x14ac:dyDescent="0.25">
      <c r="A37" s="3">
        <f t="shared" si="2"/>
        <v>1.3200000000000003</v>
      </c>
      <c r="B37" s="4">
        <f t="shared" si="0"/>
        <v>0.75757575757575746</v>
      </c>
      <c r="C37" s="4">
        <f t="shared" si="1"/>
        <v>7.5472772841193884E-3</v>
      </c>
      <c r="D37" s="4">
        <f t="shared" si="3"/>
        <v>0.2851825644846136</v>
      </c>
    </row>
    <row r="38" spans="1:4" hidden="1" x14ac:dyDescent="0.25">
      <c r="A38" s="3">
        <f t="shared" si="2"/>
        <v>1.3300000000000003</v>
      </c>
      <c r="B38" s="4">
        <f t="shared" si="0"/>
        <v>0.75187969924812015</v>
      </c>
      <c r="C38" s="4">
        <f t="shared" si="1"/>
        <v>7.4907417798226895E-3</v>
      </c>
      <c r="D38" s="4">
        <f t="shared" ref="D38:D69" si="4">D37+C38</f>
        <v>0.29267330626443627</v>
      </c>
    </row>
    <row r="39" spans="1:4" hidden="1" x14ac:dyDescent="0.25">
      <c r="A39" s="3">
        <f t="shared" si="2"/>
        <v>1.3400000000000003</v>
      </c>
      <c r="B39" s="4">
        <f t="shared" si="0"/>
        <v>0.74626865671641773</v>
      </c>
      <c r="C39" s="4">
        <f t="shared" si="1"/>
        <v>7.435046987285792E-3</v>
      </c>
      <c r="D39" s="4">
        <f t="shared" si="4"/>
        <v>0.30010835325172208</v>
      </c>
    </row>
    <row r="40" spans="1:4" hidden="1" x14ac:dyDescent="0.25">
      <c r="A40" s="3">
        <f t="shared" si="2"/>
        <v>1.3500000000000003</v>
      </c>
      <c r="B40" s="4">
        <f t="shared" si="0"/>
        <v>0.74074074074074059</v>
      </c>
      <c r="C40" s="4">
        <f t="shared" si="1"/>
        <v>7.380174291938997E-3</v>
      </c>
      <c r="D40" s="4">
        <f t="shared" si="4"/>
        <v>0.30748852754366107</v>
      </c>
    </row>
    <row r="41" spans="1:4" hidden="1" x14ac:dyDescent="0.25">
      <c r="A41" s="3">
        <f t="shared" si="2"/>
        <v>1.3600000000000003</v>
      </c>
      <c r="B41" s="4">
        <f t="shared" si="0"/>
        <v>0.73529411764705865</v>
      </c>
      <c r="C41" s="4">
        <f t="shared" si="1"/>
        <v>7.3261056247316426E-3</v>
      </c>
      <c r="D41" s="4">
        <f t="shared" si="4"/>
        <v>0.3148146331683927</v>
      </c>
    </row>
    <row r="42" spans="1:4" hidden="1" x14ac:dyDescent="0.25">
      <c r="A42" s="3">
        <f t="shared" si="2"/>
        <v>1.3700000000000003</v>
      </c>
      <c r="B42" s="4">
        <f t="shared" si="0"/>
        <v>0.72992700729926985</v>
      </c>
      <c r="C42" s="4">
        <f t="shared" si="1"/>
        <v>7.2728234422934504E-3</v>
      </c>
      <c r="D42" s="4">
        <f t="shared" si="4"/>
        <v>0.32208745661068616</v>
      </c>
    </row>
    <row r="43" spans="1:4" hidden="1" x14ac:dyDescent="0.25">
      <c r="A43" s="3">
        <f t="shared" si="2"/>
        <v>1.3800000000000003</v>
      </c>
      <c r="B43" s="4">
        <f t="shared" si="0"/>
        <v>0.72463768115942007</v>
      </c>
      <c r="C43" s="4">
        <f t="shared" si="1"/>
        <v>7.2203107079553729E-3</v>
      </c>
      <c r="D43" s="4">
        <f t="shared" si="4"/>
        <v>0.32930776731864153</v>
      </c>
    </row>
    <row r="44" spans="1:4" hidden="1" x14ac:dyDescent="0.25">
      <c r="A44" s="3">
        <f t="shared" si="2"/>
        <v>1.3900000000000003</v>
      </c>
      <c r="B44" s="4">
        <f t="shared" si="0"/>
        <v>0.71942446043165453</v>
      </c>
      <c r="C44" s="4">
        <f t="shared" si="1"/>
        <v>7.1685508735868436E-3</v>
      </c>
      <c r="D44" s="4">
        <f t="shared" si="4"/>
        <v>0.3364763181922284</v>
      </c>
    </row>
    <row r="45" spans="1:4" hidden="1" x14ac:dyDescent="0.25">
      <c r="A45" s="3">
        <f t="shared" si="2"/>
        <v>1.4000000000000004</v>
      </c>
      <c r="B45" s="4">
        <f t="shared" si="0"/>
        <v>0.71428571428571408</v>
      </c>
      <c r="C45" s="4">
        <f t="shared" si="1"/>
        <v>7.1175278622087118E-3</v>
      </c>
      <c r="D45" s="4">
        <f t="shared" si="4"/>
        <v>0.3435938460544371</v>
      </c>
    </row>
    <row r="46" spans="1:4" hidden="1" x14ac:dyDescent="0.25">
      <c r="A46" s="3">
        <f t="shared" si="2"/>
        <v>1.4100000000000004</v>
      </c>
      <c r="B46" s="4">
        <f t="shared" si="0"/>
        <v>0.70921985815602817</v>
      </c>
      <c r="C46" s="4">
        <f t="shared" si="1"/>
        <v>7.0672260513435208E-3</v>
      </c>
      <c r="D46" s="4">
        <f t="shared" si="4"/>
        <v>0.35066107210578062</v>
      </c>
    </row>
    <row r="47" spans="1:4" hidden="1" x14ac:dyDescent="0.25">
      <c r="A47" s="3">
        <f t="shared" si="2"/>
        <v>1.4200000000000004</v>
      </c>
      <c r="B47" s="4">
        <f t="shared" si="0"/>
        <v>0.7042253521126759</v>
      </c>
      <c r="C47" s="4">
        <f t="shared" si="1"/>
        <v>7.017630257066876E-3</v>
      </c>
      <c r="D47" s="4">
        <f t="shared" si="4"/>
        <v>0.35767870236284749</v>
      </c>
    </row>
    <row r="48" spans="1:4" hidden="1" x14ac:dyDescent="0.25">
      <c r="A48" s="3">
        <f t="shared" si="2"/>
        <v>1.4300000000000004</v>
      </c>
      <c r="B48" s="4">
        <f t="shared" si="0"/>
        <v>0.69930069930069916</v>
      </c>
      <c r="C48" s="4">
        <f t="shared" si="1"/>
        <v>6.9687257187257172E-3</v>
      </c>
      <c r="D48" s="4">
        <f t="shared" si="4"/>
        <v>0.36464742808157319</v>
      </c>
    </row>
    <row r="49" spans="1:4" hidden="1" x14ac:dyDescent="0.25">
      <c r="A49" s="3">
        <f t="shared" si="2"/>
        <v>1.4400000000000004</v>
      </c>
      <c r="B49" s="4">
        <f t="shared" si="0"/>
        <v>0.69444444444444431</v>
      </c>
      <c r="C49" s="4">
        <f t="shared" si="1"/>
        <v>6.9204980842911866E-3</v>
      </c>
      <c r="D49" s="4">
        <f t="shared" si="4"/>
        <v>0.37156792616586437</v>
      </c>
    </row>
    <row r="50" spans="1:4" hidden="1" x14ac:dyDescent="0.25">
      <c r="A50" s="3">
        <f t="shared" si="2"/>
        <v>1.4500000000000004</v>
      </c>
      <c r="B50" s="4">
        <f t="shared" si="0"/>
        <v>0.68965517241379293</v>
      </c>
      <c r="C50" s="4">
        <f t="shared" si="1"/>
        <v>6.8729333963155398E-3</v>
      </c>
      <c r="D50" s="4">
        <f t="shared" si="4"/>
        <v>0.37844085956217993</v>
      </c>
    </row>
    <row r="51" spans="1:4" hidden="1" x14ac:dyDescent="0.25">
      <c r="A51" s="3">
        <f t="shared" si="2"/>
        <v>1.4600000000000004</v>
      </c>
      <c r="B51" s="4">
        <f t="shared" si="0"/>
        <v>0.68493150684931492</v>
      </c>
      <c r="C51" s="4">
        <f t="shared" si="1"/>
        <v>6.8260180784642599E-3</v>
      </c>
      <c r="D51" s="4">
        <f t="shared" si="4"/>
        <v>0.38526687764064421</v>
      </c>
    </row>
    <row r="52" spans="1:4" hidden="1" x14ac:dyDescent="0.25">
      <c r="A52" s="3">
        <f t="shared" si="2"/>
        <v>1.4700000000000004</v>
      </c>
      <c r="B52" s="4">
        <f t="shared" si="0"/>
        <v>0.68027210884353717</v>
      </c>
      <c r="C52" s="4">
        <f t="shared" si="1"/>
        <v>6.7797389225960633E-3</v>
      </c>
      <c r="D52" s="4">
        <f t="shared" si="4"/>
        <v>0.3920466165632403</v>
      </c>
    </row>
    <row r="53" spans="1:4" hidden="1" x14ac:dyDescent="0.25">
      <c r="A53" s="3">
        <f t="shared" si="2"/>
        <v>1.4800000000000004</v>
      </c>
      <c r="B53" s="4">
        <f t="shared" si="0"/>
        <v>0.67567567567567544</v>
      </c>
      <c r="C53" s="4">
        <f t="shared" si="1"/>
        <v>6.7340830763649544E-3</v>
      </c>
      <c r="D53" s="4">
        <f t="shared" si="4"/>
        <v>0.39878069963960527</v>
      </c>
    </row>
    <row r="54" spans="1:4" hidden="1" x14ac:dyDescent="0.25">
      <c r="A54" s="3">
        <f t="shared" si="2"/>
        <v>1.4900000000000004</v>
      </c>
      <c r="B54" s="4">
        <f t="shared" si="0"/>
        <v>0.67114093959731524</v>
      </c>
      <c r="C54" s="4">
        <f t="shared" si="1"/>
        <v>6.6890380313199098E-3</v>
      </c>
      <c r="D54" s="4">
        <f t="shared" si="4"/>
        <v>0.4054697376709252</v>
      </c>
    </row>
    <row r="55" spans="1:4" hidden="1" x14ac:dyDescent="0.25">
      <c r="A55" s="3">
        <f t="shared" si="2"/>
        <v>1.5000000000000004</v>
      </c>
      <c r="B55" s="4">
        <f t="shared" si="0"/>
        <v>0.66666666666666652</v>
      </c>
      <c r="C55" s="4">
        <f t="shared" si="1"/>
        <v>6.6445916114790272E-3</v>
      </c>
      <c r="D55" s="4">
        <f t="shared" si="4"/>
        <v>0.41211432928240421</v>
      </c>
    </row>
    <row r="56" spans="1:4" hidden="1" x14ac:dyDescent="0.25">
      <c r="A56" s="3">
        <f t="shared" si="2"/>
        <v>1.5100000000000005</v>
      </c>
      <c r="B56" s="4">
        <f t="shared" si="0"/>
        <v>0.6622516556291389</v>
      </c>
      <c r="C56" s="4">
        <f t="shared" si="1"/>
        <v>6.6007319623562202E-3</v>
      </c>
      <c r="D56" s="4">
        <f t="shared" si="4"/>
        <v>0.41871506124476043</v>
      </c>
    </row>
    <row r="57" spans="1:4" hidden="1" x14ac:dyDescent="0.25">
      <c r="A57" s="3">
        <f t="shared" si="2"/>
        <v>1.5200000000000005</v>
      </c>
      <c r="B57" s="4">
        <f t="shared" si="0"/>
        <v>0.65789473684210509</v>
      </c>
      <c r="C57" s="4">
        <f t="shared" si="1"/>
        <v>6.5574475404196744E-3</v>
      </c>
      <c r="D57" s="4">
        <f t="shared" si="4"/>
        <v>0.42527250878518008</v>
      </c>
    </row>
    <row r="58" spans="1:4" hidden="1" x14ac:dyDescent="0.25">
      <c r="A58" s="3">
        <f t="shared" si="2"/>
        <v>1.5300000000000005</v>
      </c>
      <c r="B58" s="4">
        <f t="shared" si="0"/>
        <v>0.65359477124182985</v>
      </c>
      <c r="C58" s="4">
        <f t="shared" si="1"/>
        <v>6.5147271029623944E-3</v>
      </c>
      <c r="D58" s="4">
        <f t="shared" si="4"/>
        <v>0.4317872358881425</v>
      </c>
    </row>
    <row r="59" spans="1:4" hidden="1" x14ac:dyDescent="0.25">
      <c r="A59" s="3">
        <f t="shared" si="2"/>
        <v>1.5400000000000005</v>
      </c>
      <c r="B59" s="4">
        <f t="shared" si="0"/>
        <v>0.64935064935064912</v>
      </c>
      <c r="C59" s="4">
        <f t="shared" si="1"/>
        <v>6.4725596983661472E-3</v>
      </c>
      <c r="D59" s="4">
        <f t="shared" si="4"/>
        <v>0.43825979558650863</v>
      </c>
    </row>
    <row r="60" spans="1:4" hidden="1" x14ac:dyDescent="0.25">
      <c r="A60" s="3">
        <f t="shared" si="2"/>
        <v>1.5500000000000005</v>
      </c>
      <c r="B60" s="4">
        <f t="shared" si="0"/>
        <v>0.64516129032258041</v>
      </c>
      <c r="C60" s="4">
        <f t="shared" si="1"/>
        <v>6.4309346567411061E-3</v>
      </c>
      <c r="D60" s="4">
        <f t="shared" si="4"/>
        <v>0.44469073024324973</v>
      </c>
    </row>
    <row r="61" spans="1:4" hidden="1" x14ac:dyDescent="0.25">
      <c r="A61" s="3">
        <f t="shared" si="2"/>
        <v>1.5600000000000005</v>
      </c>
      <c r="B61" s="4">
        <f t="shared" si="0"/>
        <v>0.64102564102564086</v>
      </c>
      <c r="C61" s="4">
        <f t="shared" si="1"/>
        <v>6.3898415809243818E-3</v>
      </c>
      <c r="D61" s="4">
        <f t="shared" si="4"/>
        <v>0.4510805718241741</v>
      </c>
    </row>
    <row r="62" spans="1:4" hidden="1" x14ac:dyDescent="0.25">
      <c r="A62" s="3">
        <f t="shared" si="2"/>
        <v>1.5700000000000005</v>
      </c>
      <c r="B62" s="4">
        <f t="shared" si="0"/>
        <v>0.63694267515923542</v>
      </c>
      <c r="C62" s="4">
        <f t="shared" si="1"/>
        <v>6.3492703378214936E-3</v>
      </c>
      <c r="D62" s="4">
        <f t="shared" si="4"/>
        <v>0.45742984216199561</v>
      </c>
    </row>
    <row r="63" spans="1:4" hidden="1" x14ac:dyDescent="0.25">
      <c r="A63" s="3">
        <f t="shared" si="2"/>
        <v>1.5800000000000005</v>
      </c>
      <c r="B63" s="4">
        <f t="shared" si="0"/>
        <v>0.63291139240506311</v>
      </c>
      <c r="C63" s="4">
        <f t="shared" si="1"/>
        <v>6.3092110500756297E-3</v>
      </c>
      <c r="D63" s="4">
        <f t="shared" si="4"/>
        <v>0.46373905321207126</v>
      </c>
    </row>
    <row r="64" spans="1:4" hidden="1" x14ac:dyDescent="0.25">
      <c r="A64" s="3">
        <f t="shared" si="2"/>
        <v>1.5900000000000005</v>
      </c>
      <c r="B64" s="4">
        <f t="shared" si="0"/>
        <v>0.62893081761006264</v>
      </c>
      <c r="C64" s="4">
        <f t="shared" si="1"/>
        <v>6.2696540880503113E-3</v>
      </c>
      <c r="D64" s="4">
        <f t="shared" si="4"/>
        <v>0.47000870730012156</v>
      </c>
    </row>
    <row r="65" spans="1:4" hidden="1" x14ac:dyDescent="0.25">
      <c r="A65" s="3">
        <f t="shared" si="2"/>
        <v>1.6000000000000005</v>
      </c>
      <c r="B65" s="4">
        <f t="shared" si="0"/>
        <v>0.62499999999999978</v>
      </c>
      <c r="C65" s="4">
        <f t="shared" si="1"/>
        <v>6.2305900621117995E-3</v>
      </c>
      <c r="D65" s="4">
        <f t="shared" si="4"/>
        <v>0.47623929736223336</v>
      </c>
    </row>
    <row r="66" spans="1:4" hidden="1" x14ac:dyDescent="0.25">
      <c r="A66" s="3">
        <f t="shared" si="2"/>
        <v>1.6100000000000005</v>
      </c>
      <c r="B66" s="4">
        <f t="shared" si="0"/>
        <v>0.62111801242236009</v>
      </c>
      <c r="C66" s="4">
        <f t="shared" si="1"/>
        <v>6.1920098151982189E-3</v>
      </c>
      <c r="D66" s="4">
        <f t="shared" si="4"/>
        <v>0.4824313071774316</v>
      </c>
    </row>
    <row r="67" spans="1:4" hidden="1" x14ac:dyDescent="0.25">
      <c r="A67" s="3">
        <f t="shared" si="2"/>
        <v>1.6200000000000006</v>
      </c>
      <c r="B67" s="4">
        <f t="shared" si="0"/>
        <v>0.61728395061728369</v>
      </c>
      <c r="C67" s="4">
        <f t="shared" si="1"/>
        <v>6.1539044156631055E-3</v>
      </c>
      <c r="D67" s="4">
        <f t="shared" si="4"/>
        <v>0.4885852115930947</v>
      </c>
    </row>
    <row r="68" spans="1:4" hidden="1" x14ac:dyDescent="0.25">
      <c r="A68" s="3">
        <f t="shared" si="2"/>
        <v>1.6300000000000006</v>
      </c>
      <c r="B68" s="4">
        <f t="shared" si="0"/>
        <v>0.61349693251533721</v>
      </c>
      <c r="C68" s="4">
        <f t="shared" si="1"/>
        <v>6.116265150381564E-3</v>
      </c>
      <c r="D68" s="4">
        <f t="shared" si="4"/>
        <v>0.49470147674347625</v>
      </c>
    </row>
    <row r="69" spans="1:4" hidden="1" x14ac:dyDescent="0.25">
      <c r="A69" s="3">
        <f t="shared" si="2"/>
        <v>1.6400000000000006</v>
      </c>
      <c r="B69" s="4">
        <f t="shared" ref="B69:B132" si="5">1/A69</f>
        <v>0.60975609756097537</v>
      </c>
      <c r="C69" s="4">
        <f t="shared" ref="C69:C132" si="6">(B69+B70)/2*$C$2</f>
        <v>6.0790835181079063E-3</v>
      </c>
      <c r="D69" s="4">
        <f t="shared" si="4"/>
        <v>0.50078056026158413</v>
      </c>
    </row>
    <row r="70" spans="1:4" hidden="1" x14ac:dyDescent="0.25">
      <c r="A70" s="3">
        <f t="shared" ref="A70:A133" si="7">A69+$C$2</f>
        <v>1.6500000000000006</v>
      </c>
      <c r="B70" s="4">
        <f t="shared" si="5"/>
        <v>0.60606060606060586</v>
      </c>
      <c r="C70" s="4">
        <f t="shared" si="6"/>
        <v>6.0423512230741126E-3</v>
      </c>
      <c r="D70" s="4">
        <f t="shared" ref="D70:D101" si="8">D69+C70</f>
        <v>0.50682291148465819</v>
      </c>
    </row>
    <row r="71" spans="1:4" hidden="1" x14ac:dyDescent="0.25">
      <c r="A71" s="3">
        <f t="shared" si="7"/>
        <v>1.6600000000000006</v>
      </c>
      <c r="B71" s="4">
        <f t="shared" si="5"/>
        <v>0.6024096385542167</v>
      </c>
      <c r="C71" s="4">
        <f t="shared" si="6"/>
        <v>6.0060601688189871E-3</v>
      </c>
      <c r="D71" s="4">
        <f t="shared" si="8"/>
        <v>0.51282897165347718</v>
      </c>
    </row>
    <row r="72" spans="1:4" hidden="1" x14ac:dyDescent="0.25">
      <c r="A72" s="3">
        <f t="shared" si="7"/>
        <v>1.6700000000000006</v>
      </c>
      <c r="B72" s="4">
        <f t="shared" si="5"/>
        <v>0.59880239520958067</v>
      </c>
      <c r="C72" s="4">
        <f t="shared" si="6"/>
        <v>5.9702024522383778E-3</v>
      </c>
      <c r="D72" s="4">
        <f t="shared" si="8"/>
        <v>0.51879917410571552</v>
      </c>
    </row>
    <row r="73" spans="1:4" hidden="1" x14ac:dyDescent="0.25">
      <c r="A73" s="3">
        <f t="shared" si="7"/>
        <v>1.6800000000000006</v>
      </c>
      <c r="B73" s="4">
        <f t="shared" si="5"/>
        <v>0.59523809523809501</v>
      </c>
      <c r="C73" s="4">
        <f t="shared" si="6"/>
        <v>5.9347703578472785E-3</v>
      </c>
      <c r="D73" s="4">
        <f t="shared" si="8"/>
        <v>0.52473394446356281</v>
      </c>
    </row>
    <row r="74" spans="1:4" hidden="1" x14ac:dyDescent="0.25">
      <c r="A74" s="3">
        <f t="shared" si="7"/>
        <v>1.6900000000000006</v>
      </c>
      <c r="B74" s="4">
        <f t="shared" si="5"/>
        <v>0.59171597633136075</v>
      </c>
      <c r="C74" s="4">
        <f t="shared" si="6"/>
        <v>5.8997563522450377E-3</v>
      </c>
      <c r="D74" s="4">
        <f t="shared" si="8"/>
        <v>0.53063370081580785</v>
      </c>
    </row>
    <row r="75" spans="1:4" hidden="1" x14ac:dyDescent="0.25">
      <c r="A75" s="3">
        <f t="shared" si="7"/>
        <v>1.7000000000000006</v>
      </c>
      <c r="B75" s="4">
        <f t="shared" si="5"/>
        <v>0.58823529411764686</v>
      </c>
      <c r="C75" s="4">
        <f t="shared" si="6"/>
        <v>5.865153078775367E-3</v>
      </c>
      <c r="D75" s="4">
        <f t="shared" si="8"/>
        <v>0.53649885389458318</v>
      </c>
    </row>
    <row r="76" spans="1:4" hidden="1" x14ac:dyDescent="0.25">
      <c r="A76" s="3">
        <f t="shared" si="7"/>
        <v>1.7100000000000006</v>
      </c>
      <c r="B76" s="4">
        <f t="shared" si="5"/>
        <v>0.58479532163742665</v>
      </c>
      <c r="C76" s="4">
        <f t="shared" si="6"/>
        <v>5.8309533523731782E-3</v>
      </c>
      <c r="D76" s="4">
        <f t="shared" si="8"/>
        <v>0.54232980724695634</v>
      </c>
    </row>
    <row r="77" spans="1:4" hidden="1" x14ac:dyDescent="0.25">
      <c r="A77" s="3">
        <f t="shared" si="7"/>
        <v>1.7200000000000006</v>
      </c>
      <c r="B77" s="4">
        <f t="shared" si="5"/>
        <v>0.58139534883720911</v>
      </c>
      <c r="C77" s="4">
        <f t="shared" si="6"/>
        <v>5.7971501545906693E-3</v>
      </c>
      <c r="D77" s="4">
        <f t="shared" si="8"/>
        <v>0.54812695740154704</v>
      </c>
    </row>
    <row r="78" spans="1:4" hidden="1" x14ac:dyDescent="0.25">
      <c r="A78" s="3">
        <f t="shared" si="7"/>
        <v>1.7300000000000006</v>
      </c>
      <c r="B78" s="4">
        <f t="shared" si="5"/>
        <v>0.57803468208092468</v>
      </c>
      <c r="C78" s="4">
        <f t="shared" si="6"/>
        <v>5.7637366287954265E-3</v>
      </c>
      <c r="D78" s="4">
        <f t="shared" si="8"/>
        <v>0.55389069403034252</v>
      </c>
    </row>
    <row r="79" spans="1:4" hidden="1" x14ac:dyDescent="0.25">
      <c r="A79" s="3">
        <f t="shared" si="7"/>
        <v>1.7400000000000007</v>
      </c>
      <c r="B79" s="4">
        <f t="shared" si="5"/>
        <v>0.57471264367816066</v>
      </c>
      <c r="C79" s="4">
        <f t="shared" si="6"/>
        <v>5.7307060755336595E-3</v>
      </c>
      <c r="D79" s="4">
        <f t="shared" si="8"/>
        <v>0.55962140010587613</v>
      </c>
    </row>
    <row r="80" spans="1:4" hidden="1" x14ac:dyDescent="0.25">
      <c r="A80" s="3">
        <f t="shared" si="7"/>
        <v>1.7500000000000007</v>
      </c>
      <c r="B80" s="4">
        <f t="shared" si="5"/>
        <v>0.57142857142857117</v>
      </c>
      <c r="C80" s="4">
        <f t="shared" si="6"/>
        <v>5.6980519480519451E-3</v>
      </c>
      <c r="D80" s="4">
        <f t="shared" si="8"/>
        <v>0.56531945205392808</v>
      </c>
    </row>
    <row r="81" spans="1:4" hidden="1" x14ac:dyDescent="0.25">
      <c r="A81" s="3">
        <f t="shared" si="7"/>
        <v>1.7600000000000007</v>
      </c>
      <c r="B81" s="4">
        <f t="shared" si="5"/>
        <v>0.56818181818181801</v>
      </c>
      <c r="C81" s="4">
        <f t="shared" si="6"/>
        <v>5.6657678479712361E-3</v>
      </c>
      <c r="D81" s="4">
        <f t="shared" si="8"/>
        <v>0.57098521990189932</v>
      </c>
    </row>
    <row r="82" spans="1:4" hidden="1" x14ac:dyDescent="0.25">
      <c r="A82" s="3">
        <f t="shared" si="7"/>
        <v>1.7700000000000007</v>
      </c>
      <c r="B82" s="4">
        <f t="shared" si="5"/>
        <v>0.56497175141242917</v>
      </c>
      <c r="C82" s="4">
        <f t="shared" si="6"/>
        <v>5.6338475211070898E-3</v>
      </c>
      <c r="D82" s="4">
        <f t="shared" si="8"/>
        <v>0.57661906742300639</v>
      </c>
    </row>
    <row r="83" spans="1:4" hidden="1" x14ac:dyDescent="0.25">
      <c r="A83" s="3">
        <f t="shared" si="7"/>
        <v>1.7800000000000007</v>
      </c>
      <c r="B83" s="4">
        <f t="shared" si="5"/>
        <v>0.56179775280898858</v>
      </c>
      <c r="C83" s="4">
        <f t="shared" si="6"/>
        <v>5.6022848534304174E-3</v>
      </c>
      <c r="D83" s="4">
        <f t="shared" si="8"/>
        <v>0.58222135227643679</v>
      </c>
    </row>
    <row r="84" spans="1:4" hidden="1" x14ac:dyDescent="0.25">
      <c r="A84" s="3">
        <f t="shared" si="7"/>
        <v>1.7900000000000007</v>
      </c>
      <c r="B84" s="4">
        <f t="shared" si="5"/>
        <v>0.55865921787709472</v>
      </c>
      <c r="C84" s="4">
        <f t="shared" si="6"/>
        <v>5.5710738671632502E-3</v>
      </c>
      <c r="D84" s="4">
        <f t="shared" si="8"/>
        <v>0.58779242614360006</v>
      </c>
    </row>
    <row r="85" spans="1:4" hidden="1" x14ac:dyDescent="0.25">
      <c r="A85" s="3">
        <f t="shared" si="7"/>
        <v>1.8000000000000007</v>
      </c>
      <c r="B85" s="4">
        <f t="shared" si="5"/>
        <v>0.55555555555555536</v>
      </c>
      <c r="C85" s="4">
        <f t="shared" si="6"/>
        <v>5.5402087170042958E-3</v>
      </c>
      <c r="D85" s="4">
        <f t="shared" si="8"/>
        <v>0.59333263486060439</v>
      </c>
    </row>
    <row r="86" spans="1:4" hidden="1" x14ac:dyDescent="0.25">
      <c r="A86" s="3">
        <f t="shared" si="7"/>
        <v>1.8100000000000007</v>
      </c>
      <c r="B86" s="4">
        <f t="shared" si="5"/>
        <v>0.55248618784530368</v>
      </c>
      <c r="C86" s="4">
        <f t="shared" si="6"/>
        <v>5.5096836864792654E-3</v>
      </c>
      <c r="D86" s="4">
        <f t="shared" si="8"/>
        <v>0.5988423185470837</v>
      </c>
    </row>
    <row r="87" spans="1:4" hidden="1" x14ac:dyDescent="0.25">
      <c r="A87" s="3">
        <f t="shared" si="7"/>
        <v>1.8200000000000007</v>
      </c>
      <c r="B87" s="4">
        <f t="shared" si="5"/>
        <v>0.54945054945054927</v>
      </c>
      <c r="C87" s="4">
        <f t="shared" si="6"/>
        <v>5.4794931844112148E-3</v>
      </c>
      <c r="D87" s="4">
        <f t="shared" si="8"/>
        <v>0.60432181173149491</v>
      </c>
    </row>
    <row r="88" spans="1:4" hidden="1" x14ac:dyDescent="0.25">
      <c r="A88" s="3">
        <f t="shared" si="7"/>
        <v>1.8300000000000007</v>
      </c>
      <c r="B88" s="4">
        <f t="shared" si="5"/>
        <v>0.54644808743169382</v>
      </c>
      <c r="C88" s="4">
        <f t="shared" si="6"/>
        <v>5.4496317415062938E-3</v>
      </c>
      <c r="D88" s="4">
        <f t="shared" si="8"/>
        <v>0.60977144347300116</v>
      </c>
    </row>
    <row r="89" spans="1:4" hidden="1" x14ac:dyDescent="0.25">
      <c r="A89" s="3">
        <f t="shared" si="7"/>
        <v>1.8400000000000007</v>
      </c>
      <c r="B89" s="4">
        <f t="shared" si="5"/>
        <v>0.54347826086956497</v>
      </c>
      <c r="C89" s="4">
        <f t="shared" si="6"/>
        <v>5.4200940070505263E-3</v>
      </c>
      <c r="D89" s="4">
        <f t="shared" si="8"/>
        <v>0.61519153748005173</v>
      </c>
    </row>
    <row r="90" spans="1:4" hidden="1" x14ac:dyDescent="0.25">
      <c r="A90" s="3">
        <f t="shared" si="7"/>
        <v>1.8500000000000008</v>
      </c>
      <c r="B90" s="4">
        <f t="shared" si="5"/>
        <v>0.54054054054054035</v>
      </c>
      <c r="C90" s="4">
        <f t="shared" si="6"/>
        <v>5.3908747457134532E-3</v>
      </c>
      <c r="D90" s="4">
        <f t="shared" si="8"/>
        <v>0.62058241222576516</v>
      </c>
    </row>
    <row r="91" spans="1:4" hidden="1" x14ac:dyDescent="0.25">
      <c r="A91" s="3">
        <f t="shared" si="7"/>
        <v>1.8600000000000008</v>
      </c>
      <c r="B91" s="4">
        <f t="shared" si="5"/>
        <v>0.53763440860215028</v>
      </c>
      <c r="C91" s="4">
        <f t="shared" si="6"/>
        <v>5.3619688344546E-3</v>
      </c>
      <c r="D91" s="4">
        <f t="shared" si="8"/>
        <v>0.62594438106021977</v>
      </c>
    </row>
    <row r="92" spans="1:4" hidden="1" x14ac:dyDescent="0.25">
      <c r="A92" s="3">
        <f t="shared" si="7"/>
        <v>1.8700000000000008</v>
      </c>
      <c r="B92" s="4">
        <f t="shared" si="5"/>
        <v>0.53475935828876986</v>
      </c>
      <c r="C92" s="4">
        <f t="shared" si="6"/>
        <v>5.3333712595289538E-3</v>
      </c>
      <c r="D92" s="4">
        <f t="shared" si="8"/>
        <v>0.6312777523197487</v>
      </c>
    </row>
    <row r="93" spans="1:4" hidden="1" x14ac:dyDescent="0.25">
      <c r="A93" s="3">
        <f t="shared" si="7"/>
        <v>1.8800000000000008</v>
      </c>
      <c r="B93" s="4">
        <f t="shared" si="5"/>
        <v>0.53191489361702105</v>
      </c>
      <c r="C93" s="4">
        <f t="shared" si="6"/>
        <v>5.3050771135877495E-3</v>
      </c>
      <c r="D93" s="4">
        <f t="shared" si="8"/>
        <v>0.63658282943333644</v>
      </c>
    </row>
    <row r="94" spans="1:4" hidden="1" x14ac:dyDescent="0.25">
      <c r="A94" s="3">
        <f t="shared" si="7"/>
        <v>1.8900000000000008</v>
      </c>
      <c r="B94" s="4">
        <f t="shared" si="5"/>
        <v>0.52910052910052885</v>
      </c>
      <c r="C94" s="4">
        <f t="shared" si="6"/>
        <v>5.277081592871065E-3</v>
      </c>
      <c r="D94" s="4">
        <f t="shared" si="8"/>
        <v>0.64185991102620754</v>
      </c>
    </row>
    <row r="95" spans="1:4" hidden="1" x14ac:dyDescent="0.25">
      <c r="A95" s="3">
        <f t="shared" si="7"/>
        <v>1.9000000000000008</v>
      </c>
      <c r="B95" s="4">
        <f t="shared" si="5"/>
        <v>0.52631578947368396</v>
      </c>
      <c r="C95" s="4">
        <f t="shared" si="6"/>
        <v>5.2493799944888378E-3</v>
      </c>
      <c r="D95" s="4">
        <f t="shared" si="8"/>
        <v>0.64710929102069636</v>
      </c>
    </row>
    <row r="96" spans="1:4" hidden="1" x14ac:dyDescent="0.25">
      <c r="A96" s="3">
        <f t="shared" si="7"/>
        <v>1.9100000000000008</v>
      </c>
      <c r="B96" s="4">
        <f t="shared" si="5"/>
        <v>0.52356020942408354</v>
      </c>
      <c r="C96" s="4">
        <f t="shared" si="6"/>
        <v>5.2219677137870834E-3</v>
      </c>
      <c r="D96" s="4">
        <f t="shared" si="8"/>
        <v>0.6523312587344835</v>
      </c>
    </row>
    <row r="97" spans="1:4" hidden="1" x14ac:dyDescent="0.25">
      <c r="A97" s="3">
        <f t="shared" si="7"/>
        <v>1.9200000000000008</v>
      </c>
      <c r="B97" s="4">
        <f t="shared" si="5"/>
        <v>0.52083333333333315</v>
      </c>
      <c r="C97" s="4">
        <f t="shared" si="6"/>
        <v>5.1948402417961986E-3</v>
      </c>
      <c r="D97" s="4">
        <f t="shared" si="8"/>
        <v>0.65752609897627967</v>
      </c>
    </row>
    <row r="98" spans="1:4" hidden="1" x14ac:dyDescent="0.25">
      <c r="A98" s="3">
        <f t="shared" si="7"/>
        <v>1.9300000000000008</v>
      </c>
      <c r="B98" s="4">
        <f t="shared" si="5"/>
        <v>0.51813471502590647</v>
      </c>
      <c r="C98" s="4">
        <f t="shared" si="6"/>
        <v>5.167993162758398E-3</v>
      </c>
      <c r="D98" s="4">
        <f t="shared" si="8"/>
        <v>0.66269409213903807</v>
      </c>
    </row>
    <row r="99" spans="1:4" hidden="1" x14ac:dyDescent="0.25">
      <c r="A99" s="3">
        <f t="shared" si="7"/>
        <v>1.9400000000000008</v>
      </c>
      <c r="B99" s="4">
        <f t="shared" si="5"/>
        <v>0.51546391752577292</v>
      </c>
      <c r="C99" s="4">
        <f t="shared" si="6"/>
        <v>5.1414221517314274E-3</v>
      </c>
      <c r="D99" s="4">
        <f t="shared" si="8"/>
        <v>0.66783551429076948</v>
      </c>
    </row>
    <row r="100" spans="1:4" hidden="1" x14ac:dyDescent="0.25">
      <c r="A100" s="3">
        <f t="shared" si="7"/>
        <v>1.9500000000000008</v>
      </c>
      <c r="B100" s="4">
        <f t="shared" si="5"/>
        <v>0.51282051282051255</v>
      </c>
      <c r="C100" s="4">
        <f t="shared" si="6"/>
        <v>5.1151229722658266E-3</v>
      </c>
      <c r="D100" s="4">
        <f t="shared" si="8"/>
        <v>0.67295063726303528</v>
      </c>
    </row>
    <row r="101" spans="1:4" hidden="1" x14ac:dyDescent="0.25">
      <c r="A101" s="3">
        <f t="shared" si="7"/>
        <v>1.9600000000000009</v>
      </c>
      <c r="B101" s="4">
        <f t="shared" si="5"/>
        <v>0.51020408163265285</v>
      </c>
      <c r="C101" s="4">
        <f t="shared" si="6"/>
        <v>5.0890914741531113E-3</v>
      </c>
      <c r="D101" s="4">
        <f t="shared" si="8"/>
        <v>0.67803972873718843</v>
      </c>
    </row>
    <row r="102" spans="1:4" hidden="1" x14ac:dyDescent="0.25">
      <c r="A102" s="3">
        <f t="shared" si="7"/>
        <v>1.9700000000000009</v>
      </c>
      <c r="B102" s="4">
        <f t="shared" si="5"/>
        <v>0.50761421319796929</v>
      </c>
      <c r="C102" s="4">
        <f t="shared" si="6"/>
        <v>5.0633235912423699E-3</v>
      </c>
      <c r="D102" s="4">
        <f t="shared" ref="D102:D133" si="9">D101+C102</f>
        <v>0.68310305232843083</v>
      </c>
    </row>
    <row r="103" spans="1:4" hidden="1" x14ac:dyDescent="0.25">
      <c r="A103" s="3">
        <f t="shared" si="7"/>
        <v>1.9800000000000009</v>
      </c>
      <c r="B103" s="4">
        <f t="shared" si="5"/>
        <v>0.50505050505050486</v>
      </c>
      <c r="C103" s="4">
        <f t="shared" si="6"/>
        <v>5.0378153393228755E-3</v>
      </c>
      <c r="D103" s="4">
        <f t="shared" si="9"/>
        <v>0.68814086766775373</v>
      </c>
    </row>
    <row r="104" spans="1:4" hidden="1" x14ac:dyDescent="0.25">
      <c r="A104" s="3">
        <f t="shared" si="7"/>
        <v>1.9900000000000009</v>
      </c>
      <c r="B104" s="4">
        <f t="shared" si="5"/>
        <v>0.50251256281407009</v>
      </c>
      <c r="C104" s="4">
        <f t="shared" si="6"/>
        <v>5.0125628140703492E-3</v>
      </c>
      <c r="D104" s="4">
        <f t="shared" si="9"/>
        <v>0.6931534304818241</v>
      </c>
    </row>
    <row r="105" spans="1:4" hidden="1" x14ac:dyDescent="0.25">
      <c r="A105" s="3">
        <f t="shared" si="7"/>
        <v>2.0000000000000009</v>
      </c>
      <c r="B105" s="4">
        <f t="shared" si="5"/>
        <v>0.49999999999999978</v>
      </c>
      <c r="C105" s="4">
        <f t="shared" si="6"/>
        <v>4.9875621890547242E-3</v>
      </c>
      <c r="D105" s="4">
        <f t="shared" si="9"/>
        <v>0.69814099267087881</v>
      </c>
    </row>
    <row r="106" spans="1:4" hidden="1" x14ac:dyDescent="0.25">
      <c r="A106" s="3">
        <f t="shared" si="7"/>
        <v>2.0100000000000007</v>
      </c>
      <c r="B106" s="4">
        <f t="shared" si="5"/>
        <v>0.49751243781094512</v>
      </c>
      <c r="C106" s="4">
        <f t="shared" si="6"/>
        <v>4.9628097138072003E-3</v>
      </c>
      <c r="D106" s="4">
        <f t="shared" si="9"/>
        <v>0.70310380238468606</v>
      </c>
    </row>
    <row r="107" spans="1:4" hidden="1" x14ac:dyDescent="0.25">
      <c r="A107" s="3">
        <f t="shared" si="7"/>
        <v>2.0200000000000005</v>
      </c>
      <c r="B107" s="4">
        <f t="shared" si="5"/>
        <v>0.49504950495049493</v>
      </c>
      <c r="C107" s="4">
        <f t="shared" si="6"/>
        <v>4.9383017119445927E-3</v>
      </c>
      <c r="D107" s="4">
        <f t="shared" si="9"/>
        <v>0.70804210409663071</v>
      </c>
    </row>
    <row r="108" spans="1:4" hidden="1" x14ac:dyDescent="0.25">
      <c r="A108" s="3">
        <f t="shared" si="7"/>
        <v>2.0300000000000002</v>
      </c>
      <c r="B108" s="4">
        <f t="shared" si="5"/>
        <v>0.4926108374384236</v>
      </c>
      <c r="C108" s="4">
        <f t="shared" si="6"/>
        <v>4.9140345793489805E-3</v>
      </c>
      <c r="D108" s="4">
        <f t="shared" si="9"/>
        <v>0.71295613867597973</v>
      </c>
    </row>
    <row r="109" spans="1:4" hidden="1" x14ac:dyDescent="0.25">
      <c r="A109" s="3">
        <f t="shared" si="7"/>
        <v>2.04</v>
      </c>
      <c r="B109" s="4">
        <f t="shared" si="5"/>
        <v>0.49019607843137253</v>
      </c>
      <c r="C109" s="4">
        <f t="shared" si="6"/>
        <v>4.8900047824007656E-3</v>
      </c>
      <c r="D109" s="4">
        <f t="shared" si="9"/>
        <v>0.71784614345838049</v>
      </c>
    </row>
    <row r="110" spans="1:4" hidden="1" x14ac:dyDescent="0.25">
      <c r="A110" s="3">
        <f t="shared" si="7"/>
        <v>2.0499999999999998</v>
      </c>
      <c r="B110" s="4">
        <f t="shared" si="5"/>
        <v>0.48780487804878053</v>
      </c>
      <c r="C110" s="4">
        <f t="shared" si="6"/>
        <v>4.866208856263321E-3</v>
      </c>
      <c r="D110" s="4">
        <f t="shared" si="9"/>
        <v>0.72271235231464381</v>
      </c>
    </row>
    <row r="111" spans="1:4" hidden="1" x14ac:dyDescent="0.25">
      <c r="A111" s="3">
        <f t="shared" si="7"/>
        <v>2.0599999999999996</v>
      </c>
      <c r="B111" s="4">
        <f t="shared" si="5"/>
        <v>0.48543689320388361</v>
      </c>
      <c r="C111" s="4">
        <f t="shared" si="6"/>
        <v>4.842643403217487E-3</v>
      </c>
      <c r="D111" s="4">
        <f t="shared" si="9"/>
        <v>0.72755499571786131</v>
      </c>
    </row>
    <row r="112" spans="1:4" hidden="1" x14ac:dyDescent="0.25">
      <c r="A112" s="3">
        <f t="shared" si="7"/>
        <v>2.0699999999999994</v>
      </c>
      <c r="B112" s="4">
        <f t="shared" si="5"/>
        <v>0.48309178743961367</v>
      </c>
      <c r="C112" s="4">
        <f t="shared" si="6"/>
        <v>4.8193050910442228E-3</v>
      </c>
      <c r="D112" s="4">
        <f t="shared" si="9"/>
        <v>0.73237430080890553</v>
      </c>
    </row>
    <row r="113" spans="1:4" hidden="1" x14ac:dyDescent="0.25">
      <c r="A113" s="3">
        <f t="shared" si="7"/>
        <v>2.0799999999999992</v>
      </c>
      <c r="B113" s="4">
        <f t="shared" si="5"/>
        <v>0.48076923076923095</v>
      </c>
      <c r="C113" s="4">
        <f t="shared" si="6"/>
        <v>4.7961906514538116E-3</v>
      </c>
      <c r="D113" s="4">
        <f t="shared" si="9"/>
        <v>0.73717049146035929</v>
      </c>
    </row>
    <row r="114" spans="1:4" hidden="1" x14ac:dyDescent="0.25">
      <c r="A114" s="3">
        <f t="shared" si="7"/>
        <v>2.089999999999999</v>
      </c>
      <c r="B114" s="4">
        <f t="shared" si="5"/>
        <v>0.47846889952153132</v>
      </c>
      <c r="C114" s="4">
        <f t="shared" si="6"/>
        <v>4.7732968785600396E-3</v>
      </c>
      <c r="D114" s="4">
        <f t="shared" si="9"/>
        <v>0.74194378833891927</v>
      </c>
    </row>
    <row r="115" spans="1:4" hidden="1" x14ac:dyDescent="0.25">
      <c r="A115" s="3">
        <f t="shared" si="7"/>
        <v>2.0999999999999988</v>
      </c>
      <c r="B115" s="4">
        <f t="shared" si="5"/>
        <v>0.4761904761904765</v>
      </c>
      <c r="C115" s="4">
        <f t="shared" si="6"/>
        <v>4.7506206273978816E-3</v>
      </c>
      <c r="D115" s="4">
        <f t="shared" si="9"/>
        <v>0.74669440896631711</v>
      </c>
    </row>
    <row r="116" spans="1:4" hidden="1" x14ac:dyDescent="0.25">
      <c r="A116" s="3">
        <f t="shared" si="7"/>
        <v>2.1099999999999985</v>
      </c>
      <c r="B116" s="4">
        <f t="shared" si="5"/>
        <v>0.47393364928909987</v>
      </c>
      <c r="C116" s="4">
        <f t="shared" si="6"/>
        <v>4.7281588124832375E-3</v>
      </c>
      <c r="D116" s="4">
        <f t="shared" si="9"/>
        <v>0.75142256777880034</v>
      </c>
    </row>
    <row r="117" spans="1:4" hidden="1" x14ac:dyDescent="0.25">
      <c r="A117" s="3">
        <f t="shared" si="7"/>
        <v>2.1199999999999983</v>
      </c>
      <c r="B117" s="4">
        <f t="shared" si="5"/>
        <v>0.47169811320754756</v>
      </c>
      <c r="C117" s="4">
        <f t="shared" si="6"/>
        <v>4.7059084064133266E-3</v>
      </c>
      <c r="D117" s="4">
        <f t="shared" si="9"/>
        <v>0.75612847618521362</v>
      </c>
    </row>
    <row r="118" spans="1:4" hidden="1" x14ac:dyDescent="0.25">
      <c r="A118" s="3">
        <f t="shared" si="7"/>
        <v>2.1299999999999981</v>
      </c>
      <c r="B118" s="4">
        <f t="shared" si="5"/>
        <v>0.46948356807511776</v>
      </c>
      <c r="C118" s="4">
        <f t="shared" si="6"/>
        <v>4.6838664385064326E-3</v>
      </c>
      <c r="D118" s="4">
        <f t="shared" si="9"/>
        <v>0.76081234262371999</v>
      </c>
    </row>
    <row r="119" spans="1:4" hidden="1" x14ac:dyDescent="0.25">
      <c r="A119" s="3">
        <f t="shared" si="7"/>
        <v>2.1399999999999979</v>
      </c>
      <c r="B119" s="4">
        <f t="shared" si="5"/>
        <v>0.46728971962616866</v>
      </c>
      <c r="C119" s="4">
        <f t="shared" si="6"/>
        <v>4.6620299934796829E-3</v>
      </c>
      <c r="D119" s="4">
        <f t="shared" si="9"/>
        <v>0.76547437261719964</v>
      </c>
    </row>
    <row r="120" spans="1:4" hidden="1" x14ac:dyDescent="0.25">
      <c r="A120" s="3">
        <f t="shared" si="7"/>
        <v>2.1499999999999977</v>
      </c>
      <c r="B120" s="4">
        <f t="shared" si="5"/>
        <v>0.46511627906976794</v>
      </c>
      <c r="C120" s="4">
        <f t="shared" si="6"/>
        <v>4.6403962101636579E-3</v>
      </c>
      <c r="D120" s="4">
        <f t="shared" si="9"/>
        <v>0.77011476882736329</v>
      </c>
    </row>
    <row r="121" spans="1:4" hidden="1" x14ac:dyDescent="0.25">
      <c r="A121" s="3">
        <f t="shared" si="7"/>
        <v>2.1599999999999975</v>
      </c>
      <c r="B121" s="4">
        <f t="shared" si="5"/>
        <v>0.46296296296296352</v>
      </c>
      <c r="C121" s="4">
        <f t="shared" si="6"/>
        <v>4.6189622802526092E-3</v>
      </c>
      <c r="D121" s="4">
        <f t="shared" si="9"/>
        <v>0.7747337311076159</v>
      </c>
    </row>
    <row r="122" spans="1:4" hidden="1" x14ac:dyDescent="0.25">
      <c r="A122" s="3">
        <f t="shared" si="7"/>
        <v>2.1699999999999973</v>
      </c>
      <c r="B122" s="4">
        <f t="shared" si="5"/>
        <v>0.46082949308755816</v>
      </c>
      <c r="C122" s="4">
        <f t="shared" si="6"/>
        <v>4.5977254470891708E-3</v>
      </c>
      <c r="D122" s="4">
        <f t="shared" si="9"/>
        <v>0.77933145655470504</v>
      </c>
    </row>
    <row r="123" spans="1:4" hidden="1" x14ac:dyDescent="0.25">
      <c r="A123" s="3">
        <f t="shared" si="7"/>
        <v>2.1799999999999971</v>
      </c>
      <c r="B123" s="4">
        <f t="shared" si="5"/>
        <v>0.45871559633027587</v>
      </c>
      <c r="C123" s="4">
        <f t="shared" si="6"/>
        <v>4.5766830044824324E-3</v>
      </c>
      <c r="D123" s="4">
        <f t="shared" si="9"/>
        <v>0.78390813955918748</v>
      </c>
    </row>
    <row r="124" spans="1:4" hidden="1" x14ac:dyDescent="0.25">
      <c r="A124" s="3">
        <f t="shared" si="7"/>
        <v>2.1899999999999968</v>
      </c>
      <c r="B124" s="4">
        <f t="shared" si="5"/>
        <v>0.45662100456621069</v>
      </c>
      <c r="C124" s="4">
        <f t="shared" si="6"/>
        <v>4.5558322955583297E-3</v>
      </c>
      <c r="D124" s="4">
        <f t="shared" si="9"/>
        <v>0.78846397185474582</v>
      </c>
    </row>
    <row r="125" spans="1:4" hidden="1" x14ac:dyDescent="0.25">
      <c r="A125" s="3">
        <f t="shared" si="7"/>
        <v>2.1999999999999966</v>
      </c>
      <c r="B125" s="4">
        <f t="shared" si="5"/>
        <v>0.45454545454545525</v>
      </c>
      <c r="C125" s="4">
        <f t="shared" si="6"/>
        <v>4.5351707116413073E-3</v>
      </c>
      <c r="D125" s="4">
        <f t="shared" si="9"/>
        <v>0.79299914256638715</v>
      </c>
    </row>
    <row r="126" spans="1:4" hidden="1" x14ac:dyDescent="0.25">
      <c r="A126" s="3">
        <f t="shared" si="7"/>
        <v>2.2099999999999964</v>
      </c>
      <c r="B126" s="4">
        <f t="shared" si="5"/>
        <v>0.45248868778280615</v>
      </c>
      <c r="C126" s="4">
        <f t="shared" si="6"/>
        <v>4.5146956911662874E-3</v>
      </c>
      <c r="D126" s="4">
        <f t="shared" si="9"/>
        <v>0.7975138382575534</v>
      </c>
    </row>
    <row r="127" spans="1:4" hidden="1" x14ac:dyDescent="0.25">
      <c r="A127" s="3">
        <f t="shared" si="7"/>
        <v>2.2199999999999962</v>
      </c>
      <c r="B127" s="4">
        <f t="shared" si="5"/>
        <v>0.45045045045045123</v>
      </c>
      <c r="C127" s="4">
        <f t="shared" si="6"/>
        <v>4.494404718619973E-3</v>
      </c>
      <c r="D127" s="4">
        <f t="shared" si="9"/>
        <v>0.80200824297617335</v>
      </c>
    </row>
    <row r="128" spans="1:4" hidden="1" x14ac:dyDescent="0.25">
      <c r="A128" s="3">
        <f t="shared" si="7"/>
        <v>2.229999999999996</v>
      </c>
      <c r="B128" s="4">
        <f t="shared" si="5"/>
        <v>0.4484304932735434</v>
      </c>
      <c r="C128" s="4">
        <f t="shared" si="6"/>
        <v>4.4742953235105791E-3</v>
      </c>
      <c r="D128" s="4">
        <f t="shared" si="9"/>
        <v>0.80648253829968397</v>
      </c>
    </row>
    <row r="129" spans="1:4" hidden="1" x14ac:dyDescent="0.25">
      <c r="A129" s="3">
        <f t="shared" si="7"/>
        <v>2.2399999999999958</v>
      </c>
      <c r="B129" s="4">
        <f t="shared" si="5"/>
        <v>0.44642857142857229</v>
      </c>
      <c r="C129" s="4">
        <f t="shared" si="6"/>
        <v>4.4543650793650883E-3</v>
      </c>
      <c r="D129" s="4">
        <f t="shared" si="9"/>
        <v>0.81093690337904911</v>
      </c>
    </row>
    <row r="130" spans="1:4" hidden="1" x14ac:dyDescent="0.25">
      <c r="A130" s="3">
        <f t="shared" si="7"/>
        <v>2.2499999999999956</v>
      </c>
      <c r="B130" s="4">
        <f t="shared" si="5"/>
        <v>0.44444444444444531</v>
      </c>
      <c r="C130" s="4">
        <f t="shared" si="6"/>
        <v>4.4346116027532047E-3</v>
      </c>
      <c r="D130" s="4">
        <f t="shared" si="9"/>
        <v>0.81537151498180227</v>
      </c>
    </row>
    <row r="131" spans="1:4" hidden="1" x14ac:dyDescent="0.25">
      <c r="A131" s="3">
        <f t="shared" si="7"/>
        <v>2.2599999999999953</v>
      </c>
      <c r="B131" s="4">
        <f t="shared" si="5"/>
        <v>0.4424778761061956</v>
      </c>
      <c r="C131" s="4">
        <f t="shared" si="6"/>
        <v>4.4150325523371501E-3</v>
      </c>
      <c r="D131" s="4">
        <f t="shared" si="9"/>
        <v>0.81978654753413938</v>
      </c>
    </row>
    <row r="132" spans="1:4" hidden="1" x14ac:dyDescent="0.25">
      <c r="A132" s="3">
        <f t="shared" si="7"/>
        <v>2.2699999999999951</v>
      </c>
      <c r="B132" s="4">
        <f t="shared" si="5"/>
        <v>0.44052863436123441</v>
      </c>
      <c r="C132" s="4">
        <f t="shared" si="6"/>
        <v>4.3956256279465275E-3</v>
      </c>
      <c r="D132" s="4">
        <f t="shared" si="9"/>
        <v>0.82418217316208586</v>
      </c>
    </row>
    <row r="133" spans="1:4" hidden="1" x14ac:dyDescent="0.25">
      <c r="A133" s="3">
        <f t="shared" si="7"/>
        <v>2.2799999999999949</v>
      </c>
      <c r="B133" s="4">
        <f t="shared" ref="B133:B196" si="10">1/A133</f>
        <v>0.43859649122807115</v>
      </c>
      <c r="C133" s="4">
        <f t="shared" ref="C133:C196" si="11">(B133+B134)/2*$C$2</f>
        <v>4.376388569677479E-3</v>
      </c>
      <c r="D133" s="4">
        <f t="shared" si="9"/>
        <v>0.82855856173176334</v>
      </c>
    </row>
    <row r="134" spans="1:4" hidden="1" x14ac:dyDescent="0.25">
      <c r="A134" s="3">
        <f t="shared" ref="A134:A197" si="12">A133+$C$2</f>
        <v>2.2899999999999947</v>
      </c>
      <c r="B134" s="4">
        <f t="shared" si="10"/>
        <v>0.4366812227074246</v>
      </c>
      <c r="C134" s="4">
        <f t="shared" si="11"/>
        <v>4.3573191570153895E-3</v>
      </c>
      <c r="D134" s="4">
        <f t="shared" ref="D134:D165" si="13">D133+C134</f>
        <v>0.83291588088877877</v>
      </c>
    </row>
    <row r="135" spans="1:4" hidden="1" x14ac:dyDescent="0.25">
      <c r="A135" s="3">
        <f t="shared" si="12"/>
        <v>2.2999999999999945</v>
      </c>
      <c r="B135" s="4">
        <f t="shared" si="10"/>
        <v>0.43478260869565322</v>
      </c>
      <c r="C135" s="4">
        <f t="shared" si="11"/>
        <v>4.3384152079804358E-3</v>
      </c>
      <c r="D135" s="4">
        <f t="shared" si="13"/>
        <v>0.83725429609675917</v>
      </c>
    </row>
    <row r="136" spans="1:4" hidden="1" x14ac:dyDescent="0.25">
      <c r="A136" s="3">
        <f t="shared" si="12"/>
        <v>2.3099999999999943</v>
      </c>
      <c r="B136" s="4">
        <f t="shared" si="10"/>
        <v>0.43290043290043395</v>
      </c>
      <c r="C136" s="4">
        <f t="shared" si="11"/>
        <v>4.3196745782952788E-3</v>
      </c>
      <c r="D136" s="4">
        <f t="shared" si="13"/>
        <v>0.84157397067505446</v>
      </c>
    </row>
    <row r="137" spans="1:4" hidden="1" x14ac:dyDescent="0.25">
      <c r="A137" s="3">
        <f t="shared" si="12"/>
        <v>2.3199999999999941</v>
      </c>
      <c r="B137" s="4">
        <f t="shared" si="10"/>
        <v>0.43103448275862177</v>
      </c>
      <c r="C137" s="4">
        <f t="shared" si="11"/>
        <v>4.3010951605742306E-3</v>
      </c>
      <c r="D137" s="4">
        <f t="shared" si="13"/>
        <v>0.84587506583562866</v>
      </c>
    </row>
    <row r="138" spans="1:4" hidden="1" x14ac:dyDescent="0.25">
      <c r="A138" s="3">
        <f t="shared" si="12"/>
        <v>2.3299999999999939</v>
      </c>
      <c r="B138" s="4">
        <f t="shared" si="10"/>
        <v>0.4291845493562243</v>
      </c>
      <c r="C138" s="4">
        <f t="shared" si="11"/>
        <v>4.2826748835332641E-3</v>
      </c>
      <c r="D138" s="4">
        <f t="shared" si="13"/>
        <v>0.85015774071916195</v>
      </c>
    </row>
    <row r="139" spans="1:4" hidden="1" x14ac:dyDescent="0.25">
      <c r="A139" s="3">
        <f t="shared" si="12"/>
        <v>2.3399999999999936</v>
      </c>
      <c r="B139" s="4">
        <f t="shared" si="10"/>
        <v>0.4273504273504285</v>
      </c>
      <c r="C139" s="4">
        <f t="shared" si="11"/>
        <v>4.2644117112202338E-3</v>
      </c>
      <c r="D139" s="4">
        <f t="shared" si="13"/>
        <v>0.85442215243038222</v>
      </c>
    </row>
    <row r="140" spans="1:4" hidden="1" x14ac:dyDescent="0.25">
      <c r="A140" s="3">
        <f t="shared" si="12"/>
        <v>2.3499999999999934</v>
      </c>
      <c r="B140" s="4">
        <f t="shared" si="10"/>
        <v>0.42553191489361819</v>
      </c>
      <c r="C140" s="4">
        <f t="shared" si="11"/>
        <v>4.2463036422647074E-3</v>
      </c>
      <c r="D140" s="4">
        <f t="shared" si="13"/>
        <v>0.85866845607264697</v>
      </c>
    </row>
    <row r="141" spans="1:4" hidden="1" x14ac:dyDescent="0.25">
      <c r="A141" s="3">
        <f t="shared" si="12"/>
        <v>2.3599999999999932</v>
      </c>
      <c r="B141" s="4">
        <f t="shared" si="10"/>
        <v>0.42372881355932324</v>
      </c>
      <c r="C141" s="4">
        <f t="shared" si="11"/>
        <v>4.2283487091468331E-3</v>
      </c>
      <c r="D141" s="4">
        <f t="shared" si="13"/>
        <v>0.86289680478179376</v>
      </c>
    </row>
    <row r="142" spans="1:4" hidden="1" x14ac:dyDescent="0.25">
      <c r="A142" s="3">
        <f t="shared" si="12"/>
        <v>2.369999999999993</v>
      </c>
      <c r="B142" s="4">
        <f t="shared" si="10"/>
        <v>0.42194092827004342</v>
      </c>
      <c r="C142" s="4">
        <f t="shared" si="11"/>
        <v>4.2105449774846775E-3</v>
      </c>
      <c r="D142" s="4">
        <f t="shared" si="13"/>
        <v>0.86710734975927839</v>
      </c>
    </row>
    <row r="143" spans="1:4" hidden="1" x14ac:dyDescent="0.25">
      <c r="A143" s="3">
        <f t="shared" si="12"/>
        <v>2.3799999999999928</v>
      </c>
      <c r="B143" s="4">
        <f t="shared" si="10"/>
        <v>0.42016806722689204</v>
      </c>
      <c r="C143" s="4">
        <f t="shared" si="11"/>
        <v>4.1928905453394874E-3</v>
      </c>
      <c r="D143" s="4">
        <f t="shared" si="13"/>
        <v>0.87130024030461783</v>
      </c>
    </row>
    <row r="144" spans="1:4" hidden="1" x14ac:dyDescent="0.25">
      <c r="A144" s="3">
        <f t="shared" si="12"/>
        <v>2.3899999999999926</v>
      </c>
      <c r="B144" s="4">
        <f t="shared" si="10"/>
        <v>0.4184100418410055</v>
      </c>
      <c r="C144" s="4">
        <f t="shared" si="11"/>
        <v>4.1753835425383679E-3</v>
      </c>
      <c r="D144" s="4">
        <f t="shared" si="13"/>
        <v>0.87547562384715616</v>
      </c>
    </row>
    <row r="145" spans="1:4" hidden="1" x14ac:dyDescent="0.25">
      <c r="A145" s="3">
        <f t="shared" si="12"/>
        <v>2.3999999999999924</v>
      </c>
      <c r="B145" s="4">
        <f t="shared" si="10"/>
        <v>0.41666666666666802</v>
      </c>
      <c r="C145" s="4">
        <f t="shared" si="11"/>
        <v>4.1580221300138451E-3</v>
      </c>
      <c r="D145" s="4">
        <f t="shared" si="13"/>
        <v>0.87963364597716998</v>
      </c>
    </row>
    <row r="146" spans="1:4" hidden="1" x14ac:dyDescent="0.25">
      <c r="A146" s="3">
        <f t="shared" si="12"/>
        <v>2.4099999999999921</v>
      </c>
      <c r="B146" s="4">
        <f t="shared" si="10"/>
        <v>0.41493775933610094</v>
      </c>
      <c r="C146" s="4">
        <f t="shared" si="11"/>
        <v>4.1408044991598503E-3</v>
      </c>
      <c r="D146" s="4">
        <f t="shared" si="13"/>
        <v>0.88377445047632985</v>
      </c>
    </row>
    <row r="147" spans="1:4" hidden="1" x14ac:dyDescent="0.25">
      <c r="A147" s="3">
        <f t="shared" si="12"/>
        <v>2.4199999999999919</v>
      </c>
      <c r="B147" s="4">
        <f t="shared" si="10"/>
        <v>0.41322314049586917</v>
      </c>
      <c r="C147" s="4">
        <f t="shared" si="11"/>
        <v>4.1237288712036328E-3</v>
      </c>
      <c r="D147" s="4">
        <f t="shared" si="13"/>
        <v>0.88789817934753346</v>
      </c>
    </row>
    <row r="148" spans="1:4" hidden="1" x14ac:dyDescent="0.25">
      <c r="A148" s="3">
        <f t="shared" si="12"/>
        <v>2.4299999999999917</v>
      </c>
      <c r="B148" s="4">
        <f t="shared" si="10"/>
        <v>0.41152263374485737</v>
      </c>
      <c r="C148" s="4">
        <f t="shared" si="11"/>
        <v>4.106793496593146E-3</v>
      </c>
      <c r="D148" s="4">
        <f t="shared" si="13"/>
        <v>0.89200497284412661</v>
      </c>
    </row>
    <row r="149" spans="1:4" hidden="1" x14ac:dyDescent="0.25">
      <c r="A149" s="3">
        <f t="shared" si="12"/>
        <v>2.4399999999999915</v>
      </c>
      <c r="B149" s="4">
        <f t="shared" si="10"/>
        <v>0.40983606557377189</v>
      </c>
      <c r="C149" s="4">
        <f t="shared" si="11"/>
        <v>4.0899966543994793E-3</v>
      </c>
      <c r="D149" s="4">
        <f t="shared" si="13"/>
        <v>0.89609496949852607</v>
      </c>
    </row>
    <row r="150" spans="1:4" hidden="1" x14ac:dyDescent="0.25">
      <c r="A150" s="3">
        <f t="shared" si="12"/>
        <v>2.4499999999999913</v>
      </c>
      <c r="B150" s="4">
        <f t="shared" si="10"/>
        <v>0.4081632653061239</v>
      </c>
      <c r="C150" s="4">
        <f t="shared" si="11"/>
        <v>4.073336651733879E-3</v>
      </c>
      <c r="D150" s="4">
        <f t="shared" si="13"/>
        <v>0.90016830615026</v>
      </c>
    </row>
    <row r="151" spans="1:4" hidden="1" x14ac:dyDescent="0.25">
      <c r="A151" s="3">
        <f t="shared" si="12"/>
        <v>2.4599999999999911</v>
      </c>
      <c r="B151" s="4">
        <f t="shared" si="10"/>
        <v>0.4065040650406519</v>
      </c>
      <c r="C151" s="4">
        <f t="shared" si="11"/>
        <v>4.0568118231789751E-3</v>
      </c>
      <c r="D151" s="4">
        <f t="shared" si="13"/>
        <v>0.90422511797343896</v>
      </c>
    </row>
    <row r="152" spans="1:4" hidden="1" x14ac:dyDescent="0.25">
      <c r="A152" s="3">
        <f t="shared" si="12"/>
        <v>2.4699999999999909</v>
      </c>
      <c r="B152" s="4">
        <f t="shared" si="10"/>
        <v>0.40485829959514319</v>
      </c>
      <c r="C152" s="4">
        <f t="shared" si="11"/>
        <v>4.0404205302337886E-3</v>
      </c>
      <c r="D152" s="4">
        <f t="shared" si="13"/>
        <v>0.90826553850367275</v>
      </c>
    </row>
    <row r="153" spans="1:4" hidden="1" x14ac:dyDescent="0.25">
      <c r="A153" s="3">
        <f t="shared" si="12"/>
        <v>2.4799999999999907</v>
      </c>
      <c r="B153" s="4">
        <f t="shared" si="10"/>
        <v>0.40322580645161443</v>
      </c>
      <c r="C153" s="4">
        <f t="shared" si="11"/>
        <v>4.0241611607721361E-3</v>
      </c>
      <c r="D153" s="4">
        <f t="shared" si="13"/>
        <v>0.91228969966444484</v>
      </c>
    </row>
    <row r="154" spans="1:4" hidden="1" x14ac:dyDescent="0.25">
      <c r="A154" s="3">
        <f t="shared" si="12"/>
        <v>2.4899999999999904</v>
      </c>
      <c r="B154" s="4">
        <f t="shared" si="10"/>
        <v>0.4016064257028128</v>
      </c>
      <c r="C154" s="4">
        <f t="shared" si="11"/>
        <v>4.0080321285140717E-3</v>
      </c>
      <c r="D154" s="4">
        <f t="shared" si="13"/>
        <v>0.91629773179295892</v>
      </c>
    </row>
    <row r="155" spans="1:4" hidden="1" x14ac:dyDescent="0.25">
      <c r="A155" s="3">
        <f t="shared" si="12"/>
        <v>2.4999999999999902</v>
      </c>
      <c r="B155" s="4">
        <f t="shared" si="10"/>
        <v>0.40000000000000158</v>
      </c>
      <c r="C155" s="4">
        <f t="shared" si="11"/>
        <v>3.9920318725099758E-3</v>
      </c>
      <c r="D155" s="4">
        <f t="shared" si="13"/>
        <v>0.92028976366546889</v>
      </c>
    </row>
    <row r="156" spans="1:4" hidden="1" x14ac:dyDescent="0.25">
      <c r="A156" s="3">
        <f t="shared" si="12"/>
        <v>2.50999999999999</v>
      </c>
      <c r="B156" s="4">
        <f t="shared" si="10"/>
        <v>0.39840637450199362</v>
      </c>
      <c r="C156" s="4">
        <f t="shared" si="11"/>
        <v>3.9761588566369598E-3</v>
      </c>
      <c r="D156" s="4">
        <f t="shared" si="13"/>
        <v>0.92426592252210582</v>
      </c>
    </row>
    <row r="157" spans="1:4" hidden="1" x14ac:dyDescent="0.25">
      <c r="A157" s="3">
        <f t="shared" si="12"/>
        <v>2.5199999999999898</v>
      </c>
      <c r="B157" s="4">
        <f t="shared" si="10"/>
        <v>0.39682539682539841</v>
      </c>
      <c r="C157" s="4">
        <f t="shared" si="11"/>
        <v>3.9604115691072375E-3</v>
      </c>
      <c r="D157" s="4">
        <f t="shared" si="13"/>
        <v>0.92822633409121302</v>
      </c>
    </row>
    <row r="158" spans="1:4" hidden="1" x14ac:dyDescent="0.25">
      <c r="A158" s="3">
        <f t="shared" si="12"/>
        <v>2.5299999999999896</v>
      </c>
      <c r="B158" s="4">
        <f t="shared" si="10"/>
        <v>0.39525691699604903</v>
      </c>
      <c r="C158" s="4">
        <f t="shared" si="11"/>
        <v>3.9447885219881275E-3</v>
      </c>
      <c r="D158" s="4">
        <f t="shared" si="13"/>
        <v>0.93217112261320112</v>
      </c>
    </row>
    <row r="159" spans="1:4" hidden="1" x14ac:dyDescent="0.25">
      <c r="A159" s="3">
        <f t="shared" si="12"/>
        <v>2.5399999999999894</v>
      </c>
      <c r="B159" s="4">
        <f t="shared" si="10"/>
        <v>0.39370078740157644</v>
      </c>
      <c r="C159" s="4">
        <f t="shared" si="11"/>
        <v>3.9292882507333806E-3</v>
      </c>
      <c r="D159" s="4">
        <f t="shared" si="13"/>
        <v>0.93610041086393447</v>
      </c>
    </row>
    <row r="160" spans="1:4" hidden="1" x14ac:dyDescent="0.25">
      <c r="A160" s="3">
        <f t="shared" si="12"/>
        <v>2.5499999999999892</v>
      </c>
      <c r="B160" s="4">
        <f t="shared" si="10"/>
        <v>0.3921568627450997</v>
      </c>
      <c r="C160" s="4">
        <f t="shared" si="11"/>
        <v>3.9139093137255066E-3</v>
      </c>
      <c r="D160" s="4">
        <f t="shared" si="13"/>
        <v>0.94001432017765996</v>
      </c>
    </row>
    <row r="161" spans="1:4" hidden="1" x14ac:dyDescent="0.25">
      <c r="A161" s="3">
        <f t="shared" si="12"/>
        <v>2.559999999999989</v>
      </c>
      <c r="B161" s="4">
        <f t="shared" si="10"/>
        <v>0.39062500000000167</v>
      </c>
      <c r="C161" s="4">
        <f t="shared" si="11"/>
        <v>3.8986502918288107E-3</v>
      </c>
      <c r="D161" s="4">
        <f t="shared" si="13"/>
        <v>0.94391297046948874</v>
      </c>
    </row>
    <row r="162" spans="1:4" hidden="1" x14ac:dyDescent="0.25">
      <c r="A162" s="3">
        <f t="shared" si="12"/>
        <v>2.5699999999999887</v>
      </c>
      <c r="B162" s="4">
        <f t="shared" si="10"/>
        <v>0.38910505836576048</v>
      </c>
      <c r="C162" s="4">
        <f t="shared" si="11"/>
        <v>3.8835097879528426E-3</v>
      </c>
      <c r="D162" s="4">
        <f t="shared" si="13"/>
        <v>0.94779648025744156</v>
      </c>
    </row>
    <row r="163" spans="1:4" hidden="1" x14ac:dyDescent="0.25">
      <c r="A163" s="3">
        <f t="shared" si="12"/>
        <v>2.5799999999999885</v>
      </c>
      <c r="B163" s="4">
        <f t="shared" si="10"/>
        <v>0.38759689922480794</v>
      </c>
      <c r="C163" s="4">
        <f t="shared" si="11"/>
        <v>3.8684864266259789E-3</v>
      </c>
      <c r="D163" s="4">
        <f t="shared" si="13"/>
        <v>0.95166496668406753</v>
      </c>
    </row>
    <row r="164" spans="1:4" hidden="1" x14ac:dyDescent="0.25">
      <c r="A164" s="3">
        <f t="shared" si="12"/>
        <v>2.5899999999999883</v>
      </c>
      <c r="B164" s="4">
        <f t="shared" si="10"/>
        <v>0.38610038610038783</v>
      </c>
      <c r="C164" s="4">
        <f t="shared" si="11"/>
        <v>3.8535788535788706E-3</v>
      </c>
      <c r="D164" s="4">
        <f t="shared" si="13"/>
        <v>0.95551854553764637</v>
      </c>
    </row>
    <row r="165" spans="1:4" hidden="1" x14ac:dyDescent="0.25">
      <c r="A165" s="3">
        <f t="shared" si="12"/>
        <v>2.5999999999999881</v>
      </c>
      <c r="B165" s="4">
        <f t="shared" si="10"/>
        <v>0.38461538461538636</v>
      </c>
      <c r="C165" s="4">
        <f t="shared" si="11"/>
        <v>3.838785735337477E-3</v>
      </c>
      <c r="D165" s="4">
        <f t="shared" si="13"/>
        <v>0.95935733127298384</v>
      </c>
    </row>
    <row r="166" spans="1:4" hidden="1" x14ac:dyDescent="0.25">
      <c r="A166" s="3">
        <f t="shared" si="12"/>
        <v>2.6099999999999879</v>
      </c>
      <c r="B166" s="4">
        <f t="shared" si="10"/>
        <v>0.38314176245210907</v>
      </c>
      <c r="C166" s="4">
        <f t="shared" si="11"/>
        <v>3.8241057588254404E-3</v>
      </c>
      <c r="D166" s="4">
        <f t="shared" ref="D166:D197" si="14">D165+C166</f>
        <v>0.96318143703180925</v>
      </c>
    </row>
    <row r="167" spans="1:4" hidden="1" x14ac:dyDescent="0.25">
      <c r="A167" s="3">
        <f t="shared" si="12"/>
        <v>2.6199999999999877</v>
      </c>
      <c r="B167" s="4">
        <f t="shared" si="10"/>
        <v>0.3816793893129789</v>
      </c>
      <c r="C167" s="4">
        <f t="shared" si="11"/>
        <v>3.8095376309755504E-3</v>
      </c>
      <c r="D167" s="4">
        <f t="shared" si="14"/>
        <v>0.96699097466278483</v>
      </c>
    </row>
    <row r="168" spans="1:4" hidden="1" x14ac:dyDescent="0.25">
      <c r="A168" s="3">
        <f t="shared" si="12"/>
        <v>2.6299999999999875</v>
      </c>
      <c r="B168" s="4">
        <f t="shared" si="10"/>
        <v>0.38022813688213108</v>
      </c>
      <c r="C168" s="4">
        <f t="shared" si="11"/>
        <v>3.7950800783500584E-3</v>
      </c>
      <c r="D168" s="4">
        <f t="shared" si="14"/>
        <v>0.97078605474113489</v>
      </c>
    </row>
    <row r="169" spans="1:4" hidden="1" x14ac:dyDescent="0.25">
      <c r="A169" s="3">
        <f t="shared" si="12"/>
        <v>2.6399999999999872</v>
      </c>
      <c r="B169" s="4">
        <f t="shared" si="10"/>
        <v>0.37878787878788062</v>
      </c>
      <c r="C169" s="4">
        <f t="shared" si="11"/>
        <v>3.7807318467696013E-3</v>
      </c>
      <c r="D169" s="4">
        <f t="shared" si="14"/>
        <v>0.97456678658790452</v>
      </c>
    </row>
    <row r="170" spans="1:4" hidden="1" x14ac:dyDescent="0.25">
      <c r="A170" s="3">
        <f t="shared" si="12"/>
        <v>2.649999999999987</v>
      </c>
      <c r="B170" s="4">
        <f t="shared" si="10"/>
        <v>0.37735849056603959</v>
      </c>
      <c r="C170" s="4">
        <f t="shared" si="11"/>
        <v>3.7664917009505084E-3</v>
      </c>
      <c r="D170" s="4">
        <f t="shared" si="14"/>
        <v>0.97833327828885508</v>
      </c>
    </row>
    <row r="171" spans="1:4" hidden="1" x14ac:dyDescent="0.25">
      <c r="A171" s="3">
        <f t="shared" si="12"/>
        <v>2.6599999999999868</v>
      </c>
      <c r="B171" s="4">
        <f t="shared" si="10"/>
        <v>0.37593984962406202</v>
      </c>
      <c r="C171" s="4">
        <f t="shared" si="11"/>
        <v>3.7523584241502816E-3</v>
      </c>
      <c r="D171" s="4">
        <f t="shared" si="14"/>
        <v>0.98208563671300531</v>
      </c>
    </row>
    <row r="172" spans="1:4" hidden="1" x14ac:dyDescent="0.25">
      <c r="A172" s="3">
        <f t="shared" si="12"/>
        <v>2.6699999999999866</v>
      </c>
      <c r="B172" s="4">
        <f t="shared" si="10"/>
        <v>0.37453183520599437</v>
      </c>
      <c r="C172" s="4">
        <f t="shared" si="11"/>
        <v>3.7383308178210264E-3</v>
      </c>
      <c r="D172" s="4">
        <f t="shared" si="14"/>
        <v>0.98582396753082635</v>
      </c>
    </row>
    <row r="173" spans="1:4" hidden="1" x14ac:dyDescent="0.25">
      <c r="A173" s="3">
        <f t="shared" si="12"/>
        <v>2.6799999999999864</v>
      </c>
      <c r="B173" s="4">
        <f t="shared" si="10"/>
        <v>0.37313432835821086</v>
      </c>
      <c r="C173" s="4">
        <f t="shared" si="11"/>
        <v>3.7244077012706179E-3</v>
      </c>
      <c r="D173" s="4">
        <f t="shared" si="14"/>
        <v>0.98954837523209693</v>
      </c>
    </row>
    <row r="174" spans="1:4" hidden="1" x14ac:dyDescent="0.25">
      <c r="A174" s="3">
        <f t="shared" si="12"/>
        <v>2.6899999999999862</v>
      </c>
      <c r="B174" s="4">
        <f t="shared" si="10"/>
        <v>0.3717472118959127</v>
      </c>
      <c r="C174" s="4">
        <f t="shared" si="11"/>
        <v>3.7105879113314248E-3</v>
      </c>
      <c r="D174" s="4">
        <f t="shared" si="14"/>
        <v>0.99325896314342832</v>
      </c>
    </row>
    <row r="175" spans="1:4" hidden="1" x14ac:dyDescent="0.25">
      <c r="A175" s="3">
        <f t="shared" si="12"/>
        <v>2.699999999999986</v>
      </c>
      <c r="B175" s="4">
        <f t="shared" si="10"/>
        <v>0.37037037037037229</v>
      </c>
      <c r="C175" s="4">
        <f t="shared" si="11"/>
        <v>3.696870302036373E-3</v>
      </c>
      <c r="D175" s="4">
        <f t="shared" si="14"/>
        <v>0.99695583344546468</v>
      </c>
    </row>
    <row r="176" spans="1:4" hidden="1" x14ac:dyDescent="0.25">
      <c r="A176" s="3">
        <f t="shared" si="12"/>
        <v>2.7099999999999858</v>
      </c>
      <c r="B176" s="4">
        <f t="shared" si="10"/>
        <v>0.36900369003690231</v>
      </c>
      <c r="C176" s="4">
        <f t="shared" si="11"/>
        <v>3.6832537443021686E-3</v>
      </c>
      <c r="D176" s="4">
        <f t="shared" si="14"/>
        <v>1.0006390871897668</v>
      </c>
    </row>
    <row r="177" spans="1:4" hidden="1" x14ac:dyDescent="0.25">
      <c r="A177" s="3">
        <f t="shared" si="12"/>
        <v>2.7199999999999855</v>
      </c>
      <c r="B177" s="4">
        <f t="shared" si="10"/>
        <v>0.36764705882353138</v>
      </c>
      <c r="C177" s="4">
        <f t="shared" si="11"/>
        <v>3.6697371256194985E-3</v>
      </c>
      <c r="D177" s="4">
        <f t="shared" si="14"/>
        <v>1.0043088243153864</v>
      </c>
    </row>
    <row r="178" spans="1:4" hidden="1" x14ac:dyDescent="0.25">
      <c r="A178" s="3">
        <f t="shared" si="12"/>
        <v>2.7299999999999853</v>
      </c>
      <c r="B178" s="4">
        <f t="shared" si="10"/>
        <v>0.36630036630036827</v>
      </c>
      <c r="C178" s="4">
        <f t="shared" si="11"/>
        <v>3.656319349750027E-3</v>
      </c>
      <c r="D178" s="4">
        <f t="shared" si="14"/>
        <v>1.0079651436651365</v>
      </c>
    </row>
    <row r="179" spans="1:4" hidden="1" x14ac:dyDescent="0.25">
      <c r="A179" s="3">
        <f t="shared" si="12"/>
        <v>2.7399999999999851</v>
      </c>
      <c r="B179" s="4">
        <f t="shared" si="10"/>
        <v>0.36496350364963703</v>
      </c>
      <c r="C179" s="4">
        <f t="shared" si="11"/>
        <v>3.6429993364300133E-3</v>
      </c>
      <c r="D179" s="4">
        <f t="shared" si="14"/>
        <v>1.0116081430015664</v>
      </c>
    </row>
    <row r="180" spans="1:4" hidden="1" x14ac:dyDescent="0.25">
      <c r="A180" s="3">
        <f t="shared" si="12"/>
        <v>2.7499999999999849</v>
      </c>
      <c r="B180" s="4">
        <f t="shared" si="10"/>
        <v>0.36363636363636564</v>
      </c>
      <c r="C180" s="4">
        <f t="shared" si="11"/>
        <v>3.6297760210803887E-3</v>
      </c>
      <c r="D180" s="4">
        <f t="shared" si="14"/>
        <v>1.0152379190226468</v>
      </c>
    </row>
    <row r="181" spans="1:4" hidden="1" x14ac:dyDescent="0.25">
      <c r="A181" s="3">
        <f t="shared" si="12"/>
        <v>2.7599999999999847</v>
      </c>
      <c r="B181" s="4">
        <f t="shared" si="10"/>
        <v>0.36231884057971214</v>
      </c>
      <c r="C181" s="4">
        <f t="shared" si="11"/>
        <v>3.6166483545231197E-3</v>
      </c>
      <c r="D181" s="4">
        <f t="shared" si="14"/>
        <v>1.0188545673771698</v>
      </c>
    </row>
    <row r="182" spans="1:4" hidden="1" x14ac:dyDescent="0.25">
      <c r="A182" s="3">
        <f t="shared" si="12"/>
        <v>2.7699999999999845</v>
      </c>
      <c r="B182" s="4">
        <f t="shared" si="10"/>
        <v>0.36101083032491177</v>
      </c>
      <c r="C182" s="4">
        <f t="shared" si="11"/>
        <v>3.6036153027037055E-3</v>
      </c>
      <c r="D182" s="4">
        <f t="shared" si="14"/>
        <v>1.0224581826798735</v>
      </c>
    </row>
    <row r="183" spans="1:4" hidden="1" x14ac:dyDescent="0.25">
      <c r="A183" s="3">
        <f t="shared" si="12"/>
        <v>2.7799999999999843</v>
      </c>
      <c r="B183" s="4">
        <f t="shared" si="10"/>
        <v>0.35971223021582938</v>
      </c>
      <c r="C183" s="4">
        <f t="shared" si="11"/>
        <v>3.5906758464196585E-3</v>
      </c>
      <c r="D183" s="4">
        <f t="shared" si="14"/>
        <v>1.0260488585262932</v>
      </c>
    </row>
    <row r="184" spans="1:4" hidden="1" x14ac:dyDescent="0.25">
      <c r="A184" s="3">
        <f t="shared" si="12"/>
        <v>2.789999999999984</v>
      </c>
      <c r="B184" s="4">
        <f t="shared" si="10"/>
        <v>0.35842293906810241</v>
      </c>
      <c r="C184" s="4">
        <f t="shared" si="11"/>
        <v>3.577828981054808E-3</v>
      </c>
      <c r="D184" s="4">
        <f t="shared" si="14"/>
        <v>1.0296266875073481</v>
      </c>
    </row>
    <row r="185" spans="1:4" hidden="1" x14ac:dyDescent="0.25">
      <c r="A185" s="3">
        <f t="shared" si="12"/>
        <v>2.7999999999999838</v>
      </c>
      <c r="B185" s="4">
        <f t="shared" si="10"/>
        <v>0.3571428571428592</v>
      </c>
      <c r="C185" s="4">
        <f t="shared" si="11"/>
        <v>3.5650737163192888E-3</v>
      </c>
      <c r="D185" s="4">
        <f t="shared" si="14"/>
        <v>1.0331917612236674</v>
      </c>
    </row>
    <row r="186" spans="1:4" hidden="1" x14ac:dyDescent="0.25">
      <c r="A186" s="3">
        <f t="shared" si="12"/>
        <v>2.8099999999999836</v>
      </c>
      <c r="B186" s="4">
        <f t="shared" si="10"/>
        <v>0.35587188612099852</v>
      </c>
      <c r="C186" s="4">
        <f t="shared" si="11"/>
        <v>3.5524090759950738E-3</v>
      </c>
      <c r="D186" s="4">
        <f t="shared" si="14"/>
        <v>1.0367441702996625</v>
      </c>
    </row>
    <row r="187" spans="1:4" hidden="1" x14ac:dyDescent="0.25">
      <c r="A187" s="3">
        <f t="shared" si="12"/>
        <v>2.8199999999999834</v>
      </c>
      <c r="B187" s="4">
        <f t="shared" si="10"/>
        <v>0.35460992907801625</v>
      </c>
      <c r="C187" s="4">
        <f t="shared" si="11"/>
        <v>3.5398340976869115E-3</v>
      </c>
      <c r="D187" s="4">
        <f t="shared" si="14"/>
        <v>1.0402840043973494</v>
      </c>
    </row>
    <row r="188" spans="1:4" hidden="1" x14ac:dyDescent="0.25">
      <c r="A188" s="3">
        <f t="shared" si="12"/>
        <v>2.8299999999999832</v>
      </c>
      <c r="B188" s="4">
        <f t="shared" si="10"/>
        <v>0.35335689045936608</v>
      </c>
      <c r="C188" s="4">
        <f t="shared" si="11"/>
        <v>3.5273478325785314E-3</v>
      </c>
      <c r="D188" s="4">
        <f t="shared" si="14"/>
        <v>1.0438113522299279</v>
      </c>
    </row>
    <row r="189" spans="1:4" hidden="1" x14ac:dyDescent="0.25">
      <c r="A189" s="3">
        <f t="shared" si="12"/>
        <v>2.839999999999983</v>
      </c>
      <c r="B189" s="4">
        <f t="shared" si="10"/>
        <v>0.35211267605634011</v>
      </c>
      <c r="C189" s="4">
        <f t="shared" si="11"/>
        <v>3.5149493451939917E-3</v>
      </c>
      <c r="D189" s="4">
        <f t="shared" si="14"/>
        <v>1.047326301575122</v>
      </c>
    </row>
    <row r="190" spans="1:4" hidden="1" x14ac:dyDescent="0.25">
      <c r="A190" s="3">
        <f t="shared" si="12"/>
        <v>2.8499999999999828</v>
      </c>
      <c r="B190" s="4">
        <f t="shared" si="10"/>
        <v>0.35087719298245829</v>
      </c>
      <c r="C190" s="4">
        <f t="shared" si="11"/>
        <v>3.5026377131640507E-3</v>
      </c>
      <c r="D190" s="4">
        <f t="shared" si="14"/>
        <v>1.0508289392882859</v>
      </c>
    </row>
    <row r="191" spans="1:4" hidden="1" x14ac:dyDescent="0.25">
      <c r="A191" s="3">
        <f t="shared" si="12"/>
        <v>2.8599999999999826</v>
      </c>
      <c r="B191" s="4">
        <f t="shared" si="10"/>
        <v>0.3496503496503518</v>
      </c>
      <c r="C191" s="4">
        <f t="shared" si="11"/>
        <v>3.4904120269974143E-3</v>
      </c>
      <c r="D191" s="4">
        <f t="shared" si="14"/>
        <v>1.0543193513152833</v>
      </c>
    </row>
    <row r="192" spans="1:4" hidden="1" x14ac:dyDescent="0.25">
      <c r="A192" s="3">
        <f t="shared" si="12"/>
        <v>2.8699999999999823</v>
      </c>
      <c r="B192" s="4">
        <f t="shared" si="10"/>
        <v>0.34843205574913105</v>
      </c>
      <c r="C192" s="4">
        <f t="shared" si="11"/>
        <v>3.4782713898567773E-3</v>
      </c>
      <c r="D192" s="4">
        <f t="shared" si="14"/>
        <v>1.05779762270514</v>
      </c>
    </row>
    <row r="193" spans="1:4" hidden="1" x14ac:dyDescent="0.25">
      <c r="A193" s="3">
        <f t="shared" si="12"/>
        <v>2.8799999999999821</v>
      </c>
      <c r="B193" s="4">
        <f t="shared" si="10"/>
        <v>0.34722222222222437</v>
      </c>
      <c r="C193" s="4">
        <f t="shared" si="11"/>
        <v>3.4662149173395065E-3</v>
      </c>
      <c r="D193" s="4">
        <f t="shared" si="14"/>
        <v>1.0612638376224794</v>
      </c>
    </row>
    <row r="194" spans="1:4" hidden="1" x14ac:dyDescent="0.25">
      <c r="A194" s="3">
        <f t="shared" si="12"/>
        <v>2.8899999999999819</v>
      </c>
      <c r="B194" s="4">
        <f t="shared" si="10"/>
        <v>0.34602076124567693</v>
      </c>
      <c r="C194" s="4">
        <f t="shared" si="11"/>
        <v>3.4542417372628786E-3</v>
      </c>
      <c r="D194" s="4">
        <f t="shared" si="14"/>
        <v>1.0647180793597424</v>
      </c>
    </row>
    <row r="195" spans="1:4" hidden="1" x14ac:dyDescent="0.25">
      <c r="A195" s="3">
        <f t="shared" si="12"/>
        <v>2.8999999999999817</v>
      </c>
      <c r="B195" s="4">
        <f t="shared" si="10"/>
        <v>0.34482758620689874</v>
      </c>
      <c r="C195" s="4">
        <f t="shared" si="11"/>
        <v>3.4423509894537484E-3</v>
      </c>
      <c r="D195" s="4">
        <f t="shared" si="14"/>
        <v>1.0681604303491961</v>
      </c>
    </row>
    <row r="196" spans="1:4" hidden="1" x14ac:dyDescent="0.25">
      <c r="A196" s="3">
        <f t="shared" si="12"/>
        <v>2.9099999999999815</v>
      </c>
      <c r="B196" s="4">
        <f t="shared" si="10"/>
        <v>0.34364261168385096</v>
      </c>
      <c r="C196" s="4">
        <f t="shared" si="11"/>
        <v>3.4305418255425536E-3</v>
      </c>
      <c r="D196" s="4">
        <f t="shared" si="14"/>
        <v>1.0715909721747385</v>
      </c>
    </row>
    <row r="197" spans="1:4" hidden="1" x14ac:dyDescent="0.25">
      <c r="A197" s="3">
        <f t="shared" si="12"/>
        <v>2.9199999999999813</v>
      </c>
      <c r="B197" s="4">
        <f t="shared" ref="B197:B206" si="15">1/A197</f>
        <v>0.34246575342465974</v>
      </c>
      <c r="C197" s="4">
        <f t="shared" ref="C197:C206" si="16">(B197+B198)/2*$C$2</f>
        <v>3.4188134087615352E-3</v>
      </c>
      <c r="D197" s="4">
        <f t="shared" si="14"/>
        <v>1.0750097855835001</v>
      </c>
    </row>
    <row r="198" spans="1:4" hidden="1" x14ac:dyDescent="0.25">
      <c r="A198" s="3">
        <f t="shared" ref="A198:A206" si="17">A197+$C$2</f>
        <v>2.9299999999999811</v>
      </c>
      <c r="B198" s="4">
        <f t="shared" si="15"/>
        <v>0.34129692832764724</v>
      </c>
      <c r="C198" s="4">
        <f t="shared" si="16"/>
        <v>3.4071649137470904E-3</v>
      </c>
      <c r="D198" s="4">
        <f t="shared" ref="D198:D205" si="18">D197+C198</f>
        <v>1.0784169504972472</v>
      </c>
    </row>
    <row r="199" spans="1:4" hidden="1" x14ac:dyDescent="0.25">
      <c r="A199" s="3">
        <f t="shared" si="17"/>
        <v>2.9399999999999809</v>
      </c>
      <c r="B199" s="4">
        <f t="shared" si="15"/>
        <v>0.34013605442177092</v>
      </c>
      <c r="C199" s="4">
        <f t="shared" si="16"/>
        <v>3.3955955263461537E-3</v>
      </c>
      <c r="D199" s="4">
        <f t="shared" si="18"/>
        <v>1.0818125460235932</v>
      </c>
    </row>
    <row r="200" spans="1:4" hidden="1" x14ac:dyDescent="0.25">
      <c r="A200" s="3">
        <f t="shared" si="17"/>
        <v>2.9499999999999806</v>
      </c>
      <c r="B200" s="4">
        <f t="shared" si="15"/>
        <v>0.33898305084745983</v>
      </c>
      <c r="C200" s="4">
        <f t="shared" si="16"/>
        <v>3.3841044434264993E-3</v>
      </c>
      <c r="D200" s="4">
        <f t="shared" si="18"/>
        <v>1.0851966504670196</v>
      </c>
    </row>
    <row r="201" spans="1:4" hidden="1" x14ac:dyDescent="0.25">
      <c r="A201" s="3">
        <f t="shared" si="17"/>
        <v>2.9599999999999804</v>
      </c>
      <c r="B201" s="4">
        <f t="shared" si="15"/>
        <v>0.33783783783784005</v>
      </c>
      <c r="C201" s="4">
        <f t="shared" si="16"/>
        <v>3.372690872690895E-3</v>
      </c>
      <c r="D201" s="4">
        <f t="shared" si="18"/>
        <v>1.0885693413397106</v>
      </c>
    </row>
    <row r="202" spans="1:4" hidden="1" x14ac:dyDescent="0.25">
      <c r="A202" s="3">
        <f t="shared" si="17"/>
        <v>2.9699999999999802</v>
      </c>
      <c r="B202" s="4">
        <f t="shared" si="15"/>
        <v>0.33670033670033894</v>
      </c>
      <c r="C202" s="4">
        <f t="shared" si="16"/>
        <v>3.3613540324949941E-3</v>
      </c>
      <c r="D202" s="4">
        <f t="shared" si="18"/>
        <v>1.0919306953722057</v>
      </c>
    </row>
    <row r="203" spans="1:4" hidden="1" x14ac:dyDescent="0.25">
      <c r="A203" s="3">
        <f t="shared" si="17"/>
        <v>2.97999999999998</v>
      </c>
      <c r="B203" s="4">
        <f t="shared" si="15"/>
        <v>0.33557046979865995</v>
      </c>
      <c r="C203" s="4">
        <f t="shared" si="16"/>
        <v>3.3500931516688964E-3</v>
      </c>
      <c r="D203" s="4">
        <f t="shared" si="18"/>
        <v>1.0952807885238744</v>
      </c>
    </row>
    <row r="204" spans="1:4" x14ac:dyDescent="0.25">
      <c r="A204" s="3">
        <f t="shared" si="17"/>
        <v>2.9899999999999798</v>
      </c>
      <c r="B204" s="4">
        <f t="shared" si="15"/>
        <v>0.33444816053511933</v>
      </c>
      <c r="C204" s="4">
        <f t="shared" si="16"/>
        <v>3.338907469342275E-3</v>
      </c>
      <c r="D204" s="4">
        <f t="shared" si="18"/>
        <v>1.0986196959932166</v>
      </c>
    </row>
    <row r="205" spans="1:4" x14ac:dyDescent="0.25">
      <c r="A205" s="3">
        <f t="shared" si="17"/>
        <v>2.9999999999999796</v>
      </c>
      <c r="B205" s="4">
        <f t="shared" si="15"/>
        <v>0.33333333333333559</v>
      </c>
      <c r="C205" s="4">
        <f t="shared" si="16"/>
        <v>3.3277962347730019E-3</v>
      </c>
      <c r="D205" s="4">
        <f t="shared" si="18"/>
        <v>1.1019474922279897</v>
      </c>
    </row>
    <row r="206" spans="1:4" x14ac:dyDescent="0.25">
      <c r="A206" s="3">
        <f t="shared" si="17"/>
        <v>3.0099999999999794</v>
      </c>
      <c r="B206" s="4">
        <f t="shared" si="15"/>
        <v>0.33222591362126475</v>
      </c>
      <c r="C206" s="4">
        <f t="shared" si="16"/>
        <v>1.6611295681063238E-3</v>
      </c>
      <c r="D206" s="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206"/>
  <sheetViews>
    <sheetView zoomScale="260" zoomScaleNormal="4" workbookViewId="0">
      <selection activeCell="C24" sqref="C24"/>
    </sheetView>
  </sheetViews>
  <sheetFormatPr defaultRowHeight="15" x14ac:dyDescent="0.25"/>
  <sheetData>
    <row r="1" spans="1:6" x14ac:dyDescent="0.25">
      <c r="B1" t="s">
        <v>29</v>
      </c>
    </row>
    <row r="2" spans="1:6" x14ac:dyDescent="0.25">
      <c r="B2" s="1" t="s">
        <v>25</v>
      </c>
      <c r="C2" s="2">
        <v>5.0000000000000036E-3</v>
      </c>
      <c r="E2" s="4"/>
      <c r="F2" s="15"/>
    </row>
    <row r="3" spans="1:6" x14ac:dyDescent="0.25">
      <c r="F3" s="14"/>
    </row>
    <row r="4" spans="1:6" x14ac:dyDescent="0.25">
      <c r="A4" t="s">
        <v>15</v>
      </c>
      <c r="B4" t="s">
        <v>28</v>
      </c>
      <c r="C4" t="s">
        <v>23</v>
      </c>
      <c r="D4" t="s">
        <v>22</v>
      </c>
    </row>
    <row r="5" spans="1:6" x14ac:dyDescent="0.25">
      <c r="A5">
        <v>0</v>
      </c>
      <c r="B5">
        <f t="shared" ref="B5:B68" si="0">(10*EXP(-A5)*SIN(2*PI()*A5))^2</f>
        <v>0</v>
      </c>
      <c r="C5" s="4">
        <f t="shared" ref="C5:C68" si="1">(B5+B6)/2*$C$2</f>
        <v>2.4420464894146299E-4</v>
      </c>
      <c r="D5" s="4">
        <f>C5</f>
        <v>2.4420464894146299E-4</v>
      </c>
    </row>
    <row r="6" spans="1:6" x14ac:dyDescent="0.25">
      <c r="A6" s="3">
        <f t="shared" ref="A6:A69" si="2">A5+$C$2</f>
        <v>5.0000000000000036E-3</v>
      </c>
      <c r="B6">
        <f t="shared" si="0"/>
        <v>9.7681859576585123E-2</v>
      </c>
      <c r="C6" s="4">
        <f t="shared" si="1"/>
        <v>1.2103495627135063E-3</v>
      </c>
      <c r="D6" s="4">
        <f t="shared" ref="D6:D37" si="3">D5+C6</f>
        <v>1.4545542116549694E-3</v>
      </c>
    </row>
    <row r="7" spans="1:6" x14ac:dyDescent="0.25">
      <c r="A7" s="3">
        <f t="shared" si="2"/>
        <v>1.0000000000000007E-2</v>
      </c>
      <c r="B7">
        <f t="shared" si="0"/>
        <v>0.38645796550881706</v>
      </c>
      <c r="C7" s="4">
        <f t="shared" si="1"/>
        <v>3.1148022159231304E-3</v>
      </c>
      <c r="D7" s="4">
        <f t="shared" si="3"/>
        <v>4.5693564275780998E-3</v>
      </c>
    </row>
    <row r="8" spans="1:6" x14ac:dyDescent="0.25">
      <c r="A8" s="3">
        <f t="shared" si="2"/>
        <v>1.500000000000001E-2</v>
      </c>
      <c r="B8">
        <f t="shared" si="0"/>
        <v>0.85946292086043419</v>
      </c>
      <c r="C8" s="4">
        <f t="shared" si="1"/>
        <v>5.9217781770462717E-3</v>
      </c>
      <c r="D8" s="4">
        <f t="shared" si="3"/>
        <v>1.0491134604624371E-2</v>
      </c>
    </row>
    <row r="9" spans="1:6" hidden="1" x14ac:dyDescent="0.25">
      <c r="A9" s="3">
        <f t="shared" si="2"/>
        <v>2.0000000000000014E-2</v>
      </c>
      <c r="B9">
        <f t="shared" si="0"/>
        <v>1.5092483499580729</v>
      </c>
      <c r="C9" s="4">
        <f t="shared" si="1"/>
        <v>9.5926811045978395E-3</v>
      </c>
      <c r="D9" s="4">
        <f t="shared" si="3"/>
        <v>2.008381570922221E-2</v>
      </c>
    </row>
    <row r="10" spans="1:6" hidden="1" x14ac:dyDescent="0.25">
      <c r="A10" s="3">
        <f t="shared" si="2"/>
        <v>2.5000000000000019E-2</v>
      </c>
      <c r="B10">
        <f t="shared" si="0"/>
        <v>2.3278240918810602</v>
      </c>
      <c r="C10" s="4">
        <f t="shared" si="1"/>
        <v>1.40863121064649E-2</v>
      </c>
      <c r="D10" s="4">
        <f t="shared" si="3"/>
        <v>3.417012781568711E-2</v>
      </c>
    </row>
    <row r="11" spans="1:6" hidden="1" x14ac:dyDescent="0.25">
      <c r="A11" s="3">
        <f t="shared" si="2"/>
        <v>3.0000000000000023E-2</v>
      </c>
      <c r="B11">
        <f t="shared" si="0"/>
        <v>3.3067007507048953</v>
      </c>
      <c r="C11" s="4">
        <f t="shared" si="1"/>
        <v>1.9359085389626822E-2</v>
      </c>
      <c r="D11" s="4">
        <f t="shared" si="3"/>
        <v>5.3529213205313932E-2</v>
      </c>
    </row>
    <row r="12" spans="1:6" hidden="1" x14ac:dyDescent="0.25">
      <c r="A12" s="3">
        <f t="shared" si="2"/>
        <v>3.5000000000000024E-2</v>
      </c>
      <c r="B12">
        <f t="shared" si="0"/>
        <v>4.4369334051458269</v>
      </c>
      <c r="C12" s="4">
        <f t="shared" si="1"/>
        <v>2.536524921165733E-2</v>
      </c>
      <c r="D12" s="4">
        <f t="shared" si="3"/>
        <v>7.8894462416971262E-2</v>
      </c>
    </row>
    <row r="13" spans="1:6" hidden="1" x14ac:dyDescent="0.25">
      <c r="A13" s="3">
        <f t="shared" si="2"/>
        <v>4.0000000000000029E-2</v>
      </c>
      <c r="B13">
        <f t="shared" si="0"/>
        <v>5.7091662795170972</v>
      </c>
      <c r="C13" s="4">
        <f t="shared" si="1"/>
        <v>3.2057111143739575E-2</v>
      </c>
      <c r="D13" s="4">
        <f t="shared" si="3"/>
        <v>0.11095157356071084</v>
      </c>
    </row>
    <row r="14" spans="1:6" hidden="1" x14ac:dyDescent="0.25">
      <c r="A14" s="3">
        <f t="shared" si="2"/>
        <v>4.5000000000000033E-2</v>
      </c>
      <c r="B14">
        <f t="shared" si="0"/>
        <v>7.1136781779787235</v>
      </c>
      <c r="C14" s="4">
        <f t="shared" si="1"/>
        <v>3.938526665726183E-2</v>
      </c>
      <c r="D14" s="4">
        <f t="shared" si="3"/>
        <v>0.15033684021797267</v>
      </c>
    </row>
    <row r="15" spans="1:6" hidden="1" x14ac:dyDescent="0.25">
      <c r="A15" s="3">
        <f t="shared" si="2"/>
        <v>5.0000000000000037E-2</v>
      </c>
      <c r="B15">
        <f t="shared" si="0"/>
        <v>8.6404284849259962</v>
      </c>
      <c r="C15" s="4">
        <f t="shared" si="1"/>
        <v>4.7298830052309455E-2</v>
      </c>
      <c r="D15" s="4">
        <f t="shared" si="3"/>
        <v>0.19763567027028212</v>
      </c>
    </row>
    <row r="16" spans="1:6" hidden="1" x14ac:dyDescent="0.25">
      <c r="A16" s="3">
        <f t="shared" si="2"/>
        <v>5.5000000000000042E-2</v>
      </c>
      <c r="B16">
        <f t="shared" si="0"/>
        <v>10.279103535997772</v>
      </c>
      <c r="C16" s="4">
        <f t="shared" si="1"/>
        <v>5.5745666756426053E-2</v>
      </c>
      <c r="D16" s="4">
        <f t="shared" si="3"/>
        <v>0.25338133702670818</v>
      </c>
    </row>
    <row r="17" spans="1:4" hidden="1" x14ac:dyDescent="0.25">
      <c r="A17" s="3">
        <f t="shared" si="2"/>
        <v>6.0000000000000046E-2</v>
      </c>
      <c r="B17">
        <f t="shared" si="0"/>
        <v>12.019163166572634</v>
      </c>
      <c r="C17" s="4">
        <f t="shared" si="1"/>
        <v>6.4672626035767469E-2</v>
      </c>
      <c r="D17" s="4">
        <f t="shared" si="3"/>
        <v>0.31805396306247563</v>
      </c>
    </row>
    <row r="18" spans="1:4" hidden="1" x14ac:dyDescent="0.25">
      <c r="A18" s="3">
        <f t="shared" si="2"/>
        <v>6.5000000000000044E-2</v>
      </c>
      <c r="B18">
        <f t="shared" si="0"/>
        <v>13.849887247734333</v>
      </c>
      <c r="C18" s="4">
        <f t="shared" si="1"/>
        <v>7.4025773178088242E-2</v>
      </c>
      <c r="D18" s="4">
        <f t="shared" si="3"/>
        <v>0.39207973624056386</v>
      </c>
    </row>
    <row r="19" spans="1:4" hidden="1" x14ac:dyDescent="0.25">
      <c r="A19" s="3">
        <f t="shared" si="2"/>
        <v>7.0000000000000048E-2</v>
      </c>
      <c r="B19">
        <f t="shared" si="0"/>
        <v>15.76042202350094</v>
      </c>
      <c r="C19" s="4">
        <f t="shared" si="1"/>
        <v>8.3750620227741351E-2</v>
      </c>
      <c r="D19" s="4">
        <f t="shared" si="3"/>
        <v>0.47583035646830518</v>
      </c>
    </row>
    <row r="20" spans="1:4" hidden="1" x14ac:dyDescent="0.25">
      <c r="A20" s="3">
        <f t="shared" si="2"/>
        <v>7.5000000000000053E-2</v>
      </c>
      <c r="B20">
        <f t="shared" si="0"/>
        <v>17.739826067595576</v>
      </c>
      <c r="C20" s="4">
        <f t="shared" si="1"/>
        <v>9.3792354376887557E-2</v>
      </c>
      <c r="D20" s="4">
        <f t="shared" si="3"/>
        <v>0.56962271084519278</v>
      </c>
    </row>
    <row r="21" spans="1:4" hidden="1" x14ac:dyDescent="0.25">
      <c r="A21" s="3">
        <f t="shared" si="2"/>
        <v>8.0000000000000057E-2</v>
      </c>
      <c r="B21">
        <f t="shared" si="0"/>
        <v>19.777115683159415</v>
      </c>
      <c r="C21" s="4">
        <f t="shared" si="1"/>
        <v>0.10409606314423943</v>
      </c>
      <c r="D21" s="4">
        <f t="shared" si="3"/>
        <v>0.67371877398943225</v>
      </c>
    </row>
    <row r="22" spans="1:4" hidden="1" x14ac:dyDescent="0.25">
      <c r="A22" s="3">
        <f t="shared" si="2"/>
        <v>8.5000000000000062E-2</v>
      </c>
      <c r="B22">
        <f t="shared" si="0"/>
        <v>21.861309574536328</v>
      </c>
      <c r="C22" s="4">
        <f t="shared" si="1"/>
        <v>0.11460695550273749</v>
      </c>
      <c r="D22" s="4">
        <f t="shared" si="3"/>
        <v>0.78832572949216972</v>
      </c>
    </row>
    <row r="23" spans="1:4" hidden="1" x14ac:dyDescent="0.25">
      <c r="A23" s="3">
        <f t="shared" si="2"/>
        <v>9.0000000000000066E-2</v>
      </c>
      <c r="B23">
        <f t="shared" si="0"/>
        <v>23.981472626558631</v>
      </c>
      <c r="C23" s="4">
        <f t="shared" si="1"/>
        <v>0.12527057815039089</v>
      </c>
      <c r="D23" s="4">
        <f t="shared" si="3"/>
        <v>0.91359630764256061</v>
      </c>
    </row>
    <row r="24" spans="1:4" hidden="1" x14ac:dyDescent="0.25">
      <c r="A24" s="3">
        <f t="shared" si="2"/>
        <v>9.500000000000007E-2</v>
      </c>
      <c r="B24">
        <f t="shared" si="0"/>
        <v>26.126758633597689</v>
      </c>
      <c r="C24" s="4">
        <f t="shared" si="1"/>
        <v>0.13603302615393023</v>
      </c>
      <c r="D24" s="4">
        <f t="shared" si="3"/>
        <v>1.0496293337964908</v>
      </c>
    </row>
    <row r="25" spans="1:4" hidden="1" x14ac:dyDescent="0.25">
      <c r="A25" s="3">
        <f t="shared" si="2"/>
        <v>0.10000000000000007</v>
      </c>
      <c r="B25">
        <f t="shared" si="0"/>
        <v>28.286451827974357</v>
      </c>
      <c r="C25" s="4">
        <f t="shared" si="1"/>
        <v>0.14684114723271757</v>
      </c>
      <c r="D25" s="4">
        <f t="shared" si="3"/>
        <v>1.1964704810292084</v>
      </c>
    </row>
    <row r="26" spans="1:4" hidden="1" x14ac:dyDescent="0.25">
      <c r="A26" s="3">
        <f t="shared" si="2"/>
        <v>0.10500000000000008</v>
      </c>
      <c r="B26">
        <f t="shared" si="0"/>
        <v>30.450007065112636</v>
      </c>
      <c r="C26" s="4">
        <f t="shared" si="1"/>
        <v>0.157642738990346</v>
      </c>
      <c r="D26" s="4">
        <f t="shared" si="3"/>
        <v>1.3541132200195545</v>
      </c>
    </row>
    <row r="27" spans="1:4" hidden="1" x14ac:dyDescent="0.25">
      <c r="A27" s="3">
        <f t="shared" si="2"/>
        <v>0.11000000000000008</v>
      </c>
      <c r="B27">
        <f t="shared" si="0"/>
        <v>32.607088531025724</v>
      </c>
      <c r="C27" s="4">
        <f t="shared" si="1"/>
        <v>0.16838673844332647</v>
      </c>
      <c r="D27" s="4">
        <f t="shared" si="3"/>
        <v>1.5224999584628809</v>
      </c>
    </row>
    <row r="28" spans="1:4" hidden="1" x14ac:dyDescent="0.25">
      <c r="A28" s="3">
        <f t="shared" si="2"/>
        <v>0.11500000000000009</v>
      </c>
      <c r="B28">
        <f t="shared" si="0"/>
        <v>34.747606846304819</v>
      </c>
      <c r="C28" s="4">
        <f t="shared" si="1"/>
        <v>0.17902340324000629</v>
      </c>
      <c r="D28" s="4">
        <f t="shared" si="3"/>
        <v>1.7015233617028871</v>
      </c>
    </row>
    <row r="29" spans="1:4" hidden="1" x14ac:dyDescent="0.25">
      <c r="A29" s="3">
        <f t="shared" si="2"/>
        <v>0.12000000000000009</v>
      </c>
      <c r="B29">
        <f t="shared" si="0"/>
        <v>36.861754449697642</v>
      </c>
      <c r="C29" s="4">
        <f t="shared" si="1"/>
        <v>0.18950448400816994</v>
      </c>
      <c r="D29" s="4">
        <f t="shared" si="3"/>
        <v>1.891027845711057</v>
      </c>
    </row>
    <row r="30" spans="1:4" hidden="1" x14ac:dyDescent="0.25">
      <c r="A30" s="3">
        <f t="shared" si="2"/>
        <v>0.12500000000000008</v>
      </c>
      <c r="B30">
        <f t="shared" si="0"/>
        <v>38.940039153570289</v>
      </c>
      <c r="C30" s="4">
        <f t="shared" si="1"/>
        <v>0.19978338731643508</v>
      </c>
      <c r="D30" s="4">
        <f t="shared" si="3"/>
        <v>2.0908112330274919</v>
      </c>
    </row>
    <row r="31" spans="1:4" hidden="1" x14ac:dyDescent="0.25">
      <c r="A31" s="3">
        <f t="shared" si="2"/>
        <v>0.13000000000000009</v>
      </c>
      <c r="B31">
        <f t="shared" si="0"/>
        <v>40.973315773003684</v>
      </c>
      <c r="C31" s="4">
        <f t="shared" si="1"/>
        <v>0.20981532878235626</v>
      </c>
      <c r="D31" s="4">
        <f t="shared" si="3"/>
        <v>2.3006265618098483</v>
      </c>
    </row>
    <row r="32" spans="1:4" hidden="1" x14ac:dyDescent="0.25">
      <c r="A32" s="3">
        <f t="shared" si="2"/>
        <v>0.13500000000000009</v>
      </c>
      <c r="B32">
        <f t="shared" si="0"/>
        <v>42.952815739938764</v>
      </c>
      <c r="C32" s="4">
        <f t="shared" si="1"/>
        <v>0.21955747590887426</v>
      </c>
      <c r="D32" s="4">
        <f t="shared" si="3"/>
        <v>2.5201840377187223</v>
      </c>
    </row>
    <row r="33" spans="1:4" hidden="1" x14ac:dyDescent="0.25">
      <c r="A33" s="3">
        <f t="shared" si="2"/>
        <v>0.1400000000000001</v>
      </c>
      <c r="B33">
        <f t="shared" si="0"/>
        <v>44.870174623610872</v>
      </c>
      <c r="C33" s="4">
        <f t="shared" si="1"/>
        <v>0.22896908028018367</v>
      </c>
      <c r="D33" s="4">
        <f t="shared" si="3"/>
        <v>2.7491531179989059</v>
      </c>
    </row>
    <row r="34" spans="1:4" hidden="1" x14ac:dyDescent="0.25">
      <c r="A34" s="3">
        <f t="shared" si="2"/>
        <v>0.1450000000000001</v>
      </c>
      <c r="B34">
        <f t="shared" si="0"/>
        <v>46.717457488462543</v>
      </c>
      <c r="C34" s="4">
        <f t="shared" si="1"/>
        <v>0.23801159879802894</v>
      </c>
      <c r="D34" s="4">
        <f t="shared" si="3"/>
        <v>2.9871647167969351</v>
      </c>
    </row>
    <row r="35" spans="1:4" hidden="1" x14ac:dyDescent="0.25">
      <c r="A35" s="3">
        <f t="shared" si="2"/>
        <v>0.15000000000000011</v>
      </c>
      <c r="B35">
        <f t="shared" si="0"/>
        <v>48.487182030748968</v>
      </c>
      <c r="C35" s="4">
        <f t="shared" si="1"/>
        <v>0.24664880368965947</v>
      </c>
      <c r="D35" s="4">
        <f t="shared" si="3"/>
        <v>3.2338135204865948</v>
      </c>
    </row>
    <row r="36" spans="1:4" hidden="1" x14ac:dyDescent="0.25">
      <c r="A36" s="3">
        <f t="shared" si="2"/>
        <v>0.15500000000000011</v>
      </c>
      <c r="B36">
        <f t="shared" si="0"/>
        <v>50.172339445114744</v>
      </c>
      <c r="C36" s="4">
        <f t="shared" si="1"/>
        <v>0.2548468810689854</v>
      </c>
      <c r="D36" s="4">
        <f t="shared" si="3"/>
        <v>3.4886604015555802</v>
      </c>
    </row>
    <row r="37" spans="1:4" hidden="1" x14ac:dyDescent="0.25">
      <c r="A37" s="3">
        <f t="shared" si="2"/>
        <v>0.16000000000000011</v>
      </c>
      <c r="B37">
        <f t="shared" si="0"/>
        <v>51.766412982479352</v>
      </c>
      <c r="C37" s="4">
        <f t="shared" si="1"/>
        <v>0.26257451788265851</v>
      </c>
      <c r="D37" s="4">
        <f t="shared" si="3"/>
        <v>3.7512349194382386</v>
      </c>
    </row>
    <row r="38" spans="1:4" hidden="1" x14ac:dyDescent="0.25">
      <c r="A38" s="3">
        <f t="shared" si="2"/>
        <v>0.16500000000000012</v>
      </c>
      <c r="B38">
        <f t="shared" si="0"/>
        <v>53.263394170583979</v>
      </c>
      <c r="C38" s="4">
        <f t="shared" si="1"/>
        <v>0.26980297712266837</v>
      </c>
      <c r="D38" s="4">
        <f t="shared" ref="D38:D69" si="4">D37+C38</f>
        <v>4.021037896560907</v>
      </c>
    </row>
    <row r="39" spans="1:4" hidden="1" x14ac:dyDescent="0.25">
      <c r="A39" s="3">
        <f t="shared" si="2"/>
        <v>0.17000000000000012</v>
      </c>
      <c r="B39">
        <f t="shared" si="0"/>
        <v>54.657796678483287</v>
      </c>
      <c r="C39" s="4">
        <f t="shared" si="1"/>
        <v>0.27650616123639959</v>
      </c>
      <c r="D39" s="4">
        <f t="shared" si="4"/>
        <v>4.2975440577973067</v>
      </c>
    </row>
    <row r="40" spans="1:4" hidden="1" x14ac:dyDescent="0.25">
      <c r="A40" s="3">
        <f t="shared" si="2"/>
        <v>0.17500000000000013</v>
      </c>
      <c r="B40">
        <f t="shared" si="0"/>
        <v>55.944667816076468</v>
      </c>
      <c r="C40" s="4">
        <f t="shared" si="1"/>
        <v>0.28266066371374582</v>
      </c>
      <c r="D40" s="4">
        <f t="shared" si="4"/>
        <v>4.5802047215110528</v>
      </c>
    </row>
    <row r="41" spans="1:4" hidden="1" x14ac:dyDescent="0.25">
      <c r="A41" s="3">
        <f t="shared" si="2"/>
        <v>0.18000000000000013</v>
      </c>
      <c r="B41">
        <f t="shared" si="0"/>
        <v>57.119597669421793</v>
      </c>
      <c r="C41" s="4">
        <f t="shared" si="1"/>
        <v>0.28824580887864798</v>
      </c>
      <c r="D41" s="4">
        <f t="shared" si="4"/>
        <v>4.8684505303897012</v>
      </c>
    </row>
    <row r="42" spans="1:4" hidden="1" x14ac:dyDescent="0.25">
      <c r="A42" s="3">
        <f t="shared" si="2"/>
        <v>0.18500000000000014</v>
      </c>
      <c r="B42">
        <f t="shared" si="0"/>
        <v>58.178725882037305</v>
      </c>
      <c r="C42" s="4">
        <f t="shared" si="1"/>
        <v>0.29324367995913836</v>
      </c>
      <c r="D42" s="4">
        <f t="shared" si="4"/>
        <v>5.1616942103488395</v>
      </c>
    </row>
    <row r="43" spans="1:4" hidden="1" x14ac:dyDescent="0.25">
      <c r="A43" s="3">
        <f t="shared" si="2"/>
        <v>0.19000000000000014</v>
      </c>
      <c r="B43">
        <f t="shared" si="0"/>
        <v>59.118746101617951</v>
      </c>
      <c r="C43" s="4">
        <f t="shared" si="1"/>
        <v>0.29763913555546845</v>
      </c>
      <c r="D43" s="4">
        <f t="shared" si="4"/>
        <v>5.4593333459043079</v>
      </c>
    </row>
    <row r="44" spans="1:4" hidden="1" x14ac:dyDescent="0.25">
      <c r="A44" s="3">
        <f t="shared" si="2"/>
        <v>0.19500000000000015</v>
      </c>
      <c r="B44">
        <f t="shared" si="0"/>
        <v>59.936908120569342</v>
      </c>
      <c r="C44" s="4">
        <f t="shared" si="1"/>
        <v>0.30141981467000717</v>
      </c>
      <c r="D44" s="4">
        <f t="shared" si="4"/>
        <v>5.760753160574315</v>
      </c>
    </row>
    <row r="45" spans="1:4" hidden="1" x14ac:dyDescent="0.25">
      <c r="A45" s="3">
        <f t="shared" si="2"/>
        <v>0.20000000000000015</v>
      </c>
      <c r="B45">
        <f t="shared" si="0"/>
        <v>60.631017747433447</v>
      </c>
      <c r="C45" s="4">
        <f t="shared" si="1"/>
        <v>0.30457613050518528</v>
      </c>
      <c r="D45" s="4">
        <f t="shared" si="4"/>
        <v>6.0653292910795003</v>
      </c>
    </row>
    <row r="46" spans="1:4" hidden="1" x14ac:dyDescent="0.25">
      <c r="A46" s="3">
        <f t="shared" si="2"/>
        <v>0.20500000000000015</v>
      </c>
      <c r="B46">
        <f t="shared" si="0"/>
        <v>61.199434454640581</v>
      </c>
      <c r="C46" s="4">
        <f t="shared" si="1"/>
        <v>0.3071012532766727</v>
      </c>
      <c r="D46" s="4">
        <f t="shared" si="4"/>
        <v>6.3724305443561731</v>
      </c>
    </row>
    <row r="47" spans="1:4" hidden="1" x14ac:dyDescent="0.25">
      <c r="A47" s="3">
        <f t="shared" si="2"/>
        <v>0.21000000000000016</v>
      </c>
      <c r="B47">
        <f t="shared" si="0"/>
        <v>61.641066856028409</v>
      </c>
      <c r="C47" s="4">
        <f t="shared" si="1"/>
        <v>0.30899108232809047</v>
      </c>
      <c r="D47" s="4">
        <f t="shared" si="4"/>
        <v>6.6814216266842639</v>
      </c>
    </row>
    <row r="48" spans="1:4" hidden="1" x14ac:dyDescent="0.25">
      <c r="A48" s="3">
        <f t="shared" si="2"/>
        <v>0.21500000000000016</v>
      </c>
      <c r="B48">
        <f t="shared" si="0"/>
        <v>61.955366075207699</v>
      </c>
      <c r="C48" s="4">
        <f t="shared" si="1"/>
        <v>0.3102442078707533</v>
      </c>
      <c r="D48" s="4">
        <f t="shared" si="4"/>
        <v>6.9916658345550173</v>
      </c>
    </row>
    <row r="49" spans="1:4" hidden="1" x14ac:dyDescent="0.25">
      <c r="A49" s="3">
        <f t="shared" si="2"/>
        <v>0.22000000000000017</v>
      </c>
      <c r="B49">
        <f t="shared" si="0"/>
        <v>62.142317073093537</v>
      </c>
      <c r="C49" s="4">
        <f t="shared" si="1"/>
        <v>0.31086186270709598</v>
      </c>
      <c r="D49" s="4">
        <f t="shared" si="4"/>
        <v>7.3025276972621134</v>
      </c>
    </row>
    <row r="50" spans="1:4" hidden="1" x14ac:dyDescent="0.25">
      <c r="A50" s="3">
        <f t="shared" si="2"/>
        <v>0.22500000000000017</v>
      </c>
      <c r="B50">
        <f t="shared" si="0"/>
        <v>62.202428009744764</v>
      </c>
      <c r="C50" s="4">
        <f t="shared" si="1"/>
        <v>0.31084786432946593</v>
      </c>
      <c r="D50" s="4">
        <f t="shared" si="4"/>
        <v>7.613375561591579</v>
      </c>
    </row>
    <row r="51" spans="1:4" hidden="1" x14ac:dyDescent="0.25">
      <c r="A51" s="3">
        <f t="shared" si="2"/>
        <v>0.23000000000000018</v>
      </c>
      <c r="B51">
        <f t="shared" si="0"/>
        <v>62.136717722041517</v>
      </c>
      <c r="C51" s="4">
        <f t="shared" si="1"/>
        <v>0.3102085478167676</v>
      </c>
      <c r="D51" s="4">
        <f t="shared" si="4"/>
        <v>7.9235841094083463</v>
      </c>
    </row>
    <row r="52" spans="1:4" hidden="1" x14ac:dyDescent="0.25">
      <c r="A52" s="3">
        <f t="shared" si="2"/>
        <v>0.23500000000000018</v>
      </c>
      <c r="B52">
        <f t="shared" si="0"/>
        <v>61.946701404665433</v>
      </c>
      <c r="C52" s="4">
        <f t="shared" si="1"/>
        <v>0.30895268997994502</v>
      </c>
      <c r="D52" s="4">
        <f t="shared" si="4"/>
        <v>8.2325367993882921</v>
      </c>
    </row>
    <row r="53" spans="1:4" hidden="1" x14ac:dyDescent="0.25">
      <c r="A53" s="3">
        <f t="shared" si="2"/>
        <v>0.24000000000000019</v>
      </c>
      <c r="B53">
        <f t="shared" si="0"/>
        <v>61.634374587312479</v>
      </c>
      <c r="C53" s="4">
        <f t="shared" si="1"/>
        <v>0.30709142523341859</v>
      </c>
      <c r="D53" s="4">
        <f t="shared" si="4"/>
        <v>8.5396282246217101</v>
      </c>
    </row>
    <row r="54" spans="1:4" hidden="1" x14ac:dyDescent="0.25">
      <c r="A54" s="3">
        <f t="shared" si="2"/>
        <v>0.24500000000000019</v>
      </c>
      <c r="B54">
        <f t="shared" si="0"/>
        <v>61.202195506054863</v>
      </c>
      <c r="C54" s="4">
        <f t="shared" si="1"/>
        <v>0.30463815369329567</v>
      </c>
      <c r="D54" s="4">
        <f t="shared" si="4"/>
        <v>8.8442663783150053</v>
      </c>
    </row>
    <row r="55" spans="1:4" hidden="1" x14ac:dyDescent="0.25">
      <c r="A55" s="3">
        <f t="shared" si="2"/>
        <v>0.25000000000000017</v>
      </c>
      <c r="B55">
        <f t="shared" si="0"/>
        <v>60.653065971263317</v>
      </c>
      <c r="C55" s="4">
        <f t="shared" si="1"/>
        <v>0.30160844202439752</v>
      </c>
      <c r="D55" s="4">
        <f t="shared" si="4"/>
        <v>9.1458748203394027</v>
      </c>
    </row>
    <row r="56" spans="1:4" hidden="1" x14ac:dyDescent="0.25">
      <c r="A56" s="3">
        <f t="shared" si="2"/>
        <v>0.25500000000000017</v>
      </c>
      <c r="B56">
        <f t="shared" si="0"/>
        <v>59.990310838495603</v>
      </c>
      <c r="C56" s="4">
        <f t="shared" si="1"/>
        <v>0.29801991757685953</v>
      </c>
      <c r="D56" s="4">
        <f t="shared" si="4"/>
        <v>9.4438947379162617</v>
      </c>
    </row>
    <row r="57" spans="1:4" hidden="1" x14ac:dyDescent="0.25">
      <c r="A57" s="3">
        <f t="shared" si="2"/>
        <v>0.26000000000000018</v>
      </c>
      <c r="B57">
        <f t="shared" si="0"/>
        <v>59.217656192248135</v>
      </c>
      <c r="C57" s="4">
        <f t="shared" si="1"/>
        <v>0.29389215636923921</v>
      </c>
      <c r="D57" s="4">
        <f t="shared" si="4"/>
        <v>9.7377868942855006</v>
      </c>
    </row>
    <row r="58" spans="1:4" hidden="1" x14ac:dyDescent="0.25">
      <c r="A58" s="3">
        <f t="shared" si="2"/>
        <v>0.26500000000000018</v>
      </c>
      <c r="B58">
        <f t="shared" si="0"/>
        <v>58.339206355447459</v>
      </c>
      <c r="C58" s="4">
        <f t="shared" si="1"/>
        <v>0.28924656548869049</v>
      </c>
      <c r="D58" s="4">
        <f t="shared" si="4"/>
        <v>10.027033459774191</v>
      </c>
    </row>
    <row r="59" spans="1:4" hidden="1" x14ac:dyDescent="0.25">
      <c r="A59" s="3">
        <f t="shared" si="2"/>
        <v>0.27000000000000018</v>
      </c>
      <c r="B59">
        <f t="shared" si="0"/>
        <v>57.35941984002865</v>
      </c>
      <c r="C59" s="4">
        <f t="shared" si="1"/>
        <v>0.28410626048983445</v>
      </c>
      <c r="D59" s="4">
        <f t="shared" si="4"/>
        <v>10.311139720264025</v>
      </c>
    </row>
    <row r="60" spans="1:4" hidden="1" x14ac:dyDescent="0.25">
      <c r="A60" s="3">
        <f t="shared" si="2"/>
        <v>0.27500000000000019</v>
      </c>
      <c r="B60">
        <f t="shared" si="0"/>
        <v>56.283084355905054</v>
      </c>
      <c r="C60" s="4">
        <f t="shared" si="1"/>
        <v>0.27849593838247322</v>
      </c>
      <c r="D60" s="4">
        <f t="shared" si="4"/>
        <v>10.589635658646499</v>
      </c>
    </row>
    <row r="61" spans="1:4" hidden="1" x14ac:dyDescent="0.25">
      <c r="A61" s="3">
        <f t="shared" si="2"/>
        <v>0.28000000000000019</v>
      </c>
      <c r="B61">
        <f t="shared" si="0"/>
        <v>55.115290997084152</v>
      </c>
      <c r="C61" s="4">
        <f t="shared" si="1"/>
        <v>0.2724417468042844</v>
      </c>
      <c r="D61" s="4">
        <f t="shared" si="4"/>
        <v>10.862077405450783</v>
      </c>
    </row>
    <row r="62" spans="1:4" hidden="1" x14ac:dyDescent="0.25">
      <c r="A62" s="3">
        <f t="shared" si="2"/>
        <v>0.2850000000000002</v>
      </c>
      <c r="B62">
        <f t="shared" si="0"/>
        <v>53.861407724629544</v>
      </c>
      <c r="C62" s="4">
        <f t="shared" si="1"/>
        <v>0.26597114997811289</v>
      </c>
      <c r="D62" s="4">
        <f t="shared" si="4"/>
        <v>11.128048555428895</v>
      </c>
    </row>
    <row r="63" spans="1:4" hidden="1" x14ac:dyDescent="0.25">
      <c r="A63" s="3">
        <f t="shared" si="2"/>
        <v>0.2900000000000002</v>
      </c>
      <c r="B63">
        <f t="shared" si="0"/>
        <v>52.527052266615534</v>
      </c>
      <c r="C63" s="4">
        <f t="shared" si="1"/>
        <v>0.25911279205448362</v>
      </c>
      <c r="D63" s="4">
        <f t="shared" si="4"/>
        <v>11.38716134748338</v>
      </c>
    </row>
    <row r="64" spans="1:4" hidden="1" x14ac:dyDescent="0.25">
      <c r="A64" s="3">
        <f t="shared" si="2"/>
        <v>0.29500000000000021</v>
      </c>
      <c r="B64">
        <f t="shared" si="0"/>
        <v>51.118064555177845</v>
      </c>
      <c r="C64" s="4">
        <f t="shared" si="1"/>
        <v>0.2518963584385463</v>
      </c>
      <c r="D64" s="4">
        <f t="shared" si="4"/>
        <v>11.639057705921926</v>
      </c>
    </row>
    <row r="65" spans="1:4" hidden="1" x14ac:dyDescent="0.25">
      <c r="A65" s="3">
        <f t="shared" si="2"/>
        <v>0.30000000000000021</v>
      </c>
      <c r="B65">
        <f t="shared" si="0"/>
        <v>49.64047882024061</v>
      </c>
      <c r="C65" s="4">
        <f t="shared" si="1"/>
        <v>0.24435243569686851</v>
      </c>
      <c r="D65" s="4">
        <f t="shared" si="4"/>
        <v>11.883410141618794</v>
      </c>
    </row>
    <row r="66" spans="1:4" hidden="1" x14ac:dyDescent="0.25">
      <c r="A66" s="3">
        <f t="shared" si="2"/>
        <v>0.30500000000000022</v>
      </c>
      <c r="B66">
        <f t="shared" si="0"/>
        <v>48.100495458506728</v>
      </c>
      <c r="C66" s="4">
        <f t="shared" si="1"/>
        <v>0.23651237063339772</v>
      </c>
      <c r="D66" s="4">
        <f t="shared" si="4"/>
        <v>12.119922512252192</v>
      </c>
    </row>
    <row r="67" spans="1:4" hidden="1" x14ac:dyDescent="0.25">
      <c r="A67" s="3">
        <f t="shared" si="2"/>
        <v>0.31000000000000022</v>
      </c>
      <c r="B67">
        <f t="shared" si="0"/>
        <v>46.504452794852305</v>
      </c>
      <c r="C67" s="4">
        <f t="shared" si="1"/>
        <v>0.22840812911557029</v>
      </c>
      <c r="D67" s="4">
        <f t="shared" si="4"/>
        <v>12.348330641367761</v>
      </c>
    </row>
    <row r="68" spans="1:4" hidden="1" x14ac:dyDescent="0.25">
      <c r="A68" s="3">
        <f t="shared" si="2"/>
        <v>0.31500000000000022</v>
      </c>
      <c r="B68">
        <f t="shared" si="0"/>
        <v>44.858798851375745</v>
      </c>
      <c r="C68" s="4">
        <f t="shared" si="1"/>
        <v>0.22007215522104262</v>
      </c>
      <c r="D68" s="4">
        <f t="shared" si="4"/>
        <v>12.568402796588805</v>
      </c>
    </row>
    <row r="69" spans="1:4" hidden="1" x14ac:dyDescent="0.25">
      <c r="A69" s="3">
        <f t="shared" si="2"/>
        <v>0.32000000000000023</v>
      </c>
      <c r="B69">
        <f t="shared" ref="B69:B132" si="5">(10*EXP(-A69)*SIN(2*PI()*A69))^2</f>
        <v>43.170063237041241</v>
      </c>
      <c r="C69" s="4">
        <f t="shared" ref="C69:C132" si="6">(B69+B70)/2*$C$2</f>
        <v>0.21153723126294183</v>
      </c>
      <c r="D69" s="4">
        <f t="shared" si="4"/>
        <v>12.779940027851746</v>
      </c>
    </row>
    <row r="70" spans="1:4" hidden="1" x14ac:dyDescent="0.25">
      <c r="A70" s="3">
        <f t="shared" ref="A70:A133" si="7">A69+$C$2</f>
        <v>0.32500000000000023</v>
      </c>
      <c r="B70">
        <f t="shared" si="5"/>
        <v>41.444829268135429</v>
      </c>
      <c r="C70" s="4">
        <f t="shared" si="6"/>
        <v>0.20283633923696393</v>
      </c>
      <c r="D70" s="4">
        <f t="shared" ref="D70:D101" si="8">D69+C70</f>
        <v>12.982776367088709</v>
      </c>
    </row>
    <row r="71" spans="1:4" hidden="1" x14ac:dyDescent="0.25">
      <c r="A71" s="3">
        <f t="shared" si="7"/>
        <v>0.33000000000000024</v>
      </c>
      <c r="B71">
        <f t="shared" si="5"/>
        <v>39.689706426650091</v>
      </c>
      <c r="C71" s="4">
        <f t="shared" si="6"/>
        <v>0.19400252421719677</v>
      </c>
      <c r="D71" s="4">
        <f t="shared" si="8"/>
        <v>13.176778891305906</v>
      </c>
    </row>
    <row r="72" spans="1:4" hidden="1" x14ac:dyDescent="0.25">
      <c r="A72" s="3">
        <f t="shared" si="7"/>
        <v>0.33500000000000024</v>
      </c>
      <c r="B72">
        <f t="shared" si="5"/>
        <v>37.911303260228571</v>
      </c>
      <c r="C72" s="4">
        <f t="shared" si="6"/>
        <v>0.18506876020930108</v>
      </c>
      <c r="D72" s="4">
        <f t="shared" si="8"/>
        <v>13.361847651515207</v>
      </c>
    </row>
    <row r="73" spans="1:4" hidden="1" x14ac:dyDescent="0.25">
      <c r="A73" s="3">
        <f t="shared" si="7"/>
        <v>0.34000000000000025</v>
      </c>
      <c r="B73">
        <f t="shared" si="5"/>
        <v>36.116200823491809</v>
      </c>
      <c r="C73" s="4">
        <f t="shared" si="6"/>
        <v>0.17606781894977153</v>
      </c>
      <c r="D73" s="4">
        <f t="shared" si="8"/>
        <v>13.537915470464979</v>
      </c>
    </row>
    <row r="74" spans="1:4" hidden="1" x14ac:dyDescent="0.25">
      <c r="A74" s="3">
        <f t="shared" si="7"/>
        <v>0.34500000000000025</v>
      </c>
      <c r="B74">
        <f t="shared" si="5"/>
        <v>34.310926756416741</v>
      </c>
      <c r="C74" s="4">
        <f t="shared" si="6"/>
        <v>0.16703214211851686</v>
      </c>
      <c r="D74" s="4">
        <f t="shared" si="8"/>
        <v>13.704947612583496</v>
      </c>
    </row>
    <row r="75" spans="1:4" hidden="1" x14ac:dyDescent="0.25">
      <c r="A75" s="3">
        <f t="shared" si="7"/>
        <v>0.35000000000000026</v>
      </c>
      <c r="B75">
        <f t="shared" si="5"/>
        <v>32.501930090989958</v>
      </c>
      <c r="C75" s="4">
        <f t="shared" si="6"/>
        <v>0.15799371740907331</v>
      </c>
      <c r="D75" s="4">
        <f t="shared" si="8"/>
        <v>13.862941329992569</v>
      </c>
    </row>
    <row r="76" spans="1:4" hidden="1" x14ac:dyDescent="0.25">
      <c r="A76" s="3">
        <f t="shared" si="7"/>
        <v>0.35500000000000026</v>
      </c>
      <c r="B76">
        <f t="shared" si="5"/>
        <v>30.695556872639319</v>
      </c>
      <c r="C76" s="4">
        <f t="shared" si="6"/>
        <v>0.14898395887651297</v>
      </c>
      <c r="D76" s="4">
        <f t="shared" si="8"/>
        <v>14.011925288869083</v>
      </c>
    </row>
    <row r="77" spans="1:4" hidden="1" x14ac:dyDescent="0.25">
      <c r="A77" s="3">
        <f t="shared" si="7"/>
        <v>0.36000000000000026</v>
      </c>
      <c r="B77">
        <f t="shared" si="5"/>
        <v>28.898026677965824</v>
      </c>
      <c r="C77" s="4">
        <f t="shared" si="6"/>
        <v>0.14003359195765391</v>
      </c>
      <c r="D77" s="4">
        <f t="shared" si="8"/>
        <v>14.151958880826736</v>
      </c>
    </row>
    <row r="78" spans="1:4" hidden="1" x14ac:dyDescent="0.25">
      <c r="A78" s="3">
        <f t="shared" si="7"/>
        <v>0.36500000000000027</v>
      </c>
      <c r="B78">
        <f t="shared" si="5"/>
        <v>27.115410105095702</v>
      </c>
      <c r="C78" s="4">
        <f t="shared" si="6"/>
        <v>0.13117254353164728</v>
      </c>
      <c r="D78" s="4">
        <f t="shared" si="8"/>
        <v>14.283131424358384</v>
      </c>
    </row>
    <row r="79" spans="1:4" hidden="1" x14ac:dyDescent="0.25">
      <c r="A79" s="3">
        <f t="shared" si="7"/>
        <v>0.37000000000000027</v>
      </c>
      <c r="B79">
        <f t="shared" si="5"/>
        <v>25.35360730756317</v>
      </c>
      <c r="C79" s="4">
        <f t="shared" si="6"/>
        <v>0.12242983736153461</v>
      </c>
      <c r="D79" s="4">
        <f t="shared" si="8"/>
        <v>14.405561261719919</v>
      </c>
    </row>
    <row r="80" spans="1:4" hidden="1" x14ac:dyDescent="0.25">
      <c r="A80" s="3">
        <f t="shared" si="7"/>
        <v>0.37500000000000028</v>
      </c>
      <c r="B80">
        <f t="shared" si="5"/>
        <v>23.618327637050641</v>
      </c>
      <c r="C80" s="4">
        <f t="shared" si="6"/>
        <v>0.11383349522906891</v>
      </c>
      <c r="D80" s="4">
        <f t="shared" si="8"/>
        <v>14.519394756948987</v>
      </c>
    </row>
    <row r="81" spans="1:4" hidden="1" x14ac:dyDescent="0.25">
      <c r="A81" s="3">
        <f t="shared" si="7"/>
        <v>0.38000000000000028</v>
      </c>
      <c r="B81">
        <f t="shared" si="5"/>
        <v>21.915070454576892</v>
      </c>
      <c r="C81" s="4">
        <f t="shared" si="6"/>
        <v>0.10541044404609853</v>
      </c>
      <c r="D81" s="4">
        <f t="shared" si="8"/>
        <v>14.624805200995086</v>
      </c>
    </row>
    <row r="82" spans="1:4" hidden="1" x14ac:dyDescent="0.25">
      <c r="A82" s="3">
        <f t="shared" si="7"/>
        <v>0.38500000000000029</v>
      </c>
      <c r="B82">
        <f t="shared" si="5"/>
        <v>20.249107163862487</v>
      </c>
      <c r="C82" s="4">
        <f t="shared" si="6"/>
        <v>9.7186429196262622E-2</v>
      </c>
      <c r="D82" s="4">
        <f t="shared" si="8"/>
        <v>14.721991630191349</v>
      </c>
    </row>
    <row r="83" spans="1:4" hidden="1" x14ac:dyDescent="0.25">
      <c r="A83" s="3">
        <f t="shared" si="7"/>
        <v>0.39000000000000029</v>
      </c>
      <c r="B83">
        <f t="shared" si="5"/>
        <v>18.62546451464253</v>
      </c>
      <c r="C83" s="4">
        <f t="shared" si="6"/>
        <v>8.9185934330759914E-2</v>
      </c>
      <c r="D83" s="4">
        <f t="shared" si="8"/>
        <v>14.811177564522108</v>
      </c>
    </row>
    <row r="84" spans="1:4" hidden="1" x14ac:dyDescent="0.25">
      <c r="A84" s="3">
        <f t="shared" si="7"/>
        <v>0.3950000000000003</v>
      </c>
      <c r="B84">
        <f t="shared" si="5"/>
        <v>17.048909217661411</v>
      </c>
      <c r="C84" s="4">
        <f t="shared" si="6"/>
        <v>8.1432107811667029E-2</v>
      </c>
      <c r="D84" s="4">
        <f t="shared" si="8"/>
        <v>14.892609672333775</v>
      </c>
    </row>
    <row r="85" spans="1:4" hidden="1" x14ac:dyDescent="0.25">
      <c r="A85" s="3">
        <f t="shared" si="7"/>
        <v>0.4000000000000003</v>
      </c>
      <c r="B85">
        <f t="shared" si="5"/>
        <v>15.523933907005379</v>
      </c>
      <c r="C85" s="4">
        <f t="shared" si="6"/>
        <v>7.3946695965819542E-2</v>
      </c>
      <c r="D85" s="4">
        <f t="shared" si="8"/>
        <v>14.966556368299594</v>
      </c>
    </row>
    <row r="86" spans="1:4" hidden="1" x14ac:dyDescent="0.25">
      <c r="A86" s="3">
        <f t="shared" si="7"/>
        <v>0.4050000000000003</v>
      </c>
      <c r="B86">
        <f t="shared" si="5"/>
        <v>14.054744479322414</v>
      </c>
      <c r="C86" s="4">
        <f t="shared" si="6"/>
        <v>6.6749983281756145E-2</v>
      </c>
      <c r="D86" s="4">
        <f t="shared" si="8"/>
        <v>15.03330635158135</v>
      </c>
    </row>
    <row r="87" spans="1:4" hidden="1" x14ac:dyDescent="0.25">
      <c r="A87" s="3">
        <f t="shared" si="7"/>
        <v>0.41000000000000031</v>
      </c>
      <c r="B87">
        <f t="shared" si="5"/>
        <v>12.645248833380025</v>
      </c>
      <c r="C87" s="4">
        <f t="shared" si="6"/>
        <v>5.9860739651788009E-2</v>
      </c>
      <c r="D87" s="4">
        <f t="shared" si="8"/>
        <v>15.093167091233138</v>
      </c>
    </row>
    <row r="88" spans="1:4" hidden="1" x14ac:dyDescent="0.25">
      <c r="A88" s="3">
        <f t="shared" si="7"/>
        <v>0.41500000000000031</v>
      </c>
      <c r="B88">
        <f t="shared" si="5"/>
        <v>11.299047027335163</v>
      </c>
      <c r="C88" s="4">
        <f t="shared" si="6"/>
        <v>5.3296174731009123E-2</v>
      </c>
      <c r="D88" s="4">
        <f t="shared" si="8"/>
        <v>15.146463265964147</v>
      </c>
    </row>
    <row r="89" spans="1:4" hidden="1" x14ac:dyDescent="0.25">
      <c r="A89" s="3">
        <f t="shared" si="7"/>
        <v>0.42000000000000032</v>
      </c>
      <c r="B89">
        <f t="shared" si="5"/>
        <v>10.019422865068471</v>
      </c>
      <c r="C89" s="4">
        <f t="shared" si="6"/>
        <v>4.7071899455130274E-2</v>
      </c>
      <c r="D89" s="4">
        <f t="shared" si="8"/>
        <v>15.193535165419277</v>
      </c>
    </row>
    <row r="90" spans="1:4" hidden="1" x14ac:dyDescent="0.25">
      <c r="A90" s="3">
        <f t="shared" si="7"/>
        <v>0.42500000000000032</v>
      </c>
      <c r="B90">
        <f t="shared" si="5"/>
        <v>8.8093369169836269</v>
      </c>
      <c r="C90" s="4">
        <f t="shared" si="6"/>
        <v>4.1201894729509664E-2</v>
      </c>
      <c r="D90" s="4">
        <f t="shared" si="8"/>
        <v>15.234737060148786</v>
      </c>
    </row>
    <row r="91" spans="1:4" hidden="1" x14ac:dyDescent="0.25">
      <c r="A91" s="3">
        <f t="shared" si="7"/>
        <v>0.43000000000000033</v>
      </c>
      <c r="B91">
        <f t="shared" si="5"/>
        <v>7.6714209748202258</v>
      </c>
      <c r="C91" s="4">
        <f t="shared" si="6"/>
        <v>3.5698487272778856E-2</v>
      </c>
      <c r="D91" s="4">
        <f t="shared" si="8"/>
        <v>15.270435547421565</v>
      </c>
    </row>
    <row r="92" spans="1:4" hidden="1" x14ac:dyDescent="0.25">
      <c r="A92" s="3">
        <f t="shared" si="7"/>
        <v>0.43500000000000033</v>
      </c>
      <c r="B92">
        <f t="shared" si="5"/>
        <v>6.6079739342913051</v>
      </c>
      <c r="C92" s="4">
        <f t="shared" si="6"/>
        <v>3.0572332570128435E-2</v>
      </c>
      <c r="D92" s="4">
        <f t="shared" si="8"/>
        <v>15.301007879991694</v>
      </c>
    </row>
    <row r="93" spans="1:4" hidden="1" x14ac:dyDescent="0.25">
      <c r="A93" s="3">
        <f t="shared" si="7"/>
        <v>0.44000000000000034</v>
      </c>
      <c r="B93">
        <f t="shared" si="5"/>
        <v>5.6209590937600611</v>
      </c>
      <c r="C93" s="4">
        <f t="shared" si="6"/>
        <v>2.5832404863725424E-2</v>
      </c>
      <c r="D93" s="4">
        <f t="shared" si="8"/>
        <v>15.32684028485542</v>
      </c>
    </row>
    <row r="94" spans="1:4" hidden="1" x14ac:dyDescent="0.25">
      <c r="A94" s="3">
        <f t="shared" si="7"/>
        <v>0.44500000000000034</v>
      </c>
      <c r="B94">
        <f t="shared" si="5"/>
        <v>4.7120028517300998</v>
      </c>
      <c r="C94" s="4">
        <f t="shared" si="6"/>
        <v>2.1485994080976949E-2</v>
      </c>
      <c r="D94" s="4">
        <f t="shared" si="8"/>
        <v>15.348326278936398</v>
      </c>
    </row>
    <row r="95" spans="1:4" hidden="1" x14ac:dyDescent="0.25">
      <c r="A95" s="3">
        <f t="shared" si="7"/>
        <v>0.45000000000000034</v>
      </c>
      <c r="B95">
        <f t="shared" si="5"/>
        <v>3.8823947806606744</v>
      </c>
      <c r="C95" s="4">
        <f t="shared" si="6"/>
        <v>1.7538709575527556E-2</v>
      </c>
      <c r="D95" s="4">
        <f t="shared" si="8"/>
        <v>15.365864988511925</v>
      </c>
    </row>
    <row r="96" spans="1:4" hidden="1" x14ac:dyDescent="0.25">
      <c r="A96" s="3">
        <f t="shared" si="7"/>
        <v>0.45500000000000035</v>
      </c>
      <c r="B96">
        <f t="shared" si="5"/>
        <v>3.1330890495503438</v>
      </c>
      <c r="C96" s="4">
        <f t="shared" si="6"/>
        <v>1.3994490531060695E-2</v>
      </c>
      <c r="D96" s="4">
        <f t="shared" si="8"/>
        <v>15.379859479042986</v>
      </c>
    </row>
    <row r="97" spans="1:4" hidden="1" x14ac:dyDescent="0.25">
      <c r="A97" s="3">
        <f t="shared" si="7"/>
        <v>0.46000000000000035</v>
      </c>
      <c r="B97">
        <f t="shared" si="5"/>
        <v>2.4647071628739305</v>
      </c>
      <c r="C97" s="4">
        <f t="shared" si="6"/>
        <v>1.085562285425146E-2</v>
      </c>
      <c r="D97" s="4">
        <f t="shared" si="8"/>
        <v>15.390715101897237</v>
      </c>
    </row>
    <row r="98" spans="1:4" hidden="1" x14ac:dyDescent="0.25">
      <c r="A98" s="3">
        <f t="shared" si="7"/>
        <v>0.46500000000000036</v>
      </c>
      <c r="B98">
        <f t="shared" si="5"/>
        <v>1.8775419788266507</v>
      </c>
      <c r="C98" s="4">
        <f t="shared" si="6"/>
        <v>8.1227623606591609E-3</v>
      </c>
      <c r="D98" s="4">
        <f t="shared" si="8"/>
        <v>15.398837864257896</v>
      </c>
    </row>
    <row r="99" spans="1:4" hidden="1" x14ac:dyDescent="0.25">
      <c r="A99" s="3">
        <f t="shared" si="7"/>
        <v>0.47000000000000036</v>
      </c>
      <c r="B99">
        <f t="shared" si="5"/>
        <v>1.3715629654370114</v>
      </c>
      <c r="C99" s="4">
        <f t="shared" si="6"/>
        <v>5.7949640360225934E-3</v>
      </c>
      <c r="D99" s="4">
        <f t="shared" si="8"/>
        <v>15.404632828293918</v>
      </c>
    </row>
    <row r="100" spans="1:4" hidden="1" x14ac:dyDescent="0.25">
      <c r="A100" s="3">
        <f t="shared" si="7"/>
        <v>0.47500000000000037</v>
      </c>
      <c r="B100">
        <f t="shared" si="5"/>
        <v>0.94642264897202455</v>
      </c>
      <c r="C100" s="4">
        <f t="shared" si="6"/>
        <v>3.8697171353891959E-3</v>
      </c>
      <c r="D100" s="4">
        <f t="shared" si="8"/>
        <v>15.408502545429307</v>
      </c>
    </row>
    <row r="101" spans="1:4" hidden="1" x14ac:dyDescent="0.25">
      <c r="A101" s="3">
        <f t="shared" si="7"/>
        <v>0.48000000000000037</v>
      </c>
      <c r="B101">
        <f t="shared" si="5"/>
        <v>0.60146420518365262</v>
      </c>
      <c r="C101" s="4">
        <f t="shared" si="6"/>
        <v>2.3429858638256509E-3</v>
      </c>
      <c r="D101" s="4">
        <f t="shared" si="8"/>
        <v>15.410845531293132</v>
      </c>
    </row>
    <row r="102" spans="1:4" hidden="1" x14ac:dyDescent="0.25">
      <c r="A102" s="3">
        <f t="shared" si="7"/>
        <v>0.48500000000000038</v>
      </c>
      <c r="B102">
        <f t="shared" si="5"/>
        <v>0.33573014034660709</v>
      </c>
      <c r="C102" s="4">
        <f t="shared" si="6"/>
        <v>1.2092553651708424E-3</v>
      </c>
      <c r="D102" s="4">
        <f t="shared" ref="D102:D133" si="9">D101+C102</f>
        <v>15.412054786658302</v>
      </c>
    </row>
    <row r="103" spans="1:4" hidden="1" x14ac:dyDescent="0.25">
      <c r="A103" s="3">
        <f t="shared" si="7"/>
        <v>0.49000000000000038</v>
      </c>
      <c r="B103">
        <f t="shared" si="5"/>
        <v>0.14797200572172947</v>
      </c>
      <c r="C103" s="4">
        <f t="shared" si="6"/>
        <v>4.6158272944315116E-4</v>
      </c>
      <c r="D103" s="4">
        <f t="shared" si="9"/>
        <v>15.412516369387745</v>
      </c>
    </row>
    <row r="104" spans="1:4" hidden="1" x14ac:dyDescent="0.25">
      <c r="A104" s="3">
        <f t="shared" si="7"/>
        <v>0.49500000000000038</v>
      </c>
      <c r="B104">
        <f t="shared" si="5"/>
        <v>3.666108605553086E-2</v>
      </c>
      <c r="C104" s="4">
        <f t="shared" si="6"/>
        <v>9.1652715138827221E-5</v>
      </c>
      <c r="D104" s="4">
        <f t="shared" si="9"/>
        <v>15.412608022102884</v>
      </c>
    </row>
    <row r="105" spans="1:4" hidden="1" x14ac:dyDescent="0.25">
      <c r="A105" s="3">
        <f t="shared" si="7"/>
        <v>0.50000000000000033</v>
      </c>
      <c r="B105">
        <f t="shared" si="5"/>
        <v>1.6191534261194021E-28</v>
      </c>
      <c r="C105" s="4">
        <f t="shared" si="6"/>
        <v>8.9837869784064448E-5</v>
      </c>
      <c r="D105" s="4">
        <f t="shared" si="9"/>
        <v>15.412697859972667</v>
      </c>
    </row>
    <row r="106" spans="1:4" hidden="1" x14ac:dyDescent="0.25">
      <c r="A106" s="3">
        <f t="shared" si="7"/>
        <v>0.50500000000000034</v>
      </c>
      <c r="B106">
        <f t="shared" si="5"/>
        <v>3.5935147913625752E-2</v>
      </c>
      <c r="C106" s="4">
        <f t="shared" si="6"/>
        <v>4.4526272075317912E-4</v>
      </c>
      <c r="D106" s="4">
        <f t="shared" si="9"/>
        <v>15.41314312269342</v>
      </c>
    </row>
    <row r="107" spans="1:4" hidden="1" x14ac:dyDescent="0.25">
      <c r="A107" s="3">
        <f t="shared" si="7"/>
        <v>0.51000000000000034</v>
      </c>
      <c r="B107">
        <f t="shared" si="5"/>
        <v>0.14216994038764577</v>
      </c>
      <c r="C107" s="4">
        <f t="shared" si="6"/>
        <v>1.1458716985534273E-3</v>
      </c>
      <c r="D107" s="4">
        <f t="shared" si="9"/>
        <v>15.414288994391972</v>
      </c>
    </row>
    <row r="108" spans="1:4" hidden="1" x14ac:dyDescent="0.25">
      <c r="A108" s="3">
        <f t="shared" si="7"/>
        <v>0.51500000000000035</v>
      </c>
      <c r="B108">
        <f t="shared" si="5"/>
        <v>0.31617873903372484</v>
      </c>
      <c r="C108" s="4">
        <f t="shared" si="6"/>
        <v>2.1785004465131041E-3</v>
      </c>
      <c r="D108" s="4">
        <f t="shared" si="9"/>
        <v>15.416467494838486</v>
      </c>
    </row>
    <row r="109" spans="1:4" hidden="1" x14ac:dyDescent="0.25">
      <c r="A109" s="3">
        <f t="shared" si="7"/>
        <v>0.52000000000000035</v>
      </c>
      <c r="B109">
        <f t="shared" si="5"/>
        <v>0.55522143957151615</v>
      </c>
      <c r="C109" s="4">
        <f t="shared" si="6"/>
        <v>3.5289501640954064E-3</v>
      </c>
      <c r="D109" s="4">
        <f t="shared" si="9"/>
        <v>15.419996445002582</v>
      </c>
    </row>
    <row r="110" spans="1:4" hidden="1" x14ac:dyDescent="0.25">
      <c r="A110" s="3">
        <f t="shared" si="7"/>
        <v>0.52500000000000036</v>
      </c>
      <c r="B110">
        <f t="shared" si="5"/>
        <v>0.85635862606664548</v>
      </c>
      <c r="C110" s="4">
        <f t="shared" si="6"/>
        <v>5.1820646258929366E-3</v>
      </c>
      <c r="D110" s="4">
        <f t="shared" si="9"/>
        <v>15.425178509628475</v>
      </c>
    </row>
    <row r="111" spans="1:4" hidden="1" x14ac:dyDescent="0.25">
      <c r="A111" s="3">
        <f t="shared" si="7"/>
        <v>0.53000000000000036</v>
      </c>
      <c r="B111">
        <f t="shared" si="5"/>
        <v>1.2164672242905277</v>
      </c>
      <c r="C111" s="4">
        <f t="shared" si="6"/>
        <v>7.1218095147262753E-3</v>
      </c>
      <c r="D111" s="4">
        <f t="shared" si="9"/>
        <v>15.432300319143202</v>
      </c>
    </row>
    <row r="112" spans="1:4" hidden="1" x14ac:dyDescent="0.25">
      <c r="A112" s="3">
        <f t="shared" si="7"/>
        <v>0.53500000000000036</v>
      </c>
      <c r="B112">
        <f t="shared" si="5"/>
        <v>1.6322565815999805</v>
      </c>
      <c r="C112" s="4">
        <f t="shared" si="6"/>
        <v>9.3313537051590081E-3</v>
      </c>
      <c r="D112" s="4">
        <f t="shared" si="9"/>
        <v>15.441631672848361</v>
      </c>
    </row>
    <row r="113" spans="1:4" hidden="1" x14ac:dyDescent="0.25">
      <c r="A113" s="3">
        <f t="shared" si="7"/>
        <v>0.54000000000000037</v>
      </c>
      <c r="B113">
        <f t="shared" si="5"/>
        <v>2.1002849004636204</v>
      </c>
      <c r="C113" s="4">
        <f t="shared" si="6"/>
        <v>1.1793152133129892E-2</v>
      </c>
      <c r="D113" s="4">
        <f t="shared" si="9"/>
        <v>15.453424824981491</v>
      </c>
    </row>
    <row r="114" spans="1:4" hidden="1" x14ac:dyDescent="0.25">
      <c r="A114" s="3">
        <f t="shared" si="7"/>
        <v>0.54500000000000037</v>
      </c>
      <c r="B114">
        <f t="shared" si="5"/>
        <v>2.6169759527883327</v>
      </c>
      <c r="C114" s="4">
        <f t="shared" si="6"/>
        <v>1.4489029888261895E-2</v>
      </c>
      <c r="D114" s="4">
        <f t="shared" si="9"/>
        <v>15.467913854869753</v>
      </c>
    </row>
    <row r="115" spans="1:4" hidden="1" x14ac:dyDescent="0.25">
      <c r="A115" s="3">
        <f t="shared" si="7"/>
        <v>0.55000000000000038</v>
      </c>
      <c r="B115">
        <f t="shared" si="5"/>
        <v>3.1786360025164209</v>
      </c>
      <c r="C115" s="4">
        <f t="shared" si="6"/>
        <v>1.7400267167706811E-2</v>
      </c>
      <c r="D115" s="4">
        <f t="shared" si="9"/>
        <v>15.48531412203746</v>
      </c>
    </row>
    <row r="116" spans="1:4" hidden="1" x14ac:dyDescent="0.25">
      <c r="A116" s="3">
        <f t="shared" si="7"/>
        <v>0.55500000000000038</v>
      </c>
      <c r="B116">
        <f t="shared" si="5"/>
        <v>3.7814708645662982</v>
      </c>
      <c r="C116" s="4">
        <f t="shared" si="6"/>
        <v>2.050768473408366E-2</v>
      </c>
      <c r="D116" s="4">
        <f t="shared" si="9"/>
        <v>15.505821806771543</v>
      </c>
    </row>
    <row r="117" spans="1:4" hidden="1" x14ac:dyDescent="0.25">
      <c r="A117" s="3">
        <f t="shared" si="7"/>
        <v>0.56000000000000039</v>
      </c>
      <c r="B117">
        <f t="shared" si="5"/>
        <v>4.4216030290671613</v>
      </c>
      <c r="C117" s="4">
        <f t="shared" si="6"/>
        <v>2.3791729525128015E-2</v>
      </c>
      <c r="D117" s="4">
        <f t="shared" si="9"/>
        <v>15.529613536296671</v>
      </c>
    </row>
    <row r="118" spans="1:4" hidden="1" x14ac:dyDescent="0.25">
      <c r="A118" s="3">
        <f t="shared" si="7"/>
        <v>0.56500000000000039</v>
      </c>
      <c r="B118">
        <f t="shared" si="5"/>
        <v>5.0950887809840371</v>
      </c>
      <c r="C118" s="4">
        <f t="shared" si="6"/>
        <v>2.723256006903927E-2</v>
      </c>
      <c r="D118" s="4">
        <f t="shared" si="9"/>
        <v>15.55684609636571</v>
      </c>
    </row>
    <row r="119" spans="1:4" hidden="1" x14ac:dyDescent="0.25">
      <c r="A119" s="3">
        <f t="shared" si="7"/>
        <v>0.5700000000000004</v>
      </c>
      <c r="B119">
        <f t="shared" si="5"/>
        <v>5.7979352466316634</v>
      </c>
      <c r="C119" s="4">
        <f t="shared" si="6"/>
        <v>3.0810131367143424E-2</v>
      </c>
      <c r="D119" s="4">
        <f t="shared" si="9"/>
        <v>15.587656227732854</v>
      </c>
    </row>
    <row r="120" spans="1:4" hidden="1" x14ac:dyDescent="0.25">
      <c r="A120" s="3">
        <f t="shared" si="7"/>
        <v>0.5750000000000004</v>
      </c>
      <c r="B120">
        <f t="shared" si="5"/>
        <v>6.5261173002256978</v>
      </c>
      <c r="C120" s="4">
        <f t="shared" si="6"/>
        <v>3.4504278914323519E-2</v>
      </c>
      <c r="D120" s="4">
        <f t="shared" si="9"/>
        <v>15.622160506647177</v>
      </c>
    </row>
    <row r="121" spans="1:4" hidden="1" x14ac:dyDescent="0.25">
      <c r="A121" s="3">
        <f t="shared" si="7"/>
        <v>0.5800000000000004</v>
      </c>
      <c r="B121">
        <f t="shared" si="5"/>
        <v>7.2755942655036998</v>
      </c>
      <c r="C121" s="4">
        <f t="shared" si="6"/>
        <v>3.8294801537650226E-2</v>
      </c>
      <c r="D121" s="4">
        <f t="shared" si="9"/>
        <v>15.660455308184828</v>
      </c>
    </row>
    <row r="122" spans="1:4" hidden="1" x14ac:dyDescent="0.25">
      <c r="A122" s="3">
        <f t="shared" si="7"/>
        <v>0.58500000000000041</v>
      </c>
      <c r="B122">
        <f t="shared" si="5"/>
        <v>8.0423263495563795</v>
      </c>
      <c r="C122" s="4">
        <f t="shared" si="6"/>
        <v>4.2161542744707688E-2</v>
      </c>
      <c r="D122" s="4">
        <f t="shared" si="9"/>
        <v>15.702616850929536</v>
      </c>
    </row>
    <row r="123" spans="1:4" hidden="1" x14ac:dyDescent="0.25">
      <c r="A123" s="3">
        <f t="shared" si="7"/>
        <v>0.59000000000000041</v>
      </c>
      <c r="B123">
        <f t="shared" si="5"/>
        <v>8.8222907483266813</v>
      </c>
      <c r="C123" s="4">
        <f t="shared" si="6"/>
        <v>4.6084470285189576E-2</v>
      </c>
      <c r="D123" s="4">
        <f t="shared" si="9"/>
        <v>15.748701321214725</v>
      </c>
    </row>
    <row r="124" spans="1:4" hidden="1" x14ac:dyDescent="0.25">
      <c r="A124" s="3">
        <f t="shared" si="7"/>
        <v>0.59500000000000042</v>
      </c>
      <c r="B124">
        <f t="shared" si="5"/>
        <v>9.611497365749134</v>
      </c>
      <c r="C124" s="4">
        <f t="shared" si="6"/>
        <v>5.0043753642368322E-2</v>
      </c>
      <c r="D124" s="4">
        <f t="shared" si="9"/>
        <v>15.798745074857093</v>
      </c>
    </row>
    <row r="125" spans="1:4" hidden="1" x14ac:dyDescent="0.25">
      <c r="A125" s="3">
        <f t="shared" si="7"/>
        <v>0.60000000000000042</v>
      </c>
      <c r="B125">
        <f t="shared" si="5"/>
        <v>10.406004091198181</v>
      </c>
      <c r="C125" s="4">
        <f t="shared" si="6"/>
        <v>5.4019839184945885E-2</v>
      </c>
      <c r="D125" s="4">
        <f t="shared" si="9"/>
        <v>15.852764914042039</v>
      </c>
    </row>
    <row r="126" spans="1:4" hidden="1" x14ac:dyDescent="0.25">
      <c r="A126" s="3">
        <f t="shared" si="7"/>
        <v>0.60500000000000043</v>
      </c>
      <c r="B126">
        <f t="shared" si="5"/>
        <v>11.20193158278016</v>
      </c>
      <c r="C126" s="4">
        <f t="shared" si="6"/>
        <v>5.7993522724504296E-2</v>
      </c>
      <c r="D126" s="4">
        <f t="shared" si="9"/>
        <v>15.910758436766542</v>
      </c>
    </row>
    <row r="127" spans="1:4" hidden="1" x14ac:dyDescent="0.25">
      <c r="A127" s="3">
        <f t="shared" si="7"/>
        <v>0.61000000000000043</v>
      </c>
      <c r="B127">
        <f t="shared" si="5"/>
        <v>11.995477507021544</v>
      </c>
      <c r="C127" s="4">
        <f t="shared" si="6"/>
        <v>6.1946019239213015E-2</v>
      </c>
      <c r="D127" s="4">
        <f t="shared" si="9"/>
        <v>15.972704456005756</v>
      </c>
    </row>
    <row r="128" spans="1:4" hidden="1" x14ac:dyDescent="0.25">
      <c r="A128" s="3">
        <f t="shared" si="7"/>
        <v>0.61500000000000044</v>
      </c>
      <c r="B128">
        <f t="shared" si="5"/>
        <v>12.782930188663645</v>
      </c>
      <c r="C128" s="4">
        <f t="shared" si="6"/>
        <v>6.5859029540543526E-2</v>
      </c>
      <c r="D128" s="4">
        <f t="shared" si="9"/>
        <v>16.038563485546298</v>
      </c>
    </row>
    <row r="129" spans="1:4" hidden="1" x14ac:dyDescent="0.25">
      <c r="A129" s="3">
        <f t="shared" si="7"/>
        <v>0.62000000000000044</v>
      </c>
      <c r="B129">
        <f t="shared" si="5"/>
        <v>13.560681627553745</v>
      </c>
      <c r="C129" s="4">
        <f t="shared" si="6"/>
        <v>6.9714803676408338E-2</v>
      </c>
      <c r="D129" s="4">
        <f t="shared" si="9"/>
        <v>16.108278289222707</v>
      </c>
    </row>
    <row r="130" spans="1:4" hidden="1" x14ac:dyDescent="0.25">
      <c r="A130" s="3">
        <f t="shared" si="7"/>
        <v>0.62500000000000044</v>
      </c>
      <c r="B130">
        <f t="shared" si="5"/>
        <v>14.32523984300957</v>
      </c>
      <c r="C130" s="4">
        <f t="shared" si="6"/>
        <v>7.3496200881308218E-2</v>
      </c>
      <c r="D130" s="4">
        <f t="shared" si="9"/>
        <v>16.181774490104015</v>
      </c>
    </row>
    <row r="131" spans="1:4" hidden="1" x14ac:dyDescent="0.25">
      <c r="A131" s="3">
        <f t="shared" si="7"/>
        <v>0.63000000000000045</v>
      </c>
      <c r="B131">
        <f t="shared" si="5"/>
        <v>15.073240509513694</v>
      </c>
      <c r="C131" s="4">
        <f t="shared" si="6"/>
        <v>7.7186745901655904E-2</v>
      </c>
      <c r="D131" s="4">
        <f t="shared" si="9"/>
        <v>16.258961236005671</v>
      </c>
    </row>
    <row r="132" spans="1:4" hidden="1" x14ac:dyDescent="0.25">
      <c r="A132" s="3">
        <f t="shared" si="7"/>
        <v>0.63500000000000045</v>
      </c>
      <c r="B132">
        <f t="shared" si="5"/>
        <v>15.801457851148646</v>
      </c>
      <c r="C132" s="4">
        <f t="shared" si="6"/>
        <v>8.0770681542369299E-2</v>
      </c>
      <c r="D132" s="4">
        <f t="shared" si="9"/>
        <v>16.33973191754804</v>
      </c>
    </row>
    <row r="133" spans="1:4" hidden="1" x14ac:dyDescent="0.25">
      <c r="A133" s="3">
        <f t="shared" si="7"/>
        <v>0.64000000000000046</v>
      </c>
      <c r="B133">
        <f t="shared" ref="B133:B196" si="10">(10*EXP(-A133)*SIN(2*PI()*A133))^2</f>
        <v>16.506814765799053</v>
      </c>
      <c r="C133" s="4">
        <f t="shared" ref="C133:C196" si="11">(B133+B134)/2*$C$2</f>
        <v>8.4233017299013321E-2</v>
      </c>
      <c r="D133" s="4">
        <f t="shared" si="9"/>
        <v>16.423964934847053</v>
      </c>
    </row>
    <row r="134" spans="1:4" hidden="1" x14ac:dyDescent="0.25">
      <c r="A134" s="3">
        <f t="shared" ref="A134:A197" si="12">A133+$C$2</f>
        <v>0.64500000000000046</v>
      </c>
      <c r="B134">
        <f t="shared" si="10"/>
        <v>17.186392153806253</v>
      </c>
      <c r="C134" s="4">
        <f t="shared" si="11"/>
        <v>8.7559573958140638E-2</v>
      </c>
      <c r="D134" s="4">
        <f t="shared" ref="D134:D165" si="13">D133+C134</f>
        <v>16.511524508805195</v>
      </c>
    </row>
    <row r="135" spans="1:4" hidden="1" x14ac:dyDescent="0.25">
      <c r="A135" s="3">
        <f t="shared" si="12"/>
        <v>0.65000000000000047</v>
      </c>
      <c r="B135">
        <f t="shared" si="10"/>
        <v>17.837437429449974</v>
      </c>
      <c r="C135" s="4">
        <f t="shared" si="11"/>
        <v>9.0737024066956953E-2</v>
      </c>
      <c r="D135" s="4">
        <f t="shared" si="13"/>
        <v>16.602261532872152</v>
      </c>
    </row>
    <row r="136" spans="1:4" hidden="1" x14ac:dyDescent="0.25">
      <c r="A136" s="3">
        <f t="shared" si="12"/>
        <v>0.65500000000000047</v>
      </c>
      <c r="B136">
        <f t="shared" si="10"/>
        <v>18.457372197332784</v>
      </c>
      <c r="C136" s="4">
        <f t="shared" si="11"/>
        <v>9.3752928191943669E-2</v>
      </c>
      <c r="D136" s="4">
        <f t="shared" si="13"/>
        <v>16.696014461064095</v>
      </c>
    </row>
    <row r="137" spans="1:4" hidden="1" x14ac:dyDescent="0.25">
      <c r="A137" s="3">
        <f t="shared" si="12"/>
        <v>0.66000000000000048</v>
      </c>
      <c r="B137">
        <f t="shared" si="10"/>
        <v>19.043799079444653</v>
      </c>
      <c r="C137" s="4">
        <f t="shared" si="11"/>
        <v>9.6595766904533503E-2</v>
      </c>
      <c r="D137" s="4">
        <f t="shared" si="13"/>
        <v>16.79261022796863</v>
      </c>
    </row>
    <row r="138" spans="1:4" hidden="1" x14ac:dyDescent="0.25">
      <c r="A138" s="3">
        <f t="shared" si="12"/>
        <v>0.66500000000000048</v>
      </c>
      <c r="B138">
        <f t="shared" si="10"/>
        <v>19.594507682368722</v>
      </c>
      <c r="C138" s="4">
        <f t="shared" si="11"/>
        <v>9.9254968450278799E-2</v>
      </c>
      <c r="D138" s="4">
        <f t="shared" si="13"/>
        <v>16.891865196418909</v>
      </c>
    </row>
    <row r="139" spans="1:4" hidden="1" x14ac:dyDescent="0.25">
      <c r="A139" s="3">
        <f t="shared" si="12"/>
        <v>0.67000000000000048</v>
      </c>
      <c r="B139">
        <f t="shared" si="10"/>
        <v>20.107479697742768</v>
      </c>
      <c r="C139" s="4">
        <f t="shared" si="11"/>
        <v>0.10172093207610748</v>
      </c>
      <c r="D139" s="4">
        <f t="shared" si="13"/>
        <v>16.993586128495018</v>
      </c>
    </row>
    <row r="140" spans="1:4" hidden="1" x14ac:dyDescent="0.25">
      <c r="A140" s="3">
        <f t="shared" si="12"/>
        <v>0.67500000000000049</v>
      </c>
      <c r="B140">
        <f t="shared" si="10"/>
        <v>20.580893132700197</v>
      </c>
      <c r="C140" s="4">
        <f t="shared" si="11"/>
        <v>0.10398504700816194</v>
      </c>
      <c r="D140" s="4">
        <f t="shared" si="13"/>
        <v>17.09757117550318</v>
      </c>
    </row>
    <row r="141" spans="1:4" hidden="1" x14ac:dyDescent="0.25">
      <c r="A141" s="3">
        <f t="shared" si="12"/>
        <v>0.68000000000000049</v>
      </c>
      <c r="B141">
        <f t="shared" si="10"/>
        <v>21.013125670564545</v>
      </c>
      <c r="C141" s="4">
        <f t="shared" si="11"/>
        <v>0.10603970709028755</v>
      </c>
      <c r="D141" s="4">
        <f t="shared" si="13"/>
        <v>17.203610882593466</v>
      </c>
    </row>
    <row r="142" spans="1:4" hidden="1" x14ac:dyDescent="0.25">
      <c r="A142" s="3">
        <f t="shared" si="12"/>
        <v>0.6850000000000005</v>
      </c>
      <c r="B142">
        <f t="shared" si="10"/>
        <v>21.402757165550444</v>
      </c>
      <c r="C142" s="4">
        <f t="shared" si="11"/>
        <v>0.10787832111042524</v>
      </c>
      <c r="D142" s="4">
        <f t="shared" si="13"/>
        <v>17.311489203703893</v>
      </c>
    </row>
    <row r="143" spans="1:4" hidden="1" x14ac:dyDescent="0.25">
      <c r="A143" s="3">
        <f t="shared" si="12"/>
        <v>0.6900000000000005</v>
      </c>
      <c r="B143">
        <f t="shared" si="10"/>
        <v>21.748571278619618</v>
      </c>
      <c r="C143" s="4">
        <f t="shared" si="11"/>
        <v>0.10949531885889695</v>
      </c>
      <c r="D143" s="4">
        <f t="shared" si="13"/>
        <v>17.42098452256279</v>
      </c>
    </row>
    <row r="144" spans="1:4" hidden="1" x14ac:dyDescent="0.25">
      <c r="A144" s="3">
        <f t="shared" si="12"/>
        <v>0.69500000000000051</v>
      </c>
      <c r="B144">
        <f t="shared" si="10"/>
        <v>22.049556264939135</v>
      </c>
      <c r="C144" s="4">
        <f t="shared" si="11"/>
        <v>0.110886152978802</v>
      </c>
      <c r="D144" s="4">
        <f t="shared" si="13"/>
        <v>17.531870675541594</v>
      </c>
    </row>
    <row r="145" spans="1:4" hidden="1" x14ac:dyDescent="0.25">
      <c r="A145" s="3">
        <f t="shared" si="12"/>
        <v>0.70000000000000051</v>
      </c>
      <c r="B145">
        <f t="shared" si="10"/>
        <v>22.304904926581639</v>
      </c>
      <c r="C145" s="4">
        <f t="shared" si="11"/>
        <v>0.11204729668440792</v>
      </c>
      <c r="D145" s="4">
        <f t="shared" si="13"/>
        <v>17.643917972226003</v>
      </c>
    </row>
    <row r="146" spans="1:4" hidden="1" x14ac:dyDescent="0.25">
      <c r="A146" s="3">
        <f t="shared" si="12"/>
        <v>0.70500000000000052</v>
      </c>
      <c r="B146">
        <f t="shared" si="10"/>
        <v>22.514013747181497</v>
      </c>
      <c r="C146" s="4">
        <f t="shared" si="11"/>
        <v>0.11297623743847195</v>
      </c>
      <c r="D146" s="4">
        <f t="shared" si="13"/>
        <v>17.756894209664473</v>
      </c>
    </row>
    <row r="147" spans="1:4" hidden="1" x14ac:dyDescent="0.25">
      <c r="A147" s="3">
        <f t="shared" si="12"/>
        <v>0.71000000000000052</v>
      </c>
      <c r="B147">
        <f t="shared" si="10"/>
        <v>22.676481228207244</v>
      </c>
      <c r="C147" s="4">
        <f t="shared" si="11"/>
        <v>0.11367146669381704</v>
      </c>
      <c r="D147" s="4">
        <f t="shared" si="13"/>
        <v>17.870565676358289</v>
      </c>
    </row>
    <row r="148" spans="1:4" hidden="1" x14ac:dyDescent="0.25">
      <c r="A148" s="3">
        <f t="shared" si="12"/>
        <v>0.71500000000000052</v>
      </c>
      <c r="B148">
        <f t="shared" si="10"/>
        <v>22.792105449319546</v>
      </c>
      <c r="C148" s="4">
        <f t="shared" si="11"/>
        <v>0.11413246581816956</v>
      </c>
      <c r="D148" s="4">
        <f t="shared" si="13"/>
        <v>17.984698142176459</v>
      </c>
    </row>
    <row r="149" spans="1:4" hidden="1" x14ac:dyDescent="0.25">
      <c r="A149" s="3">
        <f t="shared" si="12"/>
        <v>0.72000000000000053</v>
      </c>
      <c r="B149">
        <f t="shared" si="10"/>
        <v>22.860880877948244</v>
      </c>
      <c r="C149" s="4">
        <f t="shared" si="11"/>
        <v>0.1143596883342001</v>
      </c>
      <c r="D149" s="4">
        <f t="shared" si="13"/>
        <v>18.09905783051066</v>
      </c>
    </row>
    <row r="150" spans="1:4" hidden="1" x14ac:dyDescent="0.25">
      <c r="A150" s="3">
        <f t="shared" si="12"/>
        <v>0.72500000000000053</v>
      </c>
      <c r="B150">
        <f t="shared" si="10"/>
        <v>22.882994455731769</v>
      </c>
      <c r="C150" s="4">
        <f t="shared" si="11"/>
        <v>0.11435453861886022</v>
      </c>
      <c r="D150" s="4">
        <f t="shared" si="13"/>
        <v>18.213412369129518</v>
      </c>
    </row>
    <row r="151" spans="1:4" hidden="1" x14ac:dyDescent="0.25">
      <c r="A151" s="3">
        <f t="shared" si="12"/>
        <v>0.73000000000000054</v>
      </c>
      <c r="B151">
        <f t="shared" si="10"/>
        <v>22.858820991812287</v>
      </c>
      <c r="C151" s="4">
        <f t="shared" si="11"/>
        <v>0.11411934721743709</v>
      </c>
      <c r="D151" s="4">
        <f t="shared" si="13"/>
        <v>18.327531716346954</v>
      </c>
    </row>
    <row r="152" spans="1:4" hidden="1" x14ac:dyDescent="0.25">
      <c r="A152" s="3">
        <f t="shared" si="12"/>
        <v>0.73500000000000054</v>
      </c>
      <c r="B152">
        <f t="shared" si="10"/>
        <v>22.78891789516252</v>
      </c>
      <c r="C152" s="4">
        <f t="shared" si="11"/>
        <v>0.11365734293823601</v>
      </c>
      <c r="D152" s="4">
        <f t="shared" si="13"/>
        <v>18.44118905928519</v>
      </c>
    </row>
    <row r="153" spans="1:4" hidden="1" x14ac:dyDescent="0.25">
      <c r="A153" s="3">
        <f t="shared" si="12"/>
        <v>0.74000000000000055</v>
      </c>
      <c r="B153">
        <f t="shared" si="10"/>
        <v>22.674019280131851</v>
      </c>
      <c r="C153" s="4">
        <f t="shared" si="11"/>
        <v>0.11297262190341173</v>
      </c>
      <c r="D153" s="4">
        <f t="shared" si="13"/>
        <v>18.554161681188603</v>
      </c>
    </row>
    <row r="154" spans="1:4" hidden="1" x14ac:dyDescent="0.25">
      <c r="A154" s="3">
        <f t="shared" si="12"/>
        <v>0.74500000000000055</v>
      </c>
      <c r="B154">
        <f t="shared" si="10"/>
        <v>22.515029481232808</v>
      </c>
      <c r="C154" s="4">
        <f t="shared" si="11"/>
        <v>0.11207011374018949</v>
      </c>
      <c r="D154" s="4">
        <f t="shared" si="13"/>
        <v>18.666231794928791</v>
      </c>
    </row>
    <row r="155" spans="1:4" hidden="1" x14ac:dyDescent="0.25">
      <c r="A155" s="3">
        <f t="shared" si="12"/>
        <v>0.75000000000000056</v>
      </c>
      <c r="B155">
        <f t="shared" si="10"/>
        <v>22.313016014842958</v>
      </c>
      <c r="C155" s="4">
        <f t="shared" si="11"/>
        <v>0.11095554510452466</v>
      </c>
      <c r="D155" s="4">
        <f t="shared" si="13"/>
        <v>18.777187340033315</v>
      </c>
    </row>
    <row r="156" spans="1:4" hidden="1" x14ac:dyDescent="0.25">
      <c r="A156" s="3">
        <f t="shared" si="12"/>
        <v>0.75500000000000056</v>
      </c>
      <c r="B156">
        <f t="shared" si="10"/>
        <v>22.06920202696687</v>
      </c>
      <c r="C156" s="4">
        <f t="shared" si="11"/>
        <v>0.10963540073613431</v>
      </c>
      <c r="D156" s="4">
        <f t="shared" si="13"/>
        <v>18.88682274076945</v>
      </c>
    </row>
    <row r="157" spans="1:4" hidden="1" x14ac:dyDescent="0.25">
      <c r="A157" s="3">
        <f t="shared" si="12"/>
        <v>0.76000000000000056</v>
      </c>
      <c r="B157">
        <f t="shared" si="10"/>
        <v>21.784958267486822</v>
      </c>
      <c r="C157" s="4">
        <f t="shared" si="11"/>
        <v>0.10811688224978573</v>
      </c>
      <c r="D157" s="4">
        <f t="shared" si="13"/>
        <v>18.994939623019235</v>
      </c>
    </row>
    <row r="158" spans="1:4" hidden="1" x14ac:dyDescent="0.25">
      <c r="A158" s="3">
        <f t="shared" si="12"/>
        <v>0.76500000000000057</v>
      </c>
      <c r="B158">
        <f t="shared" si="10"/>
        <v>21.461794632427441</v>
      </c>
      <c r="C158" s="4">
        <f t="shared" si="11"/>
        <v>0.10640786487273833</v>
      </c>
      <c r="D158" s="4">
        <f t="shared" si="13"/>
        <v>19.101347487891974</v>
      </c>
    </row>
    <row r="159" spans="1:4" hidden="1" x14ac:dyDescent="0.25">
      <c r="A159" s="3">
        <f t="shared" si="12"/>
        <v>0.77000000000000057</v>
      </c>
      <c r="B159">
        <f t="shared" si="10"/>
        <v>21.101351316667856</v>
      </c>
      <c r="C159" s="4">
        <f t="shared" si="11"/>
        <v>0.10451685234230837</v>
      </c>
      <c r="D159" s="4">
        <f t="shared" si="13"/>
        <v>19.205864340234282</v>
      </c>
    </row>
    <row r="160" spans="1:4" hidden="1" x14ac:dyDescent="0.25">
      <c r="A160" s="3">
        <f t="shared" si="12"/>
        <v>0.77500000000000058</v>
      </c>
      <c r="B160">
        <f t="shared" si="10"/>
        <v>20.70538962025546</v>
      </c>
      <c r="C160" s="4">
        <f t="shared" si="11"/>
        <v>0.1024529301806605</v>
      </c>
      <c r="D160" s="4">
        <f t="shared" si="13"/>
        <v>19.308317270414943</v>
      </c>
    </row>
    <row r="161" spans="1:4" hidden="1" x14ac:dyDescent="0.25">
      <c r="A161" s="3">
        <f t="shared" si="12"/>
        <v>0.78000000000000058</v>
      </c>
      <c r="B161">
        <f t="shared" si="10"/>
        <v>20.275782452008716</v>
      </c>
      <c r="C161" s="4">
        <f t="shared" si="11"/>
        <v>0.10022571756613158</v>
      </c>
      <c r="D161" s="4">
        <f t="shared" si="13"/>
        <v>19.408542987981075</v>
      </c>
    </row>
    <row r="162" spans="1:4" hidden="1" x14ac:dyDescent="0.25">
      <c r="A162" s="3">
        <f t="shared" si="12"/>
        <v>0.78500000000000059</v>
      </c>
      <c r="B162">
        <f t="shared" si="10"/>
        <v>19.814504574443884</v>
      </c>
      <c r="C162" s="4">
        <f t="shared" si="11"/>
        <v>9.7845318021673844E-2</v>
      </c>
      <c r="D162" s="4">
        <f t="shared" si="13"/>
        <v>19.506388306002748</v>
      </c>
    </row>
    <row r="163" spans="1:4" hidden="1" x14ac:dyDescent="0.25">
      <c r="A163" s="3">
        <f t="shared" si="12"/>
        <v>0.79000000000000059</v>
      </c>
      <c r="B163">
        <f t="shared" si="10"/>
        <v>19.323622634225625</v>
      </c>
      <c r="C163" s="4">
        <f t="shared" si="11"/>
        <v>9.5322269141375385E-2</v>
      </c>
      <c r="D163" s="4">
        <f t="shared" si="13"/>
        <v>19.601710575144125</v>
      </c>
    </row>
    <row r="164" spans="1:4" hidden="1" x14ac:dyDescent="0.25">
      <c r="A164" s="3">
        <f t="shared" si="12"/>
        <v>0.7950000000000006</v>
      </c>
      <c r="B164">
        <f t="shared" si="10"/>
        <v>18.805285022324501</v>
      </c>
      <c r="C164" s="4">
        <f t="shared" si="11"/>
        <v>9.2667491575493532E-2</v>
      </c>
      <c r="D164" s="4">
        <f t="shared" si="13"/>
        <v>19.694378066719619</v>
      </c>
    </row>
    <row r="165" spans="1:4" hidden="1" x14ac:dyDescent="0.25">
      <c r="A165" s="3">
        <f t="shared" si="12"/>
        <v>0.8000000000000006</v>
      </c>
      <c r="B165">
        <f t="shared" si="10"/>
        <v>18.261711607872886</v>
      </c>
      <c r="C165" s="4">
        <f t="shared" si="11"/>
        <v>8.9892237493044591E-2</v>
      </c>
      <c r="D165" s="4">
        <f t="shared" si="13"/>
        <v>19.784270304212662</v>
      </c>
    </row>
    <row r="166" spans="1:4" hidden="1" x14ac:dyDescent="0.25">
      <c r="A166" s="3">
        <f t="shared" si="12"/>
        <v>0.8050000000000006</v>
      </c>
      <c r="B166">
        <f t="shared" si="10"/>
        <v>17.695183389344923</v>
      </c>
      <c r="C166" s="4">
        <f t="shared" si="11"/>
        <v>8.7008038738747212E-2</v>
      </c>
      <c r="D166" s="4">
        <f t="shared" ref="D166:D197" si="14">D165+C166</f>
        <v>19.87127834295141</v>
      </c>
    </row>
    <row r="167" spans="1:4" hidden="1" x14ac:dyDescent="0.25">
      <c r="A167" s="3">
        <f t="shared" si="12"/>
        <v>0.81000000000000061</v>
      </c>
      <c r="B167">
        <f t="shared" si="10"/>
        <v>17.108032106153942</v>
      </c>
      <c r="C167" s="4">
        <f t="shared" si="11"/>
        <v>8.4026654898050418E-2</v>
      </c>
      <c r="D167" s="4">
        <f t="shared" si="14"/>
        <v>19.95530499784946</v>
      </c>
    </row>
    <row r="168" spans="1:4" hidden="1" x14ac:dyDescent="0.25">
      <c r="A168" s="3">
        <f t="shared" si="12"/>
        <v>0.81500000000000061</v>
      </c>
      <c r="B168">
        <f t="shared" si="10"/>
        <v>16.502629853066203</v>
      </c>
      <c r="C168" s="4">
        <f t="shared" si="11"/>
        <v>8.096002148011186E-2</v>
      </c>
      <c r="D168" s="4">
        <f t="shared" si="14"/>
        <v>20.036265019329573</v>
      </c>
    </row>
    <row r="169" spans="1:4" hidden="1" x14ac:dyDescent="0.25">
      <c r="A169" s="3">
        <f t="shared" si="12"/>
        <v>0.82000000000000062</v>
      </c>
      <c r="B169">
        <f t="shared" si="10"/>
        <v>15.881378738978515</v>
      </c>
      <c r="C169" s="4">
        <f t="shared" si="11"/>
        <v>7.7820198423964981E-2</v>
      </c>
      <c r="D169" s="4">
        <f t="shared" si="14"/>
        <v>20.114085217753537</v>
      </c>
    </row>
    <row r="170" spans="1:4" hidden="1" x14ac:dyDescent="0.25">
      <c r="A170" s="3">
        <f t="shared" si="12"/>
        <v>0.82500000000000062</v>
      </c>
      <c r="B170">
        <f t="shared" si="10"/>
        <v>15.246700630607455</v>
      </c>
      <c r="C170" s="4">
        <f t="shared" si="11"/>
        <v>7.4619319127755171E-2</v>
      </c>
      <c r="D170" s="4">
        <f t="shared" si="14"/>
        <v>20.188704536881293</v>
      </c>
    </row>
    <row r="171" spans="1:4" hidden="1" x14ac:dyDescent="0.25">
      <c r="A171" s="3">
        <f t="shared" si="12"/>
        <v>0.83000000000000063</v>
      </c>
      <c r="B171">
        <f t="shared" si="10"/>
        <v>14.601027020494591</v>
      </c>
      <c r="C171" s="4">
        <f t="shared" si="11"/>
        <v>7.1369540194871295E-2</v>
      </c>
      <c r="D171" s="4">
        <f t="shared" si="14"/>
        <v>20.260074077076165</v>
      </c>
    </row>
    <row r="172" spans="1:4" hidden="1" x14ac:dyDescent="0.25">
      <c r="A172" s="3">
        <f t="shared" si="12"/>
        <v>0.83500000000000063</v>
      </c>
      <c r="B172">
        <f t="shared" si="10"/>
        <v>13.946789057453906</v>
      </c>
      <c r="C172" s="4">
        <f t="shared" si="11"/>
        <v>6.8082992084089078E-2</v>
      </c>
      <c r="D172" s="4">
        <f t="shared" si="14"/>
        <v>20.328157069160255</v>
      </c>
    </row>
    <row r="173" spans="1:4" hidden="1" x14ac:dyDescent="0.25">
      <c r="A173" s="3">
        <f t="shared" si="12"/>
        <v>0.84000000000000064</v>
      </c>
      <c r="B173">
        <f t="shared" si="10"/>
        <v>13.286407776181706</v>
      </c>
      <c r="C173" s="4">
        <f t="shared" si="11"/>
        <v>6.4771730843516381E-2</v>
      </c>
      <c r="D173" s="4">
        <f t="shared" si="14"/>
        <v>20.392928800003773</v>
      </c>
    </row>
    <row r="174" spans="1:4" hidden="1" x14ac:dyDescent="0.25">
      <c r="A174" s="3">
        <f t="shared" si="12"/>
        <v>0.84500000000000064</v>
      </c>
      <c r="B174">
        <f t="shared" si="10"/>
        <v>12.622284561224831</v>
      </c>
      <c r="C174" s="4">
        <f t="shared" si="11"/>
        <v>6.1447691100228657E-2</v>
      </c>
      <c r="D174" s="4">
        <f t="shared" si="14"/>
        <v>20.454376491104</v>
      </c>
    </row>
    <row r="175" spans="1:4" hidden="1" x14ac:dyDescent="0.25">
      <c r="A175" s="3">
        <f t="shared" si="12"/>
        <v>0.85000000000000064</v>
      </c>
      <c r="B175">
        <f t="shared" si="10"/>
        <v>11.956791878866614</v>
      </c>
      <c r="C175" s="4">
        <f t="shared" si="11"/>
        <v>5.8122640469048387E-2</v>
      </c>
      <c r="D175" s="4">
        <f t="shared" si="14"/>
        <v>20.512499131573048</v>
      </c>
    </row>
    <row r="176" spans="1:4" hidden="1" x14ac:dyDescent="0.25">
      <c r="A176" s="3">
        <f t="shared" si="12"/>
        <v>0.85500000000000065</v>
      </c>
      <c r="B176">
        <f t="shared" si="10"/>
        <v>11.292264308752726</v>
      </c>
      <c r="C176" s="4">
        <f t="shared" si="11"/>
        <v>5.4808135535000489E-2</v>
      </c>
      <c r="D176" s="4">
        <f t="shared" si="14"/>
        <v>20.567307267108049</v>
      </c>
    </row>
    <row r="177" spans="1:4" hidden="1" x14ac:dyDescent="0.25">
      <c r="A177" s="3">
        <f t="shared" si="12"/>
        <v>0.86000000000000065</v>
      </c>
      <c r="B177">
        <f t="shared" si="10"/>
        <v>10.630989905247453</v>
      </c>
      <c r="C177" s="4">
        <f t="shared" si="11"/>
        <v>5.1515479554611283E-2</v>
      </c>
      <c r="D177" s="4">
        <f t="shared" si="14"/>
        <v>20.618822746662659</v>
      </c>
    </row>
    <row r="178" spans="1:4" hidden="1" x14ac:dyDescent="0.25">
      <c r="A178" s="3">
        <f t="shared" si="12"/>
        <v>0.86500000000000066</v>
      </c>
      <c r="B178">
        <f t="shared" si="10"/>
        <v>9.975201916597042</v>
      </c>
      <c r="C178" s="4">
        <f t="shared" si="11"/>
        <v>4.8255682011458863E-2</v>
      </c>
      <c r="D178" s="4">
        <f t="shared" si="14"/>
        <v>20.667078428674117</v>
      </c>
    </row>
    <row r="179" spans="1:4" hidden="1" x14ac:dyDescent="0.25">
      <c r="A179" s="3">
        <f t="shared" si="12"/>
        <v>0.87000000000000066</v>
      </c>
      <c r="B179">
        <f t="shared" si="10"/>
        <v>9.3270708879864905</v>
      </c>
      <c r="C179" s="4">
        <f t="shared" si="11"/>
        <v>4.5039420151271686E-2</v>
      </c>
      <c r="D179" s="4">
        <f t="shared" si="14"/>
        <v>20.71211784882539</v>
      </c>
    </row>
    <row r="180" spans="1:4" hidden="1" x14ac:dyDescent="0.25">
      <c r="A180" s="3">
        <f t="shared" si="12"/>
        <v>0.87500000000000067</v>
      </c>
      <c r="B180">
        <f t="shared" si="10"/>
        <v>8.6886971725221738</v>
      </c>
      <c r="C180" s="4">
        <f t="shared" si="11"/>
        <v>4.1877002611461669E-2</v>
      </c>
      <c r="D180" s="4">
        <f t="shared" si="14"/>
        <v>20.75399485143685</v>
      </c>
    </row>
    <row r="181" spans="1:4" hidden="1" x14ac:dyDescent="0.25">
      <c r="A181" s="3">
        <f t="shared" si="12"/>
        <v>0.88000000000000067</v>
      </c>
      <c r="B181">
        <f t="shared" si="10"/>
        <v>8.0621038720624814</v>
      </c>
      <c r="C181" s="4">
        <f t="shared" si="11"/>
        <v>3.8778335249312089E-2</v>
      </c>
      <c r="D181" s="4">
        <f t="shared" si="14"/>
        <v>20.792773186686162</v>
      </c>
    </row>
    <row r="182" spans="1:4" hidden="1" x14ac:dyDescent="0.25">
      <c r="A182" s="3">
        <f t="shared" si="12"/>
        <v>0.88500000000000068</v>
      </c>
      <c r="B182">
        <f t="shared" si="10"/>
        <v>7.4492302276623441</v>
      </c>
      <c r="C182" s="4">
        <f t="shared" si="11"/>
        <v>3.5752889262168838E-2</v>
      </c>
      <c r="D182" s="4">
        <f t="shared" si="14"/>
        <v>20.828526075948332</v>
      </c>
    </row>
    <row r="183" spans="1:4" hidden="1" x14ac:dyDescent="0.25">
      <c r="A183" s="3">
        <f t="shared" si="12"/>
        <v>0.89000000000000068</v>
      </c>
      <c r="B183">
        <f t="shared" si="10"/>
        <v>6.8519254772051807</v>
      </c>
      <c r="C183" s="4">
        <f t="shared" si="11"/>
        <v>3.2809671681952694E-2</v>
      </c>
      <c r="D183" s="4">
        <f t="shared" si="14"/>
        <v>20.861335747630285</v>
      </c>
    </row>
    <row r="184" spans="1:4" hidden="1" x14ac:dyDescent="0.25">
      <c r="A184" s="3">
        <f t="shared" si="12"/>
        <v>0.89500000000000068</v>
      </c>
      <c r="B184">
        <f t="shared" si="10"/>
        <v>6.2719431955758864</v>
      </c>
      <c r="C184" s="4">
        <f t="shared" si="11"/>
        <v>2.9957198315168489E-2</v>
      </c>
      <c r="D184" s="4">
        <f t="shared" si="14"/>
        <v>20.891292945945455</v>
      </c>
    </row>
    <row r="185" spans="1:4" hidden="1" x14ac:dyDescent="0.25">
      <c r="A185" s="3">
        <f t="shared" si="12"/>
        <v>0.90000000000000069</v>
      </c>
      <c r="B185">
        <f t="shared" si="10"/>
        <v>5.7109361304914996</v>
      </c>
      <c r="C185" s="4">
        <f t="shared" si="11"/>
        <v>2.7203469188380042E-2</v>
      </c>
      <c r="D185" s="4">
        <f t="shared" si="14"/>
        <v>20.918496415133834</v>
      </c>
    </row>
    <row r="186" spans="1:4" hidden="1" x14ac:dyDescent="0.25">
      <c r="A186" s="3">
        <f t="shared" si="12"/>
        <v>0.90500000000000069</v>
      </c>
      <c r="B186">
        <f t="shared" si="10"/>
        <v>5.1704515448605086</v>
      </c>
      <c r="C186" s="4">
        <f t="shared" si="11"/>
        <v>2.4555946547895391E-2</v>
      </c>
      <c r="D186" s="4">
        <f t="shared" si="14"/>
        <v>20.94305236168173</v>
      </c>
    </row>
    <row r="187" spans="1:4" hidden="1" x14ac:dyDescent="0.25">
      <c r="A187" s="3">
        <f t="shared" si="12"/>
        <v>0.9100000000000007</v>
      </c>
      <c r="B187">
        <f t="shared" si="10"/>
        <v>4.6519270742976406</v>
      </c>
      <c r="C187" s="4">
        <f t="shared" si="11"/>
        <v>2.202153545120878E-2</v>
      </c>
      <c r="D187" s="4">
        <f t="shared" si="14"/>
        <v>20.965073897132939</v>
      </c>
    </row>
    <row r="188" spans="1:4" hidden="1" x14ac:dyDescent="0.25">
      <c r="A188" s="3">
        <f t="shared" si="12"/>
        <v>0.9150000000000007</v>
      </c>
      <c r="B188">
        <f t="shared" si="10"/>
        <v>4.1566871061858661</v>
      </c>
      <c r="C188" s="4">
        <f t="shared" si="11"/>
        <v>1.9606566976618986E-2</v>
      </c>
      <c r="D188" s="4">
        <f t="shared" si="14"/>
        <v>20.984680464109559</v>
      </c>
    </row>
    <row r="189" spans="1:4" hidden="1" x14ac:dyDescent="0.25">
      <c r="A189" s="3">
        <f t="shared" si="12"/>
        <v>0.92000000000000071</v>
      </c>
      <c r="B189">
        <f t="shared" si="10"/>
        <v>3.6859396844617236</v>
      </c>
      <c r="C189" s="4">
        <f t="shared" si="11"/>
        <v>1.731678406643148E-2</v>
      </c>
      <c r="D189" s="4">
        <f t="shared" si="14"/>
        <v>21.001997248175989</v>
      </c>
    </row>
    <row r="190" spans="1:4" hidden="1" x14ac:dyDescent="0.25">
      <c r="A190" s="3">
        <f t="shared" si="12"/>
        <v>0.92500000000000071</v>
      </c>
      <c r="B190">
        <f t="shared" si="10"/>
        <v>3.2407739421108634</v>
      </c>
      <c r="C190" s="4">
        <f t="shared" si="11"/>
        <v>1.5157330008296468E-2</v>
      </c>
      <c r="D190" s="4">
        <f t="shared" si="14"/>
        <v>21.017154578184286</v>
      </c>
    </row>
    <row r="191" spans="1:4" hidden="1" x14ac:dyDescent="0.25">
      <c r="A191" s="3">
        <f t="shared" si="12"/>
        <v>0.93000000000000071</v>
      </c>
      <c r="B191">
        <f t="shared" si="10"/>
        <v>2.8221580612077188</v>
      </c>
      <c r="C191" s="4">
        <f t="shared" si="11"/>
        <v>1.3132739548575597E-2</v>
      </c>
      <c r="D191" s="4">
        <f t="shared" si="14"/>
        <v>21.03028731773286</v>
      </c>
    </row>
    <row r="192" spans="1:4" hidden="1" x14ac:dyDescent="0.25">
      <c r="A192" s="3">
        <f t="shared" si="12"/>
        <v>0.93500000000000072</v>
      </c>
      <c r="B192">
        <f t="shared" si="10"/>
        <v>2.430937758222516</v>
      </c>
      <c r="C192" s="4">
        <f t="shared" si="11"/>
        <v>1.1246932621206197E-2</v>
      </c>
      <c r="D192" s="4">
        <f t="shared" si="14"/>
        <v>21.041534250354065</v>
      </c>
    </row>
    <row r="193" spans="1:4" hidden="1" x14ac:dyDescent="0.25">
      <c r="A193" s="3">
        <f t="shared" si="12"/>
        <v>0.94000000000000072</v>
      </c>
      <c r="B193">
        <f t="shared" si="10"/>
        <v>2.0678352902599597</v>
      </c>
      <c r="C193" s="4">
        <f t="shared" si="11"/>
        <v>9.5032106653816211E-3</v>
      </c>
      <c r="D193" s="4">
        <f t="shared" si="14"/>
        <v>21.051037461019448</v>
      </c>
    </row>
    <row r="194" spans="1:4" hidden="1" x14ac:dyDescent="0.25">
      <c r="A194" s="3">
        <f t="shared" si="12"/>
        <v>0.94500000000000073</v>
      </c>
      <c r="B194">
        <f t="shared" si="10"/>
        <v>1.7334489758926859</v>
      </c>
      <c r="C194" s="4">
        <f t="shared" si="11"/>
        <v>7.9042554955226045E-3</v>
      </c>
      <c r="D194" s="4">
        <f t="shared" si="14"/>
        <v>21.058941716514969</v>
      </c>
    </row>
    <row r="195" spans="1:4" hidden="1" x14ac:dyDescent="0.25">
      <c r="A195" s="3">
        <f t="shared" si="12"/>
        <v>0.95000000000000073</v>
      </c>
      <c r="B195">
        <f t="shared" si="10"/>
        <v>1.4282532223163533</v>
      </c>
      <c r="C195" s="4">
        <f t="shared" si="11"/>
        <v>6.4521306775132082E-3</v>
      </c>
      <c r="D195" s="4">
        <f t="shared" si="14"/>
        <v>21.065393847192482</v>
      </c>
    </row>
    <row r="196" spans="1:4" hidden="1" x14ac:dyDescent="0.25">
      <c r="A196" s="3">
        <f t="shared" si="12"/>
        <v>0.95500000000000074</v>
      </c>
      <c r="B196">
        <f t="shared" si="10"/>
        <v>1.1525990486889282</v>
      </c>
      <c r="C196" s="4">
        <f t="shared" si="11"/>
        <v>5.1482853560455583E-3</v>
      </c>
      <c r="D196" s="4">
        <f t="shared" si="14"/>
        <v>21.070542132548528</v>
      </c>
    </row>
    <row r="197" spans="1:4" hidden="1" x14ac:dyDescent="0.25">
      <c r="A197" s="3">
        <f t="shared" si="12"/>
        <v>0.96000000000000074</v>
      </c>
      <c r="B197">
        <f t="shared" ref="B197:B206" si="15">(10*EXP(-A197)*SIN(2*PI()*A197))^2</f>
        <v>0.90671509372929382</v>
      </c>
      <c r="C197" s="4">
        <f t="shared" ref="C197:C206" si="16">(B197+B198)/2*$C$2</f>
        <v>3.9935604691898781E-3</v>
      </c>
      <c r="D197" s="4">
        <f t="shared" si="14"/>
        <v>21.074535693017719</v>
      </c>
    </row>
    <row r="198" spans="1:4" hidden="1" x14ac:dyDescent="0.25">
      <c r="A198" s="3">
        <f t="shared" ref="A198:A206" si="17">A197+$C$2</f>
        <v>0.96500000000000075</v>
      </c>
      <c r="B198">
        <f t="shared" si="15"/>
        <v>0.69070909394665614</v>
      </c>
      <c r="C198" s="4">
        <f t="shared" si="16"/>
        <v>2.9881972780076492E-3</v>
      </c>
      <c r="D198" s="4">
        <f t="shared" ref="D198:D205" si="18">D197+C198</f>
        <v>21.077523890295726</v>
      </c>
    </row>
    <row r="199" spans="1:4" hidden="1" x14ac:dyDescent="0.25">
      <c r="A199" s="3">
        <f t="shared" si="17"/>
        <v>0.97000000000000075</v>
      </c>
      <c r="B199">
        <f t="shared" si="15"/>
        <v>0.50456981725640271</v>
      </c>
      <c r="C199" s="4">
        <f t="shared" si="16"/>
        <v>2.1318481311805456E-3</v>
      </c>
      <c r="D199" s="4">
        <f t="shared" si="18"/>
        <v>21.079655738426908</v>
      </c>
    </row>
    <row r="200" spans="1:4" hidden="1" x14ac:dyDescent="0.25">
      <c r="A200" s="3">
        <f t="shared" si="17"/>
        <v>0.97500000000000075</v>
      </c>
      <c r="B200">
        <f t="shared" si="15"/>
        <v>0.34816943521581489</v>
      </c>
      <c r="C200" s="4">
        <f t="shared" si="16"/>
        <v>1.4235893772584849E-3</v>
      </c>
      <c r="D200" s="4">
        <f t="shared" si="18"/>
        <v>21.081079327804165</v>
      </c>
    </row>
    <row r="201" spans="1:4" hidden="1" x14ac:dyDescent="0.25">
      <c r="A201" s="3">
        <f t="shared" si="17"/>
        <v>0.98000000000000076</v>
      </c>
      <c r="B201">
        <f t="shared" si="15"/>
        <v>0.22126631568757874</v>
      </c>
      <c r="C201" s="4">
        <f t="shared" si="16"/>
        <v>8.6193633025672995E-4</v>
      </c>
      <c r="D201" s="4">
        <f t="shared" si="18"/>
        <v>21.081941264134421</v>
      </c>
    </row>
    <row r="202" spans="1:4" hidden="1" x14ac:dyDescent="0.25">
      <c r="A202" s="3">
        <f t="shared" si="17"/>
        <v>0.98500000000000076</v>
      </c>
      <c r="B202">
        <f t="shared" si="15"/>
        <v>0.123508216415113</v>
      </c>
      <c r="C202" s="4">
        <f t="shared" si="16"/>
        <v>4.4486018797259191E-4</v>
      </c>
      <c r="D202" s="4">
        <f t="shared" si="18"/>
        <v>21.082386124322394</v>
      </c>
    </row>
    <row r="203" spans="1:4" hidden="1" x14ac:dyDescent="0.25">
      <c r="A203" s="3">
        <f t="shared" si="17"/>
        <v>0.99000000000000077</v>
      </c>
      <c r="B203">
        <f t="shared" si="15"/>
        <v>5.4435858773923616E-2</v>
      </c>
      <c r="C203" s="4">
        <f t="shared" si="16"/>
        <v>1.6980679656192178E-4</v>
      </c>
      <c r="D203" s="4">
        <f t="shared" si="18"/>
        <v>21.082555931118957</v>
      </c>
    </row>
    <row r="204" spans="1:4" x14ac:dyDescent="0.25">
      <c r="A204" s="3">
        <f t="shared" si="17"/>
        <v>0.99500000000000077</v>
      </c>
      <c r="B204">
        <f t="shared" si="15"/>
        <v>1.3486859850845042E-2</v>
      </c>
      <c r="C204" s="4">
        <f t="shared" si="16"/>
        <v>3.371714962711263E-5</v>
      </c>
      <c r="D204" s="4">
        <f t="shared" si="18"/>
        <v>21.082589648268584</v>
      </c>
    </row>
    <row r="205" spans="1:4" x14ac:dyDescent="0.25">
      <c r="A205" s="3">
        <f t="shared" si="17"/>
        <v>1.0000000000000007</v>
      </c>
      <c r="B205">
        <f t="shared" si="15"/>
        <v>2.3826130302865259E-28</v>
      </c>
      <c r="C205" s="4">
        <f t="shared" si="16"/>
        <v>3.3049505332196967E-5</v>
      </c>
      <c r="D205" s="4">
        <f t="shared" si="18"/>
        <v>21.082622697773918</v>
      </c>
    </row>
    <row r="206" spans="1:4" x14ac:dyDescent="0.25">
      <c r="A206" s="3">
        <f t="shared" si="17"/>
        <v>1.0050000000000006</v>
      </c>
      <c r="B206">
        <f t="shared" si="15"/>
        <v>1.3219802132878777E-2</v>
      </c>
      <c r="C206" s="4">
        <f t="shared" si="16"/>
        <v>3.3049505332196967E-5</v>
      </c>
      <c r="D206" s="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C1:H16"/>
  <sheetViews>
    <sheetView workbookViewId="0">
      <selection activeCell="C24" sqref="C24"/>
    </sheetView>
  </sheetViews>
  <sheetFormatPr defaultRowHeight="15" x14ac:dyDescent="0.25"/>
  <sheetData>
    <row r="1" spans="3:8" x14ac:dyDescent="0.25">
      <c r="C1" t="s">
        <v>37</v>
      </c>
      <c r="D1">
        <v>8</v>
      </c>
    </row>
    <row r="2" spans="3:8" x14ac:dyDescent="0.25">
      <c r="C2" t="s">
        <v>36</v>
      </c>
      <c r="D2">
        <v>1.2</v>
      </c>
    </row>
    <row r="5" spans="3:8" x14ac:dyDescent="0.25">
      <c r="C5" t="s">
        <v>35</v>
      </c>
      <c r="D5" t="s">
        <v>34</v>
      </c>
      <c r="E5" t="s">
        <v>33</v>
      </c>
      <c r="F5" t="s">
        <v>32</v>
      </c>
      <c r="G5" t="s">
        <v>31</v>
      </c>
      <c r="H5" t="s">
        <v>30</v>
      </c>
    </row>
    <row r="6" spans="3:8" x14ac:dyDescent="0.25">
      <c r="C6">
        <v>0</v>
      </c>
      <c r="D6">
        <v>10</v>
      </c>
      <c r="E6">
        <f t="shared" ref="E6:E14" si="0">$D$2*D6*2*PI()*C6</f>
        <v>0</v>
      </c>
    </row>
    <row r="7" spans="3:8" x14ac:dyDescent="0.25">
      <c r="C7">
        <v>1.6</v>
      </c>
      <c r="D7">
        <v>9.69</v>
      </c>
      <c r="E7">
        <f t="shared" si="0"/>
        <v>116.89740600301475</v>
      </c>
      <c r="F7">
        <f t="shared" ref="F7:F14" si="1">(E7+E6)/2</f>
        <v>58.448703001507376</v>
      </c>
      <c r="G7">
        <f t="shared" ref="G7:G14" si="2">C7-C6</f>
        <v>1.6</v>
      </c>
      <c r="H7">
        <f t="shared" ref="H7:H14" si="3">F7*G7</f>
        <v>93.517924802411812</v>
      </c>
    </row>
    <row r="8" spans="3:8" x14ac:dyDescent="0.25">
      <c r="C8">
        <v>3.2</v>
      </c>
      <c r="D8">
        <v>9.3000000000000007</v>
      </c>
      <c r="E8">
        <f t="shared" si="0"/>
        <v>224.38511368999741</v>
      </c>
      <c r="F8">
        <f t="shared" si="1"/>
        <v>170.64125984650607</v>
      </c>
      <c r="G8">
        <f t="shared" si="2"/>
        <v>1.6</v>
      </c>
      <c r="H8">
        <f t="shared" si="3"/>
        <v>273.02601575440974</v>
      </c>
    </row>
    <row r="9" spans="3:8" x14ac:dyDescent="0.25">
      <c r="C9">
        <v>4.8</v>
      </c>
      <c r="D9">
        <v>8.77</v>
      </c>
      <c r="E9">
        <f t="shared" si="0"/>
        <v>317.3963624292382</v>
      </c>
      <c r="F9">
        <f t="shared" si="1"/>
        <v>270.89073805961777</v>
      </c>
      <c r="G9">
        <f t="shared" si="2"/>
        <v>1.5999999999999996</v>
      </c>
      <c r="H9">
        <f t="shared" si="3"/>
        <v>433.42518089538834</v>
      </c>
    </row>
    <row r="10" spans="3:8" x14ac:dyDescent="0.25">
      <c r="C10">
        <v>6.4</v>
      </c>
      <c r="D10">
        <v>7.95</v>
      </c>
      <c r="E10">
        <f t="shared" si="0"/>
        <v>383.62616211515683</v>
      </c>
      <c r="F10">
        <f t="shared" si="1"/>
        <v>350.51126227219754</v>
      </c>
      <c r="G10">
        <f t="shared" si="2"/>
        <v>1.6000000000000005</v>
      </c>
      <c r="H10">
        <f t="shared" si="3"/>
        <v>560.81801963551629</v>
      </c>
    </row>
    <row r="11" spans="3:8" x14ac:dyDescent="0.25">
      <c r="C11">
        <v>7.47</v>
      </c>
      <c r="D11">
        <v>6.79</v>
      </c>
      <c r="E11">
        <f t="shared" si="0"/>
        <v>382.42959230525753</v>
      </c>
      <c r="F11">
        <f t="shared" si="1"/>
        <v>383.02787721020718</v>
      </c>
      <c r="G11">
        <f t="shared" si="2"/>
        <v>1.0699999999999994</v>
      </c>
      <c r="H11">
        <f t="shared" si="3"/>
        <v>409.83982861492143</v>
      </c>
    </row>
    <row r="12" spans="3:8" x14ac:dyDescent="0.25">
      <c r="C12">
        <v>7.87</v>
      </c>
      <c r="D12">
        <v>5.57</v>
      </c>
      <c r="E12">
        <f t="shared" si="0"/>
        <v>330.51489936839238</v>
      </c>
      <c r="F12">
        <f t="shared" si="1"/>
        <v>356.47224583682498</v>
      </c>
      <c r="G12">
        <f t="shared" si="2"/>
        <v>0.40000000000000036</v>
      </c>
      <c r="H12">
        <f t="shared" si="3"/>
        <v>142.58889833473012</v>
      </c>
    </row>
    <row r="13" spans="3:8" x14ac:dyDescent="0.25">
      <c r="C13">
        <v>7.95</v>
      </c>
      <c r="D13">
        <v>4.8899999999999997</v>
      </c>
      <c r="E13">
        <f t="shared" si="0"/>
        <v>293.11436449111198</v>
      </c>
      <c r="F13">
        <f t="shared" si="1"/>
        <v>311.81463192975218</v>
      </c>
      <c r="G13">
        <f t="shared" si="2"/>
        <v>8.0000000000000071E-2</v>
      </c>
      <c r="H13">
        <f t="shared" si="3"/>
        <v>24.945170554380198</v>
      </c>
    </row>
    <row r="14" spans="3:8" x14ac:dyDescent="0.25">
      <c r="C14">
        <v>8</v>
      </c>
      <c r="D14">
        <v>0</v>
      </c>
      <c r="E14">
        <f t="shared" si="0"/>
        <v>0</v>
      </c>
      <c r="F14">
        <f t="shared" si="1"/>
        <v>146.55718224555599</v>
      </c>
      <c r="G14">
        <f t="shared" si="2"/>
        <v>4.9999999999999822E-2</v>
      </c>
      <c r="H14">
        <f t="shared" si="3"/>
        <v>7.3278591122777739</v>
      </c>
    </row>
    <row r="16" spans="3:8" x14ac:dyDescent="0.25">
      <c r="H16">
        <f>SUM(H7:H14)</f>
        <v>1945.4888977040359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M58"/>
  <sheetViews>
    <sheetView workbookViewId="0">
      <selection activeCell="E9" sqref="E9"/>
    </sheetView>
  </sheetViews>
  <sheetFormatPr defaultRowHeight="15" x14ac:dyDescent="0.25"/>
  <sheetData>
    <row r="1" spans="2:13" x14ac:dyDescent="0.25">
      <c r="B1" s="1" t="s">
        <v>2</v>
      </c>
      <c r="C1" s="2">
        <v>2.5000000000000001E-2</v>
      </c>
      <c r="J1" s="1" t="s">
        <v>2</v>
      </c>
      <c r="K1" s="2">
        <v>2.5000000000000001E-2</v>
      </c>
    </row>
    <row r="3" spans="2:13" x14ac:dyDescent="0.25">
      <c r="B3" t="s">
        <v>1</v>
      </c>
      <c r="C3" t="s">
        <v>0</v>
      </c>
      <c r="D3" t="s">
        <v>3</v>
      </c>
      <c r="E3" t="s">
        <v>4</v>
      </c>
    </row>
    <row r="4" spans="2:13" x14ac:dyDescent="0.25">
      <c r="B4" s="3">
        <v>1</v>
      </c>
      <c r="C4" s="5">
        <f>1/B4</f>
        <v>1</v>
      </c>
      <c r="D4" s="5"/>
      <c r="E4" s="5"/>
      <c r="M4" s="4"/>
    </row>
    <row r="5" spans="2:13" x14ac:dyDescent="0.25">
      <c r="B5" s="3">
        <f>B4+$C$1</f>
        <v>1.0249999999999999</v>
      </c>
      <c r="C5" s="5">
        <f t="shared" ref="C5:C56" si="0">1/B5</f>
        <v>0.97560975609756106</v>
      </c>
      <c r="D5" s="5">
        <f>(C4+C5)/2*$C$1</f>
        <v>2.4695121951219513E-2</v>
      </c>
      <c r="E5" s="5">
        <f>D5+E4</f>
        <v>2.4695121951219513E-2</v>
      </c>
    </row>
    <row r="6" spans="2:13" x14ac:dyDescent="0.25">
      <c r="B6" s="3">
        <f t="shared" ref="B6:B17" si="1">B5+$C$1</f>
        <v>1.0499999999999998</v>
      </c>
      <c r="C6" s="5">
        <f t="shared" si="0"/>
        <v>0.95238095238095255</v>
      </c>
      <c r="D6" s="5">
        <f t="shared" ref="D6:D56" si="2">(C5+C6)/2*$C$1</f>
        <v>2.409988385598142E-2</v>
      </c>
      <c r="E6" s="5">
        <f t="shared" ref="E6:E17" si="3">D6+E5</f>
        <v>4.8795005807200934E-2</v>
      </c>
    </row>
    <row r="7" spans="2:13" x14ac:dyDescent="0.25">
      <c r="B7" s="3">
        <f t="shared" si="1"/>
        <v>1.0749999999999997</v>
      </c>
      <c r="C7" s="5">
        <f t="shared" si="0"/>
        <v>0.93023255813953509</v>
      </c>
      <c r="D7" s="5">
        <f t="shared" si="2"/>
        <v>2.3532668881506097E-2</v>
      </c>
      <c r="E7" s="5">
        <f t="shared" si="3"/>
        <v>7.232767468870703E-2</v>
      </c>
      <c r="I7" s="2"/>
    </row>
    <row r="8" spans="2:13" x14ac:dyDescent="0.25">
      <c r="B8" s="3">
        <f t="shared" si="1"/>
        <v>1.0999999999999996</v>
      </c>
      <c r="C8" s="5">
        <f t="shared" si="0"/>
        <v>0.90909090909090939</v>
      </c>
      <c r="D8" s="5">
        <f t="shared" si="2"/>
        <v>2.2991543340380557E-2</v>
      </c>
      <c r="E8" s="5">
        <f t="shared" si="3"/>
        <v>9.5319218029087591E-2</v>
      </c>
    </row>
    <row r="9" spans="2:13" x14ac:dyDescent="0.25">
      <c r="B9" s="3">
        <f t="shared" si="1"/>
        <v>1.1249999999999996</v>
      </c>
      <c r="C9" s="5">
        <f t="shared" si="0"/>
        <v>0.88888888888888928</v>
      </c>
      <c r="D9" s="5">
        <f t="shared" si="2"/>
        <v>2.2474747474747484E-2</v>
      </c>
      <c r="E9" s="5">
        <f t="shared" si="3"/>
        <v>0.11779396550383507</v>
      </c>
    </row>
    <row r="10" spans="2:13" x14ac:dyDescent="0.25">
      <c r="B10" s="3">
        <f t="shared" si="1"/>
        <v>1.1499999999999995</v>
      </c>
      <c r="C10" s="5">
        <f t="shared" si="0"/>
        <v>0.86956521739130477</v>
      </c>
      <c r="D10" s="5">
        <f t="shared" si="2"/>
        <v>2.1980676328502424E-2</v>
      </c>
      <c r="E10" s="5">
        <f t="shared" si="3"/>
        <v>0.13977464183233751</v>
      </c>
    </row>
    <row r="11" spans="2:13" x14ac:dyDescent="0.25">
      <c r="B11" s="3">
        <f t="shared" si="1"/>
        <v>1.1749999999999994</v>
      </c>
      <c r="C11" s="5">
        <f t="shared" si="0"/>
        <v>0.85106382978723449</v>
      </c>
      <c r="D11" s="5">
        <f t="shared" si="2"/>
        <v>2.1507863089731741E-2</v>
      </c>
      <c r="E11" s="5">
        <f t="shared" si="3"/>
        <v>0.16128250492206925</v>
      </c>
    </row>
    <row r="12" spans="2:13" x14ac:dyDescent="0.25">
      <c r="B12" s="3">
        <f t="shared" si="1"/>
        <v>1.1999999999999993</v>
      </c>
      <c r="C12" s="5">
        <f t="shared" si="0"/>
        <v>0.83333333333333381</v>
      </c>
      <c r="D12" s="5">
        <f t="shared" si="2"/>
        <v>2.1054964539007105E-2</v>
      </c>
      <c r="E12" s="5">
        <f t="shared" si="3"/>
        <v>0.18233746946107635</v>
      </c>
    </row>
    <row r="13" spans="2:13" x14ac:dyDescent="0.25">
      <c r="B13" s="3">
        <f t="shared" si="1"/>
        <v>1.2249999999999992</v>
      </c>
      <c r="C13" s="5">
        <f t="shared" si="0"/>
        <v>0.81632653061224547</v>
      </c>
      <c r="D13" s="5">
        <f t="shared" si="2"/>
        <v>2.0620748299319744E-2</v>
      </c>
      <c r="E13" s="5">
        <f t="shared" si="3"/>
        <v>0.20295821776039608</v>
      </c>
    </row>
    <row r="14" spans="2:13" x14ac:dyDescent="0.25">
      <c r="B14" s="3">
        <f t="shared" si="1"/>
        <v>1.2499999999999991</v>
      </c>
      <c r="C14" s="5">
        <f t="shared" si="0"/>
        <v>0.8000000000000006</v>
      </c>
      <c r="D14" s="5">
        <f t="shared" si="2"/>
        <v>2.0204081632653078E-2</v>
      </c>
      <c r="E14" s="5">
        <f t="shared" si="3"/>
        <v>0.22316229939304916</v>
      </c>
    </row>
    <row r="15" spans="2:13" x14ac:dyDescent="0.25">
      <c r="B15" s="3">
        <f t="shared" si="1"/>
        <v>1.274999999999999</v>
      </c>
      <c r="C15" s="5">
        <f t="shared" si="0"/>
        <v>0.78431372549019673</v>
      </c>
      <c r="D15" s="5">
        <f t="shared" si="2"/>
        <v>1.9803921568627467E-2</v>
      </c>
      <c r="E15" s="5">
        <f t="shared" si="3"/>
        <v>0.24296622096167664</v>
      </c>
    </row>
    <row r="16" spans="2:13" x14ac:dyDescent="0.25">
      <c r="B16" s="3">
        <f t="shared" si="1"/>
        <v>1.2999999999999989</v>
      </c>
      <c r="C16" s="5">
        <f t="shared" si="0"/>
        <v>0.76923076923076983</v>
      </c>
      <c r="D16" s="5">
        <f t="shared" si="2"/>
        <v>1.9419306184012081E-2</v>
      </c>
      <c r="E16" s="5">
        <f t="shared" si="3"/>
        <v>0.26238552714568875</v>
      </c>
    </row>
    <row r="17" spans="2:5" x14ac:dyDescent="0.25">
      <c r="B17" s="3">
        <f t="shared" si="1"/>
        <v>1.3249999999999988</v>
      </c>
      <c r="C17" s="5">
        <f t="shared" si="0"/>
        <v>0.75471698113207608</v>
      </c>
      <c r="D17" s="5">
        <f t="shared" si="2"/>
        <v>1.9049346879535575E-2</v>
      </c>
      <c r="E17" s="5">
        <f t="shared" si="3"/>
        <v>0.28143487402522432</v>
      </c>
    </row>
    <row r="18" spans="2:5" x14ac:dyDescent="0.25">
      <c r="B18" s="3">
        <f t="shared" ref="B18:B23" si="4">B17+$C$1</f>
        <v>1.3499999999999988</v>
      </c>
      <c r="C18" s="5">
        <f t="shared" si="0"/>
        <v>0.74074074074074148</v>
      </c>
      <c r="D18" s="5">
        <f t="shared" si="2"/>
        <v>1.8693221523410221E-2</v>
      </c>
      <c r="E18" s="5">
        <f t="shared" ref="E18:E23" si="5">D18+E17</f>
        <v>0.30012809554863457</v>
      </c>
    </row>
    <row r="19" spans="2:5" x14ac:dyDescent="0.25">
      <c r="B19" s="3">
        <f t="shared" si="4"/>
        <v>1.3749999999999987</v>
      </c>
      <c r="C19" s="5">
        <f t="shared" si="0"/>
        <v>0.72727272727272796</v>
      </c>
      <c r="D19" s="5">
        <f t="shared" si="2"/>
        <v>1.8350168350168367E-2</v>
      </c>
      <c r="E19" s="5">
        <f t="shared" si="5"/>
        <v>0.31847826389880296</v>
      </c>
    </row>
    <row r="20" spans="2:5" x14ac:dyDescent="0.25">
      <c r="B20" s="3">
        <f t="shared" si="4"/>
        <v>1.3999999999999986</v>
      </c>
      <c r="C20" s="5">
        <f t="shared" si="0"/>
        <v>0.71428571428571497</v>
      </c>
      <c r="D20" s="5">
        <f t="shared" si="2"/>
        <v>1.8019480519480536E-2</v>
      </c>
      <c r="E20" s="5">
        <f t="shared" si="5"/>
        <v>0.33649774441828351</v>
      </c>
    </row>
    <row r="21" spans="2:5" x14ac:dyDescent="0.25">
      <c r="B21" s="3">
        <f t="shared" si="4"/>
        <v>1.4249999999999985</v>
      </c>
      <c r="C21" s="5">
        <f t="shared" si="0"/>
        <v>0.70175438596491302</v>
      </c>
      <c r="D21" s="5">
        <f t="shared" si="2"/>
        <v>1.7700501253132852E-2</v>
      </c>
      <c r="E21" s="5">
        <f t="shared" si="5"/>
        <v>0.35419824567141633</v>
      </c>
    </row>
    <row r="22" spans="2:5" x14ac:dyDescent="0.25">
      <c r="B22" s="3">
        <f t="shared" si="4"/>
        <v>1.4499999999999984</v>
      </c>
      <c r="C22" s="5">
        <f t="shared" si="0"/>
        <v>0.68965517241379382</v>
      </c>
      <c r="D22" s="5">
        <f t="shared" si="2"/>
        <v>1.7392619479733834E-2</v>
      </c>
      <c r="E22" s="5">
        <f t="shared" si="5"/>
        <v>0.37159086515115014</v>
      </c>
    </row>
    <row r="23" spans="2:5" x14ac:dyDescent="0.25">
      <c r="B23" s="3">
        <f t="shared" si="4"/>
        <v>1.4749999999999983</v>
      </c>
      <c r="C23" s="5">
        <f t="shared" si="0"/>
        <v>0.677966101694916</v>
      </c>
      <c r="D23" s="5">
        <f t="shared" si="2"/>
        <v>1.7095265926358873E-2</v>
      </c>
      <c r="E23" s="5">
        <f t="shared" si="5"/>
        <v>0.38868613107750899</v>
      </c>
    </row>
    <row r="24" spans="2:5" x14ac:dyDescent="0.25">
      <c r="B24" s="3">
        <f t="shared" ref="B24:B30" si="6">B23+$C$1</f>
        <v>1.4999999999999982</v>
      </c>
      <c r="C24" s="5">
        <f t="shared" si="0"/>
        <v>0.66666666666666741</v>
      </c>
      <c r="D24" s="5">
        <f t="shared" si="2"/>
        <v>1.6807909604519795E-2</v>
      </c>
      <c r="E24" s="5">
        <f t="shared" ref="E24:E30" si="7">D24+E23</f>
        <v>0.40549404068202877</v>
      </c>
    </row>
    <row r="25" spans="2:5" x14ac:dyDescent="0.25">
      <c r="B25" s="3">
        <f t="shared" si="6"/>
        <v>1.5249999999999981</v>
      </c>
      <c r="C25" s="5">
        <f t="shared" si="0"/>
        <v>0.65573770491803363</v>
      </c>
      <c r="D25" s="5">
        <f t="shared" si="2"/>
        <v>1.6530054644808761E-2</v>
      </c>
      <c r="E25" s="5">
        <f t="shared" si="7"/>
        <v>0.42202409532683755</v>
      </c>
    </row>
    <row r="26" spans="2:5" x14ac:dyDescent="0.25">
      <c r="B26" s="3">
        <f t="shared" si="6"/>
        <v>1.549999999999998</v>
      </c>
      <c r="C26" s="5">
        <f t="shared" si="0"/>
        <v>0.6451612903225814</v>
      </c>
      <c r="D26" s="5">
        <f t="shared" si="2"/>
        <v>1.6261237440507687E-2</v>
      </c>
      <c r="E26" s="5">
        <f t="shared" si="7"/>
        <v>0.43828533276734521</v>
      </c>
    </row>
    <row r="27" spans="2:5" x14ac:dyDescent="0.25">
      <c r="B27" s="3">
        <f t="shared" si="6"/>
        <v>1.574999999999998</v>
      </c>
      <c r="C27" s="5">
        <f t="shared" si="0"/>
        <v>0.63492063492063577</v>
      </c>
      <c r="D27" s="5">
        <f t="shared" si="2"/>
        <v>1.6001024065540215E-2</v>
      </c>
      <c r="E27" s="5">
        <f t="shared" si="7"/>
        <v>0.45428635683288543</v>
      </c>
    </row>
    <row r="28" spans="2:5" x14ac:dyDescent="0.25">
      <c r="B28" s="3">
        <f t="shared" si="6"/>
        <v>1.5999999999999979</v>
      </c>
      <c r="C28" s="5">
        <f t="shared" si="0"/>
        <v>0.62500000000000089</v>
      </c>
      <c r="D28" s="5">
        <f t="shared" si="2"/>
        <v>1.574900793650796E-2</v>
      </c>
      <c r="E28" s="5">
        <f t="shared" si="7"/>
        <v>0.47003536476939339</v>
      </c>
    </row>
    <row r="29" spans="2:5" x14ac:dyDescent="0.25">
      <c r="B29" s="3">
        <f t="shared" si="6"/>
        <v>1.6249999999999978</v>
      </c>
      <c r="C29" s="5">
        <f t="shared" si="0"/>
        <v>0.6153846153846162</v>
      </c>
      <c r="D29" s="5">
        <f t="shared" si="2"/>
        <v>1.5504807692307715E-2</v>
      </c>
      <c r="E29" s="5">
        <f t="shared" si="7"/>
        <v>0.48554017246170111</v>
      </c>
    </row>
    <row r="30" spans="2:5" x14ac:dyDescent="0.25">
      <c r="B30" s="3">
        <f t="shared" si="6"/>
        <v>1.6499999999999977</v>
      </c>
      <c r="C30" s="5">
        <f t="shared" si="0"/>
        <v>0.60606060606060685</v>
      </c>
      <c r="D30" s="5">
        <f t="shared" si="2"/>
        <v>1.526806526806529E-2</v>
      </c>
      <c r="E30" s="5">
        <f t="shared" si="7"/>
        <v>0.50080823772976646</v>
      </c>
    </row>
    <row r="31" spans="2:5" x14ac:dyDescent="0.25">
      <c r="B31" s="3">
        <f>B30+$C$1</f>
        <v>1.6749999999999976</v>
      </c>
      <c r="C31" s="5">
        <f t="shared" si="0"/>
        <v>0.59701492537313516</v>
      </c>
      <c r="D31" s="5">
        <f>(C30+C31)/2*$C$1</f>
        <v>1.5038444142921777E-2</v>
      </c>
      <c r="E31" s="5">
        <f>D31+E30</f>
        <v>0.51584668187268823</v>
      </c>
    </row>
    <row r="32" spans="2:5" x14ac:dyDescent="0.25">
      <c r="B32" s="3">
        <f t="shared" ref="B32:B56" si="8">B31+$C$1</f>
        <v>1.6999999999999975</v>
      </c>
      <c r="C32" s="5">
        <f t="shared" si="0"/>
        <v>0.58823529411764797</v>
      </c>
      <c r="D32" s="5">
        <f t="shared" si="2"/>
        <v>1.4815627743634791E-2</v>
      </c>
      <c r="E32" s="5">
        <f t="shared" ref="E32:E56" si="9">D32+E31</f>
        <v>0.53066230961632299</v>
      </c>
    </row>
    <row r="33" spans="2:5" x14ac:dyDescent="0.25">
      <c r="B33" s="3">
        <f t="shared" si="8"/>
        <v>1.7249999999999974</v>
      </c>
      <c r="C33" s="5">
        <f t="shared" si="0"/>
        <v>0.57971014492753714</v>
      </c>
      <c r="D33" s="5">
        <f t="shared" si="2"/>
        <v>1.4599317988064815E-2</v>
      </c>
      <c r="E33" s="5">
        <f t="shared" si="9"/>
        <v>0.54526162760438779</v>
      </c>
    </row>
    <row r="34" spans="2:5" x14ac:dyDescent="0.25">
      <c r="B34" s="3">
        <f t="shared" si="8"/>
        <v>1.7499999999999973</v>
      </c>
      <c r="C34" s="5">
        <f t="shared" si="0"/>
        <v>0.57142857142857229</v>
      </c>
      <c r="D34" s="5">
        <f t="shared" si="2"/>
        <v>1.438923395445137E-2</v>
      </c>
      <c r="E34" s="5">
        <f t="shared" si="9"/>
        <v>0.55965086155883914</v>
      </c>
    </row>
    <row r="35" spans="2:5" x14ac:dyDescent="0.25">
      <c r="B35" s="3">
        <f t="shared" si="8"/>
        <v>1.7749999999999972</v>
      </c>
      <c r="C35" s="5">
        <f t="shared" si="0"/>
        <v>0.56338028169014176</v>
      </c>
      <c r="D35" s="5">
        <f t="shared" si="2"/>
        <v>1.4185110663983924E-2</v>
      </c>
      <c r="E35" s="5">
        <f t="shared" si="9"/>
        <v>0.57383597222282301</v>
      </c>
    </row>
    <row r="36" spans="2:5" x14ac:dyDescent="0.25">
      <c r="B36" s="3">
        <f t="shared" si="8"/>
        <v>1.7999999999999972</v>
      </c>
      <c r="C36" s="5">
        <f t="shared" si="0"/>
        <v>0.55555555555555647</v>
      </c>
      <c r="D36" s="5">
        <f t="shared" si="2"/>
        <v>1.3986697965571226E-2</v>
      </c>
      <c r="E36" s="5">
        <f t="shared" si="9"/>
        <v>0.58782267018839418</v>
      </c>
    </row>
    <row r="37" spans="2:5" x14ac:dyDescent="0.25">
      <c r="B37" s="3">
        <f t="shared" si="8"/>
        <v>1.8249999999999971</v>
      </c>
      <c r="C37" s="5">
        <f t="shared" si="0"/>
        <v>0.54794520547945291</v>
      </c>
      <c r="D37" s="5">
        <f t="shared" si="2"/>
        <v>1.3793759512937619E-2</v>
      </c>
      <c r="E37" s="5">
        <f t="shared" si="9"/>
        <v>0.60161642970133178</v>
      </c>
    </row>
    <row r="38" spans="2:5" x14ac:dyDescent="0.25">
      <c r="B38" s="3">
        <f t="shared" si="8"/>
        <v>1.849999999999997</v>
      </c>
      <c r="C38" s="5">
        <f t="shared" si="0"/>
        <v>0.54054054054054146</v>
      </c>
      <c r="D38" s="5">
        <f t="shared" si="2"/>
        <v>1.360607182524993E-2</v>
      </c>
      <c r="E38" s="5">
        <f t="shared" si="9"/>
        <v>0.61522250152658176</v>
      </c>
    </row>
    <row r="39" spans="2:5" x14ac:dyDescent="0.25">
      <c r="B39" s="3">
        <f t="shared" si="8"/>
        <v>1.8749999999999969</v>
      </c>
      <c r="C39" s="5">
        <f t="shared" si="0"/>
        <v>0.53333333333333421</v>
      </c>
      <c r="D39" s="5">
        <f t="shared" si="2"/>
        <v>1.3423423423423448E-2</v>
      </c>
      <c r="E39" s="5">
        <f t="shared" si="9"/>
        <v>0.62864592495000515</v>
      </c>
    </row>
    <row r="40" spans="2:5" x14ac:dyDescent="0.25">
      <c r="B40" s="3">
        <f t="shared" si="8"/>
        <v>1.8999999999999968</v>
      </c>
      <c r="C40" s="5">
        <f t="shared" si="0"/>
        <v>0.52631578947368507</v>
      </c>
      <c r="D40" s="5">
        <f t="shared" si="2"/>
        <v>1.3245614035087741E-2</v>
      </c>
      <c r="E40" s="5">
        <f t="shared" si="9"/>
        <v>0.64189153898509288</v>
      </c>
    </row>
    <row r="41" spans="2:5" x14ac:dyDescent="0.25">
      <c r="B41" s="3">
        <f t="shared" si="8"/>
        <v>1.9249999999999967</v>
      </c>
      <c r="C41" s="5">
        <f t="shared" si="0"/>
        <v>0.51948051948052032</v>
      </c>
      <c r="D41" s="5">
        <f t="shared" si="2"/>
        <v>1.3072453861927569E-2</v>
      </c>
      <c r="E41" s="5">
        <f t="shared" si="9"/>
        <v>0.65496399284702045</v>
      </c>
    </row>
    <row r="42" spans="2:5" x14ac:dyDescent="0.25">
      <c r="B42" s="3">
        <f t="shared" si="8"/>
        <v>1.9499999999999966</v>
      </c>
      <c r="C42" s="5">
        <f t="shared" si="0"/>
        <v>0.51282051282051366</v>
      </c>
      <c r="D42" s="5">
        <f t="shared" si="2"/>
        <v>1.2903762903762925E-2</v>
      </c>
      <c r="E42" s="5">
        <f t="shared" si="9"/>
        <v>0.66786775575078339</v>
      </c>
    </row>
    <row r="43" spans="2:5" x14ac:dyDescent="0.25">
      <c r="B43" s="3">
        <f t="shared" si="8"/>
        <v>1.9749999999999965</v>
      </c>
      <c r="C43" s="5">
        <f t="shared" si="0"/>
        <v>0.50632911392405155</v>
      </c>
      <c r="D43" s="5">
        <f t="shared" si="2"/>
        <v>1.2739370334307066E-2</v>
      </c>
      <c r="E43" s="5">
        <f t="shared" si="9"/>
        <v>0.68060712608509044</v>
      </c>
    </row>
    <row r="44" spans="2:5" x14ac:dyDescent="0.25">
      <c r="B44" s="3">
        <f t="shared" si="8"/>
        <v>1.9999999999999964</v>
      </c>
      <c r="C44" s="5">
        <f t="shared" si="0"/>
        <v>0.50000000000000089</v>
      </c>
      <c r="D44" s="5">
        <f t="shared" si="2"/>
        <v>1.2579113924050657E-2</v>
      </c>
      <c r="E44" s="5">
        <f t="shared" si="9"/>
        <v>0.69318624000914109</v>
      </c>
    </row>
    <row r="45" spans="2:5" x14ac:dyDescent="0.25">
      <c r="B45" s="3">
        <f t="shared" si="8"/>
        <v>2.0249999999999964</v>
      </c>
      <c r="C45" s="5">
        <f t="shared" si="0"/>
        <v>0.49382716049382802</v>
      </c>
      <c r="D45" s="5">
        <f t="shared" si="2"/>
        <v>1.2422839506172862E-2</v>
      </c>
      <c r="E45" s="5">
        <f t="shared" si="9"/>
        <v>0.70560907951531393</v>
      </c>
    </row>
    <row r="46" spans="2:5" x14ac:dyDescent="0.25">
      <c r="B46" s="3">
        <f t="shared" si="8"/>
        <v>2.0499999999999963</v>
      </c>
      <c r="C46" s="5">
        <f t="shared" si="0"/>
        <v>0.48780487804878137</v>
      </c>
      <c r="D46" s="5">
        <f t="shared" si="2"/>
        <v>1.2270400481782618E-2</v>
      </c>
      <c r="E46" s="5">
        <f t="shared" si="9"/>
        <v>0.71787947999709656</v>
      </c>
    </row>
    <row r="47" spans="2:5" x14ac:dyDescent="0.25">
      <c r="B47" s="3">
        <f t="shared" si="8"/>
        <v>2.0749999999999962</v>
      </c>
      <c r="C47" s="5">
        <f t="shared" si="0"/>
        <v>0.48192771084337438</v>
      </c>
      <c r="D47" s="5">
        <f t="shared" si="2"/>
        <v>1.2121657361151948E-2</v>
      </c>
      <c r="E47" s="5">
        <f t="shared" si="9"/>
        <v>0.73000113735824845</v>
      </c>
    </row>
    <row r="48" spans="2:5" x14ac:dyDescent="0.25">
      <c r="B48" s="3">
        <f t="shared" si="8"/>
        <v>2.0999999999999961</v>
      </c>
      <c r="C48" s="5">
        <f t="shared" si="0"/>
        <v>0.47619047619047705</v>
      </c>
      <c r="D48" s="5">
        <f t="shared" si="2"/>
        <v>1.1976477337923144E-2</v>
      </c>
      <c r="E48" s="5">
        <f t="shared" si="9"/>
        <v>0.74197761469617163</v>
      </c>
    </row>
    <row r="49" spans="2:5" x14ac:dyDescent="0.25">
      <c r="B49" s="3">
        <f t="shared" si="8"/>
        <v>2.124999999999996</v>
      </c>
      <c r="C49" s="5">
        <f t="shared" si="0"/>
        <v>0.47058823529411853</v>
      </c>
      <c r="D49" s="5">
        <f t="shared" si="2"/>
        <v>1.1834733893557445E-2</v>
      </c>
      <c r="E49" s="5">
        <f t="shared" si="9"/>
        <v>0.75381234858972912</v>
      </c>
    </row>
    <row r="50" spans="2:5" x14ac:dyDescent="0.25">
      <c r="B50" s="3">
        <f t="shared" si="8"/>
        <v>2.1499999999999959</v>
      </c>
      <c r="C50" s="5">
        <f t="shared" si="0"/>
        <v>0.46511627906976832</v>
      </c>
      <c r="D50" s="5">
        <f t="shared" si="2"/>
        <v>1.1696306429548588E-2</v>
      </c>
      <c r="E50" s="5">
        <f t="shared" si="9"/>
        <v>0.76550865501927767</v>
      </c>
    </row>
    <row r="51" spans="2:5" x14ac:dyDescent="0.25">
      <c r="B51" s="3">
        <f t="shared" si="8"/>
        <v>2.1749999999999958</v>
      </c>
      <c r="C51" s="5">
        <f t="shared" si="0"/>
        <v>0.45977011494252962</v>
      </c>
      <c r="D51" s="5">
        <f t="shared" si="2"/>
        <v>1.1561079925153726E-2</v>
      </c>
      <c r="E51" s="5">
        <f t="shared" si="9"/>
        <v>0.77706973494443143</v>
      </c>
    </row>
    <row r="52" spans="2:5" x14ac:dyDescent="0.25">
      <c r="B52" s="3">
        <f t="shared" si="8"/>
        <v>2.1999999999999957</v>
      </c>
      <c r="C52" s="5">
        <f t="shared" si="0"/>
        <v>0.45454545454545542</v>
      </c>
      <c r="D52" s="5">
        <f t="shared" si="2"/>
        <v>1.1428944618599814E-2</v>
      </c>
      <c r="E52" s="5">
        <f t="shared" si="9"/>
        <v>0.78849867956303121</v>
      </c>
    </row>
    <row r="53" spans="2:5" x14ac:dyDescent="0.25">
      <c r="B53" s="3">
        <f t="shared" si="8"/>
        <v>2.2249999999999956</v>
      </c>
      <c r="C53" s="5">
        <f t="shared" si="0"/>
        <v>0.44943820224719189</v>
      </c>
      <c r="D53" s="5">
        <f t="shared" si="2"/>
        <v>1.1299795709908092E-2</v>
      </c>
      <c r="E53" s="5">
        <f t="shared" si="9"/>
        <v>0.79979847527293935</v>
      </c>
    </row>
    <row r="54" spans="2:5" x14ac:dyDescent="0.25">
      <c r="B54" s="3">
        <f t="shared" si="8"/>
        <v>2.2499999999999956</v>
      </c>
      <c r="C54" s="5">
        <f t="shared" si="0"/>
        <v>0.44444444444444531</v>
      </c>
      <c r="D54" s="5">
        <f t="shared" si="2"/>
        <v>1.1173533083645465E-2</v>
      </c>
      <c r="E54" s="5">
        <f t="shared" si="9"/>
        <v>0.81097200835658478</v>
      </c>
    </row>
    <row r="55" spans="2:5" x14ac:dyDescent="0.25">
      <c r="B55" s="3">
        <f t="shared" si="8"/>
        <v>2.2749999999999955</v>
      </c>
      <c r="C55" s="5">
        <f t="shared" si="0"/>
        <v>0.43956043956044044</v>
      </c>
      <c r="D55" s="5">
        <f t="shared" si="2"/>
        <v>1.1050061050061073E-2</v>
      </c>
      <c r="E55" s="5">
        <f t="shared" si="9"/>
        <v>0.82202206940664591</v>
      </c>
    </row>
    <row r="56" spans="2:5" x14ac:dyDescent="0.25">
      <c r="B56" s="3">
        <f t="shared" si="8"/>
        <v>2.2999999999999954</v>
      </c>
      <c r="C56" s="5">
        <f t="shared" si="0"/>
        <v>0.43478260869565305</v>
      </c>
      <c r="D56" s="5">
        <f t="shared" si="2"/>
        <v>1.0929288103201169E-2</v>
      </c>
      <c r="E56" s="5">
        <f t="shared" si="9"/>
        <v>0.83295135750984706</v>
      </c>
    </row>
    <row r="58" spans="2:5" x14ac:dyDescent="0.25">
      <c r="B58" s="3">
        <v>2.2999999999999998</v>
      </c>
      <c r="E58" s="5">
        <f>LN(B58)</f>
        <v>0.83290912293510388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4:I23"/>
  <sheetViews>
    <sheetView workbookViewId="0">
      <selection activeCell="I5" sqref="I5"/>
    </sheetView>
  </sheetViews>
  <sheetFormatPr defaultRowHeight="15" x14ac:dyDescent="0.25"/>
  <cols>
    <col min="9" max="9" width="18.42578125" customWidth="1"/>
  </cols>
  <sheetData>
    <row r="4" spans="2:9" x14ac:dyDescent="0.25">
      <c r="D4" t="s">
        <v>1</v>
      </c>
      <c r="E4" t="s">
        <v>11</v>
      </c>
      <c r="F4" t="s">
        <v>5</v>
      </c>
      <c r="G4" t="s">
        <v>6</v>
      </c>
      <c r="H4" t="s">
        <v>7</v>
      </c>
      <c r="I4" t="s">
        <v>8</v>
      </c>
    </row>
    <row r="5" spans="2:9" x14ac:dyDescent="0.25">
      <c r="D5">
        <v>1</v>
      </c>
      <c r="E5">
        <f>SIN(D5)</f>
        <v>0.8414709848078965</v>
      </c>
      <c r="F5">
        <v>1</v>
      </c>
      <c r="G5">
        <v>2</v>
      </c>
      <c r="H5">
        <v>1E-4</v>
      </c>
      <c r="I5" s="7">
        <f>integral(D5,E5,F5,G5,H5)</f>
        <v>0.25519020276873827</v>
      </c>
    </row>
    <row r="6" spans="2:9" x14ac:dyDescent="0.25">
      <c r="I6" s="7"/>
    </row>
    <row r="7" spans="2:9" x14ac:dyDescent="0.25">
      <c r="I7" s="7">
        <f>-COS(2)+COS(1)</f>
        <v>0.95644914241528212</v>
      </c>
    </row>
    <row r="8" spans="2:9" x14ac:dyDescent="0.25">
      <c r="B8" t="s">
        <v>2</v>
      </c>
      <c r="C8">
        <f>H5</f>
        <v>1E-4</v>
      </c>
      <c r="F8" t="s">
        <v>10</v>
      </c>
    </row>
    <row r="9" spans="2:9" x14ac:dyDescent="0.25">
      <c r="B9" t="s">
        <v>1</v>
      </c>
      <c r="C9" t="s">
        <v>0</v>
      </c>
      <c r="E9" t="s">
        <v>9</v>
      </c>
    </row>
    <row r="10" spans="2:9" x14ac:dyDescent="0.25">
      <c r="B10" s="3">
        <f>F5</f>
        <v>1</v>
      </c>
      <c r="C10" s="3">
        <f>1/B10</f>
        <v>1</v>
      </c>
      <c r="E10" s="3"/>
      <c r="F10" s="6">
        <v>0</v>
      </c>
    </row>
    <row r="11" spans="2:9" x14ac:dyDescent="0.25">
      <c r="B11" s="3">
        <f>B10+$H$5</f>
        <v>1.0001</v>
      </c>
      <c r="C11" s="3">
        <f>1/B11</f>
        <v>0.99990000999900008</v>
      </c>
      <c r="D11" s="3">
        <f>(C11+C10)/2</f>
        <v>0.99995000499950004</v>
      </c>
      <c r="E11" s="3">
        <f>D11*$C$8</f>
        <v>9.999500049995001E-5</v>
      </c>
      <c r="F11" s="3">
        <f t="shared" ref="F11:F23" si="0">F10+E11</f>
        <v>9.999500049995001E-5</v>
      </c>
    </row>
    <row r="12" spans="2:9" x14ac:dyDescent="0.25">
      <c r="B12" s="3">
        <f t="shared" ref="B12:B18" si="1">B11+$H$5</f>
        <v>1.0002</v>
      </c>
      <c r="C12" s="3">
        <f t="shared" ref="C12:C18" si="2">1/B12</f>
        <v>0.99980003999200162</v>
      </c>
      <c r="D12" s="3">
        <f t="shared" ref="D12:D23" si="3">(C12+C11)/2</f>
        <v>0.99985002499550091</v>
      </c>
      <c r="E12" s="3">
        <f t="shared" ref="E12:E23" si="4">D12*$C$8</f>
        <v>9.9985002499550099E-5</v>
      </c>
      <c r="F12" s="3">
        <f t="shared" si="0"/>
        <v>1.9998000299950011E-4</v>
      </c>
    </row>
    <row r="13" spans="2:9" x14ac:dyDescent="0.25">
      <c r="B13" s="3">
        <f t="shared" si="1"/>
        <v>1.0003</v>
      </c>
      <c r="C13" s="3">
        <f t="shared" si="2"/>
        <v>0.99970008997300808</v>
      </c>
      <c r="D13" s="3">
        <f t="shared" si="3"/>
        <v>0.99975006498250485</v>
      </c>
      <c r="E13" s="3">
        <f t="shared" si="4"/>
        <v>9.9975006498250496E-5</v>
      </c>
      <c r="F13" s="3">
        <f t="shared" si="0"/>
        <v>2.9995500949775059E-4</v>
      </c>
    </row>
    <row r="14" spans="2:9" x14ac:dyDescent="0.25">
      <c r="B14" s="3">
        <f t="shared" si="1"/>
        <v>1.0004</v>
      </c>
      <c r="C14" s="3">
        <f t="shared" si="2"/>
        <v>0.99960015993602558</v>
      </c>
      <c r="D14" s="3">
        <f t="shared" si="3"/>
        <v>0.99965012495451688</v>
      </c>
      <c r="E14" s="3">
        <f t="shared" si="4"/>
        <v>9.9965012495451691E-5</v>
      </c>
      <c r="F14" s="3">
        <f t="shared" si="0"/>
        <v>3.999200219932023E-4</v>
      </c>
    </row>
    <row r="15" spans="2:9" x14ac:dyDescent="0.25">
      <c r="B15" s="3">
        <f t="shared" si="1"/>
        <v>1.0004999999999999</v>
      </c>
      <c r="C15" s="3">
        <f t="shared" si="2"/>
        <v>0.99950024987506247</v>
      </c>
      <c r="D15" s="3">
        <f t="shared" si="3"/>
        <v>0.99955020490554403</v>
      </c>
      <c r="E15" s="3">
        <f t="shared" si="4"/>
        <v>9.9955020490554404E-5</v>
      </c>
      <c r="F15" s="3">
        <f t="shared" si="0"/>
        <v>4.9987504248375674E-4</v>
      </c>
    </row>
    <row r="16" spans="2:9" x14ac:dyDescent="0.25">
      <c r="B16" s="3">
        <f t="shared" si="1"/>
        <v>1.0005999999999999</v>
      </c>
      <c r="C16" s="3">
        <f t="shared" si="2"/>
        <v>0.99940035978412955</v>
      </c>
      <c r="D16" s="3">
        <f t="shared" si="3"/>
        <v>0.99945030482959596</v>
      </c>
      <c r="E16" s="3">
        <f t="shared" si="4"/>
        <v>9.9945030482959601E-5</v>
      </c>
      <c r="F16" s="3">
        <f t="shared" si="0"/>
        <v>5.9982007296671637E-4</v>
      </c>
    </row>
    <row r="17" spans="2:6" x14ac:dyDescent="0.25">
      <c r="B17" s="3">
        <f t="shared" si="1"/>
        <v>1.0006999999999999</v>
      </c>
      <c r="C17" s="3">
        <f t="shared" si="2"/>
        <v>0.99930048965724005</v>
      </c>
      <c r="D17" s="3">
        <f t="shared" si="3"/>
        <v>0.9993504247206848</v>
      </c>
      <c r="E17" s="3">
        <f t="shared" si="4"/>
        <v>9.993504247206849E-5</v>
      </c>
      <c r="F17" s="3">
        <f t="shared" si="0"/>
        <v>6.9975511543878487E-4</v>
      </c>
    </row>
    <row r="18" spans="2:6" x14ac:dyDescent="0.25">
      <c r="B18" s="3">
        <f t="shared" si="1"/>
        <v>1.0007999999999999</v>
      </c>
      <c r="C18" s="3">
        <f t="shared" si="2"/>
        <v>0.99920063948840931</v>
      </c>
      <c r="D18" s="3">
        <f t="shared" si="3"/>
        <v>0.99925056457282468</v>
      </c>
      <c r="E18" s="3">
        <f t="shared" si="4"/>
        <v>9.9925056457282469E-5</v>
      </c>
      <c r="F18" s="3">
        <f t="shared" si="0"/>
        <v>7.9968017189606735E-4</v>
      </c>
    </row>
    <row r="19" spans="2:6" x14ac:dyDescent="0.25">
      <c r="B19" s="3">
        <f>B18+$H$5</f>
        <v>1.0008999999999999</v>
      </c>
      <c r="C19" s="3">
        <f>1/B19</f>
        <v>0.99910080927165557</v>
      </c>
      <c r="D19" s="3">
        <f t="shared" si="3"/>
        <v>0.99915072438003238</v>
      </c>
      <c r="E19" s="3">
        <f t="shared" si="4"/>
        <v>9.9915072438003249E-5</v>
      </c>
      <c r="F19" s="3">
        <f t="shared" si="0"/>
        <v>8.9959524433407055E-4</v>
      </c>
    </row>
    <row r="20" spans="2:6" x14ac:dyDescent="0.25">
      <c r="B20" s="3">
        <f>B19+$H$5</f>
        <v>1.0009999999999999</v>
      </c>
      <c r="C20" s="3">
        <f>1/B20</f>
        <v>0.99900099900099915</v>
      </c>
      <c r="D20" s="3">
        <f t="shared" si="3"/>
        <v>0.99905090413632736</v>
      </c>
      <c r="E20" s="3">
        <f t="shared" si="4"/>
        <v>9.9905090413632744E-5</v>
      </c>
      <c r="F20" s="3">
        <f t="shared" si="0"/>
        <v>9.9950033474770325E-4</v>
      </c>
    </row>
    <row r="21" spans="2:6" x14ac:dyDescent="0.25">
      <c r="B21" s="3">
        <f>B20+$H$5</f>
        <v>1.0010999999999999</v>
      </c>
      <c r="C21" s="3">
        <f>1/B21</f>
        <v>0.99890120867046261</v>
      </c>
      <c r="D21" s="3">
        <f t="shared" si="3"/>
        <v>0.99895110383573082</v>
      </c>
      <c r="E21" s="3">
        <f t="shared" si="4"/>
        <v>9.9895110383573082E-5</v>
      </c>
      <c r="F21" s="3">
        <f t="shared" si="0"/>
        <v>1.0993954451312764E-3</v>
      </c>
    </row>
    <row r="22" spans="2:6" x14ac:dyDescent="0.25">
      <c r="B22" s="3">
        <f>B21+$H$5</f>
        <v>1.0011999999999999</v>
      </c>
      <c r="C22" s="3">
        <f>1/B22</f>
        <v>0.9988014382740712</v>
      </c>
      <c r="D22" s="3">
        <f t="shared" si="3"/>
        <v>0.99885132347226691</v>
      </c>
      <c r="E22" s="3">
        <f t="shared" si="4"/>
        <v>9.9885132347226694E-5</v>
      </c>
      <c r="F22" s="3">
        <f t="shared" si="0"/>
        <v>1.1992805774785032E-3</v>
      </c>
    </row>
    <row r="23" spans="2:6" x14ac:dyDescent="0.25">
      <c r="B23" s="3">
        <f>B22+$H$5</f>
        <v>1.0012999999999999</v>
      </c>
      <c r="C23" s="3">
        <f>1/B23</f>
        <v>0.99870168780585256</v>
      </c>
      <c r="D23" s="3">
        <f t="shared" si="3"/>
        <v>0.99875156303996193</v>
      </c>
      <c r="E23" s="3">
        <f t="shared" si="4"/>
        <v>9.9875156303996196E-5</v>
      </c>
      <c r="F23" s="3">
        <f t="shared" si="0"/>
        <v>1.2991557337824994E-3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F13"/>
  <sheetViews>
    <sheetView zoomScale="280" zoomScaleNormal="280" workbookViewId="0">
      <selection activeCell="E35" sqref="E35"/>
    </sheetView>
  </sheetViews>
  <sheetFormatPr defaultRowHeight="15" x14ac:dyDescent="0.25"/>
  <sheetData>
    <row r="1" spans="1:6" x14ac:dyDescent="0.25">
      <c r="A1" s="1" t="s">
        <v>42</v>
      </c>
      <c r="B1" s="2">
        <v>0.1</v>
      </c>
    </row>
    <row r="2" spans="1:6" x14ac:dyDescent="0.25">
      <c r="A2" t="s">
        <v>1</v>
      </c>
      <c r="B2" t="s">
        <v>41</v>
      </c>
      <c r="C2" t="s">
        <v>40</v>
      </c>
      <c r="D2" t="s">
        <v>39</v>
      </c>
      <c r="E2" t="s">
        <v>38</v>
      </c>
    </row>
    <row r="3" spans="1:6" x14ac:dyDescent="0.25">
      <c r="A3" s="3">
        <v>1</v>
      </c>
      <c r="B3" s="3">
        <f t="shared" ref="B3:B13" si="0">1/A3</f>
        <v>1</v>
      </c>
      <c r="C3" s="3">
        <f t="shared" ref="C3:C12" si="1">AVERAGE(B3:B4)</f>
        <v>0.95454545454545459</v>
      </c>
      <c r="D3" s="3">
        <f t="shared" ref="D3:D12" si="2">C3*$B$1</f>
        <v>9.5454545454545459E-2</v>
      </c>
      <c r="E3" s="3">
        <v>0</v>
      </c>
    </row>
    <row r="4" spans="1:6" x14ac:dyDescent="0.25">
      <c r="A4" s="3">
        <f t="shared" ref="A4:A13" si="3">A3+$B$1</f>
        <v>1.1000000000000001</v>
      </c>
      <c r="B4" s="3">
        <f t="shared" si="0"/>
        <v>0.90909090909090906</v>
      </c>
      <c r="C4" s="3">
        <f t="shared" si="1"/>
        <v>0.8712121212121211</v>
      </c>
      <c r="D4" s="3">
        <f t="shared" si="2"/>
        <v>8.7121212121212113E-2</v>
      </c>
      <c r="E4" s="3">
        <f t="shared" ref="E4:E13" si="4">E3+D3</f>
        <v>9.5454545454545459E-2</v>
      </c>
    </row>
    <row r="5" spans="1:6" x14ac:dyDescent="0.25">
      <c r="A5" s="3">
        <f t="shared" si="3"/>
        <v>1.2000000000000002</v>
      </c>
      <c r="B5" s="3">
        <f t="shared" si="0"/>
        <v>0.83333333333333326</v>
      </c>
      <c r="C5" s="3">
        <f t="shared" si="1"/>
        <v>0.8012820512820511</v>
      </c>
      <c r="D5" s="3">
        <f t="shared" si="2"/>
        <v>8.0128205128205121E-2</v>
      </c>
      <c r="E5" s="3">
        <f t="shared" si="4"/>
        <v>0.18257575757575756</v>
      </c>
    </row>
    <row r="6" spans="1:6" x14ac:dyDescent="0.25">
      <c r="A6" s="3">
        <f t="shared" si="3"/>
        <v>1.3000000000000003</v>
      </c>
      <c r="B6" s="3">
        <f t="shared" si="0"/>
        <v>0.76923076923076905</v>
      </c>
      <c r="C6" s="3">
        <f t="shared" si="1"/>
        <v>0.74175824175824157</v>
      </c>
      <c r="D6" s="3">
        <f t="shared" si="2"/>
        <v>7.4175824175824162E-2</v>
      </c>
      <c r="E6" s="3">
        <f t="shared" si="4"/>
        <v>0.26270396270396268</v>
      </c>
    </row>
    <row r="7" spans="1:6" x14ac:dyDescent="0.25">
      <c r="A7" s="3">
        <f t="shared" si="3"/>
        <v>1.4000000000000004</v>
      </c>
      <c r="B7" s="3">
        <f t="shared" si="0"/>
        <v>0.71428571428571408</v>
      </c>
      <c r="C7" s="3">
        <f t="shared" si="1"/>
        <v>0.69047619047619024</v>
      </c>
      <c r="D7" s="3">
        <f t="shared" si="2"/>
        <v>6.9047619047619024E-2</v>
      </c>
      <c r="E7" s="3">
        <f t="shared" si="4"/>
        <v>0.33687978687978681</v>
      </c>
    </row>
    <row r="8" spans="1:6" x14ac:dyDescent="0.25">
      <c r="A8" s="3">
        <f t="shared" si="3"/>
        <v>1.5000000000000004</v>
      </c>
      <c r="B8" s="3">
        <f t="shared" si="0"/>
        <v>0.66666666666666652</v>
      </c>
      <c r="C8" s="3">
        <f t="shared" si="1"/>
        <v>0.64583333333333315</v>
      </c>
      <c r="D8" s="3">
        <f t="shared" si="2"/>
        <v>6.4583333333333312E-2</v>
      </c>
      <c r="E8" s="3">
        <f t="shared" si="4"/>
        <v>0.40592740592740584</v>
      </c>
    </row>
    <row r="9" spans="1:6" x14ac:dyDescent="0.25">
      <c r="A9" s="3">
        <f t="shared" si="3"/>
        <v>1.6000000000000005</v>
      </c>
      <c r="B9" s="3">
        <f t="shared" si="0"/>
        <v>0.62499999999999978</v>
      </c>
      <c r="C9" s="3">
        <f t="shared" si="1"/>
        <v>0.60661764705882337</v>
      </c>
      <c r="D9" s="3">
        <f t="shared" si="2"/>
        <v>6.0661764705882339E-2</v>
      </c>
      <c r="E9" s="3">
        <f t="shared" si="4"/>
        <v>0.47051073926073916</v>
      </c>
    </row>
    <row r="10" spans="1:6" x14ac:dyDescent="0.25">
      <c r="A10" s="3">
        <f t="shared" si="3"/>
        <v>1.7000000000000006</v>
      </c>
      <c r="B10" s="3">
        <f t="shared" si="0"/>
        <v>0.58823529411764686</v>
      </c>
      <c r="C10" s="3">
        <f t="shared" si="1"/>
        <v>0.57189542483660105</v>
      </c>
      <c r="D10" s="3">
        <f t="shared" si="2"/>
        <v>5.7189542483660108E-2</v>
      </c>
      <c r="E10" s="3">
        <f t="shared" si="4"/>
        <v>0.53117250396662152</v>
      </c>
    </row>
    <row r="11" spans="1:6" x14ac:dyDescent="0.25">
      <c r="A11" s="3">
        <f t="shared" si="3"/>
        <v>1.8000000000000007</v>
      </c>
      <c r="B11" s="3">
        <f t="shared" si="0"/>
        <v>0.55555555555555536</v>
      </c>
      <c r="C11" s="3">
        <f t="shared" si="1"/>
        <v>0.54093567251461971</v>
      </c>
      <c r="D11" s="3">
        <f t="shared" si="2"/>
        <v>5.4093567251461971E-2</v>
      </c>
      <c r="E11" s="3">
        <f t="shared" si="4"/>
        <v>0.58836204645028167</v>
      </c>
    </row>
    <row r="12" spans="1:6" x14ac:dyDescent="0.25">
      <c r="A12" s="3">
        <f t="shared" si="3"/>
        <v>1.9000000000000008</v>
      </c>
      <c r="B12" s="3">
        <f t="shared" si="0"/>
        <v>0.52631578947368396</v>
      </c>
      <c r="C12" s="3">
        <f t="shared" si="1"/>
        <v>0.51315789473684181</v>
      </c>
      <c r="D12" s="3">
        <f t="shared" si="2"/>
        <v>5.1315789473684183E-2</v>
      </c>
      <c r="E12" s="3">
        <f t="shared" si="4"/>
        <v>0.64245561370174364</v>
      </c>
    </row>
    <row r="13" spans="1:6" x14ac:dyDescent="0.25">
      <c r="A13" s="3">
        <f t="shared" si="3"/>
        <v>2.0000000000000009</v>
      </c>
      <c r="B13" s="3">
        <f t="shared" si="0"/>
        <v>0.49999999999999978</v>
      </c>
      <c r="E13" s="4">
        <f t="shared" si="4"/>
        <v>0.69377140317542785</v>
      </c>
      <c r="F13" s="4">
        <f>LN(2)</f>
        <v>0.69314718055994529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F35"/>
  <sheetViews>
    <sheetView zoomScale="280" zoomScaleNormal="280" workbookViewId="0">
      <selection activeCell="E35" sqref="E35"/>
    </sheetView>
  </sheetViews>
  <sheetFormatPr defaultRowHeight="15" x14ac:dyDescent="0.25"/>
  <sheetData>
    <row r="1" spans="1:6" x14ac:dyDescent="0.25">
      <c r="A1" s="1" t="s">
        <v>42</v>
      </c>
      <c r="B1" s="2">
        <v>0.1</v>
      </c>
    </row>
    <row r="2" spans="1:6" x14ac:dyDescent="0.25">
      <c r="A2" t="s">
        <v>1</v>
      </c>
      <c r="B2" t="s">
        <v>45</v>
      </c>
      <c r="C2" t="s">
        <v>40</v>
      </c>
      <c r="D2" t="s">
        <v>39</v>
      </c>
      <c r="E2" t="s">
        <v>44</v>
      </c>
      <c r="F2" t="s">
        <v>43</v>
      </c>
    </row>
    <row r="3" spans="1:6" x14ac:dyDescent="0.25">
      <c r="A3" s="3">
        <v>0</v>
      </c>
      <c r="B3" s="3">
        <f t="shared" ref="B3:B35" si="0">COS(A3)</f>
        <v>1</v>
      </c>
      <c r="C3" s="3">
        <f t="shared" ref="C3:C35" si="1">AVERAGE(B3:B4)</f>
        <v>0.99750208263901285</v>
      </c>
      <c r="D3" s="3">
        <f t="shared" ref="D3:D35" si="2">C3*$B$1</f>
        <v>9.9750208263901297E-2</v>
      </c>
      <c r="E3" s="4">
        <v>0</v>
      </c>
      <c r="F3" s="4">
        <f t="shared" ref="F3:F35" si="3">SIN(A3)</f>
        <v>0</v>
      </c>
    </row>
    <row r="4" spans="1:6" x14ac:dyDescent="0.25">
      <c r="A4" s="3">
        <f t="shared" ref="A4:A35" si="4">A3+$B$1</f>
        <v>0.1</v>
      </c>
      <c r="B4" s="3">
        <f t="shared" si="0"/>
        <v>0.99500416527802582</v>
      </c>
      <c r="C4" s="3">
        <f t="shared" si="1"/>
        <v>0.98753537155963378</v>
      </c>
      <c r="D4" s="3">
        <f t="shared" si="2"/>
        <v>9.8753537155963383E-2</v>
      </c>
      <c r="E4" s="4">
        <f t="shared" ref="E4:E35" si="5">E3+D3</f>
        <v>9.9750208263901297E-2</v>
      </c>
      <c r="F4" s="4">
        <f t="shared" si="3"/>
        <v>9.9833416646828155E-2</v>
      </c>
    </row>
    <row r="5" spans="1:6" x14ac:dyDescent="0.25">
      <c r="A5" s="3">
        <f t="shared" si="4"/>
        <v>0.2</v>
      </c>
      <c r="B5" s="3">
        <f t="shared" si="0"/>
        <v>0.98006657784124163</v>
      </c>
      <c r="C5" s="3">
        <f t="shared" si="1"/>
        <v>0.9677015334834238</v>
      </c>
      <c r="D5" s="3">
        <f t="shared" si="2"/>
        <v>9.677015334834238E-2</v>
      </c>
      <c r="E5" s="4">
        <f t="shared" si="5"/>
        <v>0.19850374541986468</v>
      </c>
      <c r="F5" s="4">
        <f t="shared" si="3"/>
        <v>0.19866933079506122</v>
      </c>
    </row>
    <row r="6" spans="1:6" x14ac:dyDescent="0.25">
      <c r="A6" s="3">
        <f t="shared" si="4"/>
        <v>0.30000000000000004</v>
      </c>
      <c r="B6" s="3">
        <f t="shared" si="0"/>
        <v>0.95533648912560598</v>
      </c>
      <c r="C6" s="3">
        <f t="shared" si="1"/>
        <v>0.93819874156424554</v>
      </c>
      <c r="D6" s="3">
        <f t="shared" si="2"/>
        <v>9.3819874156424565E-2</v>
      </c>
      <c r="E6" s="4">
        <f t="shared" si="5"/>
        <v>0.29527389876820709</v>
      </c>
      <c r="F6" s="4">
        <f t="shared" si="3"/>
        <v>0.2955202066613396</v>
      </c>
    </row>
    <row r="7" spans="1:6" x14ac:dyDescent="0.25">
      <c r="A7" s="3">
        <f t="shared" si="4"/>
        <v>0.4</v>
      </c>
      <c r="B7" s="3">
        <f t="shared" si="0"/>
        <v>0.9210609940028851</v>
      </c>
      <c r="C7" s="3">
        <f t="shared" si="1"/>
        <v>0.89932177794662893</v>
      </c>
      <c r="D7" s="3">
        <f t="shared" si="2"/>
        <v>8.9932177794662893E-2</v>
      </c>
      <c r="E7" s="4">
        <f t="shared" si="5"/>
        <v>0.38909377292463165</v>
      </c>
      <c r="F7" s="4">
        <f t="shared" si="3"/>
        <v>0.38941834230865052</v>
      </c>
    </row>
    <row r="8" spans="1:6" x14ac:dyDescent="0.25">
      <c r="A8" s="3">
        <f t="shared" si="4"/>
        <v>0.5</v>
      </c>
      <c r="B8" s="3">
        <f t="shared" si="0"/>
        <v>0.87758256189037276</v>
      </c>
      <c r="C8" s="3">
        <f t="shared" si="1"/>
        <v>0.85145908840002549</v>
      </c>
      <c r="D8" s="3">
        <f t="shared" si="2"/>
        <v>8.514590884000256E-2</v>
      </c>
      <c r="E8" s="4">
        <f t="shared" si="5"/>
        <v>0.47902595071929455</v>
      </c>
      <c r="F8" s="4">
        <f t="shared" si="3"/>
        <v>0.47942553860420301</v>
      </c>
    </row>
    <row r="9" spans="1:6" x14ac:dyDescent="0.25">
      <c r="A9" s="3">
        <f t="shared" si="4"/>
        <v>0.6</v>
      </c>
      <c r="B9" s="3">
        <f t="shared" si="0"/>
        <v>0.82533561490967833</v>
      </c>
      <c r="C9" s="3">
        <f t="shared" si="1"/>
        <v>0.79508890109708341</v>
      </c>
      <c r="D9" s="3">
        <f t="shared" si="2"/>
        <v>7.9508890109708352E-2</v>
      </c>
      <c r="E9" s="4">
        <f t="shared" si="5"/>
        <v>0.56417185955929705</v>
      </c>
      <c r="F9" s="4">
        <f t="shared" si="3"/>
        <v>0.56464247339503537</v>
      </c>
    </row>
    <row r="10" spans="1:6" x14ac:dyDescent="0.25">
      <c r="A10" s="3">
        <f t="shared" si="4"/>
        <v>0.7</v>
      </c>
      <c r="B10" s="3">
        <f t="shared" si="0"/>
        <v>0.7648421872844885</v>
      </c>
      <c r="C10" s="3">
        <f t="shared" si="1"/>
        <v>0.73077444831582694</v>
      </c>
      <c r="D10" s="3">
        <f t="shared" si="2"/>
        <v>7.3077444831582697E-2</v>
      </c>
      <c r="E10" s="4">
        <f t="shared" si="5"/>
        <v>0.64368074966900535</v>
      </c>
      <c r="F10" s="4">
        <f t="shared" si="3"/>
        <v>0.64421768723769102</v>
      </c>
    </row>
    <row r="11" spans="1:6" x14ac:dyDescent="0.25">
      <c r="A11" s="3">
        <f t="shared" si="4"/>
        <v>0.79999999999999993</v>
      </c>
      <c r="B11" s="3">
        <f t="shared" si="0"/>
        <v>0.6967067093471655</v>
      </c>
      <c r="C11" s="3">
        <f t="shared" si="1"/>
        <v>0.65915833880891506</v>
      </c>
      <c r="D11" s="3">
        <f t="shared" si="2"/>
        <v>6.5915833880891506E-2</v>
      </c>
      <c r="E11" s="4">
        <f t="shared" si="5"/>
        <v>0.71675819450058809</v>
      </c>
      <c r="F11" s="4">
        <f t="shared" si="3"/>
        <v>0.71735609089952268</v>
      </c>
    </row>
    <row r="12" spans="1:6" x14ac:dyDescent="0.25">
      <c r="A12" s="3">
        <f t="shared" si="4"/>
        <v>0.89999999999999991</v>
      </c>
      <c r="B12" s="3">
        <f t="shared" si="0"/>
        <v>0.6216099682706645</v>
      </c>
      <c r="C12" s="3">
        <f t="shared" si="1"/>
        <v>0.58095613706940208</v>
      </c>
      <c r="D12" s="3">
        <f t="shared" si="2"/>
        <v>5.8095613706940212E-2</v>
      </c>
      <c r="E12" s="4">
        <f t="shared" si="5"/>
        <v>0.78267402838147959</v>
      </c>
      <c r="F12" s="4">
        <f t="shared" si="3"/>
        <v>0.7833269096274833</v>
      </c>
    </row>
    <row r="13" spans="1:6" x14ac:dyDescent="0.25">
      <c r="A13" s="3">
        <f t="shared" si="4"/>
        <v>0.99999999999999989</v>
      </c>
      <c r="B13" s="3">
        <f t="shared" si="0"/>
        <v>0.54030230586813977</v>
      </c>
      <c r="C13" s="3">
        <f t="shared" si="1"/>
        <v>0.49694921364685862</v>
      </c>
      <c r="D13" s="3">
        <f t="shared" si="2"/>
        <v>4.9694921364685868E-2</v>
      </c>
      <c r="E13" s="4">
        <f t="shared" si="5"/>
        <v>0.84076964208841976</v>
      </c>
      <c r="F13" s="4">
        <f t="shared" si="3"/>
        <v>0.84147098480789639</v>
      </c>
    </row>
    <row r="14" spans="1:6" x14ac:dyDescent="0.25">
      <c r="A14" s="3">
        <f t="shared" si="4"/>
        <v>1.0999999999999999</v>
      </c>
      <c r="B14" s="3">
        <f t="shared" si="0"/>
        <v>0.45359612142557748</v>
      </c>
      <c r="C14" s="3">
        <f t="shared" si="1"/>
        <v>0.40797693795112555</v>
      </c>
      <c r="D14" s="3">
        <f t="shared" si="2"/>
        <v>4.0797693795112555E-2</v>
      </c>
      <c r="E14" s="4">
        <f t="shared" si="5"/>
        <v>0.89046456345310565</v>
      </c>
      <c r="F14" s="4">
        <f t="shared" si="3"/>
        <v>0.89120736006143531</v>
      </c>
    </row>
    <row r="15" spans="1:6" x14ac:dyDescent="0.25">
      <c r="A15" s="3">
        <f t="shared" si="4"/>
        <v>1.2</v>
      </c>
      <c r="B15" s="3">
        <f t="shared" si="0"/>
        <v>0.36235775447667362</v>
      </c>
      <c r="C15" s="3">
        <f t="shared" si="1"/>
        <v>0.31492829155063051</v>
      </c>
      <c r="D15" s="3">
        <f t="shared" si="2"/>
        <v>3.1492829155063053E-2</v>
      </c>
      <c r="E15" s="4">
        <f t="shared" si="5"/>
        <v>0.93126225724821821</v>
      </c>
      <c r="F15" s="4">
        <f t="shared" si="3"/>
        <v>0.93203908596722629</v>
      </c>
    </row>
    <row r="16" spans="1:6" x14ac:dyDescent="0.25">
      <c r="A16" s="3">
        <f t="shared" si="4"/>
        <v>1.3</v>
      </c>
      <c r="B16" s="3">
        <f t="shared" si="0"/>
        <v>0.26749882862458735</v>
      </c>
      <c r="C16" s="3">
        <f t="shared" si="1"/>
        <v>0.21873298576241407</v>
      </c>
      <c r="D16" s="3">
        <f t="shared" si="2"/>
        <v>2.1873298576241408E-2</v>
      </c>
      <c r="E16" s="4">
        <f t="shared" si="5"/>
        <v>0.96275508640328122</v>
      </c>
      <c r="F16" s="4">
        <f t="shared" si="3"/>
        <v>0.96355818541719296</v>
      </c>
    </row>
    <row r="17" spans="1:6" x14ac:dyDescent="0.25">
      <c r="A17" s="3">
        <f t="shared" si="4"/>
        <v>1.4000000000000001</v>
      </c>
      <c r="B17" s="3">
        <f t="shared" si="0"/>
        <v>0.16996714290024081</v>
      </c>
      <c r="C17" s="3">
        <f t="shared" si="1"/>
        <v>0.12035217228397174</v>
      </c>
      <c r="D17" s="3">
        <f t="shared" si="2"/>
        <v>1.2035217228397175E-2</v>
      </c>
      <c r="E17" s="4">
        <f t="shared" si="5"/>
        <v>0.98462838497952265</v>
      </c>
      <c r="F17" s="4">
        <f t="shared" si="3"/>
        <v>0.98544972998846025</v>
      </c>
    </row>
    <row r="18" spans="1:6" x14ac:dyDescent="0.25">
      <c r="A18" s="3">
        <f t="shared" si="4"/>
        <v>1.5000000000000002</v>
      </c>
      <c r="B18" s="3">
        <f t="shared" si="0"/>
        <v>7.0737201667702684E-2</v>
      </c>
      <c r="C18" s="3">
        <f t="shared" si="1"/>
        <v>2.0768839683206822E-2</v>
      </c>
      <c r="D18" s="3">
        <f t="shared" si="2"/>
        <v>2.0768839683206822E-3</v>
      </c>
      <c r="E18" s="4">
        <f t="shared" si="5"/>
        <v>0.99666360220791983</v>
      </c>
      <c r="F18" s="4">
        <f t="shared" si="3"/>
        <v>0.99749498660405445</v>
      </c>
    </row>
    <row r="19" spans="1:6" x14ac:dyDescent="0.25">
      <c r="A19" s="3">
        <f t="shared" si="4"/>
        <v>1.6000000000000003</v>
      </c>
      <c r="B19" s="3">
        <f t="shared" si="0"/>
        <v>-2.9199522301289037E-2</v>
      </c>
      <c r="C19" s="3">
        <f t="shared" si="1"/>
        <v>-7.9022008298407054E-2</v>
      </c>
      <c r="D19" s="3">
        <f t="shared" si="2"/>
        <v>-7.9022008298407064E-3</v>
      </c>
      <c r="E19" s="4">
        <f t="shared" si="5"/>
        <v>0.99874048617624056</v>
      </c>
      <c r="F19" s="4">
        <f t="shared" si="3"/>
        <v>0.99957360304150511</v>
      </c>
    </row>
    <row r="20" spans="1:6" x14ac:dyDescent="0.25">
      <c r="A20" s="3">
        <f t="shared" si="4"/>
        <v>1.7000000000000004</v>
      </c>
      <c r="B20" s="3">
        <f t="shared" si="0"/>
        <v>-0.12884449429552508</v>
      </c>
      <c r="C20" s="3">
        <f t="shared" si="1"/>
        <v>-0.17802329449430632</v>
      </c>
      <c r="D20" s="3">
        <f t="shared" si="2"/>
        <v>-1.7802329449430634E-2</v>
      </c>
      <c r="E20" s="4">
        <f t="shared" si="5"/>
        <v>0.99083828534639984</v>
      </c>
      <c r="F20" s="4">
        <f t="shared" si="3"/>
        <v>0.99166481045246857</v>
      </c>
    </row>
    <row r="21" spans="1:6" x14ac:dyDescent="0.25">
      <c r="A21" s="3">
        <f t="shared" si="4"/>
        <v>1.8000000000000005</v>
      </c>
      <c r="B21" s="3">
        <f t="shared" si="0"/>
        <v>-0.22720209469308753</v>
      </c>
      <c r="C21" s="3">
        <f t="shared" si="1"/>
        <v>-0.27524583077829573</v>
      </c>
      <c r="D21" s="3">
        <f t="shared" si="2"/>
        <v>-2.7524583077829574E-2</v>
      </c>
      <c r="E21" s="4">
        <f t="shared" si="5"/>
        <v>0.97303595589696923</v>
      </c>
      <c r="F21" s="4">
        <f t="shared" si="3"/>
        <v>0.97384763087819504</v>
      </c>
    </row>
    <row r="22" spans="1:6" x14ac:dyDescent="0.25">
      <c r="A22" s="3">
        <f t="shared" si="4"/>
        <v>1.9000000000000006</v>
      </c>
      <c r="B22" s="3">
        <f t="shared" si="0"/>
        <v>-0.32328956686350396</v>
      </c>
      <c r="C22" s="3">
        <f t="shared" si="1"/>
        <v>-0.36971820170532338</v>
      </c>
      <c r="D22" s="3">
        <f t="shared" si="2"/>
        <v>-3.6971820170532341E-2</v>
      </c>
      <c r="E22" s="4">
        <f t="shared" si="5"/>
        <v>0.94551137281913966</v>
      </c>
      <c r="F22" s="4">
        <f t="shared" si="3"/>
        <v>0.94630008768741425</v>
      </c>
    </row>
    <row r="23" spans="1:6" x14ac:dyDescent="0.25">
      <c r="A23" s="3">
        <f t="shared" si="4"/>
        <v>2.0000000000000004</v>
      </c>
      <c r="B23" s="3">
        <f t="shared" si="0"/>
        <v>-0.4161468365471428</v>
      </c>
      <c r="C23" s="3">
        <f t="shared" si="1"/>
        <v>-0.46049647057350035</v>
      </c>
      <c r="D23" s="3">
        <f t="shared" si="2"/>
        <v>-4.604964705735004E-2</v>
      </c>
      <c r="E23" s="4">
        <f t="shared" si="5"/>
        <v>0.90853955264860731</v>
      </c>
      <c r="F23" s="4">
        <f t="shared" si="3"/>
        <v>0.90929742682568149</v>
      </c>
    </row>
    <row r="24" spans="1:6" x14ac:dyDescent="0.25">
      <c r="A24" s="3">
        <f t="shared" si="4"/>
        <v>2.1000000000000005</v>
      </c>
      <c r="B24" s="3">
        <f t="shared" si="0"/>
        <v>-0.5048461045998579</v>
      </c>
      <c r="C24" s="3">
        <f t="shared" si="1"/>
        <v>-0.54667361092760203</v>
      </c>
      <c r="D24" s="3">
        <f t="shared" si="2"/>
        <v>-5.4667361092760207E-2</v>
      </c>
      <c r="E24" s="4">
        <f t="shared" si="5"/>
        <v>0.86248990559125727</v>
      </c>
      <c r="F24" s="4">
        <f t="shared" si="3"/>
        <v>0.86320936664887349</v>
      </c>
    </row>
    <row r="25" spans="1:6" x14ac:dyDescent="0.25">
      <c r="A25" s="3">
        <f t="shared" si="4"/>
        <v>2.2000000000000006</v>
      </c>
      <c r="B25" s="3">
        <f t="shared" si="0"/>
        <v>-0.58850111725534626</v>
      </c>
      <c r="C25" s="3">
        <f t="shared" si="1"/>
        <v>-0.62738856926758557</v>
      </c>
      <c r="D25" s="3">
        <f t="shared" si="2"/>
        <v>-6.2738856926758554E-2</v>
      </c>
      <c r="E25" s="4">
        <f t="shared" si="5"/>
        <v>0.80782254449849711</v>
      </c>
      <c r="F25" s="4">
        <f t="shared" si="3"/>
        <v>0.80849640381958987</v>
      </c>
    </row>
    <row r="26" spans="1:6" x14ac:dyDescent="0.25">
      <c r="A26" s="3">
        <f t="shared" si="4"/>
        <v>2.3000000000000007</v>
      </c>
      <c r="B26" s="3">
        <f t="shared" si="0"/>
        <v>-0.66627602127982477</v>
      </c>
      <c r="C26" s="3">
        <f t="shared" si="1"/>
        <v>-0.70183486841053533</v>
      </c>
      <c r="D26" s="3">
        <f t="shared" si="2"/>
        <v>-7.0183486841053536E-2</v>
      </c>
      <c r="E26" s="4">
        <f t="shared" si="5"/>
        <v>0.7450836875717386</v>
      </c>
      <c r="F26" s="4">
        <f t="shared" si="3"/>
        <v>0.7457052121767197</v>
      </c>
    </row>
    <row r="27" spans="1:6" x14ac:dyDescent="0.25">
      <c r="A27" s="3">
        <f t="shared" si="4"/>
        <v>2.4000000000000008</v>
      </c>
      <c r="B27" s="3">
        <f t="shared" si="0"/>
        <v>-0.737393715541246</v>
      </c>
      <c r="C27" s="3">
        <f t="shared" si="1"/>
        <v>-0.76926866554409012</v>
      </c>
      <c r="D27" s="3">
        <f t="shared" si="2"/>
        <v>-7.6926866554409015E-2</v>
      </c>
      <c r="E27" s="4">
        <f t="shared" si="5"/>
        <v>0.67490020073068502</v>
      </c>
      <c r="F27" s="4">
        <f t="shared" si="3"/>
        <v>0.67546318055115029</v>
      </c>
    </row>
    <row r="28" spans="1:6" x14ac:dyDescent="0.25">
      <c r="A28" s="3">
        <f t="shared" si="4"/>
        <v>2.5000000000000009</v>
      </c>
      <c r="B28" s="3">
        <f t="shared" si="0"/>
        <v>-0.80114361554693425</v>
      </c>
      <c r="C28" s="3">
        <f t="shared" si="1"/>
        <v>-0.82901618445794101</v>
      </c>
      <c r="D28" s="3">
        <f t="shared" si="2"/>
        <v>-8.2901618445794106E-2</v>
      </c>
      <c r="E28" s="4">
        <f t="shared" si="5"/>
        <v>0.59797333417627596</v>
      </c>
      <c r="F28" s="4">
        <f t="shared" si="3"/>
        <v>0.59847214410395577</v>
      </c>
    </row>
    <row r="29" spans="1:6" x14ac:dyDescent="0.25">
      <c r="A29" s="3">
        <f t="shared" si="4"/>
        <v>2.600000000000001</v>
      </c>
      <c r="B29" s="3">
        <f t="shared" si="0"/>
        <v>-0.85688875336894776</v>
      </c>
      <c r="C29" s="3">
        <f t="shared" si="1"/>
        <v>-0.88048044769300471</v>
      </c>
      <c r="D29" s="3">
        <f t="shared" si="2"/>
        <v>-8.8048044769300476E-2</v>
      </c>
      <c r="E29" s="4">
        <f t="shared" si="5"/>
        <v>0.51507171573048183</v>
      </c>
      <c r="F29" s="4">
        <f t="shared" si="3"/>
        <v>0.51550137182146338</v>
      </c>
    </row>
    <row r="30" spans="1:6" x14ac:dyDescent="0.25">
      <c r="A30" s="3">
        <f t="shared" si="4"/>
        <v>2.7000000000000011</v>
      </c>
      <c r="B30" s="3">
        <f t="shared" si="0"/>
        <v>-0.90407214201706165</v>
      </c>
      <c r="C30" s="3">
        <f t="shared" si="1"/>
        <v>-0.92314724134286008</v>
      </c>
      <c r="D30" s="3">
        <f t="shared" si="2"/>
        <v>-9.2314724134286014E-2</v>
      </c>
      <c r="E30" s="4">
        <f t="shared" si="5"/>
        <v>0.42702367096118132</v>
      </c>
      <c r="F30" s="4">
        <f t="shared" si="3"/>
        <v>0.42737988023382895</v>
      </c>
    </row>
    <row r="31" spans="1:6" x14ac:dyDescent="0.25">
      <c r="A31" s="3">
        <f t="shared" si="4"/>
        <v>2.8000000000000012</v>
      </c>
      <c r="B31" s="3">
        <f t="shared" si="0"/>
        <v>-0.94222234066865851</v>
      </c>
      <c r="C31" s="3">
        <f t="shared" si="1"/>
        <v>-0.95659025290912458</v>
      </c>
      <c r="D31" s="3">
        <f t="shared" si="2"/>
        <v>-9.5659025290912469E-2</v>
      </c>
      <c r="E31" s="4">
        <f t="shared" si="5"/>
        <v>0.33470894682689534</v>
      </c>
      <c r="F31" s="4">
        <f t="shared" si="3"/>
        <v>0.33498815015590383</v>
      </c>
    </row>
    <row r="32" spans="1:6" x14ac:dyDescent="0.25">
      <c r="A32" s="3">
        <f t="shared" si="4"/>
        <v>2.9000000000000012</v>
      </c>
      <c r="B32" s="3">
        <f t="shared" si="0"/>
        <v>-0.97095816514959077</v>
      </c>
      <c r="C32" s="3">
        <f t="shared" si="1"/>
        <v>-0.98047533087501826</v>
      </c>
      <c r="D32" s="3">
        <f t="shared" si="2"/>
        <v>-9.8047533087501831E-2</v>
      </c>
      <c r="E32" s="4">
        <f t="shared" si="5"/>
        <v>0.23904992153598287</v>
      </c>
      <c r="F32" s="4">
        <f t="shared" si="3"/>
        <v>0.23924932921398112</v>
      </c>
    </row>
    <row r="33" spans="1:6" x14ac:dyDescent="0.25">
      <c r="A33" s="3">
        <f t="shared" si="4"/>
        <v>3.0000000000000013</v>
      </c>
      <c r="B33" s="3">
        <f t="shared" si="0"/>
        <v>-0.98999249660044564</v>
      </c>
      <c r="C33" s="3">
        <f t="shared" si="1"/>
        <v>-0.99456382343686256</v>
      </c>
      <c r="D33" s="3">
        <f t="shared" si="2"/>
        <v>-9.9456382343686256E-2</v>
      </c>
      <c r="E33" s="4">
        <f t="shared" si="5"/>
        <v>0.14100238844848104</v>
      </c>
      <c r="F33" s="4">
        <f t="shared" si="3"/>
        <v>0.14112000805986591</v>
      </c>
    </row>
    <row r="34" spans="1:6" x14ac:dyDescent="0.25">
      <c r="A34" s="3">
        <f t="shared" si="4"/>
        <v>3.1000000000000014</v>
      </c>
      <c r="B34" s="3">
        <f t="shared" si="0"/>
        <v>-0.99913515027327948</v>
      </c>
      <c r="C34" s="3">
        <f t="shared" si="1"/>
        <v>-0.99871496303401619</v>
      </c>
      <c r="D34" s="3">
        <f t="shared" si="2"/>
        <v>-9.9871496303401627E-2</v>
      </c>
      <c r="E34" s="4">
        <f t="shared" si="5"/>
        <v>4.154600610479478E-2</v>
      </c>
      <c r="F34" s="4">
        <f t="shared" si="3"/>
        <v>4.1580662433289159E-2</v>
      </c>
    </row>
    <row r="35" spans="1:6" x14ac:dyDescent="0.25">
      <c r="A35" s="3">
        <f t="shared" si="4"/>
        <v>3.2000000000000015</v>
      </c>
      <c r="B35" s="3">
        <f t="shared" si="0"/>
        <v>-0.99829477579475301</v>
      </c>
      <c r="C35" s="3">
        <f t="shared" si="1"/>
        <v>-0.99829477579475301</v>
      </c>
      <c r="D35" s="3">
        <f t="shared" si="2"/>
        <v>-9.9829477579475301E-2</v>
      </c>
      <c r="E35" s="4">
        <f t="shared" si="5"/>
        <v>-5.8325490198606847E-2</v>
      </c>
      <c r="F35" s="4">
        <f t="shared" si="3"/>
        <v>-5.8374143427581418E-2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O14"/>
  <sheetViews>
    <sheetView tabSelected="1" workbookViewId="0">
      <selection activeCell="I22" sqref="I22"/>
    </sheetView>
  </sheetViews>
  <sheetFormatPr defaultRowHeight="15" x14ac:dyDescent="0.25"/>
  <cols>
    <col min="7" max="7" width="9.140625" style="16"/>
  </cols>
  <sheetData>
    <row r="1" spans="1:15" x14ac:dyDescent="0.25">
      <c r="B1">
        <v>1</v>
      </c>
      <c r="C1">
        <v>2</v>
      </c>
      <c r="D1">
        <v>3</v>
      </c>
      <c r="E1">
        <v>4</v>
      </c>
    </row>
    <row r="2" spans="1:15" x14ac:dyDescent="0.25">
      <c r="A2" t="s">
        <v>51</v>
      </c>
      <c r="B2" s="20">
        <v>0.8611358240642577</v>
      </c>
      <c r="C2" s="20">
        <v>0.33998206567002254</v>
      </c>
      <c r="D2" s="20">
        <f>-B2</f>
        <v>-0.8611358240642577</v>
      </c>
      <c r="E2" s="20">
        <f>-C2</f>
        <v>-0.33998206567002254</v>
      </c>
      <c r="F2" s="4"/>
      <c r="G2" s="19"/>
      <c r="H2" s="4"/>
      <c r="L2" s="20">
        <v>0.86113557130502305</v>
      </c>
      <c r="M2" s="20">
        <v>0.33998209853609568</v>
      </c>
      <c r="N2" s="20">
        <f>-L2</f>
        <v>-0.86113557130502305</v>
      </c>
      <c r="O2" s="20">
        <f>-M2</f>
        <v>-0.33998209853609568</v>
      </c>
    </row>
    <row r="3" spans="1:15" x14ac:dyDescent="0.25">
      <c r="A3" t="s">
        <v>50</v>
      </c>
      <c r="B3" s="20">
        <v>0.34785481869915807</v>
      </c>
      <c r="C3" s="20">
        <v>0.65214518130068599</v>
      </c>
      <c r="D3" s="20">
        <f>B3</f>
        <v>0.34785481869915807</v>
      </c>
      <c r="E3" s="20">
        <f>C3</f>
        <v>0.65214518130068599</v>
      </c>
      <c r="F3" s="18">
        <f>SUM(B3:E3)</f>
        <v>1.9999999999996882</v>
      </c>
      <c r="G3" s="19" t="s">
        <v>49</v>
      </c>
      <c r="H3" s="18">
        <v>2</v>
      </c>
      <c r="L3" s="20">
        <v>0.34785465834825557</v>
      </c>
      <c r="M3" s="20">
        <v>0.65214534165187199</v>
      </c>
      <c r="N3" s="20">
        <f>L3</f>
        <v>0.34785465834825557</v>
      </c>
      <c r="O3" s="20">
        <f>M3</f>
        <v>0.65214534165187199</v>
      </c>
    </row>
    <row r="4" spans="1:15" x14ac:dyDescent="0.25">
      <c r="A4">
        <v>1</v>
      </c>
      <c r="B4" s="4">
        <f>B$2*B$3</f>
        <v>0.29955024595522245</v>
      </c>
      <c r="C4" s="4">
        <f>C$2*C$3</f>
        <v>0.22171766585535857</v>
      </c>
      <c r="D4" s="4">
        <f>D$2*D$3</f>
        <v>-0.29955024595522245</v>
      </c>
      <c r="E4" s="4">
        <f>E$2*E$3</f>
        <v>-0.22171766585535857</v>
      </c>
      <c r="F4" s="18">
        <f>SUM(B4:E4)</f>
        <v>0</v>
      </c>
      <c r="G4" s="19" t="s">
        <v>49</v>
      </c>
      <c r="H4" s="18">
        <v>0</v>
      </c>
    </row>
    <row r="5" spans="1:15" x14ac:dyDescent="0.25">
      <c r="A5">
        <v>2</v>
      </c>
      <c r="B5" s="4">
        <f>(B$2^$A5)*B$3</f>
        <v>0.25795344789930158</v>
      </c>
      <c r="C5" s="4">
        <f>(C$2^$A5)*C$3</f>
        <v>7.5380030033040626E-2</v>
      </c>
      <c r="D5" s="4">
        <f>(D$2^$A5)*D$3</f>
        <v>0.25795344789930158</v>
      </c>
      <c r="E5" s="4">
        <f>(E$2^$A5)*E$3</f>
        <v>7.5380030033040626E-2</v>
      </c>
      <c r="F5" s="18">
        <f>SUM(B5:E5)</f>
        <v>0.66666695586468439</v>
      </c>
      <c r="G5" s="19" t="s">
        <v>49</v>
      </c>
      <c r="H5" s="18">
        <f>2/3</f>
        <v>0.66666666666666663</v>
      </c>
    </row>
    <row r="6" spans="1:15" x14ac:dyDescent="0.25">
      <c r="A6">
        <v>3</v>
      </c>
      <c r="B6" s="4">
        <f>(B$2^$A6)*B$3</f>
        <v>0.2221329549269816</v>
      </c>
      <c r="C6" s="4">
        <f>(C$2^$A6)*C$3</f>
        <v>2.5627858320901489E-2</v>
      </c>
      <c r="D6" s="4">
        <f>(D$2^$A6)*D$3</f>
        <v>-0.2221329549269816</v>
      </c>
      <c r="E6" s="4">
        <f>(E$2^$A6)*E$3</f>
        <v>-2.5627858320901489E-2</v>
      </c>
      <c r="F6" s="18">
        <f>SUM(B6:E6)</f>
        <v>0</v>
      </c>
      <c r="G6" s="19" t="s">
        <v>49</v>
      </c>
      <c r="H6" s="18">
        <v>0</v>
      </c>
    </row>
    <row r="7" spans="1:15" x14ac:dyDescent="0.25">
      <c r="A7">
        <v>4</v>
      </c>
      <c r="B7" s="4">
        <f>(B$2^$A7)*B$3</f>
        <v>0.19128664519287492</v>
      </c>
      <c r="C7" s="4">
        <f>(C$2^$A7)*C$3</f>
        <v>8.7130122106387643E-3</v>
      </c>
      <c r="D7" s="4">
        <f>(D$2^$A7)*D$3</f>
        <v>0.19128664519287492</v>
      </c>
      <c r="E7" s="4">
        <f>(E$2^$A7)*E$3</f>
        <v>8.7130122106387643E-3</v>
      </c>
      <c r="F7" s="18">
        <f>SUM(B7:E7)</f>
        <v>0.39999931480702738</v>
      </c>
      <c r="G7" s="19" t="s">
        <v>49</v>
      </c>
      <c r="H7" s="18">
        <f>2/5</f>
        <v>0.4</v>
      </c>
    </row>
    <row r="8" spans="1:15" x14ac:dyDescent="0.25">
      <c r="A8">
        <v>5</v>
      </c>
      <c r="B8" s="4">
        <f>(B$2^$A8)*B$3</f>
        <v>0.16472378284065362</v>
      </c>
      <c r="C8" s="4">
        <f>(C$2^$A8)*C$3</f>
        <v>2.9622678895810965E-3</v>
      </c>
      <c r="D8" s="4">
        <f>(D$2^$A8)*D$3</f>
        <v>-0.16472378284065362</v>
      </c>
      <c r="E8" s="4">
        <f>(E$2^$A8)*E$3</f>
        <v>-2.9622678895810965E-3</v>
      </c>
      <c r="F8" s="18">
        <f>SUM(B8:E8)</f>
        <v>0</v>
      </c>
      <c r="G8" s="19" t="s">
        <v>49</v>
      </c>
      <c r="H8" s="18">
        <v>0</v>
      </c>
    </row>
    <row r="9" spans="1:15" x14ac:dyDescent="0.25">
      <c r="A9">
        <v>6</v>
      </c>
      <c r="B9" s="4">
        <f>(B$2^$A9)*B$3</f>
        <v>0.14184955047946807</v>
      </c>
      <c r="C9" s="4">
        <f>(C$2^$A9)*C$3</f>
        <v>1.0071179561677594E-3</v>
      </c>
      <c r="D9" s="4">
        <f>(D$2^$A9)*D$3</f>
        <v>0.14184955047946807</v>
      </c>
      <c r="E9" s="4">
        <f>(E$2^$A9)*E$3</f>
        <v>1.0071179561677594E-3</v>
      </c>
      <c r="F9" s="18">
        <f>SUM(B9:E9)</f>
        <v>0.28571333687127165</v>
      </c>
      <c r="G9" s="19" t="s">
        <v>49</v>
      </c>
      <c r="H9" s="18">
        <f>2/7</f>
        <v>0.2857142857142857</v>
      </c>
    </row>
    <row r="10" spans="1:15" x14ac:dyDescent="0.25">
      <c r="A10">
        <v>7</v>
      </c>
      <c r="B10" s="4">
        <f>(B$2^$A10)*B$3</f>
        <v>0.12215172954528127</v>
      </c>
      <c r="C10" s="4">
        <f>(C$2^$A10)*C$3</f>
        <v>3.4240204311128603E-4</v>
      </c>
      <c r="D10" s="4">
        <f>(D$2^$A10)*D$3</f>
        <v>-0.12215172954528127</v>
      </c>
      <c r="E10" s="4">
        <f>(E$2^$A10)*E$3</f>
        <v>-3.4240204311128603E-4</v>
      </c>
      <c r="F10" s="18">
        <f>SUM(B10:E10)</f>
        <v>-2.0599841277224584E-18</v>
      </c>
      <c r="G10" s="19" t="s">
        <v>49</v>
      </c>
      <c r="H10" s="18">
        <v>0</v>
      </c>
    </row>
    <row r="11" spans="1:15" x14ac:dyDescent="0.25">
      <c r="A11" t="s">
        <v>48</v>
      </c>
    </row>
    <row r="13" spans="1:15" x14ac:dyDescent="0.25">
      <c r="A13" t="s">
        <v>47</v>
      </c>
      <c r="B13" s="17">
        <v>0</v>
      </c>
    </row>
    <row r="14" spans="1:15" x14ac:dyDescent="0.25">
      <c r="A14" t="s">
        <v>46</v>
      </c>
      <c r="B14" s="17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H24"/>
  <sheetViews>
    <sheetView showGridLines="0" workbookViewId="0">
      <selection activeCell="C2" sqref="C2"/>
    </sheetView>
  </sheetViews>
  <sheetFormatPr defaultRowHeight="15" x14ac:dyDescent="0.25"/>
  <cols>
    <col min="1" max="1" width="2.28515625" customWidth="1"/>
    <col min="2" max="2" width="6.5703125" customWidth="1"/>
    <col min="3" max="3" width="6.42578125" customWidth="1"/>
    <col min="4" max="4" width="7.5703125" customWidth="1"/>
    <col min="5" max="5" width="6.7109375" customWidth="1"/>
    <col min="6" max="7" width="12" bestFit="1" customWidth="1"/>
    <col min="8" max="8" width="12.7109375" bestFit="1" customWidth="1"/>
  </cols>
  <sheetData>
    <row r="1" spans="1:8" x14ac:dyDescent="0.25">
      <c r="A1" s="27" t="s">
        <v>77</v>
      </c>
    </row>
    <row r="2" spans="1:8" x14ac:dyDescent="0.25">
      <c r="A2" s="27" t="s">
        <v>76</v>
      </c>
    </row>
    <row r="3" spans="1:8" x14ac:dyDescent="0.25">
      <c r="A3" s="27" t="s">
        <v>75</v>
      </c>
    </row>
    <row r="6" spans="1:8" ht="15.75" thickBot="1" x14ac:dyDescent="0.3">
      <c r="A6" t="s">
        <v>74</v>
      </c>
    </row>
    <row r="7" spans="1:8" x14ac:dyDescent="0.25">
      <c r="B7" s="26"/>
      <c r="C7" s="26"/>
      <c r="D7" s="26" t="s">
        <v>68</v>
      </c>
      <c r="E7" s="26" t="s">
        <v>67</v>
      </c>
      <c r="F7" s="26" t="s">
        <v>66</v>
      </c>
      <c r="G7" s="26" t="s">
        <v>65</v>
      </c>
      <c r="H7" s="26" t="s">
        <v>64</v>
      </c>
    </row>
    <row r="8" spans="1:8" ht="15.75" thickBot="1" x14ac:dyDescent="0.3">
      <c r="B8" s="25" t="s">
        <v>63</v>
      </c>
      <c r="C8" s="25" t="s">
        <v>62</v>
      </c>
      <c r="D8" s="25" t="s">
        <v>60</v>
      </c>
      <c r="E8" s="25" t="s">
        <v>60</v>
      </c>
      <c r="F8" s="25" t="s">
        <v>61</v>
      </c>
      <c r="G8" s="25" t="s">
        <v>60</v>
      </c>
      <c r="H8" s="25" t="s">
        <v>60</v>
      </c>
    </row>
    <row r="9" spans="1:8" x14ac:dyDescent="0.25">
      <c r="B9" s="23" t="s">
        <v>73</v>
      </c>
      <c r="C9" s="23" t="s">
        <v>51</v>
      </c>
      <c r="D9" s="24">
        <v>0.27978811371227025</v>
      </c>
      <c r="E9" s="24">
        <v>0.45084839533137361</v>
      </c>
      <c r="F9" s="23">
        <v>0.22543931402192932</v>
      </c>
      <c r="G9" s="23">
        <v>1</v>
      </c>
      <c r="H9" s="23">
        <v>0</v>
      </c>
    </row>
    <row r="10" spans="1:8" x14ac:dyDescent="0.25">
      <c r="B10" s="23" t="s">
        <v>72</v>
      </c>
      <c r="C10" s="23" t="s">
        <v>51</v>
      </c>
      <c r="D10" s="24">
        <v>0.8384986172447213</v>
      </c>
      <c r="E10" s="24">
        <v>0.72273516565538309</v>
      </c>
      <c r="F10" s="23">
        <v>0.19090144626348468</v>
      </c>
      <c r="G10" s="23">
        <v>1</v>
      </c>
      <c r="H10" s="23">
        <v>0</v>
      </c>
    </row>
    <row r="11" spans="1:8" x14ac:dyDescent="0.25">
      <c r="B11" s="23" t="s">
        <v>71</v>
      </c>
      <c r="C11" s="23" t="s">
        <v>50</v>
      </c>
      <c r="D11" s="24">
        <v>0.59405729837379528</v>
      </c>
      <c r="E11" s="24">
        <v>0.54143840354842543</v>
      </c>
      <c r="F11" s="23">
        <v>0.18654433717166458</v>
      </c>
      <c r="G11" s="23">
        <v>1</v>
      </c>
      <c r="H11" s="23">
        <v>0</v>
      </c>
    </row>
    <row r="12" spans="1:8" ht="15.75" thickBot="1" x14ac:dyDescent="0.3">
      <c r="B12" s="21" t="s">
        <v>70</v>
      </c>
      <c r="C12" s="21" t="s">
        <v>50</v>
      </c>
      <c r="D12" s="22">
        <v>0.40448719150540863</v>
      </c>
      <c r="E12" s="22">
        <v>0.48735028818092863</v>
      </c>
      <c r="F12" s="21">
        <v>0.210492594003686</v>
      </c>
      <c r="G12" s="21">
        <v>0.99999999999999989</v>
      </c>
      <c r="H12" s="21">
        <v>1.8841225662660423E-2</v>
      </c>
    </row>
    <row r="14" spans="1:8" ht="15.75" thickBot="1" x14ac:dyDescent="0.3">
      <c r="A14" t="s">
        <v>69</v>
      </c>
    </row>
    <row r="15" spans="1:8" x14ac:dyDescent="0.25">
      <c r="B15" s="26"/>
      <c r="C15" s="26"/>
      <c r="D15" s="26" t="s">
        <v>68</v>
      </c>
      <c r="E15" s="26" t="s">
        <v>67</v>
      </c>
      <c r="F15" s="26" t="s">
        <v>66</v>
      </c>
      <c r="G15" s="26" t="s">
        <v>65</v>
      </c>
      <c r="H15" s="26" t="s">
        <v>64</v>
      </c>
    </row>
    <row r="16" spans="1:8" ht="15.75" thickBot="1" x14ac:dyDescent="0.3">
      <c r="B16" s="25" t="s">
        <v>63</v>
      </c>
      <c r="C16" s="25" t="s">
        <v>62</v>
      </c>
      <c r="D16" s="25" t="s">
        <v>60</v>
      </c>
      <c r="E16" s="25" t="s">
        <v>60</v>
      </c>
      <c r="F16" s="25" t="s">
        <v>61</v>
      </c>
      <c r="G16" s="25" t="s">
        <v>60</v>
      </c>
      <c r="H16" s="25" t="s">
        <v>60</v>
      </c>
    </row>
    <row r="17" spans="2:8" x14ac:dyDescent="0.25">
      <c r="B17" s="23" t="s">
        <v>59</v>
      </c>
      <c r="C17" s="23" t="s">
        <v>50</v>
      </c>
      <c r="D17" s="24">
        <v>1.9970889797584079</v>
      </c>
      <c r="E17" s="24">
        <v>2.0575773834587094</v>
      </c>
      <c r="F17" s="23">
        <v>0.52761934034936242</v>
      </c>
      <c r="G17" s="23">
        <v>3.5532132413020419</v>
      </c>
      <c r="H17" s="23">
        <v>0.1434470480975914</v>
      </c>
    </row>
    <row r="18" spans="2:8" x14ac:dyDescent="0.25">
      <c r="B18" s="23" t="s">
        <v>58</v>
      </c>
      <c r="C18" s="23"/>
      <c r="D18" s="24">
        <v>0</v>
      </c>
      <c r="E18" s="24">
        <v>-1.9132979514450079E-20</v>
      </c>
      <c r="F18" s="23">
        <v>6.9954475589731009E-18</v>
      </c>
      <c r="G18" s="23">
        <v>5.5511151231257827E-17</v>
      </c>
      <c r="H18" s="23">
        <v>-5.377642775528102E-17</v>
      </c>
    </row>
    <row r="19" spans="2:8" x14ac:dyDescent="0.25">
      <c r="B19" s="23" t="s">
        <v>57</v>
      </c>
      <c r="C19" s="23"/>
      <c r="D19" s="24">
        <v>0.66178091390538518</v>
      </c>
      <c r="E19" s="24">
        <v>0.8063070041270598</v>
      </c>
      <c r="F19" s="23">
        <v>0.23500072394774321</v>
      </c>
      <c r="G19" s="23">
        <v>1.6945000353255399</v>
      </c>
      <c r="H19" s="23">
        <v>3.2434469439782489E-2</v>
      </c>
    </row>
    <row r="20" spans="2:8" x14ac:dyDescent="0.25">
      <c r="B20" s="23" t="s">
        <v>56</v>
      </c>
      <c r="C20" s="23"/>
      <c r="D20" s="24">
        <v>0</v>
      </c>
      <c r="E20" s="24">
        <v>6.9829674980168629E-20</v>
      </c>
      <c r="F20" s="23">
        <v>4.801655317706217E-18</v>
      </c>
      <c r="G20" s="23">
        <v>3.5561831257524545E-17</v>
      </c>
      <c r="H20" s="23">
        <v>-2.7124519526312209E-17</v>
      </c>
    </row>
    <row r="21" spans="2:8" x14ac:dyDescent="0.25">
      <c r="B21" s="23" t="s">
        <v>55</v>
      </c>
      <c r="C21" s="23"/>
      <c r="D21" s="24">
        <v>0.40717407860980126</v>
      </c>
      <c r="E21" s="24">
        <v>0.44891728093364985</v>
      </c>
      <c r="F21" s="23">
        <v>0.1652217860212096</v>
      </c>
      <c r="G21" s="23">
        <v>1.2609571067756951</v>
      </c>
      <c r="H21" s="23">
        <v>8.2789094922571908E-3</v>
      </c>
    </row>
    <row r="22" spans="2:8" x14ac:dyDescent="0.25">
      <c r="B22" s="23" t="s">
        <v>54</v>
      </c>
      <c r="C22" s="23"/>
      <c r="D22" s="24">
        <v>0</v>
      </c>
      <c r="E22" s="24">
        <v>1.0075267040159311E-19</v>
      </c>
      <c r="F22" s="23">
        <v>2.7279103090264039E-18</v>
      </c>
      <c r="G22" s="23">
        <v>2.7620050344068225E-17</v>
      </c>
      <c r="H22" s="23">
        <v>-1.3444106938820255E-17</v>
      </c>
    </row>
    <row r="23" spans="2:8" x14ac:dyDescent="0.25">
      <c r="B23" s="23" t="s">
        <v>53</v>
      </c>
      <c r="C23" s="23"/>
      <c r="D23" s="24">
        <v>0.28172692896898094</v>
      </c>
      <c r="E23" s="24">
        <v>0.28021734812190213</v>
      </c>
      <c r="F23" s="23">
        <v>0.15067534020655041</v>
      </c>
      <c r="G23" s="23">
        <v>1.1914363527423586</v>
      </c>
      <c r="H23" s="23">
        <v>2.2322847337212619E-3</v>
      </c>
    </row>
    <row r="24" spans="2:8" ht="15.75" thickBot="1" x14ac:dyDescent="0.3">
      <c r="B24" s="21" t="s">
        <v>52</v>
      </c>
      <c r="C24" s="21"/>
      <c r="D24" s="22">
        <v>0</v>
      </c>
      <c r="E24" s="22">
        <v>-1.268928145995652E-20</v>
      </c>
      <c r="F24" s="21">
        <v>2.1376543388021948E-18</v>
      </c>
      <c r="G24" s="21">
        <v>1.5995370175950208E-17</v>
      </c>
      <c r="H24" s="21">
        <v>-1.3444106938820255E-17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G43"/>
  <sheetViews>
    <sheetView showGridLines="0" topLeftCell="A19" workbookViewId="0">
      <selection activeCell="C2" sqref="C2"/>
    </sheetView>
  </sheetViews>
  <sheetFormatPr defaultRowHeight="15" x14ac:dyDescent="0.25"/>
  <cols>
    <col min="1" max="1" width="2.28515625" customWidth="1"/>
    <col min="2" max="2" width="6.5703125" customWidth="1"/>
    <col min="3" max="3" width="6.42578125" customWidth="1"/>
    <col min="4" max="4" width="14.42578125" bestFit="1" customWidth="1"/>
    <col min="5" max="5" width="12.28515625" bestFit="1" customWidth="1"/>
    <col min="6" max="6" width="14.85546875" bestFit="1" customWidth="1"/>
    <col min="7" max="7" width="17.5703125" bestFit="1" customWidth="1"/>
  </cols>
  <sheetData>
    <row r="1" spans="1:2" x14ac:dyDescent="0.25">
      <c r="A1" s="27" t="s">
        <v>116</v>
      </c>
    </row>
    <row r="2" spans="1:2" x14ac:dyDescent="0.25">
      <c r="A2" s="27" t="s">
        <v>76</v>
      </c>
    </row>
    <row r="3" spans="1:2" x14ac:dyDescent="0.25">
      <c r="A3" s="27" t="s">
        <v>115</v>
      </c>
    </row>
    <row r="4" spans="1:2" x14ac:dyDescent="0.25">
      <c r="A4" s="27" t="s">
        <v>114</v>
      </c>
    </row>
    <row r="5" spans="1:2" x14ac:dyDescent="0.25">
      <c r="A5" s="27" t="s">
        <v>113</v>
      </c>
    </row>
    <row r="6" spans="1:2" x14ac:dyDescent="0.25">
      <c r="A6" s="27"/>
      <c r="B6" t="s">
        <v>112</v>
      </c>
    </row>
    <row r="7" spans="1:2" x14ac:dyDescent="0.25">
      <c r="A7" s="27"/>
      <c r="B7" t="s">
        <v>111</v>
      </c>
    </row>
    <row r="8" spans="1:2" x14ac:dyDescent="0.25">
      <c r="A8" s="27"/>
      <c r="B8" t="s">
        <v>110</v>
      </c>
    </row>
    <row r="9" spans="1:2" x14ac:dyDescent="0.25">
      <c r="A9" s="27" t="s">
        <v>109</v>
      </c>
    </row>
    <row r="10" spans="1:2" x14ac:dyDescent="0.25">
      <c r="B10" t="s">
        <v>108</v>
      </c>
    </row>
    <row r="11" spans="1:2" x14ac:dyDescent="0.25">
      <c r="B11" t="s">
        <v>107</v>
      </c>
    </row>
    <row r="12" spans="1:2" x14ac:dyDescent="0.25">
      <c r="B12" t="s">
        <v>106</v>
      </c>
    </row>
    <row r="14" spans="1:2" x14ac:dyDescent="0.25">
      <c r="A14" t="s">
        <v>105</v>
      </c>
    </row>
    <row r="15" spans="1:2" x14ac:dyDescent="0.25">
      <c r="B15" t="s">
        <v>104</v>
      </c>
    </row>
    <row r="18" spans="1:7" ht="15.75" thickBot="1" x14ac:dyDescent="0.3">
      <c r="A18" t="s">
        <v>74</v>
      </c>
    </row>
    <row r="19" spans="1:7" ht="15.75" thickBot="1" x14ac:dyDescent="0.3">
      <c r="B19" s="28" t="s">
        <v>63</v>
      </c>
      <c r="C19" s="28" t="s">
        <v>62</v>
      </c>
      <c r="D19" s="28" t="s">
        <v>103</v>
      </c>
      <c r="E19" s="28" t="s">
        <v>102</v>
      </c>
      <c r="F19" s="28" t="s">
        <v>101</v>
      </c>
    </row>
    <row r="20" spans="1:7" x14ac:dyDescent="0.25">
      <c r="B20" s="23" t="s">
        <v>73</v>
      </c>
      <c r="C20" s="23" t="s">
        <v>51</v>
      </c>
      <c r="D20" s="24">
        <v>0.27978811371227025</v>
      </c>
      <c r="E20" s="24">
        <v>0.27978811371227025</v>
      </c>
      <c r="F20" s="23" t="s">
        <v>100</v>
      </c>
    </row>
    <row r="21" spans="1:7" x14ac:dyDescent="0.25">
      <c r="B21" s="23" t="s">
        <v>72</v>
      </c>
      <c r="C21" s="23" t="s">
        <v>51</v>
      </c>
      <c r="D21" s="24">
        <v>0.8384986172447213</v>
      </c>
      <c r="E21" s="24">
        <v>0.8384986172447213</v>
      </c>
      <c r="F21" s="23" t="s">
        <v>100</v>
      </c>
    </row>
    <row r="22" spans="1:7" x14ac:dyDescent="0.25">
      <c r="B22" s="23" t="s">
        <v>71</v>
      </c>
      <c r="C22" s="23" t="s">
        <v>50</v>
      </c>
      <c r="D22" s="24">
        <v>0.59405729837379528</v>
      </c>
      <c r="E22" s="24">
        <v>0.59405729837379528</v>
      </c>
      <c r="F22" s="23" t="s">
        <v>100</v>
      </c>
    </row>
    <row r="23" spans="1:7" ht="15.75" thickBot="1" x14ac:dyDescent="0.3">
      <c r="B23" s="21" t="s">
        <v>70</v>
      </c>
      <c r="C23" s="21" t="s">
        <v>50</v>
      </c>
      <c r="D23" s="22">
        <v>0.40448719150540863</v>
      </c>
      <c r="E23" s="22">
        <v>0.40448719150540863</v>
      </c>
      <c r="F23" s="21" t="s">
        <v>100</v>
      </c>
    </row>
    <row r="26" spans="1:7" ht="15.75" thickBot="1" x14ac:dyDescent="0.3">
      <c r="A26" t="s">
        <v>69</v>
      </c>
    </row>
    <row r="27" spans="1:7" ht="15.75" thickBot="1" x14ac:dyDescent="0.3">
      <c r="B27" s="28" t="s">
        <v>63</v>
      </c>
      <c r="C27" s="28" t="s">
        <v>62</v>
      </c>
      <c r="D27" s="28" t="s">
        <v>99</v>
      </c>
      <c r="E27" s="28" t="s">
        <v>98</v>
      </c>
      <c r="F27" s="28" t="s">
        <v>97</v>
      </c>
      <c r="G27" s="28" t="s">
        <v>96</v>
      </c>
    </row>
    <row r="28" spans="1:7" x14ac:dyDescent="0.25">
      <c r="B28" s="23" t="s">
        <v>59</v>
      </c>
      <c r="C28" s="23" t="s">
        <v>50</v>
      </c>
      <c r="D28" s="24">
        <v>1.9970889797584079</v>
      </c>
      <c r="E28" s="23" t="s">
        <v>95</v>
      </c>
      <c r="F28" s="23" t="s">
        <v>87</v>
      </c>
      <c r="G28" s="23">
        <v>0</v>
      </c>
    </row>
    <row r="29" spans="1:7" x14ac:dyDescent="0.25">
      <c r="B29" s="23" t="s">
        <v>58</v>
      </c>
      <c r="C29" s="23"/>
      <c r="D29" s="24">
        <v>0</v>
      </c>
      <c r="E29" s="23" t="s">
        <v>94</v>
      </c>
      <c r="F29" s="23" t="s">
        <v>87</v>
      </c>
      <c r="G29" s="23">
        <v>0</v>
      </c>
    </row>
    <row r="30" spans="1:7" x14ac:dyDescent="0.25">
      <c r="B30" s="23" t="s">
        <v>57</v>
      </c>
      <c r="C30" s="23"/>
      <c r="D30" s="24">
        <v>0.66178091390538518</v>
      </c>
      <c r="E30" s="23" t="s">
        <v>93</v>
      </c>
      <c r="F30" s="23" t="s">
        <v>87</v>
      </c>
      <c r="G30" s="23">
        <v>0</v>
      </c>
    </row>
    <row r="31" spans="1:7" x14ac:dyDescent="0.25">
      <c r="B31" s="23" t="s">
        <v>56</v>
      </c>
      <c r="C31" s="23"/>
      <c r="D31" s="24">
        <v>0</v>
      </c>
      <c r="E31" s="23" t="s">
        <v>92</v>
      </c>
      <c r="F31" s="23" t="s">
        <v>87</v>
      </c>
      <c r="G31" s="23">
        <v>0</v>
      </c>
    </row>
    <row r="32" spans="1:7" x14ac:dyDescent="0.25">
      <c r="B32" s="23" t="s">
        <v>55</v>
      </c>
      <c r="C32" s="23"/>
      <c r="D32" s="24">
        <v>0.40717407860980126</v>
      </c>
      <c r="E32" s="23" t="s">
        <v>91</v>
      </c>
      <c r="F32" s="23" t="s">
        <v>87</v>
      </c>
      <c r="G32" s="23">
        <v>0</v>
      </c>
    </row>
    <row r="33" spans="2:7" x14ac:dyDescent="0.25">
      <c r="B33" s="23" t="s">
        <v>54</v>
      </c>
      <c r="C33" s="23"/>
      <c r="D33" s="24">
        <v>0</v>
      </c>
      <c r="E33" s="23" t="s">
        <v>90</v>
      </c>
      <c r="F33" s="23" t="s">
        <v>87</v>
      </c>
      <c r="G33" s="23">
        <v>0</v>
      </c>
    </row>
    <row r="34" spans="2:7" x14ac:dyDescent="0.25">
      <c r="B34" s="23" t="s">
        <v>53</v>
      </c>
      <c r="C34" s="23"/>
      <c r="D34" s="24">
        <v>0.28172692896898094</v>
      </c>
      <c r="E34" s="23" t="s">
        <v>89</v>
      </c>
      <c r="F34" s="23" t="s">
        <v>87</v>
      </c>
      <c r="G34" s="23">
        <v>0</v>
      </c>
    </row>
    <row r="35" spans="2:7" x14ac:dyDescent="0.25">
      <c r="B35" s="23" t="s">
        <v>52</v>
      </c>
      <c r="C35" s="23"/>
      <c r="D35" s="24">
        <v>0</v>
      </c>
      <c r="E35" s="23" t="s">
        <v>88</v>
      </c>
      <c r="F35" s="23" t="s">
        <v>87</v>
      </c>
      <c r="G35" s="23">
        <v>0</v>
      </c>
    </row>
    <row r="36" spans="2:7" x14ac:dyDescent="0.25">
      <c r="B36" s="23" t="s">
        <v>73</v>
      </c>
      <c r="C36" s="23" t="s">
        <v>51</v>
      </c>
      <c r="D36" s="24">
        <v>0.27978811371227025</v>
      </c>
      <c r="E36" s="23" t="s">
        <v>86</v>
      </c>
      <c r="F36" s="23" t="s">
        <v>78</v>
      </c>
      <c r="G36" s="23">
        <v>0.72021188628772981</v>
      </c>
    </row>
    <row r="37" spans="2:7" x14ac:dyDescent="0.25">
      <c r="B37" s="23" t="s">
        <v>72</v>
      </c>
      <c r="C37" s="23" t="s">
        <v>51</v>
      </c>
      <c r="D37" s="24">
        <v>0.8384986172447213</v>
      </c>
      <c r="E37" s="23" t="s">
        <v>85</v>
      </c>
      <c r="F37" s="23" t="s">
        <v>78</v>
      </c>
      <c r="G37" s="23">
        <v>0.1615013827552787</v>
      </c>
    </row>
    <row r="38" spans="2:7" x14ac:dyDescent="0.25">
      <c r="B38" s="23" t="s">
        <v>71</v>
      </c>
      <c r="C38" s="23" t="s">
        <v>50</v>
      </c>
      <c r="D38" s="24">
        <v>0.59405729837379528</v>
      </c>
      <c r="E38" s="23" t="s">
        <v>84</v>
      </c>
      <c r="F38" s="23" t="s">
        <v>78</v>
      </c>
      <c r="G38" s="23">
        <v>0.40594270162620472</v>
      </c>
    </row>
    <row r="39" spans="2:7" x14ac:dyDescent="0.25">
      <c r="B39" s="23" t="s">
        <v>70</v>
      </c>
      <c r="C39" s="23" t="s">
        <v>50</v>
      </c>
      <c r="D39" s="24">
        <v>0.40448719150540863</v>
      </c>
      <c r="E39" s="23" t="s">
        <v>83</v>
      </c>
      <c r="F39" s="23" t="s">
        <v>78</v>
      </c>
      <c r="G39" s="23">
        <v>0.59551280849459132</v>
      </c>
    </row>
    <row r="40" spans="2:7" x14ac:dyDescent="0.25">
      <c r="B40" s="23" t="s">
        <v>73</v>
      </c>
      <c r="C40" s="23" t="s">
        <v>51</v>
      </c>
      <c r="D40" s="24">
        <v>0.27978811371227025</v>
      </c>
      <c r="E40" s="23" t="s">
        <v>82</v>
      </c>
      <c r="F40" s="23" t="s">
        <v>78</v>
      </c>
      <c r="G40" s="24">
        <v>0.27978811371227025</v>
      </c>
    </row>
    <row r="41" spans="2:7" x14ac:dyDescent="0.25">
      <c r="B41" s="23" t="s">
        <v>72</v>
      </c>
      <c r="C41" s="23" t="s">
        <v>51</v>
      </c>
      <c r="D41" s="24">
        <v>0.8384986172447213</v>
      </c>
      <c r="E41" s="23" t="s">
        <v>81</v>
      </c>
      <c r="F41" s="23" t="s">
        <v>78</v>
      </c>
      <c r="G41" s="24">
        <v>0.8384986172447213</v>
      </c>
    </row>
    <row r="42" spans="2:7" x14ac:dyDescent="0.25">
      <c r="B42" s="23" t="s">
        <v>71</v>
      </c>
      <c r="C42" s="23" t="s">
        <v>50</v>
      </c>
      <c r="D42" s="24">
        <v>0.59405729837379528</v>
      </c>
      <c r="E42" s="23" t="s">
        <v>80</v>
      </c>
      <c r="F42" s="23" t="s">
        <v>78</v>
      </c>
      <c r="G42" s="24">
        <v>0.59405729837379528</v>
      </c>
    </row>
    <row r="43" spans="2:7" ht="15.75" thickBot="1" x14ac:dyDescent="0.3">
      <c r="B43" s="21" t="s">
        <v>70</v>
      </c>
      <c r="C43" s="21" t="s">
        <v>50</v>
      </c>
      <c r="D43" s="22">
        <v>0.40448719150540863</v>
      </c>
      <c r="E43" s="21" t="s">
        <v>79</v>
      </c>
      <c r="F43" s="21" t="s">
        <v>78</v>
      </c>
      <c r="G43" s="22">
        <v>0.40448719150540863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analítica</vt:lpstr>
      <vt:lpstr>tabular</vt:lpstr>
      <vt:lpstr>1_T</vt:lpstr>
      <vt:lpstr>oscilatória</vt:lpstr>
      <vt:lpstr>chapra 24.55</vt:lpstr>
      <vt:lpstr>planilha</vt:lpstr>
      <vt:lpstr>VBA</vt:lpstr>
      <vt:lpstr>lnx</vt:lpstr>
      <vt:lpstr>senx</vt:lpstr>
      <vt:lpstr>gaussiana 4 pontos - coefic.</vt:lpstr>
      <vt:lpstr>Relatório de População 1</vt:lpstr>
      <vt:lpstr>Relatório de Respostas 1</vt:lpstr>
      <vt:lpstr>Plan3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2017-09-28T11:59:09Z</dcterms:modified>
</cp:coreProperties>
</file>