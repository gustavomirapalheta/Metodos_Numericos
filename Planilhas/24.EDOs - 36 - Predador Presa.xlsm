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AB711F29-E2D6-46EF-BFA0-2151CEC1A638}" xr6:coauthVersionLast="47" xr6:coauthVersionMax="47" xr10:uidLastSave="{00000000-0000-0000-0000-000000000000}"/>
  <bookViews>
    <workbookView xWindow="-120" yWindow="-120" windowWidth="27960" windowHeight="14220"/>
  </bookViews>
  <sheets>
    <sheet name="SEDNL - rk4 xnum 2 - pred prey" sheetId="2" r:id="rId1"/>
    <sheet name="Gráf1" sheetId="3" r:id="rId2"/>
    <sheet name="Gráf2" sheetId="4" r:id="rId3"/>
  </sheets>
  <functionGroups builtInGroupCount="19"/>
  <calcPr calcId="181029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2" l="1"/>
  <c r="F6" i="2"/>
  <c r="G6" i="2"/>
  <c r="E7" i="2"/>
  <c r="H6" i="2"/>
  <c r="F7" i="2"/>
  <c r="H7" i="2"/>
  <c r="F8" i="2"/>
  <c r="G7" i="2"/>
  <c r="E8" i="2"/>
  <c r="G8" i="2"/>
  <c r="E9" i="2"/>
  <c r="H8" i="2"/>
  <c r="F9" i="2"/>
  <c r="G9" i="2"/>
  <c r="E10" i="2"/>
  <c r="H9" i="2"/>
  <c r="F10" i="2"/>
  <c r="H10" i="2"/>
  <c r="F11" i="2"/>
  <c r="G10" i="2"/>
  <c r="E11" i="2"/>
  <c r="G11" i="2"/>
  <c r="E12" i="2"/>
  <c r="H11" i="2"/>
  <c r="F12" i="2"/>
  <c r="H12" i="2"/>
  <c r="F13" i="2"/>
  <c r="G12" i="2"/>
  <c r="E13" i="2"/>
  <c r="G13" i="2"/>
  <c r="E14" i="2"/>
  <c r="H13" i="2"/>
  <c r="F14" i="2"/>
  <c r="H14" i="2"/>
  <c r="F15" i="2"/>
  <c r="G14" i="2"/>
  <c r="E15" i="2"/>
  <c r="H15" i="2"/>
  <c r="F16" i="2"/>
  <c r="G15" i="2"/>
  <c r="E16" i="2"/>
  <c r="G16" i="2"/>
  <c r="E17" i="2"/>
  <c r="H16" i="2"/>
  <c r="F17" i="2"/>
  <c r="H17" i="2"/>
  <c r="F18" i="2"/>
  <c r="G17" i="2"/>
  <c r="E18" i="2"/>
  <c r="H18" i="2"/>
  <c r="F19" i="2"/>
  <c r="G18" i="2"/>
  <c r="E19" i="2"/>
  <c r="G19" i="2"/>
  <c r="E20" i="2"/>
  <c r="H19" i="2"/>
  <c r="F20" i="2"/>
  <c r="H20" i="2"/>
  <c r="F21" i="2"/>
  <c r="G20" i="2"/>
  <c r="E21" i="2"/>
  <c r="H21" i="2"/>
  <c r="F22" i="2"/>
  <c r="G21" i="2"/>
  <c r="E22" i="2"/>
  <c r="G22" i="2"/>
  <c r="E23" i="2"/>
  <c r="H22" i="2"/>
  <c r="F23" i="2"/>
  <c r="H23" i="2"/>
  <c r="F24" i="2"/>
  <c r="G23" i="2"/>
  <c r="E24" i="2"/>
  <c r="G24" i="2"/>
  <c r="E25" i="2"/>
  <c r="H24" i="2"/>
  <c r="F25" i="2"/>
  <c r="H25" i="2"/>
  <c r="F26" i="2"/>
  <c r="G25" i="2"/>
  <c r="E26" i="2"/>
  <c r="G26" i="2"/>
  <c r="E27" i="2"/>
  <c r="H26" i="2"/>
  <c r="F27" i="2"/>
  <c r="H27" i="2"/>
  <c r="F28" i="2"/>
  <c r="G27" i="2"/>
  <c r="E28" i="2"/>
  <c r="G28" i="2"/>
  <c r="E29" i="2"/>
  <c r="H28" i="2"/>
  <c r="F29" i="2"/>
  <c r="H29" i="2"/>
  <c r="F30" i="2"/>
  <c r="G29" i="2"/>
  <c r="E30" i="2"/>
  <c r="G30" i="2"/>
  <c r="E31" i="2"/>
  <c r="H30" i="2"/>
  <c r="F31" i="2"/>
  <c r="H31" i="2"/>
  <c r="F32" i="2"/>
  <c r="G31" i="2"/>
  <c r="E32" i="2"/>
  <c r="G32" i="2"/>
  <c r="E33" i="2"/>
  <c r="H32" i="2"/>
  <c r="F33" i="2"/>
  <c r="G33" i="2"/>
  <c r="E34" i="2"/>
  <c r="H33" i="2"/>
  <c r="F34" i="2"/>
  <c r="H34" i="2"/>
  <c r="F35" i="2"/>
  <c r="G34" i="2"/>
  <c r="E35" i="2"/>
  <c r="G35" i="2"/>
  <c r="E36" i="2"/>
  <c r="H35" i="2"/>
  <c r="F36" i="2"/>
  <c r="H36" i="2"/>
  <c r="F37" i="2"/>
  <c r="G36" i="2"/>
  <c r="E37" i="2"/>
  <c r="G37" i="2"/>
  <c r="E38" i="2"/>
  <c r="H37" i="2"/>
  <c r="F38" i="2"/>
  <c r="H38" i="2"/>
  <c r="F39" i="2"/>
  <c r="G38" i="2"/>
  <c r="E39" i="2"/>
  <c r="G39" i="2"/>
  <c r="E40" i="2"/>
  <c r="H39" i="2"/>
  <c r="F40" i="2"/>
  <c r="H40" i="2"/>
  <c r="F41" i="2"/>
  <c r="G40" i="2"/>
  <c r="E41" i="2"/>
  <c r="G41" i="2"/>
  <c r="E42" i="2"/>
  <c r="H41" i="2"/>
  <c r="F42" i="2"/>
  <c r="H42" i="2"/>
  <c r="F43" i="2"/>
  <c r="G42" i="2"/>
  <c r="E43" i="2"/>
  <c r="G43" i="2"/>
  <c r="E44" i="2"/>
  <c r="H43" i="2"/>
  <c r="F44" i="2"/>
  <c r="H44" i="2"/>
  <c r="F45" i="2"/>
  <c r="G44" i="2"/>
  <c r="E45" i="2"/>
  <c r="G45" i="2"/>
  <c r="E46" i="2"/>
  <c r="H45" i="2"/>
  <c r="F46" i="2"/>
  <c r="H46" i="2"/>
  <c r="F47" i="2"/>
  <c r="G46" i="2"/>
  <c r="E47" i="2"/>
  <c r="G47" i="2"/>
  <c r="E48" i="2"/>
  <c r="H47" i="2"/>
  <c r="F48" i="2"/>
  <c r="G48" i="2"/>
  <c r="E49" i="2"/>
  <c r="H48" i="2"/>
  <c r="F49" i="2"/>
  <c r="H49" i="2"/>
  <c r="F50" i="2"/>
  <c r="G49" i="2"/>
  <c r="E50" i="2"/>
  <c r="G50" i="2"/>
  <c r="E51" i="2"/>
  <c r="H50" i="2"/>
  <c r="F51" i="2"/>
  <c r="G51" i="2"/>
  <c r="E52" i="2"/>
  <c r="H51" i="2"/>
  <c r="F52" i="2"/>
  <c r="H52" i="2"/>
  <c r="F53" i="2"/>
  <c r="G52" i="2"/>
  <c r="E53" i="2"/>
  <c r="G53" i="2"/>
  <c r="E54" i="2"/>
  <c r="H53" i="2"/>
  <c r="F54" i="2"/>
  <c r="H54" i="2"/>
  <c r="F55" i="2"/>
  <c r="G54" i="2"/>
  <c r="E55" i="2"/>
  <c r="H55" i="2"/>
  <c r="F56" i="2"/>
  <c r="G55" i="2"/>
  <c r="E56" i="2"/>
  <c r="G56" i="2"/>
  <c r="E57" i="2"/>
  <c r="H56" i="2"/>
  <c r="F57" i="2"/>
  <c r="H57" i="2"/>
  <c r="F58" i="2"/>
  <c r="G57" i="2"/>
  <c r="E58" i="2"/>
  <c r="G58" i="2"/>
  <c r="E59" i="2"/>
  <c r="H58" i="2"/>
  <c r="F59" i="2"/>
  <c r="H59" i="2"/>
  <c r="F60" i="2"/>
  <c r="G59" i="2"/>
  <c r="E60" i="2"/>
  <c r="G60" i="2"/>
  <c r="E61" i="2"/>
  <c r="H60" i="2"/>
  <c r="F61" i="2"/>
  <c r="H61" i="2"/>
  <c r="F62" i="2"/>
  <c r="G61" i="2"/>
  <c r="E62" i="2"/>
  <c r="G62" i="2"/>
  <c r="E63" i="2"/>
  <c r="H62" i="2"/>
  <c r="F63" i="2"/>
  <c r="H63" i="2"/>
  <c r="F64" i="2"/>
  <c r="G63" i="2"/>
  <c r="E64" i="2"/>
  <c r="G64" i="2"/>
  <c r="E65" i="2"/>
  <c r="H64" i="2"/>
  <c r="F65" i="2"/>
  <c r="H65" i="2"/>
  <c r="F66" i="2"/>
  <c r="G65" i="2"/>
  <c r="E66" i="2"/>
  <c r="G66" i="2"/>
  <c r="E67" i="2"/>
  <c r="H66" i="2"/>
  <c r="F67" i="2"/>
  <c r="H67" i="2"/>
  <c r="F68" i="2"/>
  <c r="G67" i="2"/>
  <c r="E68" i="2"/>
  <c r="H68" i="2"/>
  <c r="F69" i="2"/>
  <c r="G68" i="2"/>
  <c r="E69" i="2"/>
  <c r="G69" i="2"/>
  <c r="E70" i="2"/>
  <c r="H69" i="2"/>
  <c r="F70" i="2"/>
  <c r="G70" i="2"/>
  <c r="E71" i="2"/>
  <c r="H70" i="2"/>
  <c r="F71" i="2"/>
  <c r="G71" i="2"/>
  <c r="E72" i="2"/>
  <c r="H71" i="2"/>
  <c r="F72" i="2"/>
  <c r="H72" i="2"/>
  <c r="F73" i="2"/>
  <c r="G72" i="2"/>
  <c r="E73" i="2"/>
  <c r="G73" i="2"/>
  <c r="E74" i="2"/>
  <c r="H73" i="2"/>
  <c r="F74" i="2"/>
  <c r="H74" i="2"/>
  <c r="F75" i="2"/>
  <c r="G74" i="2"/>
  <c r="E75" i="2"/>
  <c r="G75" i="2"/>
  <c r="E76" i="2"/>
  <c r="H75" i="2"/>
  <c r="F76" i="2"/>
  <c r="H76" i="2"/>
  <c r="F77" i="2"/>
  <c r="G76" i="2"/>
  <c r="E77" i="2"/>
  <c r="G77" i="2"/>
  <c r="E78" i="2"/>
  <c r="H77" i="2"/>
  <c r="F78" i="2"/>
  <c r="G78" i="2"/>
  <c r="E79" i="2"/>
  <c r="H78" i="2"/>
  <c r="F79" i="2"/>
  <c r="H79" i="2"/>
  <c r="F80" i="2"/>
  <c r="G79" i="2"/>
  <c r="E80" i="2"/>
  <c r="G80" i="2"/>
  <c r="E81" i="2"/>
  <c r="H80" i="2"/>
  <c r="F81" i="2"/>
  <c r="H81" i="2"/>
  <c r="F82" i="2"/>
  <c r="G81" i="2"/>
  <c r="E82" i="2"/>
  <c r="H82" i="2"/>
  <c r="F83" i="2"/>
  <c r="G82" i="2"/>
  <c r="E83" i="2"/>
  <c r="G83" i="2"/>
  <c r="E84" i="2"/>
  <c r="H83" i="2"/>
  <c r="F84" i="2"/>
  <c r="H84" i="2"/>
  <c r="F85" i="2"/>
  <c r="G84" i="2"/>
  <c r="E85" i="2"/>
  <c r="G85" i="2"/>
  <c r="E86" i="2"/>
  <c r="H85" i="2"/>
  <c r="F86" i="2"/>
  <c r="H86" i="2"/>
  <c r="F87" i="2"/>
  <c r="G86" i="2"/>
  <c r="E87" i="2"/>
  <c r="G87" i="2"/>
  <c r="E88" i="2"/>
  <c r="H87" i="2"/>
  <c r="F88" i="2"/>
  <c r="H88" i="2"/>
  <c r="F89" i="2"/>
  <c r="G88" i="2"/>
  <c r="E89" i="2"/>
  <c r="G89" i="2"/>
  <c r="E90" i="2"/>
  <c r="H89" i="2"/>
  <c r="F90" i="2"/>
  <c r="H90" i="2"/>
  <c r="F91" i="2"/>
  <c r="G90" i="2"/>
  <c r="E91" i="2"/>
  <c r="G91" i="2"/>
  <c r="E92" i="2"/>
  <c r="H91" i="2"/>
  <c r="F92" i="2"/>
  <c r="H92" i="2"/>
  <c r="F93" i="2"/>
  <c r="G92" i="2"/>
  <c r="E93" i="2"/>
  <c r="G93" i="2"/>
  <c r="E94" i="2"/>
  <c r="H93" i="2"/>
  <c r="F94" i="2"/>
  <c r="H94" i="2"/>
  <c r="F95" i="2" s="1"/>
  <c r="G94" i="2"/>
  <c r="E95" i="2" s="1"/>
  <c r="A8" i="2" a="1"/>
  <c r="A7" i="2" a="1"/>
  <c r="A8" i="2" l="1"/>
  <c r="B8" i="2"/>
  <c r="C8" i="2"/>
  <c r="A7" i="2"/>
  <c r="B7" i="2"/>
  <c r="C7" i="2"/>
  <c r="G95" i="2"/>
  <c r="E96" i="2" s="1"/>
  <c r="H95" i="2"/>
  <c r="F96" i="2" s="1"/>
  <c r="A9" i="2" a="1"/>
  <c r="A9" i="2" l="1"/>
  <c r="B9" i="2"/>
  <c r="C9" i="2"/>
  <c r="H96" i="2"/>
  <c r="F97" i="2"/>
  <c r="G96" i="2"/>
  <c r="E97" i="2"/>
  <c r="A10" i="2" a="1"/>
  <c r="A10" i="2" l="1"/>
  <c r="B10" i="2"/>
  <c r="C10" i="2"/>
  <c r="G97" i="2"/>
  <c r="E98" i="2"/>
  <c r="H97" i="2"/>
  <c r="F98" i="2"/>
  <c r="A11" i="2" a="1"/>
  <c r="A11" i="2" l="1"/>
  <c r="B11" i="2"/>
  <c r="C11" i="2"/>
  <c r="H98" i="2"/>
  <c r="F99" i="2"/>
  <c r="G98" i="2"/>
  <c r="E99" i="2"/>
  <c r="A12" i="2" a="1"/>
  <c r="A12" i="2" l="1"/>
  <c r="B12" i="2"/>
  <c r="C12" i="2"/>
  <c r="G99" i="2"/>
  <c r="E100" i="2"/>
  <c r="H99" i="2"/>
  <c r="F100" i="2"/>
  <c r="A13" i="2" a="1"/>
  <c r="A13" i="2" l="1"/>
  <c r="B13" i="2"/>
  <c r="C13" i="2"/>
  <c r="H100" i="2"/>
  <c r="F101" i="2"/>
  <c r="G100" i="2"/>
  <c r="E101" i="2"/>
  <c r="A14" i="2" a="1"/>
  <c r="A14" i="2" l="1"/>
  <c r="B14" i="2"/>
  <c r="C14" i="2"/>
  <c r="G101" i="2"/>
  <c r="E102" i="2"/>
  <c r="H101" i="2"/>
  <c r="F102" i="2"/>
  <c r="A15" i="2" a="1"/>
  <c r="A15" i="2" l="1"/>
  <c r="B15" i="2"/>
  <c r="C15" i="2"/>
  <c r="H102" i="2"/>
  <c r="F103" i="2"/>
  <c r="G102" i="2"/>
  <c r="E103" i="2"/>
  <c r="A16" i="2" a="1"/>
  <c r="A16" i="2" l="1"/>
  <c r="B16" i="2"/>
  <c r="C16" i="2"/>
  <c r="G103" i="2"/>
  <c r="E104" i="2"/>
  <c r="H103" i="2"/>
  <c r="F104" i="2"/>
  <c r="A17" i="2" a="1"/>
  <c r="A17" i="2" l="1"/>
  <c r="B17" i="2"/>
  <c r="C17" i="2"/>
  <c r="H104" i="2"/>
  <c r="F105" i="2" s="1"/>
  <c r="G104" i="2"/>
  <c r="E105" i="2" s="1"/>
  <c r="A18" i="2" a="1"/>
  <c r="A18" i="2" l="1"/>
  <c r="B18" i="2"/>
  <c r="C18" i="2"/>
  <c r="G105" i="2"/>
  <c r="E106" i="2" s="1"/>
  <c r="H105" i="2"/>
  <c r="F106" i="2" s="1"/>
  <c r="A19" i="2" a="1"/>
  <c r="A19" i="2" l="1"/>
  <c r="B19" i="2"/>
  <c r="C19" i="2"/>
  <c r="H106" i="2"/>
  <c r="F107" i="2"/>
  <c r="G106" i="2"/>
  <c r="E107" i="2"/>
  <c r="A20" i="2" a="1"/>
  <c r="A20" i="2" l="1"/>
  <c r="B20" i="2"/>
  <c r="C20" i="2"/>
  <c r="G107" i="2"/>
  <c r="E108" i="2"/>
  <c r="H107" i="2"/>
  <c r="F108" i="2"/>
  <c r="A21" i="2" a="1"/>
  <c r="A21" i="2" l="1"/>
  <c r="B21" i="2"/>
  <c r="C21" i="2"/>
  <c r="H108" i="2"/>
  <c r="F109" i="2" s="1"/>
  <c r="G108" i="2"/>
  <c r="E109" i="2"/>
  <c r="A22" i="2" a="1"/>
  <c r="A22" i="2" l="1"/>
  <c r="B22" i="2"/>
  <c r="C22" i="2"/>
  <c r="H109" i="2"/>
  <c r="F110" i="2"/>
  <c r="G109" i="2"/>
  <c r="E110" i="2"/>
  <c r="A23" i="2" a="1"/>
  <c r="A23" i="2" l="1"/>
  <c r="B23" i="2"/>
  <c r="C23" i="2"/>
  <c r="G110" i="2"/>
  <c r="E111" i="2"/>
  <c r="H110" i="2"/>
  <c r="F111" i="2"/>
  <c r="A24" i="2" a="1"/>
  <c r="A24" i="2" l="1"/>
  <c r="B24" i="2"/>
  <c r="C24" i="2"/>
  <c r="H111" i="2"/>
  <c r="F112" i="2"/>
  <c r="G111" i="2"/>
  <c r="E112" i="2"/>
  <c r="A25" i="2" a="1"/>
  <c r="A25" i="2" l="1"/>
  <c r="B25" i="2"/>
  <c r="C25" i="2"/>
  <c r="G112" i="2"/>
  <c r="E113" i="2"/>
  <c r="H112" i="2"/>
  <c r="F113" i="2"/>
  <c r="A26" i="2" a="1"/>
  <c r="A26" i="2" l="1"/>
  <c r="B26" i="2"/>
  <c r="C26" i="2"/>
  <c r="H113" i="2"/>
  <c r="F114" i="2"/>
  <c r="G113" i="2"/>
  <c r="E114" i="2"/>
  <c r="A27" i="2" a="1"/>
  <c r="A27" i="2" l="1"/>
  <c r="B27" i="2"/>
  <c r="C27" i="2"/>
  <c r="G114" i="2"/>
  <c r="E115" i="2"/>
  <c r="H114" i="2"/>
  <c r="F115" i="2"/>
  <c r="A28" i="2" a="1"/>
  <c r="A28" i="2" l="1"/>
  <c r="B28" i="2"/>
  <c r="C28" i="2"/>
  <c r="H115" i="2"/>
  <c r="F116" i="2"/>
  <c r="G115" i="2"/>
  <c r="E116" i="2"/>
  <c r="A29" i="2" a="1"/>
  <c r="A29" i="2" l="1"/>
  <c r="B29" i="2"/>
  <c r="C29" i="2"/>
  <c r="G116" i="2"/>
  <c r="E117" i="2"/>
  <c r="H116" i="2"/>
  <c r="F117" i="2"/>
  <c r="A30" i="2" a="1"/>
  <c r="A30" i="2" l="1"/>
  <c r="B30" i="2"/>
  <c r="C30" i="2"/>
  <c r="H117" i="2"/>
  <c r="F118" i="2"/>
  <c r="G117" i="2"/>
  <c r="E118" i="2"/>
  <c r="A31" i="2" a="1"/>
  <c r="A31" i="2" l="1"/>
  <c r="B31" i="2"/>
  <c r="C31" i="2"/>
  <c r="G118" i="2"/>
  <c r="E119" i="2"/>
  <c r="H118" i="2"/>
  <c r="F119" i="2"/>
  <c r="A32" i="2" a="1"/>
  <c r="A32" i="2" l="1"/>
  <c r="B32" i="2"/>
  <c r="C32" i="2"/>
  <c r="H119" i="2"/>
  <c r="F120" i="2"/>
  <c r="G119" i="2"/>
  <c r="E120" i="2"/>
  <c r="A33" i="2" a="1"/>
  <c r="A33" i="2" l="1"/>
  <c r="B33" i="2"/>
  <c r="C33" i="2"/>
  <c r="G120" i="2"/>
  <c r="E121" i="2"/>
  <c r="H120" i="2"/>
  <c r="F121" i="2"/>
  <c r="A34" i="2" a="1"/>
  <c r="A34" i="2" l="1"/>
  <c r="B34" i="2"/>
  <c r="C34" i="2"/>
  <c r="H121" i="2"/>
  <c r="F122" i="2"/>
  <c r="G121" i="2"/>
  <c r="E122" i="2"/>
  <c r="A35" i="2" a="1"/>
  <c r="A35" i="2" l="1"/>
  <c r="B35" i="2"/>
  <c r="C35" i="2"/>
  <c r="G122" i="2"/>
  <c r="E123" i="2"/>
  <c r="H122" i="2"/>
  <c r="F123" i="2"/>
  <c r="A36" i="2" a="1"/>
  <c r="A36" i="2" l="1"/>
  <c r="B36" i="2"/>
  <c r="C36" i="2"/>
  <c r="H123" i="2"/>
  <c r="F124" i="2"/>
  <c r="G123" i="2"/>
  <c r="E124" i="2"/>
  <c r="A37" i="2" a="1"/>
  <c r="A37" i="2" l="1"/>
  <c r="B37" i="2"/>
  <c r="C37" i="2"/>
  <c r="G124" i="2"/>
  <c r="E125" i="2"/>
  <c r="H124" i="2"/>
  <c r="F125" i="2"/>
  <c r="A38" i="2" a="1"/>
  <c r="A38" i="2" l="1"/>
  <c r="B38" i="2"/>
  <c r="C38" i="2"/>
  <c r="H125" i="2"/>
  <c r="F126" i="2"/>
  <c r="G125" i="2"/>
  <c r="E126" i="2"/>
  <c r="A39" i="2" a="1"/>
  <c r="A39" i="2" l="1"/>
  <c r="B39" i="2"/>
  <c r="C39" i="2"/>
  <c r="G126" i="2"/>
  <c r="E127" i="2"/>
  <c r="H126" i="2"/>
  <c r="F127" i="2"/>
  <c r="A40" i="2" a="1"/>
  <c r="A40" i="2" l="1"/>
  <c r="B40" i="2"/>
  <c r="C40" i="2"/>
  <c r="H127" i="2"/>
  <c r="F128" i="2"/>
  <c r="G127" i="2"/>
  <c r="E128" i="2"/>
  <c r="A41" i="2" a="1"/>
  <c r="A41" i="2" l="1"/>
  <c r="B41" i="2"/>
  <c r="C41" i="2"/>
  <c r="G128" i="2"/>
  <c r="E129" i="2"/>
  <c r="H128" i="2"/>
  <c r="F129" i="2"/>
  <c r="A42" i="2" a="1"/>
  <c r="A42" i="2" l="1"/>
  <c r="B42" i="2"/>
  <c r="C42" i="2"/>
  <c r="H129" i="2"/>
  <c r="F130" i="2"/>
  <c r="G129" i="2"/>
  <c r="E130" i="2"/>
  <c r="A43" i="2" a="1"/>
  <c r="A43" i="2" l="1"/>
  <c r="B43" i="2"/>
  <c r="C43" i="2"/>
  <c r="G130" i="2"/>
  <c r="E131" i="2"/>
  <c r="H130" i="2"/>
  <c r="F131" i="2"/>
  <c r="A44" i="2" a="1"/>
  <c r="A44" i="2" l="1"/>
  <c r="B44" i="2"/>
  <c r="C44" i="2"/>
  <c r="H131" i="2"/>
  <c r="F132" i="2"/>
  <c r="G131" i="2"/>
  <c r="E132" i="2"/>
  <c r="A45" i="2" a="1"/>
  <c r="A45" i="2" l="1"/>
  <c r="B45" i="2"/>
  <c r="C45" i="2"/>
  <c r="G132" i="2"/>
  <c r="E133" i="2"/>
  <c r="H132" i="2"/>
  <c r="F133" i="2"/>
  <c r="A46" i="2" a="1"/>
  <c r="A46" i="2" l="1"/>
  <c r="B46" i="2"/>
  <c r="C46" i="2"/>
  <c r="H133" i="2"/>
  <c r="F134" i="2"/>
  <c r="G133" i="2"/>
  <c r="E134" i="2"/>
  <c r="A47" i="2" a="1"/>
  <c r="A47" i="2" l="1"/>
  <c r="B47" i="2"/>
  <c r="C47" i="2"/>
  <c r="G134" i="2"/>
  <c r="E135" i="2"/>
  <c r="H134" i="2"/>
  <c r="F135" i="2"/>
  <c r="A48" i="2" a="1"/>
  <c r="A48" i="2" l="1"/>
  <c r="B48" i="2"/>
  <c r="C48" i="2"/>
  <c r="H135" i="2"/>
  <c r="F136" i="2"/>
  <c r="G135" i="2"/>
  <c r="E136" i="2"/>
  <c r="A49" i="2" a="1"/>
  <c r="A49" i="2" l="1"/>
  <c r="B49" i="2"/>
  <c r="C49" i="2"/>
  <c r="G136" i="2"/>
  <c r="E137" i="2" s="1"/>
  <c r="H136" i="2"/>
  <c r="F137" i="2"/>
  <c r="A50" i="2" a="1"/>
  <c r="A50" i="2" l="1"/>
  <c r="B50" i="2"/>
  <c r="C50" i="2"/>
  <c r="G137" i="2"/>
  <c r="E138" i="2" s="1"/>
  <c r="H137" i="2"/>
  <c r="F138" i="2" s="1"/>
  <c r="A51" i="2" a="1"/>
  <c r="A51" i="2" l="1"/>
  <c r="B51" i="2"/>
  <c r="C51" i="2"/>
  <c r="H138" i="2"/>
  <c r="F139" i="2" s="1"/>
  <c r="G138" i="2"/>
  <c r="E139" i="2" s="1"/>
  <c r="A52" i="2" a="1"/>
  <c r="A52" i="2" l="1"/>
  <c r="B52" i="2"/>
  <c r="C52" i="2"/>
  <c r="G139" i="2"/>
  <c r="E140" i="2" s="1"/>
  <c r="H139" i="2"/>
  <c r="F140" i="2" s="1"/>
  <c r="A53" i="2" a="1"/>
  <c r="A53" i="2" l="1"/>
  <c r="B53" i="2"/>
  <c r="C53" i="2"/>
  <c r="H140" i="2"/>
  <c r="F141" i="2" s="1"/>
  <c r="G140" i="2"/>
  <c r="E141" i="2" s="1"/>
  <c r="A54" i="2" a="1"/>
  <c r="A54" i="2" l="1"/>
  <c r="B54" i="2"/>
  <c r="C54" i="2"/>
  <c r="G141" i="2"/>
  <c r="E142" i="2"/>
  <c r="H141" i="2"/>
  <c r="F142" i="2"/>
  <c r="A55" i="2" a="1"/>
  <c r="A55" i="2" l="1"/>
  <c r="B55" i="2"/>
  <c r="C55" i="2"/>
  <c r="H142" i="2"/>
  <c r="F143" i="2"/>
  <c r="G142" i="2"/>
  <c r="E143" i="2"/>
  <c r="A56" i="2" a="1"/>
  <c r="A56" i="2" l="1"/>
  <c r="B56" i="2"/>
  <c r="C56" i="2"/>
  <c r="G143" i="2"/>
  <c r="E144" i="2"/>
  <c r="H143" i="2"/>
  <c r="F144" i="2"/>
  <c r="A57" i="2" a="1"/>
  <c r="A57" i="2" l="1"/>
  <c r="B57" i="2"/>
  <c r="C57" i="2"/>
  <c r="H144" i="2"/>
  <c r="F145" i="2"/>
  <c r="G144" i="2"/>
  <c r="E145" i="2"/>
  <c r="A58" i="2" a="1"/>
  <c r="A58" i="2" l="1"/>
  <c r="B58" i="2"/>
  <c r="C58" i="2"/>
  <c r="G145" i="2"/>
  <c r="E146" i="2"/>
  <c r="H145" i="2"/>
  <c r="F146" i="2"/>
  <c r="A59" i="2" a="1"/>
  <c r="A59" i="2" l="1"/>
  <c r="B59" i="2"/>
  <c r="C59" i="2"/>
  <c r="H146" i="2"/>
  <c r="F147" i="2" s="1"/>
  <c r="G146" i="2"/>
  <c r="E147" i="2" s="1"/>
  <c r="A60" i="2" a="1"/>
  <c r="A60" i="2" l="1"/>
  <c r="B60" i="2"/>
  <c r="C60" i="2"/>
  <c r="G147" i="2"/>
  <c r="E148" i="2" s="1"/>
  <c r="H147" i="2"/>
  <c r="F148" i="2" s="1"/>
  <c r="A61" i="2" a="1"/>
  <c r="A61" i="2" l="1"/>
  <c r="B61" i="2"/>
  <c r="C61" i="2"/>
  <c r="H148" i="2"/>
  <c r="F149" i="2" s="1"/>
  <c r="G148" i="2"/>
  <c r="E149" i="2" s="1"/>
  <c r="A62" i="2" a="1"/>
  <c r="A62" i="2" l="1"/>
  <c r="B62" i="2"/>
  <c r="C62" i="2"/>
  <c r="G149" i="2"/>
  <c r="E150" i="2" s="1"/>
  <c r="H149" i="2"/>
  <c r="F150" i="2" s="1"/>
  <c r="A63" i="2" a="1"/>
  <c r="A63" i="2" l="1"/>
  <c r="B63" i="2"/>
  <c r="C63" i="2"/>
  <c r="H150" i="2"/>
  <c r="F151" i="2" s="1"/>
  <c r="G150" i="2"/>
  <c r="E151" i="2" s="1"/>
  <c r="A64" i="2" a="1"/>
  <c r="A64" i="2" l="1"/>
  <c r="B64" i="2"/>
  <c r="C64" i="2"/>
  <c r="G151" i="2"/>
  <c r="E152" i="2" s="1"/>
  <c r="H151" i="2"/>
  <c r="F152" i="2" s="1"/>
  <c r="A65" i="2" a="1"/>
  <c r="A65" i="2" l="1"/>
  <c r="B65" i="2"/>
  <c r="C65" i="2"/>
  <c r="H152" i="2"/>
  <c r="F153" i="2"/>
  <c r="G152" i="2"/>
  <c r="E153" i="2"/>
  <c r="A66" i="2" a="1"/>
  <c r="A66" i="2" l="1"/>
  <c r="B66" i="2"/>
  <c r="C66" i="2"/>
  <c r="G153" i="2"/>
  <c r="E154" i="2"/>
  <c r="H153" i="2"/>
  <c r="F154" i="2"/>
  <c r="A67" i="2" a="1"/>
  <c r="A67" i="2" l="1"/>
  <c r="B67" i="2"/>
  <c r="C67" i="2"/>
  <c r="H154" i="2"/>
  <c r="F155" i="2"/>
  <c r="G154" i="2"/>
  <c r="E155" i="2"/>
  <c r="A68" i="2" a="1"/>
  <c r="A68" i="2" l="1"/>
  <c r="B68" i="2"/>
  <c r="C68" i="2"/>
  <c r="G155" i="2"/>
  <c r="E156" i="2" s="1"/>
  <c r="H155" i="2"/>
  <c r="F156" i="2" s="1"/>
  <c r="A69" i="2" a="1"/>
  <c r="A69" i="2" l="1"/>
  <c r="B69" i="2"/>
  <c r="C69" i="2"/>
  <c r="H156" i="2"/>
  <c r="F157" i="2" s="1"/>
  <c r="G156" i="2"/>
  <c r="E157" i="2" s="1"/>
  <c r="A70" i="2" a="1"/>
  <c r="A70" i="2" l="1"/>
  <c r="B70" i="2"/>
  <c r="C70" i="2"/>
  <c r="G157" i="2"/>
  <c r="E158" i="2"/>
  <c r="H157" i="2"/>
  <c r="F158" i="2"/>
  <c r="A71" i="2" a="1"/>
  <c r="A71" i="2" l="1"/>
  <c r="B71" i="2"/>
  <c r="C71" i="2"/>
  <c r="H158" i="2"/>
  <c r="F159" i="2"/>
  <c r="G158" i="2"/>
  <c r="E159" i="2"/>
  <c r="A72" i="2" a="1"/>
  <c r="A72" i="2" l="1"/>
  <c r="B72" i="2"/>
  <c r="C72" i="2"/>
  <c r="G159" i="2"/>
  <c r="E160" i="2"/>
  <c r="H159" i="2"/>
  <c r="F160" i="2"/>
  <c r="A73" i="2" a="1"/>
  <c r="A73" i="2" l="1"/>
  <c r="B73" i="2"/>
  <c r="C73" i="2"/>
  <c r="H160" i="2"/>
  <c r="F161" i="2"/>
  <c r="G160" i="2"/>
  <c r="E161" i="2"/>
  <c r="A74" i="2" a="1"/>
  <c r="A74" i="2" l="1"/>
  <c r="B74" i="2"/>
  <c r="C74" i="2"/>
  <c r="G161" i="2"/>
  <c r="E162" i="2"/>
  <c r="H161" i="2"/>
  <c r="F162" i="2"/>
  <c r="A75" i="2" a="1"/>
  <c r="A75" i="2" l="1"/>
  <c r="B75" i="2"/>
  <c r="C75" i="2"/>
  <c r="H162" i="2"/>
  <c r="F163" i="2"/>
  <c r="G162" i="2"/>
  <c r="E163" i="2"/>
  <c r="A76" i="2" a="1"/>
  <c r="A76" i="2" l="1"/>
  <c r="B76" i="2"/>
  <c r="C76" i="2"/>
  <c r="G163" i="2"/>
  <c r="E164" i="2"/>
  <c r="H163" i="2"/>
  <c r="F164" i="2"/>
  <c r="A77" i="2" a="1"/>
  <c r="A77" i="2" l="1"/>
  <c r="B77" i="2"/>
  <c r="C77" i="2"/>
  <c r="H164" i="2"/>
  <c r="F165" i="2"/>
  <c r="G164" i="2"/>
  <c r="E165" i="2"/>
  <c r="A78" i="2" a="1"/>
  <c r="A78" i="2" l="1"/>
  <c r="B78" i="2"/>
  <c r="C78" i="2"/>
  <c r="G165" i="2"/>
  <c r="E166" i="2"/>
  <c r="H165" i="2"/>
  <c r="F166" i="2"/>
  <c r="A79" i="2" a="1"/>
  <c r="A79" i="2" l="1"/>
  <c r="B79" i="2"/>
  <c r="C79" i="2"/>
  <c r="H166" i="2"/>
  <c r="F167" i="2"/>
  <c r="G166" i="2"/>
  <c r="E167" i="2"/>
  <c r="A80" i="2" a="1"/>
  <c r="A80" i="2" l="1"/>
  <c r="B80" i="2"/>
  <c r="C80" i="2"/>
  <c r="G167" i="2"/>
  <c r="E168" i="2"/>
  <c r="H167" i="2"/>
  <c r="F168" i="2"/>
  <c r="A81" i="2" a="1"/>
  <c r="A81" i="2" l="1"/>
  <c r="B81" i="2"/>
  <c r="C81" i="2"/>
  <c r="H168" i="2"/>
  <c r="F169" i="2" s="1"/>
  <c r="G168" i="2"/>
  <c r="E169" i="2" s="1"/>
  <c r="A82" i="2" a="1"/>
  <c r="A82" i="2" l="1"/>
  <c r="B82" i="2"/>
  <c r="C82" i="2"/>
  <c r="G169" i="2"/>
  <c r="E170" i="2"/>
  <c r="H169" i="2"/>
  <c r="F170" i="2"/>
  <c r="A83" i="2" a="1"/>
  <c r="A83" i="2" l="1"/>
  <c r="B83" i="2"/>
  <c r="C83" i="2"/>
  <c r="H170" i="2"/>
  <c r="F171" i="2"/>
  <c r="G170" i="2"/>
  <c r="E171" i="2"/>
  <c r="A84" i="2" a="1"/>
  <c r="A84" i="2" l="1"/>
  <c r="B84" i="2"/>
  <c r="C84" i="2"/>
  <c r="G171" i="2"/>
  <c r="E172" i="2"/>
  <c r="H171" i="2"/>
  <c r="F172" i="2"/>
  <c r="A85" i="2" a="1"/>
  <c r="A85" i="2" l="1"/>
  <c r="B85" i="2"/>
  <c r="C85" i="2"/>
  <c r="H172" i="2"/>
  <c r="F173" i="2"/>
  <c r="G172" i="2"/>
  <c r="E173" i="2"/>
  <c r="A86" i="2" a="1"/>
  <c r="A86" i="2" l="1"/>
  <c r="B86" i="2"/>
  <c r="C86" i="2"/>
  <c r="G173" i="2"/>
  <c r="E174" i="2"/>
  <c r="H173" i="2"/>
  <c r="F174" i="2"/>
  <c r="A87" i="2" a="1"/>
  <c r="A87" i="2" l="1"/>
  <c r="B87" i="2"/>
  <c r="C87" i="2"/>
  <c r="H174" i="2"/>
  <c r="F175" i="2"/>
  <c r="G174" i="2"/>
  <c r="E175" i="2"/>
  <c r="A88" i="2" a="1"/>
  <c r="A88" i="2" l="1"/>
  <c r="B88" i="2"/>
  <c r="C88" i="2"/>
  <c r="G175" i="2"/>
  <c r="E176" i="2"/>
  <c r="H175" i="2"/>
  <c r="F176" i="2"/>
  <c r="A89" i="2" a="1"/>
  <c r="A89" i="2" l="1"/>
  <c r="B89" i="2"/>
  <c r="C89" i="2"/>
  <c r="H176" i="2"/>
  <c r="F177" i="2"/>
  <c r="G176" i="2"/>
  <c r="E177" i="2"/>
  <c r="A90" i="2" a="1"/>
  <c r="A90" i="2" l="1"/>
  <c r="B90" i="2"/>
  <c r="C90" i="2"/>
  <c r="G177" i="2"/>
  <c r="E178" i="2"/>
  <c r="H177" i="2"/>
  <c r="F178" i="2"/>
  <c r="A91" i="2" a="1"/>
  <c r="A91" i="2" l="1"/>
  <c r="B91" i="2"/>
  <c r="C91" i="2"/>
  <c r="H178" i="2"/>
  <c r="F179" i="2"/>
  <c r="G178" i="2"/>
  <c r="E179" i="2"/>
  <c r="A92" i="2" a="1"/>
  <c r="A92" i="2" l="1"/>
  <c r="B92" i="2"/>
  <c r="C92" i="2"/>
  <c r="G179" i="2"/>
  <c r="E180" i="2" s="1"/>
  <c r="H179" i="2"/>
  <c r="F180" i="2" s="1"/>
  <c r="A93" i="2" a="1"/>
  <c r="A93" i="2" l="1"/>
  <c r="B93" i="2"/>
  <c r="C93" i="2"/>
  <c r="H180" i="2"/>
  <c r="F181" i="2"/>
  <c r="G180" i="2"/>
  <c r="E181" i="2"/>
  <c r="A94" i="2" a="1"/>
  <c r="A94" i="2" l="1"/>
  <c r="B94" i="2"/>
  <c r="C94" i="2"/>
  <c r="G181" i="2"/>
  <c r="E182" i="2" s="1"/>
  <c r="H181" i="2"/>
  <c r="F182" i="2"/>
  <c r="A95" i="2" a="1"/>
  <c r="A95" i="2" l="1"/>
  <c r="B95" i="2"/>
  <c r="C95" i="2"/>
  <c r="G182" i="2"/>
  <c r="E183" i="2" s="1"/>
  <c r="H182" i="2"/>
  <c r="F183" i="2" s="1"/>
  <c r="A96" i="2" a="1"/>
  <c r="A96" i="2" l="1"/>
  <c r="B96" i="2"/>
  <c r="C96" i="2"/>
  <c r="H183" i="2"/>
  <c r="F184" i="2" s="1"/>
  <c r="G183" i="2"/>
  <c r="E184" i="2" s="1"/>
  <c r="A97" i="2" a="1"/>
  <c r="A97" i="2" l="1"/>
  <c r="B97" i="2"/>
  <c r="C97" i="2"/>
  <c r="G184" i="2"/>
  <c r="E185" i="2" s="1"/>
  <c r="H184" i="2"/>
  <c r="F185" i="2" s="1"/>
  <c r="A98" i="2" a="1"/>
  <c r="A98" i="2" l="1"/>
  <c r="B98" i="2"/>
  <c r="C98" i="2"/>
  <c r="H185" i="2"/>
  <c r="F186" i="2"/>
  <c r="G185" i="2"/>
  <c r="E186" i="2"/>
  <c r="A99" i="2" a="1"/>
  <c r="A99" i="2" l="1"/>
  <c r="B99" i="2"/>
  <c r="C99" i="2"/>
  <c r="G186" i="2"/>
  <c r="E187" i="2" s="1"/>
  <c r="H186" i="2"/>
  <c r="F187" i="2" s="1"/>
  <c r="A100" i="2" a="1"/>
  <c r="A100" i="2" l="1"/>
  <c r="B100" i="2"/>
  <c r="C100" i="2"/>
  <c r="H187" i="2"/>
  <c r="F188" i="2" s="1"/>
  <c r="G187" i="2"/>
  <c r="E188" i="2" s="1"/>
  <c r="A101" i="2" a="1"/>
  <c r="A101" i="2" l="1"/>
  <c r="B101" i="2"/>
  <c r="C101" i="2"/>
  <c r="G188" i="2"/>
  <c r="E189" i="2"/>
  <c r="H188" i="2"/>
  <c r="F189" i="2"/>
  <c r="A102" i="2" a="1"/>
  <c r="A102" i="2" l="1"/>
  <c r="B102" i="2"/>
  <c r="C102" i="2"/>
  <c r="H189" i="2"/>
  <c r="F190" i="2"/>
  <c r="G189" i="2"/>
  <c r="E190" i="2"/>
  <c r="A103" i="2" a="1"/>
  <c r="A103" i="2" l="1"/>
  <c r="B103" i="2"/>
  <c r="C103" i="2"/>
  <c r="G190" i="2"/>
  <c r="E191" i="2" s="1"/>
  <c r="H190" i="2"/>
  <c r="F191" i="2" s="1"/>
  <c r="A104" i="2" a="1"/>
  <c r="A104" i="2" l="1"/>
  <c r="B104" i="2"/>
  <c r="C104" i="2"/>
  <c r="H191" i="2"/>
  <c r="F192" i="2"/>
  <c r="G191" i="2"/>
  <c r="E192" i="2"/>
  <c r="A105" i="2" a="1"/>
  <c r="A105" i="2" l="1"/>
  <c r="B105" i="2"/>
  <c r="C105" i="2"/>
  <c r="G192" i="2"/>
  <c r="E193" i="2"/>
  <c r="H192" i="2"/>
  <c r="F193" i="2"/>
  <c r="A106" i="2" a="1"/>
  <c r="A106" i="2" l="1"/>
  <c r="B106" i="2"/>
  <c r="C106" i="2"/>
  <c r="H193" i="2"/>
  <c r="F194" i="2"/>
  <c r="G193" i="2"/>
  <c r="E194" i="2"/>
  <c r="A107" i="2" a="1"/>
  <c r="A107" i="2" l="1"/>
  <c r="B107" i="2"/>
  <c r="C107" i="2"/>
  <c r="G194" i="2"/>
  <c r="E195" i="2"/>
  <c r="H194" i="2"/>
  <c r="F195" i="2"/>
  <c r="A108" i="2" a="1"/>
  <c r="A108" i="2" l="1"/>
  <c r="B108" i="2"/>
  <c r="C108" i="2"/>
  <c r="H195" i="2"/>
  <c r="F196" i="2" s="1"/>
  <c r="G195" i="2"/>
  <c r="E196" i="2" s="1"/>
  <c r="A109" i="2" a="1"/>
  <c r="A109" i="2" l="1"/>
  <c r="B109" i="2"/>
  <c r="C109" i="2"/>
  <c r="G196" i="2"/>
  <c r="E197" i="2" s="1"/>
  <c r="H196" i="2"/>
  <c r="F197" i="2"/>
  <c r="A110" i="2" a="1"/>
  <c r="A110" i="2" l="1"/>
  <c r="B110" i="2"/>
  <c r="C110" i="2"/>
  <c r="G197" i="2"/>
  <c r="E198" i="2"/>
  <c r="H197" i="2"/>
  <c r="F198" i="2"/>
  <c r="A111" i="2" a="1"/>
  <c r="A111" i="2" l="1"/>
  <c r="B111" i="2"/>
  <c r="C111" i="2"/>
  <c r="H198" i="2"/>
  <c r="F199" i="2"/>
  <c r="G198" i="2"/>
  <c r="E199" i="2"/>
  <c r="A112" i="2" a="1"/>
  <c r="A112" i="2" l="1"/>
  <c r="B112" i="2"/>
  <c r="C112" i="2"/>
  <c r="G199" i="2"/>
  <c r="E200" i="2"/>
  <c r="H199" i="2"/>
  <c r="F200" i="2"/>
  <c r="H200" i="2" s="1"/>
  <c r="A113" i="2" a="1"/>
  <c r="A113" i="2" l="1"/>
  <c r="B113" i="2"/>
  <c r="C113" i="2"/>
  <c r="G200" i="2"/>
  <c r="A114" i="2" a="1"/>
  <c r="A114" i="2" l="1"/>
  <c r="B114" i="2"/>
  <c r="C114" i="2"/>
  <c r="A115" i="2" a="1"/>
  <c r="A115" i="2" l="1"/>
  <c r="B115" i="2"/>
  <c r="C115" i="2"/>
  <c r="A116" i="2" a="1"/>
  <c r="A116" i="2" l="1"/>
  <c r="B116" i="2"/>
  <c r="C116" i="2"/>
  <c r="A117" i="2" a="1"/>
  <c r="A117" i="2" l="1"/>
  <c r="B117" i="2"/>
  <c r="C117" i="2"/>
  <c r="A118" i="2" a="1"/>
  <c r="A118" i="2" l="1"/>
  <c r="B118" i="2"/>
  <c r="C118" i="2"/>
  <c r="A119" i="2" a="1"/>
  <c r="A119" i="2" l="1"/>
  <c r="B119" i="2"/>
  <c r="C119" i="2"/>
  <c r="A120" i="2" a="1"/>
  <c r="A120" i="2" l="1"/>
  <c r="B120" i="2"/>
  <c r="C120" i="2"/>
  <c r="A121" i="2" a="1"/>
  <c r="A121" i="2" l="1"/>
  <c r="B121" i="2"/>
  <c r="C121" i="2"/>
  <c r="A122" i="2" a="1"/>
  <c r="A122" i="2" l="1"/>
  <c r="B122" i="2"/>
  <c r="C122" i="2"/>
  <c r="A123" i="2" a="1"/>
  <c r="A123" i="2" l="1"/>
  <c r="B123" i="2"/>
  <c r="C123" i="2"/>
  <c r="A124" i="2" a="1"/>
  <c r="A124" i="2" l="1"/>
  <c r="B124" i="2"/>
  <c r="C124" i="2"/>
  <c r="A125" i="2" a="1"/>
  <c r="A125" i="2" l="1"/>
  <c r="B125" i="2"/>
  <c r="C125" i="2"/>
  <c r="A126" i="2" a="1"/>
  <c r="A126" i="2" l="1"/>
  <c r="B126" i="2"/>
  <c r="C126" i="2"/>
  <c r="A127" i="2" a="1"/>
  <c r="A127" i="2" l="1"/>
  <c r="B127" i="2"/>
  <c r="C127" i="2"/>
  <c r="A128" i="2" a="1"/>
  <c r="A128" i="2" l="1"/>
  <c r="B128" i="2"/>
  <c r="C128" i="2"/>
  <c r="A129" i="2" a="1"/>
  <c r="A129" i="2" l="1"/>
  <c r="B129" i="2"/>
  <c r="C129" i="2"/>
  <c r="A130" i="2" a="1"/>
  <c r="A130" i="2" l="1"/>
  <c r="B130" i="2"/>
  <c r="C130" i="2"/>
  <c r="A131" i="2" a="1"/>
  <c r="A131" i="2" l="1"/>
  <c r="B131" i="2"/>
  <c r="C131" i="2"/>
  <c r="A132" i="2" a="1"/>
  <c r="A132" i="2" l="1"/>
  <c r="B132" i="2"/>
  <c r="C132" i="2"/>
  <c r="A133" i="2" a="1"/>
  <c r="A133" i="2" l="1"/>
  <c r="B133" i="2"/>
  <c r="C133" i="2"/>
  <c r="A134" i="2" a="1"/>
  <c r="A134" i="2" l="1"/>
  <c r="B134" i="2"/>
  <c r="C134" i="2"/>
  <c r="A135" i="2" a="1"/>
  <c r="A135" i="2" l="1"/>
  <c r="B135" i="2"/>
  <c r="C135" i="2"/>
  <c r="A136" i="2" a="1"/>
  <c r="A136" i="2" l="1"/>
  <c r="B136" i="2"/>
  <c r="C136" i="2"/>
  <c r="A137" i="2" a="1"/>
  <c r="A137" i="2" l="1"/>
  <c r="B137" i="2"/>
  <c r="C137" i="2"/>
  <c r="A138" i="2" a="1"/>
  <c r="A138" i="2" l="1"/>
  <c r="B138" i="2"/>
  <c r="C138" i="2"/>
  <c r="A139" i="2" a="1"/>
  <c r="A139" i="2" l="1"/>
  <c r="B139" i="2"/>
  <c r="C139" i="2"/>
  <c r="A140" i="2" a="1"/>
  <c r="A140" i="2" l="1"/>
  <c r="B140" i="2"/>
  <c r="C140" i="2"/>
  <c r="A141" i="2" a="1"/>
  <c r="A141" i="2" l="1"/>
  <c r="B141" i="2"/>
  <c r="C141" i="2"/>
  <c r="A142" i="2" a="1"/>
  <c r="A142" i="2" l="1"/>
  <c r="B142" i="2"/>
  <c r="C142" i="2"/>
  <c r="A143" i="2" a="1"/>
  <c r="A143" i="2" l="1"/>
  <c r="B143" i="2"/>
  <c r="C143" i="2"/>
  <c r="A144" i="2" a="1"/>
  <c r="A144" i="2" l="1"/>
  <c r="B144" i="2"/>
  <c r="C144" i="2"/>
  <c r="A145" i="2" a="1"/>
  <c r="A145" i="2" l="1"/>
  <c r="B145" i="2"/>
  <c r="C145" i="2"/>
  <c r="A146" i="2" a="1"/>
  <c r="A146" i="2" l="1"/>
  <c r="B146" i="2"/>
  <c r="C146" i="2"/>
  <c r="A147" i="2" a="1"/>
  <c r="A147" i="2" l="1"/>
  <c r="B147" i="2"/>
  <c r="C147" i="2"/>
  <c r="A148" i="2" a="1"/>
  <c r="A148" i="2" l="1"/>
  <c r="B148" i="2"/>
  <c r="C148" i="2"/>
  <c r="A149" i="2" a="1"/>
  <c r="A149" i="2" l="1"/>
  <c r="B149" i="2"/>
  <c r="C149" i="2"/>
  <c r="A150" i="2" a="1"/>
  <c r="A150" i="2" l="1"/>
  <c r="B150" i="2"/>
  <c r="C150" i="2"/>
  <c r="A151" i="2" a="1"/>
  <c r="A151" i="2" l="1"/>
  <c r="B151" i="2"/>
  <c r="C151" i="2"/>
  <c r="A152" i="2" a="1"/>
  <c r="A152" i="2" l="1"/>
  <c r="B152" i="2"/>
  <c r="C152" i="2"/>
  <c r="A153" i="2" a="1"/>
  <c r="A153" i="2" l="1"/>
  <c r="B153" i="2"/>
  <c r="C153" i="2"/>
  <c r="A154" i="2" a="1"/>
  <c r="A154" i="2" l="1"/>
  <c r="B154" i="2"/>
  <c r="C154" i="2"/>
  <c r="A155" i="2" a="1"/>
  <c r="A155" i="2" l="1"/>
  <c r="B155" i="2"/>
  <c r="C155" i="2"/>
  <c r="A156" i="2" a="1"/>
  <c r="A156" i="2" l="1"/>
  <c r="B156" i="2"/>
  <c r="C156" i="2"/>
  <c r="A157" i="2" a="1"/>
  <c r="A157" i="2" l="1"/>
  <c r="B157" i="2"/>
  <c r="C157" i="2"/>
  <c r="A158" i="2" a="1"/>
  <c r="A158" i="2" l="1"/>
  <c r="B158" i="2"/>
  <c r="C158" i="2"/>
  <c r="A159" i="2" a="1"/>
  <c r="A159" i="2" l="1"/>
  <c r="B159" i="2"/>
  <c r="C159" i="2"/>
  <c r="A160" i="2" a="1"/>
  <c r="A160" i="2" l="1"/>
  <c r="B160" i="2"/>
  <c r="C160" i="2"/>
  <c r="A161" i="2" a="1"/>
  <c r="A161" i="2" l="1"/>
  <c r="B161" i="2"/>
  <c r="C161" i="2"/>
  <c r="A162" i="2" a="1"/>
  <c r="A162" i="2" l="1"/>
  <c r="B162" i="2"/>
  <c r="C162" i="2"/>
  <c r="A163" i="2" a="1"/>
  <c r="A163" i="2" l="1"/>
  <c r="B163" i="2"/>
  <c r="C163" i="2"/>
  <c r="A164" i="2" a="1"/>
  <c r="A164" i="2" l="1"/>
  <c r="B164" i="2"/>
  <c r="C164" i="2"/>
  <c r="A165" i="2" a="1"/>
  <c r="A165" i="2" l="1"/>
  <c r="B165" i="2"/>
  <c r="C165" i="2"/>
  <c r="A166" i="2" a="1"/>
  <c r="A166" i="2" l="1"/>
  <c r="B166" i="2"/>
  <c r="C166" i="2"/>
  <c r="A167" i="2" a="1"/>
  <c r="A167" i="2" l="1"/>
  <c r="B167" i="2"/>
  <c r="C167" i="2"/>
  <c r="A168" i="2" a="1"/>
  <c r="A168" i="2" l="1"/>
  <c r="B168" i="2"/>
  <c r="C168" i="2"/>
  <c r="A169" i="2" a="1"/>
  <c r="A169" i="2" l="1"/>
  <c r="B169" i="2"/>
  <c r="C169" i="2"/>
  <c r="A170" i="2" a="1"/>
  <c r="A170" i="2" l="1"/>
  <c r="B170" i="2"/>
  <c r="C170" i="2"/>
  <c r="A171" i="2" a="1"/>
  <c r="A171" i="2" l="1"/>
  <c r="B171" i="2"/>
  <c r="C171" i="2"/>
  <c r="A172" i="2" a="1"/>
  <c r="A172" i="2" l="1"/>
  <c r="B172" i="2"/>
  <c r="C172" i="2"/>
  <c r="A173" i="2" a="1"/>
  <c r="A173" i="2" l="1"/>
  <c r="B173" i="2"/>
  <c r="C173" i="2"/>
  <c r="A174" i="2" a="1"/>
  <c r="A174" i="2" l="1"/>
  <c r="B174" i="2"/>
  <c r="C174" i="2"/>
  <c r="A175" i="2" a="1"/>
  <c r="A175" i="2" l="1"/>
  <c r="B175" i="2"/>
  <c r="C175" i="2"/>
  <c r="A176" i="2" a="1"/>
  <c r="A176" i="2" l="1"/>
  <c r="B176" i="2"/>
  <c r="C176" i="2"/>
  <c r="A177" i="2" a="1"/>
  <c r="A177" i="2" l="1"/>
  <c r="B177" i="2"/>
  <c r="C177" i="2"/>
  <c r="A178" i="2" a="1"/>
  <c r="A178" i="2" l="1"/>
  <c r="B178" i="2"/>
  <c r="C178" i="2"/>
  <c r="A179" i="2" a="1"/>
  <c r="A179" i="2" l="1"/>
  <c r="B179" i="2"/>
  <c r="C179" i="2"/>
  <c r="A180" i="2" a="1"/>
  <c r="A180" i="2" l="1"/>
  <c r="B180" i="2"/>
  <c r="C180" i="2"/>
  <c r="A181" i="2" a="1"/>
  <c r="A181" i="2" l="1"/>
  <c r="B181" i="2"/>
  <c r="C181" i="2"/>
  <c r="A182" i="2" a="1"/>
  <c r="A182" i="2" l="1"/>
  <c r="B182" i="2"/>
  <c r="C182" i="2"/>
  <c r="A183" i="2" a="1"/>
  <c r="A183" i="2" l="1"/>
  <c r="B183" i="2"/>
  <c r="C183" i="2"/>
  <c r="A184" i="2" a="1"/>
  <c r="A184" i="2" l="1"/>
  <c r="B184" i="2"/>
  <c r="C184" i="2"/>
  <c r="A185" i="2" a="1"/>
  <c r="A185" i="2" l="1"/>
  <c r="B185" i="2"/>
  <c r="C185" i="2"/>
  <c r="A186" i="2" a="1"/>
  <c r="A186" i="2" l="1"/>
  <c r="B186" i="2"/>
  <c r="C186" i="2"/>
  <c r="A187" i="2" a="1"/>
  <c r="A187" i="2" l="1"/>
  <c r="B187" i="2"/>
  <c r="C187" i="2"/>
  <c r="A188" i="2" a="1"/>
  <c r="A188" i="2" l="1"/>
  <c r="B188" i="2"/>
  <c r="C188" i="2"/>
  <c r="A189" i="2" a="1"/>
  <c r="A189" i="2" l="1"/>
  <c r="B189" i="2"/>
  <c r="C189" i="2"/>
  <c r="A190" i="2" a="1"/>
  <c r="A190" i="2" l="1"/>
  <c r="B190" i="2"/>
  <c r="C190" i="2"/>
  <c r="A191" i="2" a="1"/>
  <c r="A191" i="2" l="1"/>
  <c r="B191" i="2"/>
  <c r="C191" i="2"/>
  <c r="A192" i="2" a="1"/>
  <c r="A192" i="2" l="1"/>
  <c r="B192" i="2"/>
  <c r="C192" i="2"/>
  <c r="A193" i="2" a="1"/>
  <c r="A193" i="2" l="1"/>
  <c r="B193" i="2"/>
  <c r="C193" i="2"/>
  <c r="A194" i="2" a="1"/>
  <c r="A194" i="2" l="1"/>
  <c r="B194" i="2"/>
  <c r="C194" i="2"/>
  <c r="A195" i="2" a="1"/>
  <c r="A195" i="2" l="1"/>
  <c r="B195" i="2"/>
  <c r="C195" i="2"/>
  <c r="A196" i="2" a="1"/>
  <c r="A196" i="2" l="1"/>
  <c r="B196" i="2"/>
  <c r="C196" i="2"/>
  <c r="A197" i="2" a="1"/>
  <c r="A197" i="2" l="1"/>
  <c r="B197" i="2"/>
  <c r="C197" i="2"/>
  <c r="A198" i="2" a="1"/>
  <c r="A198" i="2" l="1"/>
  <c r="B198" i="2"/>
  <c r="C198" i="2"/>
  <c r="A199" i="2" a="1"/>
  <c r="A199" i="2" l="1"/>
  <c r="B199" i="2"/>
  <c r="C199" i="2"/>
  <c r="A200" i="2" a="1"/>
  <c r="A200" i="2" l="1"/>
  <c r="B200" i="2"/>
  <c r="C200" i="2"/>
</calcChain>
</file>

<file path=xl/sharedStrings.xml><?xml version="1.0" encoding="utf-8"?>
<sst xmlns="http://schemas.openxmlformats.org/spreadsheetml/2006/main" count="15" uniqueCount="15">
  <si>
    <t>t</t>
  </si>
  <si>
    <t>h</t>
  </si>
  <si>
    <t>yeul'</t>
  </si>
  <si>
    <t>xeul'</t>
  </si>
  <si>
    <t>yeul</t>
  </si>
  <si>
    <t>xeul</t>
  </si>
  <si>
    <t>d</t>
  </si>
  <si>
    <t>c</t>
  </si>
  <si>
    <t>b</t>
  </si>
  <si>
    <t>a</t>
  </si>
  <si>
    <t>y</t>
  </si>
  <si>
    <t>x</t>
  </si>
  <si>
    <t>x' = a*x - b*x*y</t>
  </si>
  <si>
    <t>y' = -c*y + d*x*y</t>
  </si>
  <si>
    <t>Modelo Predador Presa - Resolução via ODE_RK4 e método de Euler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</si>
</sst>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0.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11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164" fontId="0" fillId="2" borderId="0" xfId="0" applyNumberFormat="1" applyFill="1"/>
    <xf numFmtId="2" fontId="0" fillId="2" borderId="0" xfId="0" applyNumberFormat="1" applyFill="1"/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906148867313968E-2"/>
          <c:y val="3.2941176470588286E-2"/>
          <c:w val="0.87378640776699024"/>
          <c:h val="0.861176470588235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'SEDNL - rk4 xnum 2 - pred prey'!$C$5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'SEDNL - rk4 xnum 2 - pred prey'!$A$6:$A$199</c:f>
              <c:numCache>
                <c:formatCode>0.0</c:formatCode>
                <c:ptCount val="19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</c:numCache>
            </c:numRef>
          </c:xVal>
          <c:yVal>
            <c:numRef>
              <c:f>'SEDNL - rk4 xnum 2 - pred prey'!$C$6:$C$200</c:f>
              <c:numCache>
                <c:formatCode>0.00</c:formatCode>
                <c:ptCount val="195"/>
                <c:pt idx="0">
                  <c:v>1</c:v>
                </c:pt>
                <c:pt idx="1">
                  <c:v>0.98201227695380666</c:v>
                </c:pt>
                <c:pt idx="2">
                  <c:v>0.96811100217331802</c:v>
                </c:pt>
                <c:pt idx="3">
                  <c:v>0.95842136727933802</c:v>
                </c:pt>
                <c:pt idx="4">
                  <c:v>0.9531166393801761</c:v>
                </c:pt>
                <c:pt idx="5">
                  <c:v>0.9524254085531495</c:v>
                </c:pt>
                <c:pt idx="6">
                  <c:v>0.95663985169084687</c:v>
                </c:pt>
                <c:pt idx="7">
                  <c:v>0.96612502017158908</c:v>
                </c:pt>
                <c:pt idx="8">
                  <c:v>0.98132903146713168</c:v>
                </c:pt>
                <c:pt idx="9">
                  <c:v>1.0027938304540776</c:v>
                </c:pt>
                <c:pt idx="10">
                  <c:v>1.0311658420915628</c:v>
                </c:pt>
                <c:pt idx="11">
                  <c:v>1.0672053073513916</c:v>
                </c:pt>
                <c:pt idx="12">
                  <c:v>1.1117923123816933</c:v>
                </c:pt>
                <c:pt idx="13">
                  <c:v>1.1659264211705351</c:v>
                </c:pt>
                <c:pt idx="14">
                  <c:v>1.2307153677593785</c:v>
                </c:pt>
                <c:pt idx="15">
                  <c:v>1.3073465044717723</c:v>
                </c:pt>
                <c:pt idx="16">
                  <c:v>1.3970328706136368</c:v>
                </c:pt>
                <c:pt idx="17">
                  <c:v>1.5009244009230249</c:v>
                </c:pt>
                <c:pt idx="18">
                  <c:v>1.6199749785504933</c:v>
                </c:pt>
                <c:pt idx="19">
                  <c:v>1.754759356737688</c:v>
                </c:pt>
                <c:pt idx="20">
                  <c:v>1.9052423719578706</c:v>
                </c:pt>
                <c:pt idx="21">
                  <c:v>2.0705178289069011</c:v>
                </c:pt>
                <c:pt idx="22">
                  <c:v>2.2485553700988015</c:v>
                </c:pt>
                <c:pt idx="23">
                  <c:v>2.4360158541512109</c:v>
                </c:pt>
                <c:pt idx="24">
                  <c:v>2.6282093612340147</c:v>
                </c:pt>
                <c:pt idx="25">
                  <c:v>2.8192620340164956</c:v>
                </c:pt>
                <c:pt idx="26">
                  <c:v>3.0025196623646457</c:v>
                </c:pt>
                <c:pt idx="27">
                  <c:v>3.1711516766311827</c:v>
                </c:pt>
                <c:pt idx="28">
                  <c:v>3.3188510372557389</c:v>
                </c:pt>
                <c:pt idx="29">
                  <c:v>3.4404848086392987</c:v>
                </c:pt>
                <c:pt idx="30">
                  <c:v>3.5325591914718486</c:v>
                </c:pt>
                <c:pt idx="31">
                  <c:v>3.5934188810055443</c:v>
                </c:pt>
                <c:pt idx="32">
                  <c:v>3.6231774833358319</c:v>
                </c:pt>
                <c:pt idx="33">
                  <c:v>3.6234403817203735</c:v>
                </c:pt>
                <c:pt idx="34">
                  <c:v>3.5969131651529889</c:v>
                </c:pt>
                <c:pt idx="35">
                  <c:v>3.5469862194940727</c:v>
                </c:pt>
                <c:pt idx="36">
                  <c:v>3.4773617234807404</c:v>
                </c:pt>
                <c:pt idx="37">
                  <c:v>3.3917585418587448</c:v>
                </c:pt>
                <c:pt idx="38">
                  <c:v>3.2937043639494372</c:v>
                </c:pt>
                <c:pt idx="39">
                  <c:v>3.1864074313067983</c:v>
                </c:pt>
                <c:pt idx="40">
                  <c:v>3.0726920542567102</c:v>
                </c:pt>
                <c:pt idx="41">
                  <c:v>2.9549803411600943</c:v>
                </c:pt>
                <c:pt idx="42">
                  <c:v>2.8353043839130874</c:v>
                </c:pt>
                <c:pt idx="43">
                  <c:v>2.7153364269188787</c:v>
                </c:pt>
                <c:pt idx="44">
                  <c:v>2.5964279914966273</c:v>
                </c:pt>
                <c:pt idx="45">
                  <c:v>2.4796519004224393</c:v>
                </c:pt>
                <c:pt idx="46">
                  <c:v>2.3658434438441547</c:v>
                </c:pt>
                <c:pt idx="47">
                  <c:v>2.2556385702648618</c:v>
                </c:pt>
                <c:pt idx="48">
                  <c:v>2.1495080896904648</c:v>
                </c:pt>
                <c:pt idx="49">
                  <c:v>2.0477875747361818</c:v>
                </c:pt>
                <c:pt idx="50">
                  <c:v>1.9507030594394972</c:v>
                </c:pt>
                <c:pt idx="51">
                  <c:v>1.8583928592406493</c:v>
                </c:pt>
                <c:pt idx="52">
                  <c:v>1.7709259380905993</c:v>
                </c:pt>
                <c:pt idx="53">
                  <c:v>1.6883172777262196</c:v>
                </c:pt>
                <c:pt idx="54">
                  <c:v>1.6105406915424794</c:v>
                </c:pt>
                <c:pt idx="55">
                  <c:v>1.537539491479927</c:v>
                </c:pt>
                <c:pt idx="56">
                  <c:v>1.4692353734231647</c:v>
                </c:pt>
                <c:pt idx="57">
                  <c:v>1.4055358421314352</c:v>
                </c:pt>
                <c:pt idx="58">
                  <c:v>1.3463404547840134</c:v>
                </c:pt>
                <c:pt idx="59">
                  <c:v>1.2915461248896511</c:v>
                </c:pt>
                <c:pt idx="60">
                  <c:v>1.2410516964489913</c:v>
                </c:pt>
                <c:pt idx="61">
                  <c:v>1.1947619720594449</c:v>
                </c:pt>
                <c:pt idx="62">
                  <c:v>1.152591357941281</c:v>
                </c:pt>
                <c:pt idx="63">
                  <c:v>1.1144672732964951</c:v>
                </c:pt>
                <c:pt idx="64">
                  <c:v>1.0803334605675956</c:v>
                </c:pt>
                <c:pt idx="65">
                  <c:v>1.0501533265782828</c:v>
                </c:pt>
                <c:pt idx="66">
                  <c:v>1.02391344168638</c:v>
                </c:pt>
                <c:pt idx="67">
                  <c:v>1.0016273243016856</c:v>
                </c:pt>
                <c:pt idx="68">
                  <c:v>0.98333964048933853</c:v>
                </c:pt>
                <c:pt idx="69">
                  <c:v>0.96913095147507156</c:v>
                </c:pt>
                <c:pt idx="70">
                  <c:v>0.95912314344079586</c:v>
                </c:pt>
                <c:pt idx="71">
                  <c:v>0.95348567043927956</c:v>
                </c:pt>
                <c:pt idx="72">
                  <c:v>0.95244272682518671</c:v>
                </c:pt>
                <c:pt idx="73">
                  <c:v>0.95628143130482246</c:v>
                </c:pt>
                <c:pt idx="74">
                  <c:v>0.96536103674750962</c:v>
                </c:pt>
                <c:pt idx="75">
                  <c:v>0.98012305761583973</c:v>
                </c:pt>
                <c:pt idx="76">
                  <c:v>1.0011020002727573</c:v>
                </c:pt>
                <c:pt idx="77">
                  <c:v>1.0289360487324151</c:v>
                </c:pt>
                <c:pt idx="78">
                  <c:v>1.0643765447206861</c:v>
                </c:pt>
                <c:pt idx="79">
                  <c:v>1.1082943403499483</c:v>
                </c:pt>
                <c:pt idx="80">
                  <c:v>1.1616800279505126</c:v>
                </c:pt>
                <c:pt idx="81">
                  <c:v>1.2256336244001005</c:v>
                </c:pt>
                <c:pt idx="82">
                  <c:v>1.3013375467553383</c:v>
                </c:pt>
                <c:pt idx="83">
                  <c:v>1.3900048770960873</c:v>
                </c:pt>
                <c:pt idx="84">
                  <c:v>1.4927935065608784</c:v>
                </c:pt>
                <c:pt idx="85">
                  <c:v>1.6106767743837458</c:v>
                </c:pt>
                <c:pt idx="86">
                  <c:v>1.7442642399714721</c:v>
                </c:pt>
                <c:pt idx="87">
                  <c:v>1.893574181106624</c:v>
                </c:pt>
                <c:pt idx="88">
                  <c:v>2.057773856075495</c:v>
                </c:pt>
                <c:pt idx="89">
                  <c:v>2.2349241391232364</c:v>
                </c:pt>
                <c:pt idx="90">
                  <c:v>2.4217875102625834</c:v>
                </c:pt>
                <c:pt idx="91">
                  <c:v>2.6137730296481045</c:v>
                </c:pt>
                <c:pt idx="92">
                  <c:v>2.8050860198430922</c:v>
                </c:pt>
                <c:pt idx="93">
                  <c:v>2.9891142215604773</c:v>
                </c:pt>
                <c:pt idx="94">
                  <c:v>3.1590193743609114</c:v>
                </c:pt>
                <c:pt idx="95">
                  <c:v>3.3084342945730687</c:v>
                </c:pt>
                <c:pt idx="96">
                  <c:v>3.4321218251394909</c:v>
                </c:pt>
                <c:pt idx="97">
                  <c:v>3.52645705621276</c:v>
                </c:pt>
                <c:pt idx="98">
                  <c:v>3.5896474386950987</c:v>
                </c:pt>
                <c:pt idx="99">
                  <c:v>3.6216818415969518</c:v>
                </c:pt>
                <c:pt idx="100">
                  <c:v>3.6240660625750971</c:v>
                </c:pt>
                <c:pt idx="101">
                  <c:v>3.5994367294062615</c:v>
                </c:pt>
                <c:pt idx="102">
                  <c:v>3.5511452601281697</c:v>
                </c:pt>
                <c:pt idx="103">
                  <c:v>3.4828802952348457</c:v>
                </c:pt>
                <c:pt idx="104">
                  <c:v>3.3983663116281546</c:v>
                </c:pt>
                <c:pt idx="105">
                  <c:v>3.3011494286241758</c:v>
                </c:pt>
                <c:pt idx="106">
                  <c:v>3.1944637053208065</c:v>
                </c:pt>
                <c:pt idx="107">
                  <c:v>3.0811624979870831</c:v>
                </c:pt>
                <c:pt idx="108">
                  <c:v>2.9636972923513278</c:v>
                </c:pt>
                <c:pt idx="109">
                  <c:v>2.8441280568324423</c:v>
                </c:pt>
                <c:pt idx="110">
                  <c:v>2.7241523880921203</c:v>
                </c:pt>
                <c:pt idx="111">
                  <c:v>2.6051441787355967</c:v>
                </c:pt>
                <c:pt idx="112">
                  <c:v>2.4881955539457841</c:v>
                </c:pt>
                <c:pt idx="113">
                  <c:v>2.3741581707429664</c:v>
                </c:pt>
                <c:pt idx="114">
                  <c:v>2.2636816608373778</c:v>
                </c:pt>
                <c:pt idx="115">
                  <c:v>2.1572481367452898</c:v>
                </c:pt>
                <c:pt idx="116">
                  <c:v>2.0552024052695788</c:v>
                </c:pt>
                <c:pt idx="117">
                  <c:v>1.9577779641090907</c:v>
                </c:pt>
                <c:pt idx="118">
                  <c:v>1.8651190926910182</c:v>
                </c:pt>
                <c:pt idx="119">
                  <c:v>1.7772994580896164</c:v>
                </c:pt>
                <c:pt idx="120">
                  <c:v>1.6943376902874281</c:v>
                </c:pt>
                <c:pt idx="121">
                  <c:v>1.6162103708029008</c:v>
                </c:pt>
                <c:pt idx="122">
                  <c:v>1.542862845853032</c:v>
                </c:pt>
                <c:pt idx="123">
                  <c:v>1.474218232711539</c:v>
                </c:pt>
                <c:pt idx="124">
                  <c:v>1.4101849434332747</c:v>
                </c:pt>
                <c:pt idx="125">
                  <c:v>1.3506630079290303</c:v>
                </c:pt>
                <c:pt idx="126">
                  <c:v>1.2955494406804127</c:v>
                </c:pt>
                <c:pt idx="127">
                  <c:v>1.2447428631206332</c:v>
                </c:pt>
                <c:pt idx="128">
                  <c:v>1.1981475671006698</c:v>
                </c:pt>
                <c:pt idx="129">
                  <c:v>1.1556771837592239</c:v>
                </c:pt>
                <c:pt idx="130">
                  <c:v>1.1172581061833686</c:v>
                </c:pt>
                <c:pt idx="131">
                  <c:v>1.0828328030681842</c:v>
                </c:pt>
                <c:pt idx="132">
                  <c:v>1.0523631536978242</c:v>
                </c:pt>
                <c:pt idx="133">
                  <c:v>1.0258339314578535</c:v>
                </c:pt>
                <c:pt idx="134">
                  <c:v>1.0032565631029147</c:v>
                </c:pt>
                <c:pt idx="135">
                  <c:v>0.98467329324191133</c:v>
                </c:pt>
                <c:pt idx="136">
                  <c:v>0.97016188659228342</c:v>
                </c:pt>
                <c:pt idx="137">
                  <c:v>0.9598410023194841</c:v>
                </c:pt>
                <c:pt idx="138">
                  <c:v>0.95387637173077222</c:v>
                </c:pt>
                <c:pt idx="139">
                  <c:v>0.95248789718285642</c:v>
                </c:pt>
                <c:pt idx="140">
                  <c:v>0.95595775758481594</c:v>
                </c:pt>
                <c:pt idx="141">
                  <c:v>0.96463954094821691</c:v>
                </c:pt>
                <c:pt idx="142">
                  <c:v>0.97896830698201287</c:v>
                </c:pt>
                <c:pt idx="143">
                  <c:v>0.99947128354654469</c:v>
                </c:pt>
                <c:pt idx="144">
                  <c:v>1.0267785790466586</c:v>
                </c:pt>
                <c:pt idx="145">
                  <c:v>1.0616327946314206</c:v>
                </c:pt>
                <c:pt idx="146">
                  <c:v>1.1048956801745431</c:v>
                </c:pt>
                <c:pt idx="147">
                  <c:v>1.1575489295782917</c:v>
                </c:pt>
                <c:pt idx="148">
                  <c:v>1.2206848105227945</c:v>
                </c:pt>
                <c:pt idx="149">
                  <c:v>1.295480603073079</c:v>
                </c:pt>
                <c:pt idx="150">
                  <c:v>1.3831489785925095</c:v>
                </c:pt>
                <c:pt idx="151">
                  <c:v>1.4848549859064333</c:v>
                </c:pt>
                <c:pt idx="152">
                  <c:v>1.601590188545174</c:v>
                </c:pt>
                <c:pt idx="153">
                  <c:v>1.7339972370147323</c:v>
                </c:pt>
                <c:pt idx="154">
                  <c:v>1.8821456871816675</c:v>
                </c:pt>
                <c:pt idx="155">
                  <c:v>2.0452738144423988</c:v>
                </c:pt>
                <c:pt idx="156">
                  <c:v>2.2215313672287693</c:v>
                </c:pt>
                <c:pt idx="157">
                  <c:v>2.40778068122667</c:v>
                </c:pt>
                <c:pt idx="158">
                  <c:v>2.5995291917975978</c:v>
                </c:pt>
                <c:pt idx="159">
                  <c:v>2.7910623924278126</c:v>
                </c:pt>
                <c:pt idx="160">
                  <c:v>2.9758126506178719</c:v>
                </c:pt>
                <c:pt idx="161">
                  <c:v>3.1469380018169821</c:v>
                </c:pt>
                <c:pt idx="162">
                  <c:v>3.2980156498267141</c:v>
                </c:pt>
                <c:pt idx="163">
                  <c:v>3.4237083886501334</c:v>
                </c:pt>
                <c:pt idx="164">
                  <c:v>3.5202632804388911</c:v>
                </c:pt>
                <c:pt idx="165">
                  <c:v>3.585752176300677</c:v>
                </c:pt>
                <c:pt idx="166">
                  <c:v>3.6200394745621365</c:v>
                </c:pt>
                <c:pt idx="167">
                  <c:v>3.6245306155051944</c:v>
                </c:pt>
                <c:pt idx="168">
                  <c:v>3.6017918949827541</c:v>
                </c:pt>
                <c:pt idx="169">
                  <c:v>3.5551341870497808</c:v>
                </c:pt>
                <c:pt idx="170">
                  <c:v>3.4882310880583129</c:v>
                </c:pt>
                <c:pt idx="171">
                  <c:v>3.4048114013333146</c:v>
                </c:pt>
                <c:pt idx="172">
                  <c:v>3.3084386621425508</c:v>
                </c:pt>
                <c:pt idx="173">
                  <c:v>3.202371994863904</c:v>
                </c:pt>
                <c:pt idx="174">
                  <c:v>3.089493271418327</c:v>
                </c:pt>
                <c:pt idx="175">
                  <c:v>2.9722829980803893</c:v>
                </c:pt>
                <c:pt idx="176">
                  <c:v>2.8528287908872065</c:v>
                </c:pt>
                <c:pt idx="177">
                  <c:v>2.7328534600773167</c:v>
                </c:pt>
                <c:pt idx="178">
                  <c:v>2.6137531922260391</c:v>
                </c:pt>
                <c:pt idx="179">
                  <c:v>2.4966393780347853</c:v>
                </c:pt>
                <c:pt idx="180">
                  <c:v>2.3823800303405767</c:v>
                </c:pt>
                <c:pt idx="181">
                  <c:v>2.2716384689856977</c:v>
                </c:pt>
                <c:pt idx="182">
                  <c:v>2.1649081234350294</c:v>
                </c:pt>
                <c:pt idx="183">
                  <c:v>2.0625430544978238</c:v>
                </c:pt>
                <c:pt idx="184">
                  <c:v>1.9647842461692016</c:v>
                </c:pt>
                <c:pt idx="185">
                  <c:v>1.8717819657826258</c:v>
                </c:pt>
                <c:pt idx="186">
                  <c:v>1.7836146078761042</c:v>
                </c:pt>
                <c:pt idx="187">
                  <c:v>1.7003044750038039</c:v>
                </c:pt>
                <c:pt idx="188">
                  <c:v>1.6218309409552603</c:v>
                </c:pt>
                <c:pt idx="189">
                  <c:v>1.5481414102028501</c:v>
                </c:pt>
                <c:pt idx="190">
                  <c:v>1.4791604453428198</c:v>
                </c:pt>
                <c:pt idx="191">
                  <c:v>1.4147973898153785</c:v>
                </c:pt>
                <c:pt idx="192">
                  <c:v>1.354952770771219</c:v>
                </c:pt>
                <c:pt idx="193">
                  <c:v>1.2995237289073407</c:v>
                </c:pt>
                <c:pt idx="194">
                  <c:v>1.248408689435117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68-4750-85AF-20A93F05767E}"/>
            </c:ext>
          </c:extLst>
        </c:ser>
        <c:ser>
          <c:idx val="1"/>
          <c:order val="1"/>
          <c:tx>
            <c:strRef>
              <c:f>'SEDNL - rk4 xnum 2 - pred prey'!$B$5</c:f>
              <c:strCache>
                <c:ptCount val="1"/>
                <c:pt idx="0">
                  <c:v>x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'SEDNL - rk4 xnum 2 - pred prey'!$A$6:$A$200</c:f>
              <c:numCache>
                <c:formatCode>0.0</c:formatCode>
                <c:ptCount val="19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</c:numCache>
            </c:numRef>
          </c:xVal>
          <c:yVal>
            <c:numRef>
              <c:f>'SEDNL - rk4 xnum 2 - pred prey'!$B$6:$B$200</c:f>
              <c:numCache>
                <c:formatCode>0.00</c:formatCode>
                <c:ptCount val="195"/>
                <c:pt idx="0">
                  <c:v>2</c:v>
                </c:pt>
                <c:pt idx="1">
                  <c:v>2.12486317942572</c:v>
                </c:pt>
                <c:pt idx="2">
                  <c:v>2.259683825291527</c:v>
                </c:pt>
                <c:pt idx="3">
                  <c:v>2.4047620206925724</c:v>
                </c:pt>
                <c:pt idx="4">
                  <c:v>2.5603089275729811</c:v>
                </c:pt>
                <c:pt idx="5">
                  <c:v>2.7264113124932741</c:v>
                </c:pt>
                <c:pt idx="6">
                  <c:v>2.9029880751351551</c:v>
                </c:pt>
                <c:pt idx="7">
                  <c:v>3.0897375668685969</c:v>
                </c:pt>
                <c:pt idx="8">
                  <c:v>3.2860746092193214</c:v>
                </c:pt>
                <c:pt idx="9">
                  <c:v>3.4910564725085607</c:v>
                </c:pt>
                <c:pt idx="10">
                  <c:v>3.7032977910467877</c:v>
                </c:pt>
                <c:pt idx="11">
                  <c:v>3.9208756647109531</c:v>
                </c:pt>
                <c:pt idx="12">
                  <c:v>4.1412282766662587</c:v>
                </c:pt>
                <c:pt idx="13">
                  <c:v>4.3610535346814086</c:v>
                </c:pt>
                <c:pt idx="14">
                  <c:v>4.5762187961937792</c:v>
                </c:pt>
                <c:pt idx="15">
                  <c:v>4.7816987974822585</c:v>
                </c:pt>
                <c:pt idx="16">
                  <c:v>4.9715662150960451</c:v>
                </c:pt>
                <c:pt idx="17">
                  <c:v>5.139066796238593</c:v>
                </c:pt>
                <c:pt idx="18">
                  <c:v>5.2768163638910712</c:v>
                </c:pt>
                <c:pt idx="19">
                  <c:v>5.3771561784972066</c:v>
                </c:pt>
                <c:pt idx="20">
                  <c:v>5.4326905014852933</c:v>
                </c:pt>
                <c:pt idx="21">
                  <c:v>5.4370000663316045</c:v>
                </c:pt>
                <c:pt idx="22">
                  <c:v>5.3854753299619462</c:v>
                </c:pt>
                <c:pt idx="23">
                  <c:v>5.2761504880764116</c:v>
                </c:pt>
                <c:pt idx="24">
                  <c:v>5.1103630815411423</c:v>
                </c:pt>
                <c:pt idx="25">
                  <c:v>4.8930454128530965</c:v>
                </c:pt>
                <c:pt idx="26">
                  <c:v>4.6325014133663878</c:v>
                </c:pt>
                <c:pt idx="27">
                  <c:v>4.3396405411277312</c:v>
                </c:pt>
                <c:pt idx="28">
                  <c:v>4.0267941217925181</c:v>
                </c:pt>
                <c:pt idx="29">
                  <c:v>3.7063650331152593</c:v>
                </c:pt>
                <c:pt idx="30">
                  <c:v>3.3896005347340683</c:v>
                </c:pt>
                <c:pt idx="31">
                  <c:v>3.0857154560348081</c:v>
                </c:pt>
                <c:pt idx="32">
                  <c:v>2.8014655820812124</c:v>
                </c:pt>
                <c:pt idx="33">
                  <c:v>2.5411403275992441</c:v>
                </c:pt>
                <c:pt idx="34">
                  <c:v>2.3068579224985624</c:v>
                </c:pt>
                <c:pt idx="35">
                  <c:v>2.0990201799752168</c:v>
                </c:pt>
                <c:pt idx="36">
                  <c:v>1.9168037513861251</c:v>
                </c:pt>
                <c:pt idx="37">
                  <c:v>1.7586058733491459</c:v>
                </c:pt>
                <c:pt idx="38">
                  <c:v>1.6224042174172277</c:v>
                </c:pt>
                <c:pt idx="39">
                  <c:v>1.5060216224933776</c:v>
                </c:pt>
                <c:pt idx="40">
                  <c:v>1.4073048588414079</c:v>
                </c:pt>
                <c:pt idx="41">
                  <c:v>1.3242344935184764</c:v>
                </c:pt>
                <c:pt idx="42">
                  <c:v>1.254984133689047</c:v>
                </c:pt>
                <c:pt idx="43">
                  <c:v>1.1979450900161848</c:v>
                </c:pt>
                <c:pt idx="44">
                  <c:v>1.1517290439983756</c:v>
                </c:pt>
                <c:pt idx="45">
                  <c:v>1.115157852236349</c:v>
                </c:pt>
                <c:pt idx="46">
                  <c:v>1.0872467182022443</c:v>
                </c:pt>
                <c:pt idx="47">
                  <c:v>1.067184747915684</c:v>
                </c:pt>
                <c:pt idx="48">
                  <c:v>1.0543153256988549</c:v>
                </c:pt>
                <c:pt idx="49">
                  <c:v>1.0481176751385579</c:v>
                </c:pt>
                <c:pt idx="50">
                  <c:v>1.0481902763992894</c:v>
                </c:pt>
                <c:pt idx="51">
                  <c:v>1.054236380926961</c:v>
                </c:pt>
                <c:pt idx="52">
                  <c:v>1.0660516111136371</c:v>
                </c:pt>
                <c:pt idx="53">
                  <c:v>1.0835134926310204</c:v>
                </c:pt>
                <c:pt idx="54">
                  <c:v>1.106572697347642</c:v>
                </c:pt>
                <c:pt idx="55">
                  <c:v>1.1352457459430272</c:v>
                </c:pt>
                <c:pt idx="56">
                  <c:v>1.1696089126072349</c:v>
                </c:pt>
                <c:pt idx="57">
                  <c:v>1.2097930775186001</c:v>
                </c:pt>
                <c:pt idx="58">
                  <c:v>1.2559792785629493</c:v>
                </c:pt>
                <c:pt idx="59">
                  <c:v>1.3083947172617765</c:v>
                </c:pt>
                <c:pt idx="60">
                  <c:v>1.3673089720992002</c:v>
                </c:pt>
                <c:pt idx="61">
                  <c:v>1.4330301633450537</c:v>
                </c:pt>
                <c:pt idx="62">
                  <c:v>1.5059007955425412</c:v>
                </c:pt>
                <c:pt idx="63">
                  <c:v>1.5862929757630282</c:v>
                </c:pt>
                <c:pt idx="64">
                  <c:v>1.6746026662887641</c:v>
                </c:pt>
                <c:pt idx="65">
                  <c:v>1.7712425783353232</c:v>
                </c:pt>
                <c:pt idx="66">
                  <c:v>1.87663324759507</c:v>
                </c:pt>
                <c:pt idx="67">
                  <c:v>1.9911917518279729</c:v>
                </c:pt>
                <c:pt idx="68">
                  <c:v>2.1153174350817325</c:v>
                </c:pt>
                <c:pt idx="69">
                  <c:v>2.2493738932055933</c:v>
                </c:pt>
                <c:pt idx="70">
                  <c:v>2.3936663541166907</c:v>
                </c:pt>
                <c:pt idx="71">
                  <c:v>2.5484134605028053</c:v>
                </c:pt>
                <c:pt idx="72">
                  <c:v>2.7137123451597063</c:v>
                </c:pt>
                <c:pt idx="73">
                  <c:v>2.889495802565603</c:v>
                </c:pt>
                <c:pt idx="74">
                  <c:v>3.0754803421483778</c:v>
                </c:pt>
                <c:pt idx="75">
                  <c:v>3.2711040187553388</c:v>
                </c:pt>
                <c:pt idx="76">
                  <c:v>3.4754532654646217</c:v>
                </c:pt>
                <c:pt idx="77">
                  <c:v>3.6871786371592528</c:v>
                </c:pt>
                <c:pt idx="78">
                  <c:v>3.9044005975172715</c:v>
                </c:pt>
                <c:pt idx="79">
                  <c:v>4.1246084921476172</c:v>
                </c:pt>
                <c:pt idx="80">
                  <c:v>4.3445589356424161</c:v>
                </c:pt>
                <c:pt idx="81">
                  <c:v>4.560184281556273</c:v>
                </c:pt>
                <c:pt idx="82">
                  <c:v>4.7665277913051298</c:v>
                </c:pt>
                <c:pt idx="83">
                  <c:v>4.9577293511571723</c:v>
                </c:pt>
                <c:pt idx="84">
                  <c:v>5.1270931339822674</c:v>
                </c:pt>
                <c:pt idx="85">
                  <c:v>5.2672742383649647</c:v>
                </c:pt>
                <c:pt idx="86">
                  <c:v>5.3706211442308529</c:v>
                </c:pt>
                <c:pt idx="87">
                  <c:v>5.4296992736221341</c:v>
                </c:pt>
                <c:pt idx="88">
                  <c:v>5.4379922651217933</c:v>
                </c:pt>
                <c:pt idx="89">
                  <c:v>5.3907291471680505</c:v>
                </c:pt>
                <c:pt idx="90">
                  <c:v>5.2857232228803017</c:v>
                </c:pt>
                <c:pt idx="91">
                  <c:v>5.1240509117907731</c:v>
                </c:pt>
                <c:pt idx="92">
                  <c:v>4.9103763075263505</c:v>
                </c:pt>
                <c:pt idx="93">
                  <c:v>4.6527691257641353</c:v>
                </c:pt>
                <c:pt idx="94">
                  <c:v>4.3619770089040673</c:v>
                </c:pt>
                <c:pt idx="95">
                  <c:v>4.0502661848749266</c:v>
                </c:pt>
                <c:pt idx="96">
                  <c:v>3.7300742885746958</c:v>
                </c:pt>
                <c:pt idx="97">
                  <c:v>3.4127656540248696</c:v>
                </c:pt>
                <c:pt idx="98">
                  <c:v>3.1077236963364689</c:v>
                </c:pt>
                <c:pt idx="99">
                  <c:v>2.8218905295348069</c:v>
                </c:pt>
                <c:pt idx="100">
                  <c:v>2.5597315749893381</c:v>
                </c:pt>
                <c:pt idx="101">
                  <c:v>2.3235128213649432</c:v>
                </c:pt>
                <c:pt idx="102">
                  <c:v>2.1137480133803823</c:v>
                </c:pt>
                <c:pt idx="103">
                  <c:v>1.929690241921701</c:v>
                </c:pt>
                <c:pt idx="104">
                  <c:v>1.7697827009292826</c:v>
                </c:pt>
                <c:pt idx="105">
                  <c:v>1.6320254106324394</c:v>
                </c:pt>
                <c:pt idx="106">
                  <c:v>1.5142467998823426</c:v>
                </c:pt>
                <c:pt idx="107">
                  <c:v>1.4142883101086212</c:v>
                </c:pt>
                <c:pt idx="108">
                  <c:v>1.330118757945199</c:v>
                </c:pt>
                <c:pt idx="109">
                  <c:v>1.2598967808079402</c:v>
                </c:pt>
                <c:pt idx="110">
                  <c:v>1.2019976269389643</c:v>
                </c:pt>
                <c:pt idx="111">
                  <c:v>1.1550171354950105</c:v>
                </c:pt>
                <c:pt idx="112">
                  <c:v>1.1177622784979417</c:v>
                </c:pt>
                <c:pt idx="113">
                  <c:v>1.0892346867388898</c:v>
                </c:pt>
                <c:pt idx="114">
                  <c:v>1.068611317724373</c:v>
                </c:pt>
                <c:pt idx="115">
                  <c:v>1.0552248007273664</c:v>
                </c:pt>
                <c:pt idx="116">
                  <c:v>1.0485448899074867</c:v>
                </c:pt>
                <c:pt idx="117">
                  <c:v>1.0481617386203348</c:v>
                </c:pt>
                <c:pt idx="118">
                  <c:v>1.0537712615425572</c:v>
                </c:pt>
                <c:pt idx="119">
                  <c:v>1.065162586966649</c:v>
                </c:pt>
                <c:pt idx="120">
                  <c:v>1.0822074549092955</c:v>
                </c:pt>
                <c:pt idx="121">
                  <c:v>1.104851342731489</c:v>
                </c:pt>
                <c:pt idx="122">
                  <c:v>1.1331060687961763</c:v>
                </c:pt>
                <c:pt idx="123">
                  <c:v>1.1670436167446194</c:v>
                </c:pt>
                <c:pt idx="124">
                  <c:v>1.2067909257879101</c:v>
                </c:pt>
                <c:pt idx="125">
                  <c:v>1.2525253981505928</c:v>
                </c:pt>
                <c:pt idx="126">
                  <c:v>1.304470878568011</c:v>
                </c:pt>
                <c:pt idx="127">
                  <c:v>1.3628938594117637</c:v>
                </c:pt>
                <c:pt idx="128">
                  <c:v>1.4280996565100332</c:v>
                </c:pt>
                <c:pt idx="129">
                  <c:v>1.5004282834928289</c:v>
                </c:pt>
                <c:pt idx="130">
                  <c:v>1.5802497252159458</c:v>
                </c:pt>
                <c:pt idx="131">
                  <c:v>1.6679582722613997</c:v>
                </c:pt>
                <c:pt idx="132">
                  <c:v>1.7639655274447603</c:v>
                </c:pt>
                <c:pt idx="133">
                  <c:v>1.8686916304999703</c:v>
                </c:pt>
                <c:pt idx="134">
                  <c:v>1.9825541676927516</c:v>
                </c:pt>
                <c:pt idx="135">
                  <c:v>2.1059541386134271</c:v>
                </c:pt>
                <c:pt idx="136">
                  <c:v>2.2392582435243149</c:v>
                </c:pt>
                <c:pt idx="137">
                  <c:v>2.3827766341719232</c:v>
                </c:pt>
                <c:pt idx="138">
                  <c:v>2.5367351453004918</c:v>
                </c:pt>
                <c:pt idx="139">
                  <c:v>2.7012409055296818</c:v>
                </c:pt>
                <c:pt idx="140">
                  <c:v>2.8762401365217261</c:v>
                </c:pt>
                <c:pt idx="141">
                  <c:v>3.0614669247064987</c:v>
                </c:pt>
                <c:pt idx="142">
                  <c:v>3.2563818480814462</c:v>
                </c:pt>
                <c:pt idx="143">
                  <c:v>3.4600996504282238</c:v>
                </c:pt>
                <c:pt idx="144">
                  <c:v>3.6713058072006719</c:v>
                </c:pt>
                <c:pt idx="145">
                  <c:v>3.8881630043672217</c:v>
                </c:pt>
                <c:pt idx="146">
                  <c:v>4.108210494279998</c:v>
                </c:pt>
                <c:pt idx="147">
                  <c:v>4.3282622879364911</c:v>
                </c:pt>
                <c:pt idx="148">
                  <c:v>4.5443144753140166</c:v>
                </c:pt>
                <c:pt idx="149">
                  <c:v>4.7514777999155076</c:v>
                </c:pt>
                <c:pt idx="150">
                  <c:v>4.9439587684464259</c:v>
                </c:pt>
                <c:pt idx="151">
                  <c:v>5.1151201508469057</c:v>
                </c:pt>
                <c:pt idx="152">
                  <c:v>5.2576576039570977</c:v>
                </c:pt>
                <c:pt idx="153">
                  <c:v>5.3639295498041148</c:v>
                </c:pt>
                <c:pt idx="154">
                  <c:v>5.4264669265116305</c:v>
                </c:pt>
                <c:pt idx="155">
                  <c:v>5.4386621708148244</c:v>
                </c:pt>
                <c:pt idx="156">
                  <c:v>5.3955897849863383</c:v>
                </c:pt>
                <c:pt idx="157">
                  <c:v>5.2948490779759139</c:v>
                </c:pt>
                <c:pt idx="158">
                  <c:v>5.1372608821408186</c:v>
                </c:pt>
                <c:pt idx="159">
                  <c:v>4.9272239093665204</c:v>
                </c:pt>
                <c:pt idx="160">
                  <c:v>4.6725729488234462</c:v>
                </c:pt>
                <c:pt idx="161">
                  <c:v>4.3838896498571547</c:v>
                </c:pt>
                <c:pt idx="162">
                  <c:v>4.0733685162743587</c:v>
                </c:pt>
                <c:pt idx="163">
                  <c:v>3.7534744600881407</c:v>
                </c:pt>
                <c:pt idx="164">
                  <c:v>3.4356821364186758</c:v>
                </c:pt>
                <c:pt idx="165">
                  <c:v>3.1295385827576032</c:v>
                </c:pt>
                <c:pt idx="166">
                  <c:v>2.8421694216420854</c:v>
                </c:pt>
                <c:pt idx="167">
                  <c:v>2.5782151652988743</c:v>
                </c:pt>
                <c:pt idx="168">
                  <c:v>2.3400899981579255</c:v>
                </c:pt>
                <c:pt idx="169">
                  <c:v>2.1284207871582068</c:v>
                </c:pt>
                <c:pt idx="170">
                  <c:v>1.9425385242593425</c:v>
                </c:pt>
                <c:pt idx="171">
                  <c:v>1.7809337807058776</c:v>
                </c:pt>
                <c:pt idx="172">
                  <c:v>1.6416301448231716</c:v>
                </c:pt>
                <c:pt idx="173">
                  <c:v>1.5224626031704949</c:v>
                </c:pt>
                <c:pt idx="174">
                  <c:v>1.4212679953839258</c:v>
                </c:pt>
                <c:pt idx="175">
                  <c:v>1.3360039127681571</c:v>
                </c:pt>
                <c:pt idx="176">
                  <c:v>1.2648143917849017</c:v>
                </c:pt>
                <c:pt idx="177">
                  <c:v>1.2060588726469235</c:v>
                </c:pt>
                <c:pt idx="178">
                  <c:v>1.1583175262582885</c:v>
                </c:pt>
                <c:pt idx="179">
                  <c:v>1.120382559655632</c:v>
                </c:pt>
                <c:pt idx="180">
                  <c:v>1.0912421146370157</c:v>
                </c:pt>
                <c:pt idx="181">
                  <c:v>1.0700610608936962</c:v>
                </c:pt>
                <c:pt idx="182">
                  <c:v>1.0561613190801389</c:v>
                </c:pt>
                <c:pt idx="183">
                  <c:v>1.0490032118427512</c:v>
                </c:pt>
                <c:pt idx="184">
                  <c:v>1.0481685988273401</c:v>
                </c:pt>
                <c:pt idx="185">
                  <c:v>1.0533460885413626</c:v>
                </c:pt>
                <c:pt idx="186">
                  <c:v>1.0643183446647497</c:v>
                </c:pt>
                <c:pt idx="187">
                  <c:v>1.0809513506922255</c:v>
                </c:pt>
                <c:pt idx="188">
                  <c:v>1.1031854185822929</c:v>
                </c:pt>
                <c:pt idx="189">
                  <c:v>1.13102769346821</c:v>
                </c:pt>
                <c:pt idx="190">
                  <c:v>1.1645458972686342</c:v>
                </c:pt>
                <c:pt idx="191">
                  <c:v>1.2038630563240122</c:v>
                </c:pt>
                <c:pt idx="192">
                  <c:v>1.2491529638677972</c:v>
                </c:pt>
                <c:pt idx="193">
                  <c:v>1.3006361321452069</c:v>
                </c:pt>
                <c:pt idx="194">
                  <c:v>1.3585759880972319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68-4750-85AF-20A93F057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177560"/>
        <c:axId val="1"/>
      </c:scatterChart>
      <c:valAx>
        <c:axId val="42417756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17756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'SEDNL - rk4 xnum 2 - pred prey'!$C$5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'SEDNL - rk4 xnum 2 - pred prey'!$B$6:$B$200</c:f>
              <c:numCache>
                <c:formatCode>0.00</c:formatCode>
                <c:ptCount val="195"/>
                <c:pt idx="0">
                  <c:v>2</c:v>
                </c:pt>
                <c:pt idx="1">
                  <c:v>2.12486317942572</c:v>
                </c:pt>
                <c:pt idx="2">
                  <c:v>2.259683825291527</c:v>
                </c:pt>
                <c:pt idx="3">
                  <c:v>2.4047620206925724</c:v>
                </c:pt>
                <c:pt idx="4">
                  <c:v>2.5603089275729811</c:v>
                </c:pt>
                <c:pt idx="5">
                  <c:v>2.7264113124932741</c:v>
                </c:pt>
                <c:pt idx="6">
                  <c:v>2.9029880751351551</c:v>
                </c:pt>
                <c:pt idx="7">
                  <c:v>3.0897375668685969</c:v>
                </c:pt>
                <c:pt idx="8">
                  <c:v>3.2860746092193214</c:v>
                </c:pt>
                <c:pt idx="9">
                  <c:v>3.4910564725085607</c:v>
                </c:pt>
                <c:pt idx="10">
                  <c:v>3.7032977910467877</c:v>
                </c:pt>
                <c:pt idx="11">
                  <c:v>3.9208756647109531</c:v>
                </c:pt>
                <c:pt idx="12">
                  <c:v>4.1412282766662587</c:v>
                </c:pt>
                <c:pt idx="13">
                  <c:v>4.3610535346814086</c:v>
                </c:pt>
                <c:pt idx="14">
                  <c:v>4.5762187961937792</c:v>
                </c:pt>
                <c:pt idx="15">
                  <c:v>4.7816987974822585</c:v>
                </c:pt>
                <c:pt idx="16">
                  <c:v>4.9715662150960451</c:v>
                </c:pt>
                <c:pt idx="17">
                  <c:v>5.139066796238593</c:v>
                </c:pt>
                <c:pt idx="18">
                  <c:v>5.2768163638910712</c:v>
                </c:pt>
                <c:pt idx="19">
                  <c:v>5.3771561784972066</c:v>
                </c:pt>
                <c:pt idx="20">
                  <c:v>5.4326905014852933</c:v>
                </c:pt>
                <c:pt idx="21">
                  <c:v>5.4370000663316045</c:v>
                </c:pt>
                <c:pt idx="22">
                  <c:v>5.3854753299619462</c:v>
                </c:pt>
                <c:pt idx="23">
                  <c:v>5.2761504880764116</c:v>
                </c:pt>
                <c:pt idx="24">
                  <c:v>5.1103630815411423</c:v>
                </c:pt>
                <c:pt idx="25">
                  <c:v>4.8930454128530965</c:v>
                </c:pt>
                <c:pt idx="26">
                  <c:v>4.6325014133663878</c:v>
                </c:pt>
                <c:pt idx="27">
                  <c:v>4.3396405411277312</c:v>
                </c:pt>
                <c:pt idx="28">
                  <c:v>4.0267941217925181</c:v>
                </c:pt>
                <c:pt idx="29">
                  <c:v>3.7063650331152593</c:v>
                </c:pt>
                <c:pt idx="30">
                  <c:v>3.3896005347340683</c:v>
                </c:pt>
                <c:pt idx="31">
                  <c:v>3.0857154560348081</c:v>
                </c:pt>
                <c:pt idx="32">
                  <c:v>2.8014655820812124</c:v>
                </c:pt>
                <c:pt idx="33">
                  <c:v>2.5411403275992441</c:v>
                </c:pt>
                <c:pt idx="34">
                  <c:v>2.3068579224985624</c:v>
                </c:pt>
                <c:pt idx="35">
                  <c:v>2.0990201799752168</c:v>
                </c:pt>
                <c:pt idx="36">
                  <c:v>1.9168037513861251</c:v>
                </c:pt>
                <c:pt idx="37">
                  <c:v>1.7586058733491459</c:v>
                </c:pt>
                <c:pt idx="38">
                  <c:v>1.6224042174172277</c:v>
                </c:pt>
                <c:pt idx="39">
                  <c:v>1.5060216224933776</c:v>
                </c:pt>
                <c:pt idx="40">
                  <c:v>1.4073048588414079</c:v>
                </c:pt>
                <c:pt idx="41">
                  <c:v>1.3242344935184764</c:v>
                </c:pt>
                <c:pt idx="42">
                  <c:v>1.254984133689047</c:v>
                </c:pt>
                <c:pt idx="43">
                  <c:v>1.1979450900161848</c:v>
                </c:pt>
                <c:pt idx="44">
                  <c:v>1.1517290439983756</c:v>
                </c:pt>
                <c:pt idx="45">
                  <c:v>1.115157852236349</c:v>
                </c:pt>
                <c:pt idx="46">
                  <c:v>1.0872467182022443</c:v>
                </c:pt>
                <c:pt idx="47">
                  <c:v>1.067184747915684</c:v>
                </c:pt>
                <c:pt idx="48">
                  <c:v>1.0543153256988549</c:v>
                </c:pt>
                <c:pt idx="49">
                  <c:v>1.0481176751385579</c:v>
                </c:pt>
                <c:pt idx="50">
                  <c:v>1.0481902763992894</c:v>
                </c:pt>
                <c:pt idx="51">
                  <c:v>1.054236380926961</c:v>
                </c:pt>
                <c:pt idx="52">
                  <c:v>1.0660516111136371</c:v>
                </c:pt>
                <c:pt idx="53">
                  <c:v>1.0835134926310204</c:v>
                </c:pt>
                <c:pt idx="54">
                  <c:v>1.106572697347642</c:v>
                </c:pt>
                <c:pt idx="55">
                  <c:v>1.1352457459430272</c:v>
                </c:pt>
                <c:pt idx="56">
                  <c:v>1.1696089126072349</c:v>
                </c:pt>
                <c:pt idx="57">
                  <c:v>1.2097930775186001</c:v>
                </c:pt>
                <c:pt idx="58">
                  <c:v>1.2559792785629493</c:v>
                </c:pt>
                <c:pt idx="59">
                  <c:v>1.3083947172617765</c:v>
                </c:pt>
                <c:pt idx="60">
                  <c:v>1.3673089720992002</c:v>
                </c:pt>
                <c:pt idx="61">
                  <c:v>1.4330301633450537</c:v>
                </c:pt>
                <c:pt idx="62">
                  <c:v>1.5059007955425412</c:v>
                </c:pt>
                <c:pt idx="63">
                  <c:v>1.5862929757630282</c:v>
                </c:pt>
                <c:pt idx="64">
                  <c:v>1.6746026662887641</c:v>
                </c:pt>
                <c:pt idx="65">
                  <c:v>1.7712425783353232</c:v>
                </c:pt>
                <c:pt idx="66">
                  <c:v>1.87663324759507</c:v>
                </c:pt>
                <c:pt idx="67">
                  <c:v>1.9911917518279729</c:v>
                </c:pt>
                <c:pt idx="68">
                  <c:v>2.1153174350817325</c:v>
                </c:pt>
                <c:pt idx="69">
                  <c:v>2.2493738932055933</c:v>
                </c:pt>
                <c:pt idx="70">
                  <c:v>2.3936663541166907</c:v>
                </c:pt>
                <c:pt idx="71">
                  <c:v>2.5484134605028053</c:v>
                </c:pt>
                <c:pt idx="72">
                  <c:v>2.7137123451597063</c:v>
                </c:pt>
                <c:pt idx="73">
                  <c:v>2.889495802565603</c:v>
                </c:pt>
                <c:pt idx="74">
                  <c:v>3.0754803421483778</c:v>
                </c:pt>
                <c:pt idx="75">
                  <c:v>3.2711040187553388</c:v>
                </c:pt>
                <c:pt idx="76">
                  <c:v>3.4754532654646217</c:v>
                </c:pt>
                <c:pt idx="77">
                  <c:v>3.6871786371592528</c:v>
                </c:pt>
                <c:pt idx="78">
                  <c:v>3.9044005975172715</c:v>
                </c:pt>
                <c:pt idx="79">
                  <c:v>4.1246084921476172</c:v>
                </c:pt>
                <c:pt idx="80">
                  <c:v>4.3445589356424161</c:v>
                </c:pt>
                <c:pt idx="81">
                  <c:v>4.560184281556273</c:v>
                </c:pt>
                <c:pt idx="82">
                  <c:v>4.7665277913051298</c:v>
                </c:pt>
                <c:pt idx="83">
                  <c:v>4.9577293511571723</c:v>
                </c:pt>
                <c:pt idx="84">
                  <c:v>5.1270931339822674</c:v>
                </c:pt>
                <c:pt idx="85">
                  <c:v>5.2672742383649647</c:v>
                </c:pt>
                <c:pt idx="86">
                  <c:v>5.3706211442308529</c:v>
                </c:pt>
                <c:pt idx="87">
                  <c:v>5.4296992736221341</c:v>
                </c:pt>
                <c:pt idx="88">
                  <c:v>5.4379922651217933</c:v>
                </c:pt>
                <c:pt idx="89">
                  <c:v>5.3907291471680505</c:v>
                </c:pt>
                <c:pt idx="90">
                  <c:v>5.2857232228803017</c:v>
                </c:pt>
                <c:pt idx="91">
                  <c:v>5.1240509117907731</c:v>
                </c:pt>
                <c:pt idx="92">
                  <c:v>4.9103763075263505</c:v>
                </c:pt>
                <c:pt idx="93">
                  <c:v>4.6527691257641353</c:v>
                </c:pt>
                <c:pt idx="94">
                  <c:v>4.3619770089040673</c:v>
                </c:pt>
                <c:pt idx="95">
                  <c:v>4.0502661848749266</c:v>
                </c:pt>
                <c:pt idx="96">
                  <c:v>3.7300742885746958</c:v>
                </c:pt>
                <c:pt idx="97">
                  <c:v>3.4127656540248696</c:v>
                </c:pt>
                <c:pt idx="98">
                  <c:v>3.1077236963364689</c:v>
                </c:pt>
                <c:pt idx="99">
                  <c:v>2.8218905295348069</c:v>
                </c:pt>
                <c:pt idx="100">
                  <c:v>2.5597315749893381</c:v>
                </c:pt>
                <c:pt idx="101">
                  <c:v>2.3235128213649432</c:v>
                </c:pt>
                <c:pt idx="102">
                  <c:v>2.1137480133803823</c:v>
                </c:pt>
                <c:pt idx="103">
                  <c:v>1.929690241921701</c:v>
                </c:pt>
                <c:pt idx="104">
                  <c:v>1.7697827009292826</c:v>
                </c:pt>
                <c:pt idx="105">
                  <c:v>1.6320254106324394</c:v>
                </c:pt>
                <c:pt idx="106">
                  <c:v>1.5142467998823426</c:v>
                </c:pt>
                <c:pt idx="107">
                  <c:v>1.4142883101086212</c:v>
                </c:pt>
                <c:pt idx="108">
                  <c:v>1.330118757945199</c:v>
                </c:pt>
                <c:pt idx="109">
                  <c:v>1.2598967808079402</c:v>
                </c:pt>
                <c:pt idx="110">
                  <c:v>1.2019976269389643</c:v>
                </c:pt>
                <c:pt idx="111">
                  <c:v>1.1550171354950105</c:v>
                </c:pt>
                <c:pt idx="112">
                  <c:v>1.1177622784979417</c:v>
                </c:pt>
                <c:pt idx="113">
                  <c:v>1.0892346867388898</c:v>
                </c:pt>
                <c:pt idx="114">
                  <c:v>1.068611317724373</c:v>
                </c:pt>
                <c:pt idx="115">
                  <c:v>1.0552248007273664</c:v>
                </c:pt>
                <c:pt idx="116">
                  <c:v>1.0485448899074867</c:v>
                </c:pt>
                <c:pt idx="117">
                  <c:v>1.0481617386203348</c:v>
                </c:pt>
                <c:pt idx="118">
                  <c:v>1.0537712615425572</c:v>
                </c:pt>
                <c:pt idx="119">
                  <c:v>1.065162586966649</c:v>
                </c:pt>
                <c:pt idx="120">
                  <c:v>1.0822074549092955</c:v>
                </c:pt>
                <c:pt idx="121">
                  <c:v>1.104851342731489</c:v>
                </c:pt>
                <c:pt idx="122">
                  <c:v>1.1331060687961763</c:v>
                </c:pt>
                <c:pt idx="123">
                  <c:v>1.1670436167446194</c:v>
                </c:pt>
                <c:pt idx="124">
                  <c:v>1.2067909257879101</c:v>
                </c:pt>
                <c:pt idx="125">
                  <c:v>1.2525253981505928</c:v>
                </c:pt>
                <c:pt idx="126">
                  <c:v>1.304470878568011</c:v>
                </c:pt>
                <c:pt idx="127">
                  <c:v>1.3628938594117637</c:v>
                </c:pt>
                <c:pt idx="128">
                  <c:v>1.4280996565100332</c:v>
                </c:pt>
                <c:pt idx="129">
                  <c:v>1.5004282834928289</c:v>
                </c:pt>
                <c:pt idx="130">
                  <c:v>1.5802497252159458</c:v>
                </c:pt>
                <c:pt idx="131">
                  <c:v>1.6679582722613997</c:v>
                </c:pt>
                <c:pt idx="132">
                  <c:v>1.7639655274447603</c:v>
                </c:pt>
                <c:pt idx="133">
                  <c:v>1.8686916304999703</c:v>
                </c:pt>
                <c:pt idx="134">
                  <c:v>1.9825541676927516</c:v>
                </c:pt>
                <c:pt idx="135">
                  <c:v>2.1059541386134271</c:v>
                </c:pt>
                <c:pt idx="136">
                  <c:v>2.2392582435243149</c:v>
                </c:pt>
                <c:pt idx="137">
                  <c:v>2.3827766341719232</c:v>
                </c:pt>
                <c:pt idx="138">
                  <c:v>2.5367351453004918</c:v>
                </c:pt>
                <c:pt idx="139">
                  <c:v>2.7012409055296818</c:v>
                </c:pt>
                <c:pt idx="140">
                  <c:v>2.8762401365217261</c:v>
                </c:pt>
                <c:pt idx="141">
                  <c:v>3.0614669247064987</c:v>
                </c:pt>
                <c:pt idx="142">
                  <c:v>3.2563818480814462</c:v>
                </c:pt>
                <c:pt idx="143">
                  <c:v>3.4600996504282238</c:v>
                </c:pt>
                <c:pt idx="144">
                  <c:v>3.6713058072006719</c:v>
                </c:pt>
                <c:pt idx="145">
                  <c:v>3.8881630043672217</c:v>
                </c:pt>
                <c:pt idx="146">
                  <c:v>4.108210494279998</c:v>
                </c:pt>
                <c:pt idx="147">
                  <c:v>4.3282622879364911</c:v>
                </c:pt>
                <c:pt idx="148">
                  <c:v>4.5443144753140166</c:v>
                </c:pt>
                <c:pt idx="149">
                  <c:v>4.7514777999155076</c:v>
                </c:pt>
                <c:pt idx="150">
                  <c:v>4.9439587684464259</c:v>
                </c:pt>
                <c:pt idx="151">
                  <c:v>5.1151201508469057</c:v>
                </c:pt>
                <c:pt idx="152">
                  <c:v>5.2576576039570977</c:v>
                </c:pt>
                <c:pt idx="153">
                  <c:v>5.3639295498041148</c:v>
                </c:pt>
                <c:pt idx="154">
                  <c:v>5.4264669265116305</c:v>
                </c:pt>
                <c:pt idx="155">
                  <c:v>5.4386621708148244</c:v>
                </c:pt>
                <c:pt idx="156">
                  <c:v>5.3955897849863383</c:v>
                </c:pt>
                <c:pt idx="157">
                  <c:v>5.2948490779759139</c:v>
                </c:pt>
                <c:pt idx="158">
                  <c:v>5.1372608821408186</c:v>
                </c:pt>
                <c:pt idx="159">
                  <c:v>4.9272239093665204</c:v>
                </c:pt>
                <c:pt idx="160">
                  <c:v>4.6725729488234462</c:v>
                </c:pt>
                <c:pt idx="161">
                  <c:v>4.3838896498571547</c:v>
                </c:pt>
                <c:pt idx="162">
                  <c:v>4.0733685162743587</c:v>
                </c:pt>
                <c:pt idx="163">
                  <c:v>3.7534744600881407</c:v>
                </c:pt>
                <c:pt idx="164">
                  <c:v>3.4356821364186758</c:v>
                </c:pt>
                <c:pt idx="165">
                  <c:v>3.1295385827576032</c:v>
                </c:pt>
                <c:pt idx="166">
                  <c:v>2.8421694216420854</c:v>
                </c:pt>
                <c:pt idx="167">
                  <c:v>2.5782151652988743</c:v>
                </c:pt>
                <c:pt idx="168">
                  <c:v>2.3400899981579255</c:v>
                </c:pt>
                <c:pt idx="169">
                  <c:v>2.1284207871582068</c:v>
                </c:pt>
                <c:pt idx="170">
                  <c:v>1.9425385242593425</c:v>
                </c:pt>
                <c:pt idx="171">
                  <c:v>1.7809337807058776</c:v>
                </c:pt>
                <c:pt idx="172">
                  <c:v>1.6416301448231716</c:v>
                </c:pt>
                <c:pt idx="173">
                  <c:v>1.5224626031704949</c:v>
                </c:pt>
                <c:pt idx="174">
                  <c:v>1.4212679953839258</c:v>
                </c:pt>
                <c:pt idx="175">
                  <c:v>1.3360039127681571</c:v>
                </c:pt>
                <c:pt idx="176">
                  <c:v>1.2648143917849017</c:v>
                </c:pt>
                <c:pt idx="177">
                  <c:v>1.2060588726469235</c:v>
                </c:pt>
                <c:pt idx="178">
                  <c:v>1.1583175262582885</c:v>
                </c:pt>
                <c:pt idx="179">
                  <c:v>1.120382559655632</c:v>
                </c:pt>
                <c:pt idx="180">
                  <c:v>1.0912421146370157</c:v>
                </c:pt>
                <c:pt idx="181">
                  <c:v>1.0700610608936962</c:v>
                </c:pt>
                <c:pt idx="182">
                  <c:v>1.0561613190801389</c:v>
                </c:pt>
                <c:pt idx="183">
                  <c:v>1.0490032118427512</c:v>
                </c:pt>
                <c:pt idx="184">
                  <c:v>1.0481685988273401</c:v>
                </c:pt>
                <c:pt idx="185">
                  <c:v>1.0533460885413626</c:v>
                </c:pt>
                <c:pt idx="186">
                  <c:v>1.0643183446647497</c:v>
                </c:pt>
                <c:pt idx="187">
                  <c:v>1.0809513506922255</c:v>
                </c:pt>
                <c:pt idx="188">
                  <c:v>1.1031854185822929</c:v>
                </c:pt>
                <c:pt idx="189">
                  <c:v>1.13102769346821</c:v>
                </c:pt>
                <c:pt idx="190">
                  <c:v>1.1645458972686342</c:v>
                </c:pt>
                <c:pt idx="191">
                  <c:v>1.2038630563240122</c:v>
                </c:pt>
                <c:pt idx="192">
                  <c:v>1.2491529638677972</c:v>
                </c:pt>
                <c:pt idx="193">
                  <c:v>1.3006361321452069</c:v>
                </c:pt>
                <c:pt idx="194">
                  <c:v>1.3585759880972319</c:v>
                </c:pt>
              </c:numCache>
            </c:numRef>
          </c:xVal>
          <c:yVal>
            <c:numRef>
              <c:f>'SEDNL - rk4 xnum 2 - pred prey'!$C$6:$C$200</c:f>
              <c:numCache>
                <c:formatCode>0.00</c:formatCode>
                <c:ptCount val="195"/>
                <c:pt idx="0">
                  <c:v>1</c:v>
                </c:pt>
                <c:pt idx="1">
                  <c:v>0.98201227695380666</c:v>
                </c:pt>
                <c:pt idx="2">
                  <c:v>0.96811100217331802</c:v>
                </c:pt>
                <c:pt idx="3">
                  <c:v>0.95842136727933802</c:v>
                </c:pt>
                <c:pt idx="4">
                  <c:v>0.9531166393801761</c:v>
                </c:pt>
                <c:pt idx="5">
                  <c:v>0.9524254085531495</c:v>
                </c:pt>
                <c:pt idx="6">
                  <c:v>0.95663985169084687</c:v>
                </c:pt>
                <c:pt idx="7">
                  <c:v>0.96612502017158908</c:v>
                </c:pt>
                <c:pt idx="8">
                  <c:v>0.98132903146713168</c:v>
                </c:pt>
                <c:pt idx="9">
                  <c:v>1.0027938304540776</c:v>
                </c:pt>
                <c:pt idx="10">
                  <c:v>1.0311658420915628</c:v>
                </c:pt>
                <c:pt idx="11">
                  <c:v>1.0672053073513916</c:v>
                </c:pt>
                <c:pt idx="12">
                  <c:v>1.1117923123816933</c:v>
                </c:pt>
                <c:pt idx="13">
                  <c:v>1.1659264211705351</c:v>
                </c:pt>
                <c:pt idx="14">
                  <c:v>1.2307153677593785</c:v>
                </c:pt>
                <c:pt idx="15">
                  <c:v>1.3073465044717723</c:v>
                </c:pt>
                <c:pt idx="16">
                  <c:v>1.3970328706136368</c:v>
                </c:pt>
                <c:pt idx="17">
                  <c:v>1.5009244009230249</c:v>
                </c:pt>
                <c:pt idx="18">
                  <c:v>1.6199749785504933</c:v>
                </c:pt>
                <c:pt idx="19">
                  <c:v>1.754759356737688</c:v>
                </c:pt>
                <c:pt idx="20">
                  <c:v>1.9052423719578706</c:v>
                </c:pt>
                <c:pt idx="21">
                  <c:v>2.0705178289069011</c:v>
                </c:pt>
                <c:pt idx="22">
                  <c:v>2.2485553700988015</c:v>
                </c:pt>
                <c:pt idx="23">
                  <c:v>2.4360158541512109</c:v>
                </c:pt>
                <c:pt idx="24">
                  <c:v>2.6282093612340147</c:v>
                </c:pt>
                <c:pt idx="25">
                  <c:v>2.8192620340164956</c:v>
                </c:pt>
                <c:pt idx="26">
                  <c:v>3.0025196623646457</c:v>
                </c:pt>
                <c:pt idx="27">
                  <c:v>3.1711516766311827</c:v>
                </c:pt>
                <c:pt idx="28">
                  <c:v>3.3188510372557389</c:v>
                </c:pt>
                <c:pt idx="29">
                  <c:v>3.4404848086392987</c:v>
                </c:pt>
                <c:pt idx="30">
                  <c:v>3.5325591914718486</c:v>
                </c:pt>
                <c:pt idx="31">
                  <c:v>3.5934188810055443</c:v>
                </c:pt>
                <c:pt idx="32">
                  <c:v>3.6231774833358319</c:v>
                </c:pt>
                <c:pt idx="33">
                  <c:v>3.6234403817203735</c:v>
                </c:pt>
                <c:pt idx="34">
                  <c:v>3.5969131651529889</c:v>
                </c:pt>
                <c:pt idx="35">
                  <c:v>3.5469862194940727</c:v>
                </c:pt>
                <c:pt idx="36">
                  <c:v>3.4773617234807404</c:v>
                </c:pt>
                <c:pt idx="37">
                  <c:v>3.3917585418587448</c:v>
                </c:pt>
                <c:pt idx="38">
                  <c:v>3.2937043639494372</c:v>
                </c:pt>
                <c:pt idx="39">
                  <c:v>3.1864074313067983</c:v>
                </c:pt>
                <c:pt idx="40">
                  <c:v>3.0726920542567102</c:v>
                </c:pt>
                <c:pt idx="41">
                  <c:v>2.9549803411600943</c:v>
                </c:pt>
                <c:pt idx="42">
                  <c:v>2.8353043839130874</c:v>
                </c:pt>
                <c:pt idx="43">
                  <c:v>2.7153364269188787</c:v>
                </c:pt>
                <c:pt idx="44">
                  <c:v>2.5964279914966273</c:v>
                </c:pt>
                <c:pt idx="45">
                  <c:v>2.4796519004224393</c:v>
                </c:pt>
                <c:pt idx="46">
                  <c:v>2.3658434438441547</c:v>
                </c:pt>
                <c:pt idx="47">
                  <c:v>2.2556385702648618</c:v>
                </c:pt>
                <c:pt idx="48">
                  <c:v>2.1495080896904648</c:v>
                </c:pt>
                <c:pt idx="49">
                  <c:v>2.0477875747361818</c:v>
                </c:pt>
                <c:pt idx="50">
                  <c:v>1.9507030594394972</c:v>
                </c:pt>
                <c:pt idx="51">
                  <c:v>1.8583928592406493</c:v>
                </c:pt>
                <c:pt idx="52">
                  <c:v>1.7709259380905993</c:v>
                </c:pt>
                <c:pt idx="53">
                  <c:v>1.6883172777262196</c:v>
                </c:pt>
                <c:pt idx="54">
                  <c:v>1.6105406915424794</c:v>
                </c:pt>
                <c:pt idx="55">
                  <c:v>1.537539491479927</c:v>
                </c:pt>
                <c:pt idx="56">
                  <c:v>1.4692353734231647</c:v>
                </c:pt>
                <c:pt idx="57">
                  <c:v>1.4055358421314352</c:v>
                </c:pt>
                <c:pt idx="58">
                  <c:v>1.3463404547840134</c:v>
                </c:pt>
                <c:pt idx="59">
                  <c:v>1.2915461248896511</c:v>
                </c:pt>
                <c:pt idx="60">
                  <c:v>1.2410516964489913</c:v>
                </c:pt>
                <c:pt idx="61">
                  <c:v>1.1947619720594449</c:v>
                </c:pt>
                <c:pt idx="62">
                  <c:v>1.152591357941281</c:v>
                </c:pt>
                <c:pt idx="63">
                  <c:v>1.1144672732964951</c:v>
                </c:pt>
                <c:pt idx="64">
                  <c:v>1.0803334605675956</c:v>
                </c:pt>
                <c:pt idx="65">
                  <c:v>1.0501533265782828</c:v>
                </c:pt>
                <c:pt idx="66">
                  <c:v>1.02391344168638</c:v>
                </c:pt>
                <c:pt idx="67">
                  <c:v>1.0016273243016856</c:v>
                </c:pt>
                <c:pt idx="68">
                  <c:v>0.98333964048933853</c:v>
                </c:pt>
                <c:pt idx="69">
                  <c:v>0.96913095147507156</c:v>
                </c:pt>
                <c:pt idx="70">
                  <c:v>0.95912314344079586</c:v>
                </c:pt>
                <c:pt idx="71">
                  <c:v>0.95348567043927956</c:v>
                </c:pt>
                <c:pt idx="72">
                  <c:v>0.95244272682518671</c:v>
                </c:pt>
                <c:pt idx="73">
                  <c:v>0.95628143130482246</c:v>
                </c:pt>
                <c:pt idx="74">
                  <c:v>0.96536103674750962</c:v>
                </c:pt>
                <c:pt idx="75">
                  <c:v>0.98012305761583973</c:v>
                </c:pt>
                <c:pt idx="76">
                  <c:v>1.0011020002727573</c:v>
                </c:pt>
                <c:pt idx="77">
                  <c:v>1.0289360487324151</c:v>
                </c:pt>
                <c:pt idx="78">
                  <c:v>1.0643765447206861</c:v>
                </c:pt>
                <c:pt idx="79">
                  <c:v>1.1082943403499483</c:v>
                </c:pt>
                <c:pt idx="80">
                  <c:v>1.1616800279505126</c:v>
                </c:pt>
                <c:pt idx="81">
                  <c:v>1.2256336244001005</c:v>
                </c:pt>
                <c:pt idx="82">
                  <c:v>1.3013375467553383</c:v>
                </c:pt>
                <c:pt idx="83">
                  <c:v>1.3900048770960873</c:v>
                </c:pt>
                <c:pt idx="84">
                  <c:v>1.4927935065608784</c:v>
                </c:pt>
                <c:pt idx="85">
                  <c:v>1.6106767743837458</c:v>
                </c:pt>
                <c:pt idx="86">
                  <c:v>1.7442642399714721</c:v>
                </c:pt>
                <c:pt idx="87">
                  <c:v>1.893574181106624</c:v>
                </c:pt>
                <c:pt idx="88">
                  <c:v>2.057773856075495</c:v>
                </c:pt>
                <c:pt idx="89">
                  <c:v>2.2349241391232364</c:v>
                </c:pt>
                <c:pt idx="90">
                  <c:v>2.4217875102625834</c:v>
                </c:pt>
                <c:pt idx="91">
                  <c:v>2.6137730296481045</c:v>
                </c:pt>
                <c:pt idx="92">
                  <c:v>2.8050860198430922</c:v>
                </c:pt>
                <c:pt idx="93">
                  <c:v>2.9891142215604773</c:v>
                </c:pt>
                <c:pt idx="94">
                  <c:v>3.1590193743609114</c:v>
                </c:pt>
                <c:pt idx="95">
                  <c:v>3.3084342945730687</c:v>
                </c:pt>
                <c:pt idx="96">
                  <c:v>3.4321218251394909</c:v>
                </c:pt>
                <c:pt idx="97">
                  <c:v>3.52645705621276</c:v>
                </c:pt>
                <c:pt idx="98">
                  <c:v>3.5896474386950987</c:v>
                </c:pt>
                <c:pt idx="99">
                  <c:v>3.6216818415969518</c:v>
                </c:pt>
                <c:pt idx="100">
                  <c:v>3.6240660625750971</c:v>
                </c:pt>
                <c:pt idx="101">
                  <c:v>3.5994367294062615</c:v>
                </c:pt>
                <c:pt idx="102">
                  <c:v>3.5511452601281697</c:v>
                </c:pt>
                <c:pt idx="103">
                  <c:v>3.4828802952348457</c:v>
                </c:pt>
                <c:pt idx="104">
                  <c:v>3.3983663116281546</c:v>
                </c:pt>
                <c:pt idx="105">
                  <c:v>3.3011494286241758</c:v>
                </c:pt>
                <c:pt idx="106">
                  <c:v>3.1944637053208065</c:v>
                </c:pt>
                <c:pt idx="107">
                  <c:v>3.0811624979870831</c:v>
                </c:pt>
                <c:pt idx="108">
                  <c:v>2.9636972923513278</c:v>
                </c:pt>
                <c:pt idx="109">
                  <c:v>2.8441280568324423</c:v>
                </c:pt>
                <c:pt idx="110">
                  <c:v>2.7241523880921203</c:v>
                </c:pt>
                <c:pt idx="111">
                  <c:v>2.6051441787355967</c:v>
                </c:pt>
                <c:pt idx="112">
                  <c:v>2.4881955539457841</c:v>
                </c:pt>
                <c:pt idx="113">
                  <c:v>2.3741581707429664</c:v>
                </c:pt>
                <c:pt idx="114">
                  <c:v>2.2636816608373778</c:v>
                </c:pt>
                <c:pt idx="115">
                  <c:v>2.1572481367452898</c:v>
                </c:pt>
                <c:pt idx="116">
                  <c:v>2.0552024052695788</c:v>
                </c:pt>
                <c:pt idx="117">
                  <c:v>1.9577779641090907</c:v>
                </c:pt>
                <c:pt idx="118">
                  <c:v>1.8651190926910182</c:v>
                </c:pt>
                <c:pt idx="119">
                  <c:v>1.7772994580896164</c:v>
                </c:pt>
                <c:pt idx="120">
                  <c:v>1.6943376902874281</c:v>
                </c:pt>
                <c:pt idx="121">
                  <c:v>1.6162103708029008</c:v>
                </c:pt>
                <c:pt idx="122">
                  <c:v>1.542862845853032</c:v>
                </c:pt>
                <c:pt idx="123">
                  <c:v>1.474218232711539</c:v>
                </c:pt>
                <c:pt idx="124">
                  <c:v>1.4101849434332747</c:v>
                </c:pt>
                <c:pt idx="125">
                  <c:v>1.3506630079290303</c:v>
                </c:pt>
                <c:pt idx="126">
                  <c:v>1.2955494406804127</c:v>
                </c:pt>
                <c:pt idx="127">
                  <c:v>1.2447428631206332</c:v>
                </c:pt>
                <c:pt idx="128">
                  <c:v>1.1981475671006698</c:v>
                </c:pt>
                <c:pt idx="129">
                  <c:v>1.1556771837592239</c:v>
                </c:pt>
                <c:pt idx="130">
                  <c:v>1.1172581061833686</c:v>
                </c:pt>
                <c:pt idx="131">
                  <c:v>1.0828328030681842</c:v>
                </c:pt>
                <c:pt idx="132">
                  <c:v>1.0523631536978242</c:v>
                </c:pt>
                <c:pt idx="133">
                  <c:v>1.0258339314578535</c:v>
                </c:pt>
                <c:pt idx="134">
                  <c:v>1.0032565631029147</c:v>
                </c:pt>
                <c:pt idx="135">
                  <c:v>0.98467329324191133</c:v>
                </c:pt>
                <c:pt idx="136">
                  <c:v>0.97016188659228342</c:v>
                </c:pt>
                <c:pt idx="137">
                  <c:v>0.9598410023194841</c:v>
                </c:pt>
                <c:pt idx="138">
                  <c:v>0.95387637173077222</c:v>
                </c:pt>
                <c:pt idx="139">
                  <c:v>0.95248789718285642</c:v>
                </c:pt>
                <c:pt idx="140">
                  <c:v>0.95595775758481594</c:v>
                </c:pt>
                <c:pt idx="141">
                  <c:v>0.96463954094821691</c:v>
                </c:pt>
                <c:pt idx="142">
                  <c:v>0.97896830698201287</c:v>
                </c:pt>
                <c:pt idx="143">
                  <c:v>0.99947128354654469</c:v>
                </c:pt>
                <c:pt idx="144">
                  <c:v>1.0267785790466586</c:v>
                </c:pt>
                <c:pt idx="145">
                  <c:v>1.0616327946314206</c:v>
                </c:pt>
                <c:pt idx="146">
                  <c:v>1.1048956801745431</c:v>
                </c:pt>
                <c:pt idx="147">
                  <c:v>1.1575489295782917</c:v>
                </c:pt>
                <c:pt idx="148">
                  <c:v>1.2206848105227945</c:v>
                </c:pt>
                <c:pt idx="149">
                  <c:v>1.295480603073079</c:v>
                </c:pt>
                <c:pt idx="150">
                  <c:v>1.3831489785925095</c:v>
                </c:pt>
                <c:pt idx="151">
                  <c:v>1.4848549859064333</c:v>
                </c:pt>
                <c:pt idx="152">
                  <c:v>1.601590188545174</c:v>
                </c:pt>
                <c:pt idx="153">
                  <c:v>1.7339972370147323</c:v>
                </c:pt>
                <c:pt idx="154">
                  <c:v>1.8821456871816675</c:v>
                </c:pt>
                <c:pt idx="155">
                  <c:v>2.0452738144423988</c:v>
                </c:pt>
                <c:pt idx="156">
                  <c:v>2.2215313672287693</c:v>
                </c:pt>
                <c:pt idx="157">
                  <c:v>2.40778068122667</c:v>
                </c:pt>
                <c:pt idx="158">
                  <c:v>2.5995291917975978</c:v>
                </c:pt>
                <c:pt idx="159">
                  <c:v>2.7910623924278126</c:v>
                </c:pt>
                <c:pt idx="160">
                  <c:v>2.9758126506178719</c:v>
                </c:pt>
                <c:pt idx="161">
                  <c:v>3.1469380018169821</c:v>
                </c:pt>
                <c:pt idx="162">
                  <c:v>3.2980156498267141</c:v>
                </c:pt>
                <c:pt idx="163">
                  <c:v>3.4237083886501334</c:v>
                </c:pt>
                <c:pt idx="164">
                  <c:v>3.5202632804388911</c:v>
                </c:pt>
                <c:pt idx="165">
                  <c:v>3.585752176300677</c:v>
                </c:pt>
                <c:pt idx="166">
                  <c:v>3.6200394745621365</c:v>
                </c:pt>
                <c:pt idx="167">
                  <c:v>3.6245306155051944</c:v>
                </c:pt>
                <c:pt idx="168">
                  <c:v>3.6017918949827541</c:v>
                </c:pt>
                <c:pt idx="169">
                  <c:v>3.5551341870497808</c:v>
                </c:pt>
                <c:pt idx="170">
                  <c:v>3.4882310880583129</c:v>
                </c:pt>
                <c:pt idx="171">
                  <c:v>3.4048114013333146</c:v>
                </c:pt>
                <c:pt idx="172">
                  <c:v>3.3084386621425508</c:v>
                </c:pt>
                <c:pt idx="173">
                  <c:v>3.202371994863904</c:v>
                </c:pt>
                <c:pt idx="174">
                  <c:v>3.089493271418327</c:v>
                </c:pt>
                <c:pt idx="175">
                  <c:v>2.9722829980803893</c:v>
                </c:pt>
                <c:pt idx="176">
                  <c:v>2.8528287908872065</c:v>
                </c:pt>
                <c:pt idx="177">
                  <c:v>2.7328534600773167</c:v>
                </c:pt>
                <c:pt idx="178">
                  <c:v>2.6137531922260391</c:v>
                </c:pt>
                <c:pt idx="179">
                  <c:v>2.4966393780347853</c:v>
                </c:pt>
                <c:pt idx="180">
                  <c:v>2.3823800303405767</c:v>
                </c:pt>
                <c:pt idx="181">
                  <c:v>2.2716384689856977</c:v>
                </c:pt>
                <c:pt idx="182">
                  <c:v>2.1649081234350294</c:v>
                </c:pt>
                <c:pt idx="183">
                  <c:v>2.0625430544978238</c:v>
                </c:pt>
                <c:pt idx="184">
                  <c:v>1.9647842461692016</c:v>
                </c:pt>
                <c:pt idx="185">
                  <c:v>1.8717819657826258</c:v>
                </c:pt>
                <c:pt idx="186">
                  <c:v>1.7836146078761042</c:v>
                </c:pt>
                <c:pt idx="187">
                  <c:v>1.7003044750038039</c:v>
                </c:pt>
                <c:pt idx="188">
                  <c:v>1.6218309409552603</c:v>
                </c:pt>
                <c:pt idx="189">
                  <c:v>1.5481414102028501</c:v>
                </c:pt>
                <c:pt idx="190">
                  <c:v>1.4791604453428198</c:v>
                </c:pt>
                <c:pt idx="191">
                  <c:v>1.4147973898153785</c:v>
                </c:pt>
                <c:pt idx="192">
                  <c:v>1.354952770771219</c:v>
                </c:pt>
                <c:pt idx="193">
                  <c:v>1.2995237289073407</c:v>
                </c:pt>
                <c:pt idx="194">
                  <c:v>1.248408689435117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09-4F68-9FED-46BD4048F7A2}"/>
            </c:ext>
          </c:extLst>
        </c:ser>
        <c:ser>
          <c:idx val="1"/>
          <c:order val="1"/>
          <c:tx>
            <c:strRef>
              <c:f>'SEDNL - rk4 xnum 2 - pred prey'!$F$5</c:f>
              <c:strCache>
                <c:ptCount val="1"/>
                <c:pt idx="0">
                  <c:v>yeul</c:v>
                </c:pt>
              </c:strCache>
            </c:strRef>
          </c:tx>
          <c:spPr>
            <a:ln>
              <a:prstDash val="dash"/>
              <a:headEnd type="oval"/>
              <a:tailEnd type="triangle"/>
            </a:ln>
          </c:spPr>
          <c:marker>
            <c:symbol val="none"/>
          </c:marker>
          <c:xVal>
            <c:numRef>
              <c:f>'SEDNL - rk4 xnum 2 - pred prey'!$E$6:$E$200</c:f>
              <c:numCache>
                <c:formatCode>0.00</c:formatCode>
                <c:ptCount val="195"/>
                <c:pt idx="0">
                  <c:v>2</c:v>
                </c:pt>
                <c:pt idx="1">
                  <c:v>2.12</c:v>
                </c:pt>
                <c:pt idx="2">
                  <c:v>2.2497440000000002</c:v>
                </c:pt>
                <c:pt idx="3">
                  <c:v>2.3895978059340801</c:v>
                </c:pt>
                <c:pt idx="4">
                  <c:v>2.5398741401957006</c:v>
                </c:pt>
                <c:pt idx="5">
                  <c:v>2.7008067408897753</c:v>
                </c:pt>
                <c:pt idx="6">
                  <c:v>2.8725182750940377</c:v>
                </c:pt>
                <c:pt idx="7">
                  <c:v>3.0549808663896769</c:v>
                </c:pt>
                <c:pt idx="8">
                  <c:v>3.247967935691646</c:v>
                </c:pt>
                <c:pt idx="9">
                  <c:v>3.4509960203901344</c:v>
                </c:pt>
                <c:pt idx="10">
                  <c:v>3.6632553307924836</c:v>
                </c:pt>
                <c:pt idx="11">
                  <c:v>3.8835281189874107</c:v>
                </c:pt>
                <c:pt idx="12">
                  <c:v>4.1100946141857779</c:v>
                </c:pt>
                <c:pt idx="13">
                  <c:v>4.3406275219938584</c:v>
                </c:pt>
                <c:pt idx="14">
                  <c:v>4.5720781675340856</c:v>
                </c:pt>
                <c:pt idx="15">
                  <c:v>4.8005606310983708</c:v>
                </c:pt>
                <c:pt idx="16">
                  <c:v>5.0212450686187919</c:v>
                </c:pt>
                <c:pt idx="17">
                  <c:v>5.2282781613101568</c:v>
                </c:pt>
                <c:pt idx="18">
                  <c:v>5.4147573654868904</c:v>
                </c:pt>
                <c:pt idx="19">
                  <c:v>5.572795739603789</c:v>
                </c:pt>
                <c:pt idx="20">
                  <c:v>5.6937237328682953</c:v>
                </c:pt>
                <c:pt idx="21">
                  <c:v>5.7684794713966614</c:v>
                </c:pt>
                <c:pt idx="22">
                  <c:v>5.7882330845166372</c:v>
                </c:pt>
                <c:pt idx="23">
                  <c:v>5.7452643411348907</c:v>
                </c:pt>
                <c:pt idx="24">
                  <c:v>5.6340573451150489</c:v>
                </c:pt>
                <c:pt idx="25">
                  <c:v>5.4524888763249981</c:v>
                </c:pt>
                <c:pt idx="26">
                  <c:v>5.2028823762161327</c:v>
                </c:pt>
                <c:pt idx="27">
                  <c:v>4.8926171705444803</c:v>
                </c:pt>
                <c:pt idx="28">
                  <c:v>4.5339834538662025</c:v>
                </c:pt>
                <c:pt idx="29">
                  <c:v>4.1431116847667218</c:v>
                </c:pt>
                <c:pt idx="30">
                  <c:v>3.738076545444696</c:v>
                </c:pt>
                <c:pt idx="31">
                  <c:v>3.3365829592856673</c:v>
                </c:pt>
                <c:pt idx="32">
                  <c:v>2.9538240738038084</c:v>
                </c:pt>
                <c:pt idx="33">
                  <c:v>2.6010399164912936</c:v>
                </c:pt>
                <c:pt idx="34">
                  <c:v>2.2850248073162907</c:v>
                </c:pt>
                <c:pt idx="35">
                  <c:v>2.0084905999297753</c:v>
                </c:pt>
                <c:pt idx="36">
                  <c:v>1.7709650576092106</c:v>
                </c:pt>
                <c:pt idx="37">
                  <c:v>1.5698610062276055</c:v>
                </c:pt>
                <c:pt idx="38">
                  <c:v>1.4014458557992668</c:v>
                </c:pt>
                <c:pt idx="39">
                  <c:v>1.2615790021751019</c:v>
                </c:pt>
                <c:pt idx="40">
                  <c:v>1.1461963877310108</c:v>
                </c:pt>
                <c:pt idx="41">
                  <c:v>1.0515832159382321</c:v>
                </c:pt>
                <c:pt idx="42">
                  <c:v>0.97449541929246641</c:v>
                </c:pt>
                <c:pt idx="43">
                  <c:v>0.9121859520447152</c:v>
                </c:pt>
                <c:pt idx="44">
                  <c:v>0.86237833246765039</c:v>
                </c:pt>
                <c:pt idx="45">
                  <c:v>0.82321567645757743</c:v>
                </c:pt>
                <c:pt idx="46">
                  <c:v>0.7932021919554435</c:v>
                </c:pt>
                <c:pt idx="47">
                  <c:v>0.77114632522531534</c:v>
                </c:pt>
                <c:pt idx="48">
                  <c:v>0.75610987850939548</c:v>
                </c:pt>
                <c:pt idx="49">
                  <c:v>0.74736460690224138</c:v>
                </c:pt>
                <c:pt idx="50">
                  <c:v>0.74435631401310476</c:v>
                </c:pt>
                <c:pt idx="51">
                  <c:v>0.74667576815029746</c:v>
                </c:pt>
                <c:pt idx="52">
                  <c:v>0.75403550491543059</c:v>
                </c:pt>
                <c:pt idx="53">
                  <c:v>0.7662515556258862</c:v>
                </c:pt>
                <c:pt idx="54">
                  <c:v>0.78322922117468652</c:v>
                </c:pt>
                <c:pt idx="55">
                  <c:v>0.8049521306588725</c:v>
                </c:pt>
                <c:pt idx="56">
                  <c:v>0.8314739489006221</c:v>
                </c:pt>
                <c:pt idx="57">
                  <c:v>0.86291221074559665</c:v>
                </c:pt>
                <c:pt idx="58">
                  <c:v>0.8994438564732139</c:v>
                </c:pt>
                <c:pt idx="59">
                  <c:v>0.94130212044740436</c:v>
                </c:pt>
                <c:pt idx="60">
                  <c:v>0.98877448514188193</c:v>
                </c:pt>
                <c:pt idx="61">
                  <c:v>1.0422014565177165</c:v>
                </c:pt>
                <c:pt idx="62">
                  <c:v>1.1019759460482734</c:v>
                </c:pt>
                <c:pt idx="63">
                  <c:v>1.1685430607505247</c:v>
                </c:pt>
                <c:pt idx="64">
                  <c:v>1.2424001061250309</c:v>
                </c:pt>
                <c:pt idx="65">
                  <c:v>1.3240965980300474</c:v>
                </c:pt>
                <c:pt idx="66">
                  <c:v>1.4142340576221804</c:v>
                </c:pt>
                <c:pt idx="67">
                  <c:v>1.5134653272238294</c:v>
                </c:pt>
                <c:pt idx="68">
                  <c:v>1.6224930921008116</c:v>
                </c:pt>
                <c:pt idx="69">
                  <c:v>1.7420672204322538</c:v>
                </c:pt>
                <c:pt idx="70">
                  <c:v>1.8729804368416252</c:v>
                </c:pt>
                <c:pt idx="71">
                  <c:v>2.0160617179643938</c:v>
                </c:pt>
                <c:pt idx="72">
                  <c:v>2.1721666342646362</c:v>
                </c:pt>
                <c:pt idx="73">
                  <c:v>2.342163651435329</c:v>
                </c:pt>
                <c:pt idx="74">
                  <c:v>2.5269151359713762</c:v>
                </c:pt>
                <c:pt idx="75">
                  <c:v>2.7272514697003434</c:v>
                </c:pt>
                <c:pt idx="76">
                  <c:v>2.9439362526406758</c:v>
                </c:pt>
                <c:pt idx="77">
                  <c:v>3.1776200481968488</c:v>
                </c:pt>
                <c:pt idx="78">
                  <c:v>3.428779488765032</c:v>
                </c:pt>
                <c:pt idx="79">
                  <c:v>3.6976378133284111</c:v>
                </c:pt>
                <c:pt idx="80">
                  <c:v>3.9840620752619866</c:v>
                </c:pt>
                <c:pt idx="81">
                  <c:v>4.2874314091260723</c:v>
                </c:pt>
                <c:pt idx="82">
                  <c:v>4.606470038118518</c:v>
                </c:pt>
                <c:pt idx="83">
                  <c:v>4.9390384527005704</c:v>
                </c:pt>
                <c:pt idx="84">
                  <c:v>5.2818769721958638</c:v>
                </c:pt>
                <c:pt idx="85">
                  <c:v>5.6302987152346224</c:v>
                </c:pt>
                <c:pt idx="86">
                  <c:v>5.9778354934414315</c:v>
                </c:pt>
                <c:pt idx="87">
                  <c:v>6.3158528278329404</c:v>
                </c:pt>
                <c:pt idx="88">
                  <c:v>6.6331726971448131</c:v>
                </c:pt>
                <c:pt idx="89">
                  <c:v>6.9157789526992604</c:v>
                </c:pt>
                <c:pt idx="90">
                  <c:v>7.1467338572366463</c:v>
                </c:pt>
                <c:pt idx="91">
                  <c:v>7.3065031734790011</c:v>
                </c:pt>
                <c:pt idx="92">
                  <c:v>7.37395653993444</c:v>
                </c:pt>
                <c:pt idx="93">
                  <c:v>7.3283382617622115</c:v>
                </c:pt>
                <c:pt idx="94">
                  <c:v>7.1524120917609819</c:v>
                </c:pt>
                <c:pt idx="95">
                  <c:v>6.8366646816899648</c:v>
                </c:pt>
                <c:pt idx="96">
                  <c:v>6.3838379006345303</c:v>
                </c:pt>
                <c:pt idx="97">
                  <c:v>5.8122735114224264</c:v>
                </c:pt>
                <c:pt idx="98">
                  <c:v>5.156072822805605</c:v>
                </c:pt>
                <c:pt idx="99">
                  <c:v>4.4606350472455238</c:v>
                </c:pt>
                <c:pt idx="100">
                  <c:v>3.774088815547187</c:v>
                </c:pt>
                <c:pt idx="101">
                  <c:v>3.1375739678691286</c:v>
                </c:pt>
                <c:pt idx="102">
                  <c:v>2.578320969765219</c:v>
                </c:pt>
                <c:pt idx="103">
                  <c:v>2.1078879502801429</c:v>
                </c:pt>
                <c:pt idx="104">
                  <c:v>1.724978517475324</c:v>
                </c:pt>
                <c:pt idx="105">
                  <c:v>1.4203494905230996</c:v>
                </c:pt>
                <c:pt idx="106">
                  <c:v>1.1814188230537386</c:v>
                </c:pt>
                <c:pt idx="107">
                  <c:v>0.99541241706304351</c:v>
                </c:pt>
                <c:pt idx="108">
                  <c:v>0.85099690882461976</c:v>
                </c:pt>
                <c:pt idx="109">
                  <c:v>0.7388435638683577</c:v>
                </c:pt>
                <c:pt idx="110">
                  <c:v>0.65160424873186484</c:v>
                </c:pt>
                <c:pt idx="111">
                  <c:v>0.58363771217816063</c:v>
                </c:pt>
                <c:pt idx="112">
                  <c:v>0.53067450395066074</c:v>
                </c:pt>
                <c:pt idx="113">
                  <c:v>0.48950638138752822</c:v>
                </c:pt>
                <c:pt idx="114">
                  <c:v>0.45772944385764452</c:v>
                </c:pt>
                <c:pt idx="115">
                  <c:v>0.43354369903147427</c:v>
                </c:pt>
                <c:pt idx="116">
                  <c:v>0.41560156517488239</c:v>
                </c:pt>
                <c:pt idx="117">
                  <c:v>0.40289535014817873</c:v>
                </c:pt>
                <c:pt idx="118">
                  <c:v>0.39467444180037242</c:v>
                </c:pt>
                <c:pt idx="119">
                  <c:v>0.39038462290744791</c:v>
                </c:pt>
                <c:pt idx="120">
                  <c:v>0.38962366910870733</c:v>
                </c:pt>
                <c:pt idx="121">
                  <c:v>0.39210887776798037</c:v>
                </c:pt>
                <c:pt idx="122">
                  <c:v>0.39765334321016371</c:v>
                </c:pt>
                <c:pt idx="123">
                  <c:v>0.40614866994553361</c:v>
                </c:pt>
                <c:pt idx="124">
                  <c:v>0.41755245767786298</c:v>
                </c:pt>
                <c:pt idx="125">
                  <c:v>0.43187935671880801</c:v>
                </c:pt>
                <c:pt idx="126">
                  <c:v>0.44919482690311491</c:v>
                </c:pt>
                <c:pt idx="127">
                  <c:v>0.46961097334897917</c:v>
                </c:pt>
                <c:pt idx="128">
                  <c:v>0.49328400511219883</c:v>
                </c:pt>
                <c:pt idx="129">
                  <c:v>0.52041298719316686</c:v>
                </c:pt>
                <c:pt idx="130">
                  <c:v>0.55123964617872567</c:v>
                </c:pt>
                <c:pt idx="131">
                  <c:v>0.58604905470966495</c:v>
                </c:pt>
                <c:pt idx="132">
                  <c:v>0.625171066735417</c:v>
                </c:pt>
                <c:pt idx="133">
                  <c:v>0.66898240885124582</c:v>
                </c:pt>
                <c:pt idx="134">
                  <c:v>0.71790935611425299</c:v>
                </c:pt>
                <c:pt idx="135">
                  <c:v>0.77243093570805565</c:v>
                </c:pt>
                <c:pt idx="136">
                  <c:v>0.83308260994230088</c:v>
                </c:pt>
                <c:pt idx="137">
                  <c:v>0.90046039193216498</c:v>
                </c:pt>
                <c:pt idx="138">
                  <c:v>0.97522534292159335</c:v>
                </c:pt>
                <c:pt idx="139">
                  <c:v>1.0581083890494423</c:v>
                </c:pt>
                <c:pt idx="140">
                  <c:v>1.1499153762712577</c:v>
                </c:pt>
                <c:pt idx="141">
                  <c:v>1.2515322533092186</c:v>
                </c:pt>
                <c:pt idx="142">
                  <c:v>1.3639302312148762</c:v>
                </c:pt>
                <c:pt idx="143">
                  <c:v>1.4881707105799851</c:v>
                </c:pt>
                <c:pt idx="144">
                  <c:v>1.6254096883104583</c:v>
                </c:pt>
                <c:pt idx="145">
                  <c:v>1.7769012478457782</c:v>
                </c:pt>
                <c:pt idx="146">
                  <c:v>1.9439995896297098</c:v>
                </c:pt>
                <c:pt idx="147">
                  <c:v>2.1281588585321116</c:v>
                </c:pt>
                <c:pt idx="148">
                  <c:v>2.3309297524569619</c:v>
                </c:pt>
                <c:pt idx="149">
                  <c:v>2.553951524807367</c:v>
                </c:pt>
                <c:pt idx="150">
                  <c:v>2.7989374858153528</c:v>
                </c:pt>
                <c:pt idx="151">
                  <c:v>3.0676514128761174</c:v>
                </c:pt>
                <c:pt idx="152">
                  <c:v>3.3618713276770427</c:v>
                </c:pt>
                <c:pt idx="153">
                  <c:v>3.6833357923066683</c:v>
                </c:pt>
                <c:pt idx="154">
                  <c:v>4.0336660892227227</c:v>
                </c:pt>
                <c:pt idx="155">
                  <c:v>4.4142552134555357</c:v>
                </c:pt>
                <c:pt idx="156">
                  <c:v>4.8261113120209869</c:v>
                </c:pt>
                <c:pt idx="157">
                  <c:v>5.2696388218924479</c:v>
                </c:pt>
                <c:pt idx="158">
                  <c:v>5.744334878679056</c:v>
                </c:pt>
                <c:pt idx="159">
                  <c:v>6.2483715575021472</c:v>
                </c:pt>
                <c:pt idx="160">
                  <c:v>6.778026626901493</c:v>
                </c:pt>
                <c:pt idx="161">
                  <c:v>7.3269184070887592</c:v>
                </c:pt>
                <c:pt idx="162">
                  <c:v>7.8849982982716211</c:v>
                </c:pt>
                <c:pt idx="163">
                  <c:v>8.4372671155279857</c:v>
                </c:pt>
                <c:pt idx="164">
                  <c:v>8.9622278281856342</c:v>
                </c:pt>
                <c:pt idx="165">
                  <c:v>9.430203104661901</c:v>
                </c:pt>
                <c:pt idx="166">
                  <c:v>9.8018882083420191</c:v>
                </c:pt>
                <c:pt idx="167">
                  <c:v>10.027949178340133</c:v>
                </c:pt>
                <c:pt idx="168">
                  <c:v>10.051143760993856</c:v>
                </c:pt>
                <c:pt idx="169">
                  <c:v>9.8131645849410631</c:v>
                </c:pt>
                <c:pt idx="170">
                  <c:v>9.2684733816309155</c:v>
                </c:pt>
                <c:pt idx="171">
                  <c:v>8.4052651702244816</c:v>
                </c:pt>
                <c:pt idx="172">
                  <c:v>7.267647386190772</c:v>
                </c:pt>
                <c:pt idx="173">
                  <c:v>5.9645169813514887</c:v>
                </c:pt>
                <c:pt idx="174">
                  <c:v>4.6486332267285766</c:v>
                </c:pt>
                <c:pt idx="175">
                  <c:v>3.4664023885387119</c:v>
                </c:pt>
                <c:pt idx="176">
                  <c:v>2.5076838396472674</c:v>
                </c:pt>
                <c:pt idx="177">
                  <c:v>1.7902626862592861</c:v>
                </c:pt>
                <c:pt idx="178">
                  <c:v>1.281555390525094</c:v>
                </c:pt>
                <c:pt idx="179">
                  <c:v>0.93101628764895183</c:v>
                </c:pt>
                <c:pt idx="180">
                  <c:v>0.69158313511850911</c:v>
                </c:pt>
                <c:pt idx="181">
                  <c:v>0.52730814028335893</c:v>
                </c:pt>
                <c:pt idx="182">
                  <c:v>0.41322508941166519</c:v>
                </c:pt>
                <c:pt idx="183">
                  <c:v>0.33274426068728247</c:v>
                </c:pt>
                <c:pt idx="184">
                  <c:v>0.27501855280457677</c:v>
                </c:pt>
                <c:pt idx="185">
                  <c:v>0.23295868361623001</c:v>
                </c:pt>
                <c:pt idx="186">
                  <c:v>0.20189323521245844</c:v>
                </c:pt>
                <c:pt idx="187">
                  <c:v>0.17870494399533826</c:v>
                </c:pt>
                <c:pt idx="188">
                  <c:v>0.16128329349574302</c:v>
                </c:pt>
                <c:pt idx="189">
                  <c:v>0.1481781757375859</c:v>
                </c:pt>
                <c:pt idx="190">
                  <c:v>0.13837935702887635</c:v>
                </c:pt>
                <c:pt idx="191">
                  <c:v>0.13117453353137792</c:v>
                </c:pt>
                <c:pt idx="192">
                  <c:v>0.1260567866068748</c:v>
                </c:pt>
                <c:pt idx="193">
                  <c:v>0.12266341759858562</c:v>
                </c:pt>
                <c:pt idx="194">
                  <c:v>0.12073497401087896</c:v>
                </c:pt>
              </c:numCache>
            </c:numRef>
          </c:xVal>
          <c:yVal>
            <c:numRef>
              <c:f>'SEDNL - rk4 xnum 2 - pred prey'!$F$6:$F$200</c:f>
              <c:numCache>
                <c:formatCode>0.00</c:formatCode>
                <c:ptCount val="195"/>
                <c:pt idx="0">
                  <c:v>1</c:v>
                </c:pt>
                <c:pt idx="1">
                  <c:v>0.98</c:v>
                </c:pt>
                <c:pt idx="2">
                  <c:v>0.96392800000000001</c:v>
                </c:pt>
                <c:pt idx="3">
                  <c:v>0.95187149703296003</c:v>
                </c:pt>
                <c:pt idx="4">
                  <c:v>0.94395947849555772</c:v>
                </c:pt>
                <c:pt idx="5">
                  <c:v>0.94036886828061772</c:v>
                </c:pt>
                <c:pt idx="6">
                  <c:v>0.94133199616942376</c:v>
                </c:pt>
                <c:pt idx="7">
                  <c:v>0.94714523733369249</c:v>
                </c:pt>
                <c:pt idx="8">
                  <c:v>0.95817893567939327</c:v>
                </c:pt>
                <c:pt idx="9">
                  <c:v>0.97488865461729635</c:v>
                </c:pt>
                <c:pt idx="10">
                  <c:v>0.99782766827014613</c:v>
                </c:pt>
                <c:pt idx="11">
                  <c:v>1.0276603805586197</c:v>
                </c:pt>
                <c:pt idx="12">
                  <c:v>1.0651759896539912</c:v>
                </c:pt>
                <c:pt idx="13">
                  <c:v>1.1113011334287781</c:v>
                </c:pt>
                <c:pt idx="14">
                  <c:v>1.1671093713039935</c:v>
                </c:pt>
                <c:pt idx="15">
                  <c:v>1.2338240798695765</c:v>
                </c:pt>
                <c:pt idx="16">
                  <c:v>1.3128095725857023</c:v>
                </c:pt>
                <c:pt idx="17">
                  <c:v>1.4055429645502913</c:v>
                </c:pt>
                <c:pt idx="18">
                  <c:v>1.5135566149765107</c:v>
                </c:pt>
                <c:pt idx="19">
                  <c:v>1.6383383406491538</c:v>
                </c:pt>
                <c:pt idx="20">
                  <c:v>1.7811750211411959</c:v>
                </c:pt>
                <c:pt idx="21">
                  <c:v>1.9429265741578146</c:v>
                </c:pt>
                <c:pt idx="22">
                  <c:v>2.1237244099490011</c:v>
                </c:pt>
                <c:pt idx="23">
                  <c:v>2.3226048139149524</c:v>
                </c:pt>
                <c:pt idx="24">
                  <c:v>2.5371157872797707</c:v>
                </c:pt>
                <c:pt idx="25">
                  <c:v>2.7629741993993173</c:v>
                </c:pt>
                <c:pt idx="26">
                  <c:v>2.9938888460813042</c:v>
                </c:pt>
                <c:pt idx="27">
                  <c:v>3.221683283803594</c:v>
                </c:pt>
                <c:pt idx="28">
                  <c:v>3.436822509671114</c:v>
                </c:pt>
                <c:pt idx="29">
                  <c:v>3.6293516006791373</c:v>
                </c:pt>
                <c:pt idx="30">
                  <c:v>3.7901077433718227</c:v>
                </c:pt>
                <c:pt idx="31">
                  <c:v>3.9119305097082728</c:v>
                </c:pt>
                <c:pt idx="32">
                  <c:v>3.9905504892296806</c:v>
                </c:pt>
                <c:pt idx="33">
                  <c:v>4.0249279731757923</c:v>
                </c:pt>
                <c:pt idx="34">
                  <c:v>4.0170036848987083</c:v>
                </c:pt>
                <c:pt idx="35">
                  <c:v>3.9710119822390464</c:v>
                </c:pt>
                <c:pt idx="36">
                  <c:v>3.8926032308159915</c:v>
                </c:pt>
                <c:pt idx="37">
                  <c:v>3.7880049014980672</c:v>
                </c:pt>
                <c:pt idx="38">
                  <c:v>3.6633637449660474</c:v>
                </c:pt>
                <c:pt idx="39">
                  <c:v>3.524314823528802</c:v>
                </c:pt>
                <c:pt idx="40">
                  <c:v>3.3757556849990493</c:v>
                </c:pt>
                <c:pt idx="41">
                  <c:v>3.2217735993593752</c:v>
                </c:pt>
                <c:pt idx="42">
                  <c:v>3.065670602689802</c:v>
                </c:pt>
                <c:pt idx="43">
                  <c:v>2.9100414132560415</c:v>
                </c:pt>
                <c:pt idx="44">
                  <c:v>2.7568730671067736</c:v>
                </c:pt>
                <c:pt idx="45">
                  <c:v>2.6076472496913272</c:v>
                </c:pt>
                <c:pt idx="46">
                  <c:v>2.4634351525545428</c:v>
                </c:pt>
                <c:pt idx="47">
                  <c:v>2.3249804052325702</c:v>
                </c:pt>
                <c:pt idx="48">
                  <c:v>2.1927689756854436</c:v>
                </c:pt>
                <c:pt idx="49">
                  <c:v>2.0670866861447488</c:v>
                </c:pt>
                <c:pt idx="50">
                  <c:v>1.9480657741118717</c:v>
                </c:pt>
                <c:pt idx="51">
                  <c:v>1.8357221639551118</c:v>
                </c:pt>
                <c:pt idx="52">
                  <c:v>1.7299850685451541</c:v>
                </c:pt>
                <c:pt idx="53">
                  <c:v>1.6307203680012399</c:v>
                </c:pt>
                <c:pt idx="54">
                  <c:v>1.5377489991242936</c:v>
                </c:pt>
                <c:pt idx="55">
                  <c:v>1.4508613777227384</c:v>
                </c:pt>
                <c:pt idx="56">
                  <c:v>1.3698286862235769</c:v>
                </c:pt>
                <c:pt idx="57">
                  <c:v>1.2944116973372408</c:v>
                </c:pt>
                <c:pt idx="58">
                  <c:v>1.2243676713311886</c:v>
                </c:pt>
                <c:pt idx="59">
                  <c:v>1.1594557570259911</c:v>
                </c:pt>
                <c:pt idx="60">
                  <c:v>1.0994412413435173</c:v>
                </c:pt>
                <c:pt idx="61">
                  <c:v>1.0440989254566315</c:v>
                </c:pt>
                <c:pt idx="62">
                  <c:v>0.99321585404588553</c:v>
                </c:pt>
                <c:pt idx="63">
                  <c:v>0.94659358513398539</c:v>
                </c:pt>
                <c:pt idx="64">
                  <c:v>0.90405015928104493</c:v>
                </c:pt>
                <c:pt idx="65">
                  <c:v>0.86542190695355492</c:v>
                </c:pt>
                <c:pt idx="66">
                  <c:v>0.83056522048300685</c:v>
                </c:pt>
                <c:pt idx="67">
                  <c:v>0.79935841150087261</c:v>
                </c:pt>
                <c:pt idx="68">
                  <c:v>0.77170377577574145</c:v>
                </c:pt>
                <c:pt idx="69">
                  <c:v>0.74752999507400975</c:v>
                </c:pt>
                <c:pt idx="70">
                  <c:v>0.72679502048933842</c:v>
                </c:pt>
                <c:pt idx="71">
                  <c:v>0.70948960449930454</c:v>
                </c:pt>
                <c:pt idx="72">
                  <c:v>0.69564168106710256</c:v>
                </c:pt>
                <c:pt idx="73">
                  <c:v>0.68532183605226604</c:v>
                </c:pt>
                <c:pt idx="74">
                  <c:v>0.678650165986181</c:v>
                </c:pt>
                <c:pt idx="75">
                  <c:v>0.67580489400108557</c:v>
                </c:pt>
                <c:pt idx="76">
                  <c:v>0.6770331991928531</c:v>
                </c:pt>
                <c:pt idx="77">
                  <c:v>0.68266482063777889</c:v>
                </c:pt>
                <c:pt idx="78">
                  <c:v>0.69312911759447593</c:v>
                </c:pt>
                <c:pt idx="79">
                  <c:v>0.70897639523113021</c:v>
                </c:pt>
                <c:pt idx="80">
                  <c:v>0.73090442144555667</c:v>
                </c:pt>
                <c:pt idx="81">
                  <c:v>0.7597911253135885</c:v>
                </c:pt>
                <c:pt idx="82">
                  <c:v>0.79673440533984308</c:v>
                </c:pt>
                <c:pt idx="83">
                  <c:v>0.84309964790874048</c:v>
                </c:pt>
                <c:pt idx="84">
                  <c:v>0.90057472349042866</c:v>
                </c:pt>
                <c:pt idx="85">
                  <c:v>0.97123049242356696</c:v>
                </c:pt>
                <c:pt idx="86">
                  <c:v>1.0575815868403546</c:v>
                </c:pt>
                <c:pt idx="87">
                  <c:v>1.1626365223038577</c:v>
                </c:pt>
                <c:pt idx="88">
                  <c:v>1.2899168355335893</c:v>
                </c:pt>
                <c:pt idx="89">
                  <c:v>1.4434107227423674</c:v>
                </c:pt>
                <c:pt idx="90">
                  <c:v>1.6274071498162408</c:v>
                </c:pt>
                <c:pt idx="91">
                  <c:v>1.8461339511439632</c:v>
                </c:pt>
                <c:pt idx="92">
                  <c:v>2.1031067422334671</c:v>
                </c:pt>
                <c:pt idx="93">
                  <c:v>2.4001047343369701</c:v>
                </c:pt>
                <c:pt idx="94">
                  <c:v>2.7357597362963597</c:v>
                </c:pt>
                <c:pt idx="95">
                  <c:v>3.1039173879338184</c:v>
                </c:pt>
                <c:pt idx="96">
                  <c:v>3.4922172683282282</c:v>
                </c:pt>
                <c:pt idx="97">
                  <c:v>3.8816523555060938</c:v>
                </c:pt>
                <c:pt idx="98">
                  <c:v>4.2479569220593625</c:v>
                </c:pt>
                <c:pt idx="99">
                  <c:v>4.5652036254429902</c:v>
                </c:pt>
                <c:pt idx="100">
                  <c:v>4.8108985540914508</c:v>
                </c:pt>
                <c:pt idx="101">
                  <c:v>4.970729422535995</c:v>
                </c:pt>
                <c:pt idx="102">
                  <c:v>5.0409520058572177</c:v>
                </c:pt>
                <c:pt idx="103">
                  <c:v>5.0275916133170915</c:v>
                </c:pt>
                <c:pt idx="104">
                  <c:v>4.9433122776709419</c:v>
                </c:pt>
                <c:pt idx="105">
                  <c:v>4.8036605199818982</c:v>
                </c:pt>
                <c:pt idx="106">
                  <c:v>4.6240539815494133</c:v>
                </c:pt>
                <c:pt idx="107">
                  <c:v>4.418017995404032</c:v>
                </c:pt>
                <c:pt idx="108">
                  <c:v>4.1965090549147037</c:v>
                </c:pt>
                <c:pt idx="109">
                  <c:v>3.9679248175291355</c:v>
                </c:pt>
                <c:pt idx="110">
                  <c:v>3.7384411035271525</c:v>
                </c:pt>
                <c:pt idx="111">
                  <c:v>3.5124453384457444</c:v>
                </c:pt>
                <c:pt idx="112">
                  <c:v>3.2929495782145244</c:v>
                </c:pt>
                <c:pt idx="113">
                  <c:v>3.0819381434759685</c:v>
                </c:pt>
                <c:pt idx="114">
                  <c:v>2.8806419436460846</c:v>
                </c:pt>
                <c:pt idx="115">
                  <c:v>2.6897472271989415</c:v>
                </c:pt>
                <c:pt idx="116">
                  <c:v>2.5095511378932107</c:v>
                </c:pt>
                <c:pt idx="117">
                  <c:v>2.3400762482855986</c:v>
                </c:pt>
                <c:pt idx="118">
                  <c:v>2.1811543236055444</c:v>
                </c:pt>
                <c:pt idx="119">
                  <c:v>2.0324873536715855</c:v>
                </c:pt>
                <c:pt idx="120">
                  <c:v>1.8936919196516757</c:v>
                </c:pt>
                <c:pt idx="121">
                  <c:v>1.7643313818964277</c:v>
                </c:pt>
                <c:pt idx="122">
                  <c:v>1.6439391712897007</c:v>
                </c:pt>
                <c:pt idx="123">
                  <c:v>1.5320355748114496</c:v>
                </c:pt>
                <c:pt idx="124">
                  <c:v>1.4281397551571009</c:v>
                </c:pt>
                <c:pt idx="125">
                  <c:v>1.331778272684732</c:v>
                </c:pt>
                <c:pt idx="126">
                  <c:v>1.2424910371809286</c:v>
                </c:pt>
                <c:pt idx="127">
                  <c:v>1.1598353705977091</c:v>
                </c:pt>
                <c:pt idx="128">
                  <c:v>1.0833886834692212</c:v>
                </c:pt>
                <c:pt idx="129">
                  <c:v>1.0127501380579313</c:v>
                </c:pt>
                <c:pt idx="130">
                  <c:v>0.94754157675210748</c:v>
                </c:pt>
                <c:pt idx="131">
                  <c:v>0.8874079251171928</c:v>
                </c:pt>
                <c:pt idx="132">
                  <c:v>0.83201722837752123</c:v>
                </c:pt>
                <c:pt idx="133">
                  <c:v>0.78106044305353017</c:v>
                </c:pt>
                <c:pt idx="134">
                  <c:v>0.73425107850881888</c:v>
                </c:pt>
                <c:pt idx="135">
                  <c:v>0.69132476379806718</c:v>
                </c:pt>
                <c:pt idx="136">
                  <c:v>0.65203880171958251</c:v>
                </c:pt>
                <c:pt idx="137">
                  <c:v>0.61617176318362188</c:v>
                </c:pt>
                <c:pt idx="138">
                  <c:v>0.58352317015014787</c:v>
                </c:pt>
                <c:pt idx="139">
                  <c:v>0.55391331404950728</c:v>
                </c:pt>
                <c:pt idx="140">
                  <c:v>0.52718325865760551</c:v>
                </c:pt>
                <c:pt idx="141">
                  <c:v>0.50319508202229213</c:v>
                </c:pt>
                <c:pt idx="142">
                  <c:v>0.48183242170623303</c:v>
                </c:pt>
                <c:pt idx="143">
                  <c:v>0.46300140216007257</c:v>
                </c:pt>
                <c:pt idx="144">
                  <c:v>0.4466320437568293</c:v>
                </c:pt>
                <c:pt idx="145">
                  <c:v>0.43268028178725049</c:v>
                </c:pt>
                <c:pt idx="146">
                  <c:v>0.42113076322305132</c:v>
                </c:pt>
                <c:pt idx="147">
                  <c:v>0.41200064309178897</c:v>
                </c:pt>
                <c:pt idx="148">
                  <c:v>0.40534467619394737</c:v>
                </c:pt>
                <c:pt idx="149">
                  <c:v>0.40126200107064675</c:v>
                </c:pt>
                <c:pt idx="150">
                  <c:v>0.39990515196944398</c:v>
                </c:pt>
                <c:pt idx="151">
                  <c:v>0.40149202543042734</c:v>
                </c:pt>
                <c:pt idx="152">
                  <c:v>0.40632179076809749</c:v>
                </c:pt>
                <c:pt idx="153">
                  <c:v>0.41479609485245938</c:v>
                </c:pt>
                <c:pt idx="154">
                  <c:v>0.42744740634463552</c:v>
                </c:pt>
                <c:pt idx="155">
                  <c:v>0.44497701707402154</c:v>
                </c:pt>
                <c:pt idx="156">
                  <c:v>0.4683061192327066</c:v>
                </c:pt>
                <c:pt idx="157">
                  <c:v>0.4986445534796185</c:v>
                </c:pt>
                <c:pt idx="158">
                  <c:v>0.53758329012149164</c:v>
                </c:pt>
                <c:pt idx="159">
                  <c:v>0.58721838022097006</c:v>
                </c:pt>
                <c:pt idx="160">
                  <c:v>0.65031566855374812</c:v>
                </c:pt>
                <c:pt idx="161">
                  <c:v>0.73052612258990479</c:v>
                </c:pt>
                <c:pt idx="162">
                  <c:v>0.83265919161660695</c:v>
                </c:pt>
                <c:pt idx="163">
                  <c:v>0.96301194555539349</c:v>
                </c:pt>
                <c:pt idx="164">
                  <c:v>1.1297266605138163</c:v>
                </c:pt>
                <c:pt idx="165">
                  <c:v>1.3430945591257155</c:v>
                </c:pt>
                <c:pt idx="166">
                  <c:v>1.6156166288353133</c:v>
                </c:pt>
                <c:pt idx="167">
                  <c:v>1.9614501060299525</c:v>
                </c:pt>
                <c:pt idx="168">
                  <c:v>2.3946137569211032</c:v>
                </c:pt>
                <c:pt idx="169">
                  <c:v>2.9251028700534429</c:v>
                </c:pt>
                <c:pt idx="170">
                  <c:v>3.5522301172007049</c:v>
                </c:pt>
                <c:pt idx="171">
                  <c:v>4.255764216425721</c:v>
                </c:pt>
                <c:pt idx="172">
                  <c:v>4.9884278813419876</c:v>
                </c:pt>
                <c:pt idx="173">
                  <c:v>5.6769776964257161</c:v>
                </c:pt>
                <c:pt idx="174">
                  <c:v>6.2386323769042038</c:v>
                </c:pt>
                <c:pt idx="175">
                  <c:v>6.6095751994505143</c:v>
                </c:pt>
                <c:pt idx="176">
                  <c:v>6.7681526012525177</c:v>
                </c:pt>
                <c:pt idx="177">
                  <c:v>6.7358720002251431</c:v>
                </c:pt>
                <c:pt idx="178">
                  <c:v>6.5587716492497847</c:v>
                </c:pt>
                <c:pt idx="179">
                  <c:v>6.286232792179379</c:v>
                </c:pt>
                <c:pt idx="180">
                  <c:v>5.9589117223291872</c:v>
                </c:pt>
                <c:pt idx="181">
                  <c:v>5.6058312700675375</c:v>
                </c:pt>
                <c:pt idx="182">
                  <c:v>5.2460447823149829</c:v>
                </c:pt>
                <c:pt idx="183">
                  <c:v>4.8913951194566758</c:v>
                </c:pt>
                <c:pt idx="184">
                  <c:v>4.5489110194827314</c:v>
                </c:pt>
                <c:pt idx="185">
                  <c:v>4.222529185686561</c:v>
                </c:pt>
                <c:pt idx="186">
                  <c:v>3.9142370960504955</c:v>
                </c:pt>
                <c:pt idx="187">
                  <c:v>3.6248058680877633</c:v>
                </c:pt>
                <c:pt idx="188">
                  <c:v>3.3542545205302603</c:v>
                </c:pt>
                <c:pt idx="189">
                  <c:v>3.1021437153766627</c:v>
                </c:pt>
                <c:pt idx="190">
                  <c:v>2.8677623180451395</c:v>
                </c:pt>
                <c:pt idx="191">
                  <c:v>2.6502465057720102</c:v>
                </c:pt>
                <c:pt idx="192">
                  <c:v>2.4486561307843835</c:v>
                </c:pt>
                <c:pt idx="193">
                  <c:v>2.2620237320221896</c:v>
                </c:pt>
                <c:pt idx="194">
                  <c:v>2.0893858603101831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09-4F68-9FED-46BD4048F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178544"/>
        <c:axId val="1"/>
      </c:scatterChart>
      <c:valAx>
        <c:axId val="4241785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41785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2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3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836D1E-0BEF-4A94-AFDB-A68BC09D143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498CF0-DC4E-4625-BA24-2BF9ED0385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M284"/>
  <sheetViews>
    <sheetView tabSelected="1" zoomScale="250" zoomScaleNormal="250" workbookViewId="0">
      <selection activeCell="A7" sqref="A7:C200"/>
    </sheetView>
  </sheetViews>
  <sheetFormatPr defaultRowHeight="15" x14ac:dyDescent="0.25"/>
  <cols>
    <col min="4" max="4" width="2.140625" customWidth="1"/>
    <col min="9" max="9" width="2.140625" customWidth="1"/>
  </cols>
  <sheetData>
    <row r="1" spans="1:13" x14ac:dyDescent="0.25">
      <c r="A1" s="4" t="s">
        <v>14</v>
      </c>
    </row>
    <row r="2" spans="1:13" x14ac:dyDescent="0.25">
      <c r="A2" s="4" t="s">
        <v>12</v>
      </c>
      <c r="C2" s="6" t="s">
        <v>1</v>
      </c>
      <c r="E2" s="5" t="s">
        <v>9</v>
      </c>
      <c r="F2" s="5" t="s">
        <v>8</v>
      </c>
      <c r="G2" s="5" t="s">
        <v>7</v>
      </c>
      <c r="H2" s="5" t="s">
        <v>6</v>
      </c>
    </row>
    <row r="3" spans="1:13" x14ac:dyDescent="0.25">
      <c r="A3" s="4" t="s">
        <v>13</v>
      </c>
      <c r="C3" s="3">
        <v>0.1</v>
      </c>
      <c r="E3" s="3">
        <v>1.2</v>
      </c>
      <c r="F3" s="3">
        <v>0.6</v>
      </c>
      <c r="G3" s="3">
        <v>0.8</v>
      </c>
      <c r="H3" s="3">
        <v>0.3</v>
      </c>
    </row>
    <row r="5" spans="1:13" x14ac:dyDescent="0.25">
      <c r="A5" t="s">
        <v>0</v>
      </c>
      <c r="B5" s="8" t="s">
        <v>11</v>
      </c>
      <c r="C5" s="8" t="s">
        <v>10</v>
      </c>
      <c r="E5" s="7" t="s">
        <v>5</v>
      </c>
      <c r="F5" s="7" t="s">
        <v>4</v>
      </c>
      <c r="G5" t="s">
        <v>3</v>
      </c>
      <c r="H5" t="s">
        <v>2</v>
      </c>
    </row>
    <row r="6" spans="1:13" x14ac:dyDescent="0.25">
      <c r="A6" s="9">
        <v>0</v>
      </c>
      <c r="B6" s="10">
        <v>2</v>
      </c>
      <c r="C6" s="10">
        <v>1</v>
      </c>
      <c r="E6" s="10">
        <f>B6</f>
        <v>2</v>
      </c>
      <c r="F6" s="10">
        <f>C6</f>
        <v>1</v>
      </c>
      <c r="G6" s="1">
        <f t="shared" ref="G6:G37" si="0">$E$3*E6-$F$3*E6*F6</f>
        <v>1.2</v>
      </c>
      <c r="H6" s="1">
        <f>-$G$3*F6+$H$3*B6*C6</f>
        <v>-0.20000000000000007</v>
      </c>
      <c r="J6" s="1"/>
      <c r="K6" s="1"/>
    </row>
    <row r="7" spans="1:13" x14ac:dyDescent="0.25">
      <c r="A7" s="2">
        <f t="array" ref="A7:C7">ODE_RK4(A6:C6,$C$3,$E$3,$F$3,$G$3,$H$3)</f>
        <v>0.1</v>
      </c>
      <c r="B7" s="1">
        <v>2.12486317942572</v>
      </c>
      <c r="C7" s="1">
        <v>0.98201227695380666</v>
      </c>
      <c r="E7" s="1">
        <f t="shared" ref="E7:E38" si="1">E6+$C$3*G6</f>
        <v>2.12</v>
      </c>
      <c r="F7" s="1">
        <f t="shared" ref="F7:F38" si="2">F6+$C$3*H6</f>
        <v>0.98</v>
      </c>
      <c r="G7" s="1">
        <f t="shared" si="0"/>
        <v>1.2974400000000001</v>
      </c>
      <c r="H7" s="1">
        <f t="shared" ref="H7:H38" si="3">-$G$3*F7+$H$3*E7*F7</f>
        <v>-0.16072000000000009</v>
      </c>
      <c r="J7" s="1"/>
      <c r="K7" s="1"/>
    </row>
    <row r="8" spans="1:13" x14ac:dyDescent="0.25">
      <c r="A8" s="2">
        <f t="array" ref="A8:C8">ODE_RK4(A7:C7,$C$3,$E$3,$F$3,$G$3,$H$3)</f>
        <v>0.2</v>
      </c>
      <c r="B8" s="1">
        <v>2.259683825291527</v>
      </c>
      <c r="C8" s="1">
        <v>0.96811100217331802</v>
      </c>
      <c r="E8" s="1">
        <f t="shared" si="1"/>
        <v>2.2497440000000002</v>
      </c>
      <c r="F8" s="1">
        <f t="shared" si="2"/>
        <v>0.96392800000000001</v>
      </c>
      <c r="G8" s="1">
        <f t="shared" si="0"/>
        <v>1.3985380593408001</v>
      </c>
      <c r="H8" s="1">
        <f t="shared" si="3"/>
        <v>-0.12056502967039995</v>
      </c>
      <c r="J8" s="1"/>
      <c r="K8" s="1"/>
      <c r="L8" s="1"/>
      <c r="M8" s="1"/>
    </row>
    <row r="9" spans="1:13" x14ac:dyDescent="0.25">
      <c r="A9" s="2">
        <f t="array" ref="A9:C9">ODE_RK4(A8:C8,$C$3,$E$3,$F$3,$G$3,$H$3)</f>
        <v>0.30000000000000004</v>
      </c>
      <c r="B9" s="1">
        <v>2.4047620206925724</v>
      </c>
      <c r="C9" s="1">
        <v>0.95842136727933802</v>
      </c>
      <c r="E9" s="1">
        <f t="shared" si="1"/>
        <v>2.3895978059340801</v>
      </c>
      <c r="F9" s="1">
        <f t="shared" si="2"/>
        <v>0.95187149703296003</v>
      </c>
      <c r="G9" s="1">
        <f t="shared" si="0"/>
        <v>1.5027633426162064</v>
      </c>
      <c r="H9" s="1">
        <f t="shared" si="3"/>
        <v>-7.91201853740231E-2</v>
      </c>
      <c r="J9" s="1"/>
      <c r="K9" s="1"/>
      <c r="L9" s="1"/>
      <c r="M9" s="1"/>
    </row>
    <row r="10" spans="1:13" x14ac:dyDescent="0.25">
      <c r="A10" s="2">
        <f t="array" ref="A10:C10">ODE_RK4(A9:C9,$C$3,$E$3,$F$3,$G$3,$H$3)</f>
        <v>0.4</v>
      </c>
      <c r="B10" s="1">
        <v>2.5603089275729811</v>
      </c>
      <c r="C10" s="1">
        <v>0.9531166393801761</v>
      </c>
      <c r="E10" s="1">
        <f t="shared" si="1"/>
        <v>2.5398741401957006</v>
      </c>
      <c r="F10" s="1">
        <f t="shared" si="2"/>
        <v>0.94395947849555772</v>
      </c>
      <c r="G10" s="1">
        <f t="shared" si="0"/>
        <v>1.6093260069407487</v>
      </c>
      <c r="H10" s="1">
        <f t="shared" si="3"/>
        <v>-3.5906102149400376E-2</v>
      </c>
      <c r="J10" s="1"/>
      <c r="K10" s="1"/>
      <c r="L10" s="1"/>
      <c r="M10" s="1"/>
    </row>
    <row r="11" spans="1:13" x14ac:dyDescent="0.25">
      <c r="A11" s="2">
        <f t="array" ref="A11:C11">ODE_RK4(A10:C10,$C$3,$E$3,$F$3,$G$3,$H$3)</f>
        <v>0.5</v>
      </c>
      <c r="B11" s="1">
        <v>2.7264113124932741</v>
      </c>
      <c r="C11" s="1">
        <v>0.9524254085531495</v>
      </c>
      <c r="E11" s="1">
        <f t="shared" si="1"/>
        <v>2.7008067408897753</v>
      </c>
      <c r="F11" s="1">
        <f t="shared" si="2"/>
        <v>0.94036886828061772</v>
      </c>
      <c r="G11" s="1">
        <f t="shared" si="0"/>
        <v>1.7171153420426213</v>
      </c>
      <c r="H11" s="1">
        <f t="shared" si="3"/>
        <v>9.6312788880602573E-3</v>
      </c>
      <c r="J11" s="1"/>
      <c r="K11" s="1"/>
      <c r="L11" s="1"/>
      <c r="M11" s="1"/>
    </row>
    <row r="12" spans="1:13" x14ac:dyDescent="0.25">
      <c r="A12" s="2">
        <f t="array" ref="A12:C12">ODE_RK4(A11:C11,$C$3,$E$3,$F$3,$G$3,$H$3)</f>
        <v>0.6</v>
      </c>
      <c r="B12" s="1">
        <v>2.9029880751351551</v>
      </c>
      <c r="C12" s="1">
        <v>0.95663985169084687</v>
      </c>
      <c r="E12" s="1">
        <f t="shared" si="1"/>
        <v>2.8725182750940377</v>
      </c>
      <c r="F12" s="1">
        <f t="shared" si="2"/>
        <v>0.94133199616942376</v>
      </c>
      <c r="G12" s="1">
        <f t="shared" si="0"/>
        <v>1.8246259129563931</v>
      </c>
      <c r="H12" s="1">
        <f t="shared" si="3"/>
        <v>5.813241164268701E-2</v>
      </c>
      <c r="J12" s="1"/>
      <c r="K12" s="1"/>
      <c r="L12" s="1"/>
      <c r="M12" s="1"/>
    </row>
    <row r="13" spans="1:13" x14ac:dyDescent="0.25">
      <c r="A13" s="2">
        <f t="array" ref="A13:C13">ODE_RK4(A12:C12,$C$3,$E$3,$F$3,$G$3,$H$3)</f>
        <v>0.7</v>
      </c>
      <c r="B13" s="1">
        <v>3.0897375668685969</v>
      </c>
      <c r="C13" s="1">
        <v>0.96612502017158908</v>
      </c>
      <c r="E13" s="1">
        <f t="shared" si="1"/>
        <v>3.0549808663896769</v>
      </c>
      <c r="F13" s="1">
        <f t="shared" si="2"/>
        <v>0.94714523733369249</v>
      </c>
      <c r="G13" s="1">
        <f t="shared" si="0"/>
        <v>1.9298706930196883</v>
      </c>
      <c r="H13" s="1">
        <f t="shared" si="3"/>
        <v>0.11033698345700793</v>
      </c>
      <c r="J13" s="1"/>
      <c r="K13" s="1"/>
      <c r="L13" s="1"/>
      <c r="M13" s="1"/>
    </row>
    <row r="14" spans="1:13" x14ac:dyDescent="0.25">
      <c r="A14" s="2">
        <f t="array" ref="A14:C14">ODE_RK4(A13:C13,$C$3,$E$3,$F$3,$G$3,$H$3)</f>
        <v>0.79999999999999993</v>
      </c>
      <c r="B14" s="1">
        <v>3.2860746092193214</v>
      </c>
      <c r="C14" s="1">
        <v>0.98132903146713168</v>
      </c>
      <c r="E14" s="1">
        <f t="shared" si="1"/>
        <v>3.247967935691646</v>
      </c>
      <c r="F14" s="1">
        <f t="shared" si="2"/>
        <v>0.95817893567939327</v>
      </c>
      <c r="G14" s="1">
        <f t="shared" si="0"/>
        <v>2.0302808469848843</v>
      </c>
      <c r="H14" s="1">
        <f t="shared" si="3"/>
        <v>0.16709718937903051</v>
      </c>
      <c r="J14" s="1"/>
      <c r="K14" s="1"/>
      <c r="L14" s="1"/>
      <c r="M14" s="1"/>
    </row>
    <row r="15" spans="1:13" x14ac:dyDescent="0.25">
      <c r="A15" s="2">
        <f t="array" ref="A15:C15">ODE_RK4(A14:C14,$C$3,$E$3,$F$3,$G$3,$H$3)</f>
        <v>0.89999999999999991</v>
      </c>
      <c r="B15" s="1">
        <v>3.4910564725085607</v>
      </c>
      <c r="C15" s="1">
        <v>1.0027938304540776</v>
      </c>
      <c r="E15" s="1">
        <f t="shared" si="1"/>
        <v>3.4509960203901344</v>
      </c>
      <c r="F15" s="1">
        <f t="shared" si="2"/>
        <v>0.97488865461729635</v>
      </c>
      <c r="G15" s="1">
        <f t="shared" si="0"/>
        <v>2.1225931040234922</v>
      </c>
      <c r="H15" s="1">
        <f t="shared" si="3"/>
        <v>0.22939013652849738</v>
      </c>
      <c r="J15" s="1"/>
      <c r="K15" s="1"/>
      <c r="L15" s="1"/>
      <c r="M15" s="1"/>
    </row>
    <row r="16" spans="1:13" x14ac:dyDescent="0.25">
      <c r="A16" s="2">
        <f t="array" ref="A16:C16">ODE_RK4(A15:C15,$C$3,$E$3,$F$3,$G$3,$H$3)</f>
        <v>0.99999999999999989</v>
      </c>
      <c r="B16" s="1">
        <v>3.7032977910467877</v>
      </c>
      <c r="C16" s="1">
        <v>1.0311658420915628</v>
      </c>
      <c r="E16" s="1">
        <f t="shared" si="1"/>
        <v>3.6632553307924836</v>
      </c>
      <c r="F16" s="1">
        <f t="shared" si="2"/>
        <v>0.99782766827014613</v>
      </c>
      <c r="G16" s="1">
        <f t="shared" si="0"/>
        <v>2.2027278819492722</v>
      </c>
      <c r="H16" s="1">
        <f t="shared" si="3"/>
        <v>0.29832712288473684</v>
      </c>
      <c r="J16" s="1"/>
      <c r="K16" s="1"/>
      <c r="L16" s="1"/>
      <c r="M16" s="1"/>
    </row>
    <row r="17" spans="1:13" x14ac:dyDescent="0.25">
      <c r="A17" s="2">
        <f t="array" ref="A17:C17">ODE_RK4(A16:C16,$C$3,$E$3,$F$3,$G$3,$H$3)</f>
        <v>1.0999999999999999</v>
      </c>
      <c r="B17" s="1">
        <v>3.9208756647109531</v>
      </c>
      <c r="C17" s="1">
        <v>1.0672053073513916</v>
      </c>
      <c r="E17" s="1">
        <f t="shared" si="1"/>
        <v>3.8835281189874107</v>
      </c>
      <c r="F17" s="1">
        <f t="shared" si="2"/>
        <v>1.0276603805586197</v>
      </c>
      <c r="G17" s="1">
        <f t="shared" si="0"/>
        <v>2.2656649519836711</v>
      </c>
      <c r="H17" s="1">
        <f t="shared" si="3"/>
        <v>0.37515609095371505</v>
      </c>
      <c r="J17" s="1"/>
      <c r="K17" s="1"/>
      <c r="L17" s="1"/>
      <c r="M17" s="1"/>
    </row>
    <row r="18" spans="1:13" x14ac:dyDescent="0.25">
      <c r="A18" s="2">
        <f t="array" ref="A18:C18">ODE_RK4(A17:C17,$C$3,$E$3,$F$3,$G$3,$H$3)</f>
        <v>1.2</v>
      </c>
      <c r="B18" s="1">
        <v>4.1412282766662587</v>
      </c>
      <c r="C18" s="1">
        <v>1.1117923123816933</v>
      </c>
      <c r="E18" s="1">
        <f t="shared" si="1"/>
        <v>4.1100946141857779</v>
      </c>
      <c r="F18" s="1">
        <f t="shared" si="2"/>
        <v>1.0651759896539912</v>
      </c>
      <c r="G18" s="1">
        <f t="shared" si="0"/>
        <v>2.305329078080808</v>
      </c>
      <c r="H18" s="1">
        <f t="shared" si="3"/>
        <v>0.46125143774786947</v>
      </c>
      <c r="J18" s="1"/>
      <c r="K18" s="1"/>
      <c r="L18" s="1"/>
      <c r="M18" s="1"/>
    </row>
    <row r="19" spans="1:13" x14ac:dyDescent="0.25">
      <c r="A19" s="2">
        <f t="array" ref="A19:C19">ODE_RK4(A18:C18,$C$3,$E$3,$F$3,$G$3,$H$3)</f>
        <v>1.3</v>
      </c>
      <c r="B19" s="1">
        <v>4.3610535346814086</v>
      </c>
      <c r="C19" s="1">
        <v>1.1659264211705351</v>
      </c>
      <c r="E19" s="1">
        <f t="shared" si="1"/>
        <v>4.3406275219938584</v>
      </c>
      <c r="F19" s="1">
        <f t="shared" si="2"/>
        <v>1.1113011334287781</v>
      </c>
      <c r="G19" s="1">
        <f t="shared" si="0"/>
        <v>2.3145064554022761</v>
      </c>
      <c r="H19" s="1">
        <f t="shared" si="3"/>
        <v>0.5580823787521545</v>
      </c>
      <c r="J19" s="1"/>
      <c r="K19" s="1"/>
      <c r="L19" s="1"/>
      <c r="M19" s="1"/>
    </row>
    <row r="20" spans="1:13" x14ac:dyDescent="0.25">
      <c r="A20" s="2">
        <f t="array" ref="A20:C20">ODE_RK4(A19:C19,$C$3,$E$3,$F$3,$G$3,$H$3)</f>
        <v>1.4000000000000001</v>
      </c>
      <c r="B20" s="1">
        <v>4.5762187961937792</v>
      </c>
      <c r="C20" s="1">
        <v>1.2307153677593785</v>
      </c>
      <c r="E20" s="1">
        <f t="shared" si="1"/>
        <v>4.5720781675340856</v>
      </c>
      <c r="F20" s="1">
        <f t="shared" si="2"/>
        <v>1.1671093713039935</v>
      </c>
      <c r="G20" s="1">
        <f t="shared" si="0"/>
        <v>2.2848246356428499</v>
      </c>
      <c r="H20" s="1">
        <f t="shared" si="3"/>
        <v>0.66714708565583136</v>
      </c>
      <c r="J20" s="1"/>
      <c r="K20" s="1"/>
      <c r="L20" s="1"/>
      <c r="M20" s="1"/>
    </row>
    <row r="21" spans="1:13" x14ac:dyDescent="0.25">
      <c r="A21" s="2">
        <f t="array" ref="A21:C21">ODE_RK4(A20:C20,$C$3,$E$3,$F$3,$G$3,$H$3)</f>
        <v>1.5000000000000002</v>
      </c>
      <c r="B21" s="1">
        <v>4.7816987974822585</v>
      </c>
      <c r="C21" s="1">
        <v>1.3073465044717723</v>
      </c>
      <c r="E21" s="1">
        <f t="shared" si="1"/>
        <v>4.8005606310983708</v>
      </c>
      <c r="F21" s="1">
        <f t="shared" si="2"/>
        <v>1.2338240798695765</v>
      </c>
      <c r="G21" s="1">
        <f t="shared" si="0"/>
        <v>2.2068443752042084</v>
      </c>
      <c r="H21" s="1">
        <f t="shared" si="3"/>
        <v>0.78985492716125716</v>
      </c>
      <c r="J21" s="1"/>
      <c r="K21" s="1"/>
      <c r="L21" s="1"/>
      <c r="M21" s="1"/>
    </row>
    <row r="22" spans="1:13" x14ac:dyDescent="0.25">
      <c r="A22" s="2">
        <f t="array" ref="A22:C22">ODE_RK4(A21:C21,$C$3,$E$3,$F$3,$G$3,$H$3)</f>
        <v>1.6000000000000003</v>
      </c>
      <c r="B22" s="1">
        <v>4.9715662150960451</v>
      </c>
      <c r="C22" s="1">
        <v>1.3970328706136368</v>
      </c>
      <c r="E22" s="1">
        <f t="shared" si="1"/>
        <v>5.0212450686187919</v>
      </c>
      <c r="F22" s="1">
        <f t="shared" si="2"/>
        <v>1.3128095725857023</v>
      </c>
      <c r="G22" s="1">
        <f t="shared" si="0"/>
        <v>2.0703309269136492</v>
      </c>
      <c r="H22" s="1">
        <f t="shared" si="3"/>
        <v>0.92733391964588852</v>
      </c>
      <c r="J22" s="1"/>
      <c r="K22" s="1"/>
      <c r="L22" s="1"/>
      <c r="M22" s="1"/>
    </row>
    <row r="23" spans="1:13" x14ac:dyDescent="0.25">
      <c r="A23" s="2">
        <f t="array" ref="A23:C23">ODE_RK4(A22:C22,$C$3,$E$3,$F$3,$G$3,$H$3)</f>
        <v>1.7000000000000004</v>
      </c>
      <c r="B23" s="1">
        <v>5.139066796238593</v>
      </c>
      <c r="C23" s="1">
        <v>1.5009244009230249</v>
      </c>
      <c r="E23" s="1">
        <f t="shared" si="1"/>
        <v>5.2282781613101568</v>
      </c>
      <c r="F23" s="1">
        <f t="shared" si="2"/>
        <v>1.4055429645502913</v>
      </c>
      <c r="G23" s="1">
        <f t="shared" si="0"/>
        <v>1.864792041767334</v>
      </c>
      <c r="H23" s="1">
        <f t="shared" si="3"/>
        <v>1.080136504262194</v>
      </c>
      <c r="J23" s="1"/>
      <c r="K23" s="1"/>
      <c r="L23" s="1"/>
      <c r="M23" s="1"/>
    </row>
    <row r="24" spans="1:13" x14ac:dyDescent="0.25">
      <c r="A24" s="2">
        <f t="array" ref="A24:C24">ODE_RK4(A23:C23,$C$3,$E$3,$F$3,$G$3,$H$3)</f>
        <v>1.8000000000000005</v>
      </c>
      <c r="B24" s="1">
        <v>5.2768163638910712</v>
      </c>
      <c r="C24" s="1">
        <v>1.6199749785504933</v>
      </c>
      <c r="E24" s="1">
        <f t="shared" si="1"/>
        <v>5.4147573654868904</v>
      </c>
      <c r="F24" s="1">
        <f t="shared" si="2"/>
        <v>1.5135566149765107</v>
      </c>
      <c r="G24" s="1">
        <f t="shared" si="0"/>
        <v>1.5803837411689878</v>
      </c>
      <c r="H24" s="1">
        <f t="shared" si="3"/>
        <v>1.2478172567264314</v>
      </c>
      <c r="J24" s="1"/>
      <c r="K24" s="1"/>
      <c r="L24" s="1"/>
      <c r="M24" s="1"/>
    </row>
    <row r="25" spans="1:13" x14ac:dyDescent="0.25">
      <c r="A25" s="2">
        <f t="array" ref="A25:C25">ODE_RK4(A24:C24,$C$3,$E$3,$F$3,$G$3,$H$3)</f>
        <v>1.9000000000000006</v>
      </c>
      <c r="B25" s="1">
        <v>5.3771561784972066</v>
      </c>
      <c r="C25" s="1">
        <v>1.754759356737688</v>
      </c>
      <c r="E25" s="1">
        <f t="shared" si="1"/>
        <v>5.572795739603789</v>
      </c>
      <c r="F25" s="1">
        <f t="shared" si="2"/>
        <v>1.6383383406491538</v>
      </c>
      <c r="G25" s="1">
        <f t="shared" si="0"/>
        <v>1.2092799326450594</v>
      </c>
      <c r="H25" s="1">
        <f t="shared" si="3"/>
        <v>1.4283668049204203</v>
      </c>
      <c r="J25" s="1"/>
      <c r="K25" s="1"/>
      <c r="L25" s="1"/>
      <c r="M25" s="1"/>
    </row>
    <row r="26" spans="1:13" x14ac:dyDescent="0.25">
      <c r="A26" s="2">
        <f t="array" ref="A26:C26">ODE_RK4(A25:C25,$C$3,$E$3,$F$3,$G$3,$H$3)</f>
        <v>2.0000000000000004</v>
      </c>
      <c r="B26" s="1">
        <v>5.4326905014852933</v>
      </c>
      <c r="C26" s="1">
        <v>1.9052423719578706</v>
      </c>
      <c r="E26" s="1">
        <f t="shared" si="1"/>
        <v>5.6937237328682953</v>
      </c>
      <c r="F26" s="1">
        <f t="shared" si="2"/>
        <v>1.7811750211411959</v>
      </c>
      <c r="G26" s="1">
        <f t="shared" si="0"/>
        <v>0.74755738528366589</v>
      </c>
      <c r="H26" s="1">
        <f t="shared" si="3"/>
        <v>1.6175155301661874</v>
      </c>
      <c r="J26" s="1"/>
      <c r="K26" s="1"/>
      <c r="L26" s="1"/>
      <c r="M26" s="1"/>
    </row>
    <row r="27" spans="1:13" x14ac:dyDescent="0.25">
      <c r="A27" s="2">
        <f t="array" ref="A27:C27">ODE_RK4(A26:C26,$C$3,$E$3,$F$3,$G$3,$H$3)</f>
        <v>2.1000000000000005</v>
      </c>
      <c r="B27" s="1">
        <v>5.4370000663316045</v>
      </c>
      <c r="C27" s="1">
        <v>2.0705178289069011</v>
      </c>
      <c r="E27" s="1">
        <f t="shared" si="1"/>
        <v>5.7684794713966614</v>
      </c>
      <c r="F27" s="1">
        <f t="shared" si="2"/>
        <v>1.9429265741578146</v>
      </c>
      <c r="G27" s="1">
        <f t="shared" si="0"/>
        <v>0.19753613119975544</v>
      </c>
      <c r="H27" s="1">
        <f t="shared" si="3"/>
        <v>1.8079783579118673</v>
      </c>
      <c r="J27" s="1"/>
      <c r="K27" s="1"/>
      <c r="L27" s="1"/>
      <c r="M27" s="1"/>
    </row>
    <row r="28" spans="1:13" x14ac:dyDescent="0.25">
      <c r="A28" s="2">
        <f t="array" ref="A28:C28">ODE_RK4(A27:C27,$C$3,$E$3,$F$3,$G$3,$H$3)</f>
        <v>2.2000000000000006</v>
      </c>
      <c r="B28" s="1">
        <v>5.3854753299619462</v>
      </c>
      <c r="C28" s="1">
        <v>2.2485553700988015</v>
      </c>
      <c r="E28" s="1">
        <f t="shared" si="1"/>
        <v>5.7882330845166372</v>
      </c>
      <c r="F28" s="1">
        <f t="shared" si="2"/>
        <v>2.1237244099490011</v>
      </c>
      <c r="G28" s="1">
        <f t="shared" si="0"/>
        <v>-0.42968743381746499</v>
      </c>
      <c r="H28" s="1">
        <f t="shared" si="3"/>
        <v>1.9888040396595137</v>
      </c>
      <c r="J28" s="1"/>
      <c r="K28" s="1"/>
      <c r="L28" s="1"/>
      <c r="M28" s="1"/>
    </row>
    <row r="29" spans="1:13" x14ac:dyDescent="0.25">
      <c r="A29" s="2">
        <f t="array" ref="A29:C29">ODE_RK4(A28:C28,$C$3,$E$3,$F$3,$G$3,$H$3)</f>
        <v>2.3000000000000007</v>
      </c>
      <c r="B29" s="1">
        <v>5.2761504880764116</v>
      </c>
      <c r="C29" s="1">
        <v>2.4360158541512109</v>
      </c>
      <c r="E29" s="1">
        <f t="shared" si="1"/>
        <v>5.7452643411348907</v>
      </c>
      <c r="F29" s="1">
        <f t="shared" si="2"/>
        <v>2.3226048139149524</v>
      </c>
      <c r="G29" s="1">
        <f t="shared" si="0"/>
        <v>-1.1120699601984194</v>
      </c>
      <c r="H29" s="1">
        <f t="shared" si="3"/>
        <v>2.1451097336481819</v>
      </c>
      <c r="J29" s="1"/>
      <c r="K29" s="1"/>
      <c r="L29" s="1"/>
      <c r="M29" s="1"/>
    </row>
    <row r="30" spans="1:13" x14ac:dyDescent="0.25">
      <c r="A30" s="2">
        <f t="array" ref="A30:C30">ODE_RK4(A29:C29,$C$3,$E$3,$F$3,$G$3,$H$3)</f>
        <v>2.4000000000000008</v>
      </c>
      <c r="B30" s="1">
        <v>5.1103630815411423</v>
      </c>
      <c r="C30" s="1">
        <v>2.6282093612340147</v>
      </c>
      <c r="E30" s="1">
        <f t="shared" si="1"/>
        <v>5.6340573451150489</v>
      </c>
      <c r="F30" s="1">
        <f t="shared" si="2"/>
        <v>2.5371157872797707</v>
      </c>
      <c r="G30" s="1">
        <f t="shared" si="0"/>
        <v>-1.8156846879005073</v>
      </c>
      <c r="H30" s="1">
        <f t="shared" si="3"/>
        <v>2.2585841211954665</v>
      </c>
      <c r="J30" s="1"/>
      <c r="K30" s="1"/>
      <c r="L30" s="1"/>
      <c r="M30" s="1"/>
    </row>
    <row r="31" spans="1:13" x14ac:dyDescent="0.25">
      <c r="A31" s="2">
        <f t="array" ref="A31:C31">ODE_RK4(A30:C30,$C$3,$E$3,$F$3,$G$3,$H$3)</f>
        <v>2.5000000000000009</v>
      </c>
      <c r="B31" s="1">
        <v>4.8930454128530965</v>
      </c>
      <c r="C31" s="1">
        <v>2.8192620340164956</v>
      </c>
      <c r="E31" s="1">
        <f t="shared" si="1"/>
        <v>5.4524888763249981</v>
      </c>
      <c r="F31" s="1">
        <f t="shared" si="2"/>
        <v>2.7629741993993173</v>
      </c>
      <c r="G31" s="1">
        <f t="shared" si="0"/>
        <v>-2.4960650010886498</v>
      </c>
      <c r="H31" s="1">
        <f t="shared" si="3"/>
        <v>2.30914646681987</v>
      </c>
      <c r="J31" s="1"/>
      <c r="K31" s="1"/>
      <c r="L31" s="1"/>
      <c r="M31" s="1"/>
    </row>
    <row r="32" spans="1:13" x14ac:dyDescent="0.25">
      <c r="A32" s="2">
        <f t="array" ref="A32:C32">ODE_RK4(A31:C31,$C$3,$E$3,$F$3,$G$3,$H$3)</f>
        <v>2.600000000000001</v>
      </c>
      <c r="B32" s="1">
        <v>4.6325014133663878</v>
      </c>
      <c r="C32" s="1">
        <v>3.0025196623646457</v>
      </c>
      <c r="E32" s="1">
        <f t="shared" si="1"/>
        <v>5.2028823762161327</v>
      </c>
      <c r="F32" s="1">
        <f t="shared" si="2"/>
        <v>2.9938888460813042</v>
      </c>
      <c r="G32" s="1">
        <f t="shared" si="0"/>
        <v>-3.1026520567165248</v>
      </c>
      <c r="H32" s="1">
        <f t="shared" si="3"/>
        <v>2.2779443772228984</v>
      </c>
      <c r="J32" s="1"/>
      <c r="K32" s="1"/>
      <c r="L32" s="1"/>
      <c r="M32" s="1"/>
    </row>
    <row r="33" spans="1:13" x14ac:dyDescent="0.25">
      <c r="A33" s="2">
        <f t="array" ref="A33:C33">ODE_RK4(A32:C32,$C$3,$E$3,$F$3,$G$3,$H$3)</f>
        <v>2.7000000000000011</v>
      </c>
      <c r="B33" s="1">
        <v>4.3396405411277312</v>
      </c>
      <c r="C33" s="1">
        <v>3.1711516766311827</v>
      </c>
      <c r="E33" s="1">
        <f t="shared" si="1"/>
        <v>4.8926171705444803</v>
      </c>
      <c r="F33" s="1">
        <f t="shared" si="2"/>
        <v>3.221683283803594</v>
      </c>
      <c r="G33" s="1">
        <f t="shared" si="0"/>
        <v>-3.5863371667827773</v>
      </c>
      <c r="H33" s="1">
        <f t="shared" si="3"/>
        <v>2.1513922586752012</v>
      </c>
      <c r="J33" s="1"/>
      <c r="K33" s="1"/>
      <c r="L33" s="1"/>
      <c r="M33" s="1"/>
    </row>
    <row r="34" spans="1:13" x14ac:dyDescent="0.25">
      <c r="A34" s="2">
        <f t="array" ref="A34:C34">ODE_RK4(A33:C33,$C$3,$E$3,$F$3,$G$3,$H$3)</f>
        <v>2.8000000000000012</v>
      </c>
      <c r="B34" s="1">
        <v>4.0267941217925181</v>
      </c>
      <c r="C34" s="1">
        <v>3.3188510372557389</v>
      </c>
      <c r="E34" s="1">
        <f t="shared" si="1"/>
        <v>4.5339834538662025</v>
      </c>
      <c r="F34" s="1">
        <f t="shared" si="2"/>
        <v>3.436822509671114</v>
      </c>
      <c r="G34" s="1">
        <f t="shared" si="0"/>
        <v>-3.9087176909948047</v>
      </c>
      <c r="H34" s="1">
        <f t="shared" si="3"/>
        <v>1.9252909100802325</v>
      </c>
      <c r="J34" s="1"/>
      <c r="K34" s="1"/>
      <c r="L34" s="1"/>
      <c r="M34" s="1"/>
    </row>
    <row r="35" spans="1:13" x14ac:dyDescent="0.25">
      <c r="A35" s="2">
        <f t="array" ref="A35:C35">ODE_RK4(A34:C34,$C$3,$E$3,$F$3,$G$3,$H$3)</f>
        <v>2.9000000000000012</v>
      </c>
      <c r="B35" s="1">
        <v>3.7063650331152593</v>
      </c>
      <c r="C35" s="1">
        <v>3.4404848086392987</v>
      </c>
      <c r="E35" s="1">
        <f t="shared" si="1"/>
        <v>4.1431116847667218</v>
      </c>
      <c r="F35" s="1">
        <f t="shared" si="2"/>
        <v>3.6293516006791373</v>
      </c>
      <c r="G35" s="1">
        <f t="shared" si="0"/>
        <v>-4.0503513932202582</v>
      </c>
      <c r="H35" s="1">
        <f t="shared" si="3"/>
        <v>1.6075614269268521</v>
      </c>
      <c r="J35" s="1"/>
      <c r="K35" s="1"/>
      <c r="L35" s="1"/>
      <c r="M35" s="1"/>
    </row>
    <row r="36" spans="1:13" x14ac:dyDescent="0.25">
      <c r="A36" s="2">
        <f t="array" ref="A36:C36">ODE_RK4(A35:C35,$C$3,$E$3,$F$3,$G$3,$H$3)</f>
        <v>3.0000000000000013</v>
      </c>
      <c r="B36" s="1">
        <v>3.3896005347340683</v>
      </c>
      <c r="C36" s="1">
        <v>3.5325591914718486</v>
      </c>
      <c r="E36" s="1">
        <f t="shared" si="1"/>
        <v>3.738076545444696</v>
      </c>
      <c r="F36" s="1">
        <f t="shared" si="2"/>
        <v>3.7901077433718227</v>
      </c>
      <c r="G36" s="1">
        <f t="shared" si="0"/>
        <v>-4.0149358615902857</v>
      </c>
      <c r="H36" s="1">
        <f t="shared" si="3"/>
        <v>1.2182276633645022</v>
      </c>
      <c r="J36" s="1"/>
      <c r="K36" s="1"/>
      <c r="L36" s="1"/>
      <c r="M36" s="1"/>
    </row>
    <row r="37" spans="1:13" x14ac:dyDescent="0.25">
      <c r="A37" s="2">
        <f t="array" ref="A37:C37">ODE_RK4(A36:C36,$C$3,$E$3,$F$3,$G$3,$H$3)</f>
        <v>3.1000000000000014</v>
      </c>
      <c r="B37" s="1">
        <v>3.0857154560348081</v>
      </c>
      <c r="C37" s="1">
        <v>3.5934188810055443</v>
      </c>
      <c r="E37" s="1">
        <f t="shared" si="1"/>
        <v>3.3365829592856673</v>
      </c>
      <c r="F37" s="1">
        <f t="shared" si="2"/>
        <v>3.9119305097082728</v>
      </c>
      <c r="G37" s="1">
        <f t="shared" si="0"/>
        <v>-3.8275888548185897</v>
      </c>
      <c r="H37" s="1">
        <f t="shared" si="3"/>
        <v>0.78619979521407668</v>
      </c>
      <c r="J37" s="1"/>
      <c r="K37" s="1"/>
      <c r="L37" s="1"/>
      <c r="M37" s="1"/>
    </row>
    <row r="38" spans="1:13" x14ac:dyDescent="0.25">
      <c r="A38" s="2">
        <f t="array" ref="A38:C38">ODE_RK4(A37:C37,$C$3,$E$3,$F$3,$G$3,$H$3)</f>
        <v>3.2000000000000015</v>
      </c>
      <c r="B38" s="1">
        <v>2.8014655820812124</v>
      </c>
      <c r="C38" s="1">
        <v>3.6231774833358319</v>
      </c>
      <c r="E38" s="1">
        <f t="shared" si="1"/>
        <v>2.9538240738038084</v>
      </c>
      <c r="F38" s="1">
        <f t="shared" si="2"/>
        <v>3.9905504892296806</v>
      </c>
      <c r="G38" s="1">
        <f t="shared" ref="G38:G69" si="4">$E$3*E38-$F$3*E38*F38</f>
        <v>-3.5278415731251473</v>
      </c>
      <c r="H38" s="1">
        <f t="shared" si="3"/>
        <v>0.3437748394611142</v>
      </c>
      <c r="J38" s="1"/>
      <c r="K38" s="1"/>
      <c r="L38" s="1"/>
      <c r="M38" s="1"/>
    </row>
    <row r="39" spans="1:13" x14ac:dyDescent="0.25">
      <c r="A39" s="2">
        <f t="array" ref="A39:C39">ODE_RK4(A38:C38,$C$3,$E$3,$F$3,$G$3,$H$3)</f>
        <v>3.3000000000000016</v>
      </c>
      <c r="B39" s="1">
        <v>2.5411403275992441</v>
      </c>
      <c r="C39" s="1">
        <v>3.6234403817203735</v>
      </c>
      <c r="E39" s="1">
        <f t="shared" ref="E39:E70" si="5">E38+$C$3*G38</f>
        <v>2.6010399164912936</v>
      </c>
      <c r="F39" s="1">
        <f t="shared" ref="F39:F70" si="6">F38+$C$3*H38</f>
        <v>4.0249279731757923</v>
      </c>
      <c r="G39" s="1">
        <f t="shared" si="4"/>
        <v>-3.1601510917500284</v>
      </c>
      <c r="H39" s="1">
        <f t="shared" ref="H39:H70" si="7">-$G$3*F39+$H$3*E39*F39</f>
        <v>-7.9242882770843792E-2</v>
      </c>
      <c r="J39" s="1"/>
      <c r="K39" s="1"/>
      <c r="L39" s="1"/>
      <c r="M39" s="1"/>
    </row>
    <row r="40" spans="1:13" x14ac:dyDescent="0.25">
      <c r="A40" s="2">
        <f t="array" ref="A40:C40">ODE_RK4(A39:C39,$C$3,$E$3,$F$3,$G$3,$H$3)</f>
        <v>3.4000000000000017</v>
      </c>
      <c r="B40" s="1">
        <v>2.3068579224985624</v>
      </c>
      <c r="C40" s="1">
        <v>3.5969131651529889</v>
      </c>
      <c r="E40" s="1">
        <f t="shared" si="5"/>
        <v>2.2850248073162907</v>
      </c>
      <c r="F40" s="1">
        <f t="shared" si="6"/>
        <v>4.0170036848987083</v>
      </c>
      <c r="G40" s="1">
        <f t="shared" si="4"/>
        <v>-2.7653420738651513</v>
      </c>
      <c r="H40" s="1">
        <f t="shared" si="7"/>
        <v>-0.45991702659661682</v>
      </c>
      <c r="J40" s="1"/>
      <c r="K40" s="1"/>
      <c r="L40" s="1"/>
      <c r="M40" s="1"/>
    </row>
    <row r="41" spans="1:13" x14ac:dyDescent="0.25">
      <c r="A41" s="2">
        <f t="array" ref="A41:C41">ODE_RK4(A40:C40,$C$3,$E$3,$F$3,$G$3,$H$3)</f>
        <v>3.5000000000000018</v>
      </c>
      <c r="B41" s="1">
        <v>2.0990201799752168</v>
      </c>
      <c r="C41" s="1">
        <v>3.5469862194940727</v>
      </c>
      <c r="E41" s="1">
        <f t="shared" si="5"/>
        <v>2.0084905999297753</v>
      </c>
      <c r="F41" s="1">
        <f t="shared" si="6"/>
        <v>3.9710119822390464</v>
      </c>
      <c r="G41" s="1">
        <f t="shared" si="4"/>
        <v>-2.3752554232056466</v>
      </c>
      <c r="H41" s="1">
        <f t="shared" si="7"/>
        <v>-0.78408751423054879</v>
      </c>
      <c r="J41" s="1"/>
      <c r="K41" s="1"/>
      <c r="L41" s="1"/>
      <c r="M41" s="1"/>
    </row>
    <row r="42" spans="1:13" x14ac:dyDescent="0.25">
      <c r="A42" s="2">
        <f t="array" ref="A42:C42">ODE_RK4(A41:C41,$C$3,$E$3,$F$3,$G$3,$H$3)</f>
        <v>3.6000000000000019</v>
      </c>
      <c r="B42" s="1">
        <v>1.9168037513861251</v>
      </c>
      <c r="C42" s="1">
        <v>3.4773617234807404</v>
      </c>
      <c r="E42" s="1">
        <f t="shared" si="5"/>
        <v>1.7709650576092106</v>
      </c>
      <c r="F42" s="1">
        <f t="shared" si="6"/>
        <v>3.8926032308159915</v>
      </c>
      <c r="G42" s="1">
        <f t="shared" si="4"/>
        <v>-2.0110405138160523</v>
      </c>
      <c r="H42" s="1">
        <f t="shared" si="7"/>
        <v>-1.045983293179241</v>
      </c>
      <c r="J42" s="1"/>
      <c r="K42" s="1"/>
      <c r="L42" s="1"/>
      <c r="M42" s="1"/>
    </row>
    <row r="43" spans="1:13" x14ac:dyDescent="0.25">
      <c r="A43" s="2">
        <f t="array" ref="A43:C43">ODE_RK4(A42:C42,$C$3,$E$3,$F$3,$G$3,$H$3)</f>
        <v>3.700000000000002</v>
      </c>
      <c r="B43" s="1">
        <v>1.7586058733491459</v>
      </c>
      <c r="C43" s="1">
        <v>3.3917585418587448</v>
      </c>
      <c r="E43" s="1">
        <f t="shared" si="5"/>
        <v>1.5698610062276055</v>
      </c>
      <c r="F43" s="1">
        <f t="shared" si="6"/>
        <v>3.7880049014980672</v>
      </c>
      <c r="G43" s="1">
        <f t="shared" si="4"/>
        <v>-1.6841515042833877</v>
      </c>
      <c r="H43" s="1">
        <f t="shared" si="7"/>
        <v>-1.246411565320197</v>
      </c>
      <c r="J43" s="1"/>
      <c r="K43" s="1"/>
      <c r="L43" s="1"/>
      <c r="M43" s="1"/>
    </row>
    <row r="44" spans="1:13" x14ac:dyDescent="0.25">
      <c r="A44" s="2">
        <f t="array" ref="A44:C44">ODE_RK4(A43:C43,$C$3,$E$3,$F$3,$G$3,$H$3)</f>
        <v>3.800000000000002</v>
      </c>
      <c r="B44" s="1">
        <v>1.6224042174172277</v>
      </c>
      <c r="C44" s="1">
        <v>3.2937043639494372</v>
      </c>
      <c r="E44" s="1">
        <f t="shared" si="5"/>
        <v>1.4014458557992668</v>
      </c>
      <c r="F44" s="1">
        <f t="shared" si="6"/>
        <v>3.6633637449660474</v>
      </c>
      <c r="G44" s="1">
        <f t="shared" si="4"/>
        <v>-1.3986685362416493</v>
      </c>
      <c r="H44" s="1">
        <f t="shared" si="7"/>
        <v>-1.3904892143724534</v>
      </c>
      <c r="J44" s="1"/>
      <c r="K44" s="1"/>
      <c r="L44" s="1"/>
      <c r="M44" s="1"/>
    </row>
    <row r="45" spans="1:13" x14ac:dyDescent="0.25">
      <c r="A45" s="2">
        <f t="array" ref="A45:C45">ODE_RK4(A44:C44,$C$3,$E$3,$F$3,$G$3,$H$3)</f>
        <v>3.9000000000000021</v>
      </c>
      <c r="B45" s="1">
        <v>1.5060216224933776</v>
      </c>
      <c r="C45" s="1">
        <v>3.1864074313067983</v>
      </c>
      <c r="E45" s="1">
        <f t="shared" si="5"/>
        <v>1.2615790021751019</v>
      </c>
      <c r="F45" s="1">
        <f t="shared" si="6"/>
        <v>3.524314823528802</v>
      </c>
      <c r="G45" s="1">
        <f t="shared" si="4"/>
        <v>-1.1538261444409097</v>
      </c>
      <c r="H45" s="1">
        <f t="shared" si="7"/>
        <v>-1.485591385297526</v>
      </c>
      <c r="J45" s="1"/>
      <c r="K45" s="1"/>
      <c r="L45" s="1"/>
      <c r="M45" s="1"/>
    </row>
    <row r="46" spans="1:13" x14ac:dyDescent="0.25">
      <c r="A46" s="2">
        <f t="array" ref="A46:C46">ODE_RK4(A45:C45,$C$3,$E$3,$F$3,$G$3,$H$3)</f>
        <v>4.0000000000000018</v>
      </c>
      <c r="B46" s="1">
        <v>1.4073048588414079</v>
      </c>
      <c r="C46" s="1">
        <v>3.0726920542567102</v>
      </c>
      <c r="E46" s="1">
        <f t="shared" si="5"/>
        <v>1.1461963877310108</v>
      </c>
      <c r="F46" s="1">
        <f t="shared" si="6"/>
        <v>3.3757556849990493</v>
      </c>
      <c r="G46" s="1">
        <f t="shared" si="4"/>
        <v>-0.9461317179277875</v>
      </c>
      <c r="H46" s="1">
        <f t="shared" si="7"/>
        <v>-1.5398208563967393</v>
      </c>
      <c r="J46" s="1"/>
      <c r="K46" s="1"/>
      <c r="L46" s="1"/>
      <c r="M46" s="1"/>
    </row>
    <row r="47" spans="1:13" x14ac:dyDescent="0.25">
      <c r="A47" s="2">
        <f t="array" ref="A47:C47">ODE_RK4(A46:C46,$C$3,$E$3,$F$3,$G$3,$H$3)</f>
        <v>4.1000000000000014</v>
      </c>
      <c r="B47" s="1">
        <v>1.3242344935184764</v>
      </c>
      <c r="C47" s="1">
        <v>2.9549803411600943</v>
      </c>
      <c r="E47" s="1">
        <f t="shared" si="5"/>
        <v>1.0515832159382321</v>
      </c>
      <c r="F47" s="1">
        <f t="shared" si="6"/>
        <v>3.2217735993593752</v>
      </c>
      <c r="G47" s="1">
        <f t="shared" si="4"/>
        <v>-0.7708779664576566</v>
      </c>
      <c r="H47" s="1">
        <f t="shared" si="7"/>
        <v>-1.5610299666957328</v>
      </c>
      <c r="J47" s="1"/>
      <c r="K47" s="1"/>
      <c r="L47" s="1"/>
      <c r="M47" s="1"/>
    </row>
    <row r="48" spans="1:13" x14ac:dyDescent="0.25">
      <c r="A48" s="2">
        <f t="array" ref="A48:C48">ODE_RK4(A47:C47,$C$3,$E$3,$F$3,$G$3,$H$3)</f>
        <v>4.2000000000000011</v>
      </c>
      <c r="B48" s="1">
        <v>1.254984133689047</v>
      </c>
      <c r="C48" s="1">
        <v>2.8353043839130874</v>
      </c>
      <c r="E48" s="1">
        <f t="shared" si="5"/>
        <v>0.97449541929246641</v>
      </c>
      <c r="F48" s="1">
        <f t="shared" si="6"/>
        <v>3.065670602689802</v>
      </c>
      <c r="G48" s="1">
        <f t="shared" si="4"/>
        <v>-0.62309467247751238</v>
      </c>
      <c r="H48" s="1">
        <f t="shared" si="7"/>
        <v>-1.5562918943376058</v>
      </c>
      <c r="J48" s="1"/>
      <c r="K48" s="1"/>
      <c r="L48" s="1"/>
      <c r="M48" s="1"/>
    </row>
    <row r="49" spans="1:13" x14ac:dyDescent="0.25">
      <c r="A49" s="2">
        <f t="array" ref="A49:C49">ODE_RK4(A48:C48,$C$3,$E$3,$F$3,$G$3,$H$3)</f>
        <v>4.3000000000000007</v>
      </c>
      <c r="B49" s="1">
        <v>1.1979450900161848</v>
      </c>
      <c r="C49" s="1">
        <v>2.7153364269188787</v>
      </c>
      <c r="E49" s="1">
        <f t="shared" si="5"/>
        <v>0.9121859520447152</v>
      </c>
      <c r="F49" s="1">
        <f t="shared" si="6"/>
        <v>2.9100414132560415</v>
      </c>
      <c r="G49" s="1">
        <f t="shared" si="4"/>
        <v>-0.4980761957706481</v>
      </c>
      <c r="H49" s="1">
        <f t="shared" si="7"/>
        <v>-1.5316834614926802</v>
      </c>
      <c r="J49" s="1"/>
      <c r="K49" s="1"/>
      <c r="L49" s="1"/>
      <c r="M49" s="1"/>
    </row>
    <row r="50" spans="1:13" x14ac:dyDescent="0.25">
      <c r="A50" s="2">
        <f t="array" ref="A50:C50">ODE_RK4(A49:C49,$C$3,$E$3,$F$3,$G$3,$H$3)</f>
        <v>4.4000000000000004</v>
      </c>
      <c r="B50" s="1">
        <v>1.1517290439983756</v>
      </c>
      <c r="C50" s="1">
        <v>2.5964279914966273</v>
      </c>
      <c r="E50" s="1">
        <f t="shared" si="5"/>
        <v>0.86237833246765039</v>
      </c>
      <c r="F50" s="1">
        <f t="shared" si="6"/>
        <v>2.7568730671067736</v>
      </c>
      <c r="G50" s="1">
        <f t="shared" si="4"/>
        <v>-0.39162656010072938</v>
      </c>
      <c r="H50" s="1">
        <f t="shared" si="7"/>
        <v>-1.492258174154464</v>
      </c>
      <c r="J50" s="1"/>
      <c r="K50" s="1"/>
      <c r="L50" s="1"/>
      <c r="M50" s="1"/>
    </row>
    <row r="51" spans="1:13" x14ac:dyDescent="0.25">
      <c r="A51" s="2">
        <f t="array" ref="A51:C51">ODE_RK4(A50:C50,$C$3,$E$3,$F$3,$G$3,$H$3)</f>
        <v>4.5</v>
      </c>
      <c r="B51" s="1">
        <v>1.115157852236349</v>
      </c>
      <c r="C51" s="1">
        <v>2.4796519004224393</v>
      </c>
      <c r="E51" s="1">
        <f t="shared" si="5"/>
        <v>0.82321567645757743</v>
      </c>
      <c r="F51" s="1">
        <f t="shared" si="6"/>
        <v>2.6076472496913272</v>
      </c>
      <c r="G51" s="1">
        <f t="shared" si="4"/>
        <v>-0.30013484502133936</v>
      </c>
      <c r="H51" s="1">
        <f t="shared" si="7"/>
        <v>-1.4421209713678458</v>
      </c>
      <c r="J51" s="1"/>
      <c r="K51" s="1"/>
      <c r="L51" s="1"/>
      <c r="M51" s="1"/>
    </row>
    <row r="52" spans="1:13" x14ac:dyDescent="0.25">
      <c r="A52" s="2">
        <f t="array" ref="A52:C52">ODE_RK4(A51:C51,$C$3,$E$3,$F$3,$G$3,$H$3)</f>
        <v>4.5999999999999996</v>
      </c>
      <c r="B52" s="1">
        <v>1.0872467182022443</v>
      </c>
      <c r="C52" s="1">
        <v>2.3658434438441547</v>
      </c>
      <c r="E52" s="1">
        <f t="shared" si="5"/>
        <v>0.7932021919554435</v>
      </c>
      <c r="F52" s="1">
        <f t="shared" si="6"/>
        <v>2.4634351525545428</v>
      </c>
      <c r="G52" s="1">
        <f t="shared" si="4"/>
        <v>-0.22055866730128115</v>
      </c>
      <c r="H52" s="1">
        <f t="shared" si="7"/>
        <v>-1.3845474732197276</v>
      </c>
      <c r="J52" s="1"/>
      <c r="K52" s="1"/>
      <c r="L52" s="1"/>
      <c r="M52" s="1"/>
    </row>
    <row r="53" spans="1:13" x14ac:dyDescent="0.25">
      <c r="A53" s="2">
        <f t="array" ref="A53:C53">ODE_RK4(A52:C52,$C$3,$E$3,$F$3,$G$3,$H$3)</f>
        <v>4.6999999999999993</v>
      </c>
      <c r="B53" s="1">
        <v>1.067184747915684</v>
      </c>
      <c r="C53" s="1">
        <v>2.2556385702648618</v>
      </c>
      <c r="E53" s="1">
        <f t="shared" si="5"/>
        <v>0.77114632522531534</v>
      </c>
      <c r="F53" s="1">
        <f t="shared" si="6"/>
        <v>2.3249804052325702</v>
      </c>
      <c r="G53" s="1">
        <f t="shared" si="4"/>
        <v>-0.15036446715919816</v>
      </c>
      <c r="H53" s="1">
        <f t="shared" si="7"/>
        <v>-1.3221142954712679</v>
      </c>
      <c r="J53" s="1"/>
      <c r="K53" s="1"/>
      <c r="L53" s="1"/>
      <c r="M53" s="1"/>
    </row>
    <row r="54" spans="1:13" x14ac:dyDescent="0.25">
      <c r="A54" s="2">
        <f t="array" ref="A54:C54">ODE_RK4(A53:C53,$C$3,$E$3,$F$3,$G$3,$H$3)</f>
        <v>4.7999999999999989</v>
      </c>
      <c r="B54" s="1">
        <v>1.0543153256988549</v>
      </c>
      <c r="C54" s="1">
        <v>2.1495080896904648</v>
      </c>
      <c r="E54" s="1">
        <f t="shared" si="5"/>
        <v>0.75610987850939548</v>
      </c>
      <c r="F54" s="1">
        <f t="shared" si="6"/>
        <v>2.1927689756854436</v>
      </c>
      <c r="G54" s="1">
        <f t="shared" si="4"/>
        <v>-8.7452716071540815E-2</v>
      </c>
      <c r="H54" s="1">
        <f t="shared" si="7"/>
        <v>-1.2568228954069474</v>
      </c>
      <c r="J54" s="1"/>
      <c r="K54" s="1"/>
      <c r="L54" s="1"/>
      <c r="M54" s="1"/>
    </row>
    <row r="55" spans="1:13" x14ac:dyDescent="0.25">
      <c r="A55" s="2">
        <f t="array" ref="A55:C55">ODE_RK4(A54:C54,$C$3,$E$3,$F$3,$G$3,$H$3)</f>
        <v>4.8999999999999986</v>
      </c>
      <c r="B55" s="1">
        <v>1.0481176751385579</v>
      </c>
      <c r="C55" s="1">
        <v>2.0477875747361818</v>
      </c>
      <c r="E55" s="1">
        <f t="shared" si="5"/>
        <v>0.74736460690224138</v>
      </c>
      <c r="F55" s="1">
        <f t="shared" si="6"/>
        <v>2.0670866861447488</v>
      </c>
      <c r="G55" s="1">
        <f t="shared" si="4"/>
        <v>-3.0082928891366545E-2</v>
      </c>
      <c r="H55" s="1">
        <f t="shared" si="7"/>
        <v>-1.1902091203287712</v>
      </c>
      <c r="J55" s="1"/>
      <c r="K55" s="1"/>
      <c r="L55" s="1"/>
      <c r="M55" s="1"/>
    </row>
    <row r="56" spans="1:13" x14ac:dyDescent="0.25">
      <c r="A56" s="2">
        <f t="array" ref="A56:C56">ODE_RK4(A55:C55,$C$3,$E$3,$F$3,$G$3,$H$3)</f>
        <v>4.9999999999999982</v>
      </c>
      <c r="B56" s="1">
        <v>1.0481902763992894</v>
      </c>
      <c r="C56" s="1">
        <v>1.9507030594394972</v>
      </c>
      <c r="E56" s="1">
        <f t="shared" si="5"/>
        <v>0.74435631401310476</v>
      </c>
      <c r="F56" s="1">
        <f t="shared" si="6"/>
        <v>1.9480657741118717</v>
      </c>
      <c r="G56" s="1">
        <f t="shared" si="4"/>
        <v>2.3194541371926669E-2</v>
      </c>
      <c r="H56" s="1">
        <f t="shared" si="7"/>
        <v>-1.1234361015675978</v>
      </c>
      <c r="J56" s="1"/>
      <c r="K56" s="1"/>
      <c r="L56" s="1"/>
      <c r="M56" s="1"/>
    </row>
    <row r="57" spans="1:13" x14ac:dyDescent="0.25">
      <c r="A57" s="2">
        <f t="array" ref="A57:C57">ODE_RK4(A56:C56,$C$3,$E$3,$F$3,$G$3,$H$3)</f>
        <v>5.0999999999999979</v>
      </c>
      <c r="B57" s="1">
        <v>1.054236380926961</v>
      </c>
      <c r="C57" s="1">
        <v>1.8583928592406493</v>
      </c>
      <c r="E57" s="1">
        <f t="shared" si="5"/>
        <v>0.74667576815029746</v>
      </c>
      <c r="F57" s="1">
        <f t="shared" si="6"/>
        <v>1.8357221639551118</v>
      </c>
      <c r="G57" s="1">
        <f t="shared" si="4"/>
        <v>7.3597367651331291E-2</v>
      </c>
      <c r="H57" s="1">
        <f t="shared" si="7"/>
        <v>-1.0573709540995768</v>
      </c>
      <c r="J57" s="1"/>
      <c r="K57" s="1"/>
      <c r="L57" s="1"/>
      <c r="M57" s="1"/>
    </row>
    <row r="58" spans="1:13" x14ac:dyDescent="0.25">
      <c r="A58" s="2">
        <f t="array" ref="A58:C58">ODE_RK4(A57:C57,$C$3,$E$3,$F$3,$G$3,$H$3)</f>
        <v>5.1999999999999975</v>
      </c>
      <c r="B58" s="1">
        <v>1.0660516111136371</v>
      </c>
      <c r="C58" s="1">
        <v>1.7709259380905993</v>
      </c>
      <c r="E58" s="1">
        <f t="shared" si="5"/>
        <v>0.75403550491543059</v>
      </c>
      <c r="F58" s="1">
        <f t="shared" si="6"/>
        <v>1.7299850685451541</v>
      </c>
      <c r="G58" s="1">
        <f t="shared" si="4"/>
        <v>0.12216050710455606</v>
      </c>
      <c r="H58" s="1">
        <f t="shared" si="7"/>
        <v>-0.99264700543914319</v>
      </c>
      <c r="J58" s="1"/>
      <c r="K58" s="1"/>
      <c r="L58" s="1"/>
      <c r="M58" s="1"/>
    </row>
    <row r="59" spans="1:13" x14ac:dyDescent="0.25">
      <c r="A59" s="2">
        <f t="array" ref="A59:C59">ODE_RK4(A58:C58,$C$3,$E$3,$F$3,$G$3,$H$3)</f>
        <v>5.2999999999999972</v>
      </c>
      <c r="B59" s="1">
        <v>1.0835134926310204</v>
      </c>
      <c r="C59" s="1">
        <v>1.6883172777262196</v>
      </c>
      <c r="E59" s="1">
        <f t="shared" si="5"/>
        <v>0.7662515556258862</v>
      </c>
      <c r="F59" s="1">
        <f t="shared" si="6"/>
        <v>1.6307203680012399</v>
      </c>
      <c r="G59" s="1">
        <f t="shared" si="4"/>
        <v>0.1697766554880028</v>
      </c>
      <c r="H59" s="1">
        <f t="shared" si="7"/>
        <v>-0.9297136887694617</v>
      </c>
      <c r="J59" s="1"/>
      <c r="K59" s="1"/>
      <c r="L59" s="1"/>
      <c r="M59" s="1"/>
    </row>
    <row r="60" spans="1:13" x14ac:dyDescent="0.25">
      <c r="A60" s="2">
        <f t="array" ref="A60:C60">ODE_RK4(A59:C59,$C$3,$E$3,$F$3,$G$3,$H$3)</f>
        <v>5.3999999999999968</v>
      </c>
      <c r="B60" s="1">
        <v>1.106572697347642</v>
      </c>
      <c r="C60" s="1">
        <v>1.6105406915424794</v>
      </c>
      <c r="E60" s="1">
        <f t="shared" si="5"/>
        <v>0.78322922117468652</v>
      </c>
      <c r="F60" s="1">
        <f t="shared" si="6"/>
        <v>1.5377489991242936</v>
      </c>
      <c r="G60" s="1">
        <f t="shared" si="4"/>
        <v>0.21722909484185926</v>
      </c>
      <c r="H60" s="1">
        <f t="shared" si="7"/>
        <v>-0.86887621401555282</v>
      </c>
      <c r="J60" s="1"/>
      <c r="K60" s="1"/>
      <c r="L60" s="1"/>
      <c r="M60" s="1"/>
    </row>
    <row r="61" spans="1:13" x14ac:dyDescent="0.25">
      <c r="A61" s="2">
        <f t="array" ref="A61:C61">ODE_RK4(A60:C60,$C$3,$E$3,$F$3,$G$3,$H$3)</f>
        <v>5.4999999999999964</v>
      </c>
      <c r="B61" s="1">
        <v>1.1352457459430272</v>
      </c>
      <c r="C61" s="1">
        <v>1.537539491479927</v>
      </c>
      <c r="E61" s="1">
        <f t="shared" si="5"/>
        <v>0.8049521306588725</v>
      </c>
      <c r="F61" s="1">
        <f t="shared" si="6"/>
        <v>1.4508613777227384</v>
      </c>
      <c r="G61" s="1">
        <f t="shared" si="4"/>
        <v>0.26521818241749573</v>
      </c>
      <c r="H61" s="1">
        <f t="shared" si="7"/>
        <v>-0.81032691499161502</v>
      </c>
      <c r="J61" s="1"/>
      <c r="K61" s="1"/>
      <c r="L61" s="1"/>
      <c r="M61" s="1"/>
    </row>
    <row r="62" spans="1:13" x14ac:dyDescent="0.25">
      <c r="A62" s="2">
        <f t="array" ref="A62:C62">ODE_RK4(A61:C61,$C$3,$E$3,$F$3,$G$3,$H$3)</f>
        <v>5.5999999999999961</v>
      </c>
      <c r="B62" s="1">
        <v>1.1696089126072349</v>
      </c>
      <c r="C62" s="1">
        <v>1.4692353734231647</v>
      </c>
      <c r="E62" s="1">
        <f t="shared" si="5"/>
        <v>0.8314739489006221</v>
      </c>
      <c r="F62" s="1">
        <f t="shared" si="6"/>
        <v>1.3698286862235769</v>
      </c>
      <c r="G62" s="1">
        <f t="shared" si="4"/>
        <v>0.31438261844974524</v>
      </c>
      <c r="H62" s="1">
        <f t="shared" si="7"/>
        <v>-0.754169888863361</v>
      </c>
      <c r="J62" s="1"/>
      <c r="K62" s="1"/>
      <c r="L62" s="1"/>
      <c r="M62" s="1"/>
    </row>
    <row r="63" spans="1:13" x14ac:dyDescent="0.25">
      <c r="A63" s="2">
        <f t="array" ref="A63:C63">ODE_RK4(A62:C62,$C$3,$E$3,$F$3,$G$3,$H$3)</f>
        <v>5.6999999999999957</v>
      </c>
      <c r="B63" s="1">
        <v>1.2097930775186001</v>
      </c>
      <c r="C63" s="1">
        <v>1.4055358421314352</v>
      </c>
      <c r="E63" s="1">
        <f t="shared" si="5"/>
        <v>0.86291221074559665</v>
      </c>
      <c r="F63" s="1">
        <f t="shared" si="6"/>
        <v>1.2944116973372408</v>
      </c>
      <c r="G63" s="1">
        <f t="shared" si="4"/>
        <v>0.36531645727617279</v>
      </c>
      <c r="H63" s="1">
        <f t="shared" si="7"/>
        <v>-0.70044026006052107</v>
      </c>
      <c r="J63" s="1"/>
      <c r="K63" s="1"/>
      <c r="L63" s="1"/>
      <c r="M63" s="1"/>
    </row>
    <row r="64" spans="1:13" x14ac:dyDescent="0.25">
      <c r="A64" s="2">
        <f t="array" ref="A64:C64">ODE_RK4(A63:C63,$C$3,$E$3,$F$3,$G$3,$H$3)</f>
        <v>5.7999999999999954</v>
      </c>
      <c r="B64" s="1">
        <v>1.2559792785629493</v>
      </c>
      <c r="C64" s="1">
        <v>1.3463404547840134</v>
      </c>
      <c r="E64" s="1">
        <f t="shared" si="5"/>
        <v>0.8994438564732139</v>
      </c>
      <c r="F64" s="1">
        <f t="shared" si="6"/>
        <v>1.2243676713311886</v>
      </c>
      <c r="G64" s="1">
        <f t="shared" si="4"/>
        <v>0.41858263974190502</v>
      </c>
      <c r="H64" s="1">
        <f t="shared" si="7"/>
        <v>-0.64911914305197516</v>
      </c>
      <c r="J64" s="1"/>
      <c r="K64" s="1"/>
      <c r="L64" s="1"/>
      <c r="M64" s="1"/>
    </row>
    <row r="65" spans="1:13" x14ac:dyDescent="0.25">
      <c r="A65" s="2">
        <f t="array" ref="A65:C65">ODE_RK4(A64:C64,$C$3,$E$3,$F$3,$G$3,$H$3)</f>
        <v>5.899999999999995</v>
      </c>
      <c r="B65" s="1">
        <v>1.3083947172617765</v>
      </c>
      <c r="C65" s="1">
        <v>1.2915461248896511</v>
      </c>
      <c r="E65" s="1">
        <f t="shared" si="5"/>
        <v>0.94130212044740436</v>
      </c>
      <c r="F65" s="1">
        <f t="shared" si="6"/>
        <v>1.1594557570259911</v>
      </c>
      <c r="G65" s="1">
        <f t="shared" si="4"/>
        <v>0.47472364694477565</v>
      </c>
      <c r="H65" s="1">
        <f t="shared" si="7"/>
        <v>-0.60014515682473824</v>
      </c>
      <c r="J65" s="1"/>
      <c r="K65" s="1"/>
      <c r="L65" s="1"/>
      <c r="M65" s="1"/>
    </row>
    <row r="66" spans="1:13" x14ac:dyDescent="0.25">
      <c r="A66" s="2">
        <f t="array" ref="A66:C66">ODE_RK4(A65:C65,$C$3,$E$3,$F$3,$G$3,$H$3)</f>
        <v>5.9999999999999947</v>
      </c>
      <c r="B66" s="1">
        <v>1.3673089720992002</v>
      </c>
      <c r="C66" s="1">
        <v>1.2410516964489913</v>
      </c>
      <c r="E66" s="1">
        <f t="shared" si="5"/>
        <v>0.98877448514188193</v>
      </c>
      <c r="F66" s="1">
        <f t="shared" si="6"/>
        <v>1.0994412413435173</v>
      </c>
      <c r="G66" s="1">
        <f t="shared" si="4"/>
        <v>0.53426971375834553</v>
      </c>
      <c r="H66" s="1">
        <f t="shared" si="7"/>
        <v>-0.5534231588688574</v>
      </c>
      <c r="J66" s="1"/>
      <c r="K66" s="1"/>
      <c r="L66" s="1"/>
      <c r="M66" s="1"/>
    </row>
    <row r="67" spans="1:13" x14ac:dyDescent="0.25">
      <c r="A67" s="2">
        <f t="array" ref="A67:C67">ODE_RK4(A66:C66,$C$3,$E$3,$F$3,$G$3,$H$3)</f>
        <v>6.0999999999999943</v>
      </c>
      <c r="B67" s="1">
        <v>1.4330301633450537</v>
      </c>
      <c r="C67" s="1">
        <v>1.1947619720594449</v>
      </c>
      <c r="E67" s="1">
        <f t="shared" si="5"/>
        <v>1.0422014565177165</v>
      </c>
      <c r="F67" s="1">
        <f t="shared" si="6"/>
        <v>1.0440989254566315</v>
      </c>
      <c r="G67" s="1">
        <f t="shared" si="4"/>
        <v>0.59774489530556929</v>
      </c>
      <c r="H67" s="1">
        <f t="shared" si="7"/>
        <v>-0.50883071410746006</v>
      </c>
      <c r="J67" s="1"/>
      <c r="K67" s="1"/>
      <c r="L67" s="1"/>
      <c r="M67" s="1"/>
    </row>
    <row r="68" spans="1:13" x14ac:dyDescent="0.25">
      <c r="A68" s="2">
        <f t="array" ref="A68:C68">ODE_RK4(A67:C67,$C$3,$E$3,$F$3,$G$3,$H$3)</f>
        <v>6.199999999999994</v>
      </c>
      <c r="B68" s="1">
        <v>1.5059007955425412</v>
      </c>
      <c r="C68" s="1">
        <v>1.152591357941281</v>
      </c>
      <c r="E68" s="1">
        <f t="shared" si="5"/>
        <v>1.1019759460482734</v>
      </c>
      <c r="F68" s="1">
        <f t="shared" si="6"/>
        <v>0.99321585404588553</v>
      </c>
      <c r="G68" s="1">
        <f t="shared" si="4"/>
        <v>0.66567114702251295</v>
      </c>
      <c r="H68" s="1">
        <f t="shared" si="7"/>
        <v>-0.46622268911900089</v>
      </c>
      <c r="J68" s="1"/>
      <c r="K68" s="1"/>
      <c r="L68" s="1"/>
      <c r="M68" s="1"/>
    </row>
    <row r="69" spans="1:13" x14ac:dyDescent="0.25">
      <c r="A69" s="2">
        <f t="array" ref="A69:C69">ODE_RK4(A68:C68,$C$3,$E$3,$F$3,$G$3,$H$3)</f>
        <v>6.2999999999999936</v>
      </c>
      <c r="B69" s="1">
        <v>1.5862929757630282</v>
      </c>
      <c r="C69" s="1">
        <v>1.1144672732964951</v>
      </c>
      <c r="E69" s="1">
        <f t="shared" si="5"/>
        <v>1.1685430607505247</v>
      </c>
      <c r="F69" s="1">
        <f t="shared" si="6"/>
        <v>0.94659358513398539</v>
      </c>
      <c r="G69" s="1">
        <f t="shared" si="4"/>
        <v>0.73857045374506181</v>
      </c>
      <c r="H69" s="1">
        <f t="shared" si="7"/>
        <v>-0.42543425852940447</v>
      </c>
      <c r="J69" s="1"/>
      <c r="K69" s="1"/>
      <c r="L69" s="1"/>
      <c r="M69" s="1"/>
    </row>
    <row r="70" spans="1:13" x14ac:dyDescent="0.25">
      <c r="A70" s="2">
        <f t="array" ref="A70:C70">ODE_RK4(A69:C69,$C$3,$E$3,$F$3,$G$3,$H$3)</f>
        <v>6.3999999999999932</v>
      </c>
      <c r="B70" s="1">
        <v>1.6746026662887641</v>
      </c>
      <c r="C70" s="1">
        <v>1.0803334605675956</v>
      </c>
      <c r="E70" s="1">
        <f t="shared" si="5"/>
        <v>1.2424001061250309</v>
      </c>
      <c r="F70" s="1">
        <f t="shared" si="6"/>
        <v>0.90405015928104493</v>
      </c>
      <c r="G70" s="1">
        <f t="shared" ref="G70:G101" si="8">$E$3*E70-$F$3*E70*F70</f>
        <v>0.81696491905016433</v>
      </c>
      <c r="H70" s="1">
        <f t="shared" si="7"/>
        <v>-0.38628252327489959</v>
      </c>
      <c r="J70" s="1"/>
      <c r="K70" s="1"/>
      <c r="L70" s="1"/>
      <c r="M70" s="1"/>
    </row>
    <row r="71" spans="1:13" x14ac:dyDescent="0.25">
      <c r="A71" s="2">
        <f t="array" ref="A71:C71">ODE_RK4(A70:C70,$C$3,$E$3,$F$3,$G$3,$H$3)</f>
        <v>6.4999999999999929</v>
      </c>
      <c r="B71" s="1">
        <v>1.7712425783353232</v>
      </c>
      <c r="C71" s="1">
        <v>1.0501533265782828</v>
      </c>
      <c r="E71" s="1">
        <f t="shared" ref="E71:E102" si="9">E70+$C$3*G70</f>
        <v>1.3240965980300474</v>
      </c>
      <c r="F71" s="1">
        <f t="shared" ref="F71:F102" si="10">F70+$C$3*H70</f>
        <v>0.86542190695355492</v>
      </c>
      <c r="G71" s="1">
        <f t="shared" si="8"/>
        <v>0.90137459592132985</v>
      </c>
      <c r="H71" s="1">
        <f t="shared" ref="H71:H102" si="11">-$G$3*F71+$H$3*E71*F71</f>
        <v>-0.34856686470548054</v>
      </c>
      <c r="J71" s="1"/>
      <c r="K71" s="1"/>
      <c r="L71" s="1"/>
      <c r="M71" s="1"/>
    </row>
    <row r="72" spans="1:13" x14ac:dyDescent="0.25">
      <c r="A72" s="2">
        <f t="array" ref="A72:C72">ODE_RK4(A71:C71,$C$3,$E$3,$F$3,$G$3,$H$3)</f>
        <v>6.5999999999999925</v>
      </c>
      <c r="B72" s="1">
        <v>1.87663324759507</v>
      </c>
      <c r="C72" s="1">
        <v>1.02391344168638</v>
      </c>
      <c r="E72" s="1">
        <f t="shared" si="9"/>
        <v>1.4142340576221804</v>
      </c>
      <c r="F72" s="1">
        <f t="shared" si="10"/>
        <v>0.83056522048300685</v>
      </c>
      <c r="G72" s="1">
        <f t="shared" si="8"/>
        <v>0.99231269601649019</v>
      </c>
      <c r="H72" s="1">
        <f t="shared" si="11"/>
        <v>-0.31206808982134243</v>
      </c>
      <c r="J72" s="1"/>
      <c r="K72" s="1"/>
      <c r="L72" s="1"/>
      <c r="M72" s="1"/>
    </row>
    <row r="73" spans="1:13" x14ac:dyDescent="0.25">
      <c r="A73" s="2">
        <f t="array" ref="A73:C73">ODE_RK4(A72:C72,$C$3,$E$3,$F$3,$G$3,$H$3)</f>
        <v>6.6999999999999922</v>
      </c>
      <c r="B73" s="1">
        <v>1.9911917518279729</v>
      </c>
      <c r="C73" s="1">
        <v>1.0016273243016856</v>
      </c>
      <c r="E73" s="1">
        <f t="shared" si="9"/>
        <v>1.5134653272238294</v>
      </c>
      <c r="F73" s="1">
        <f t="shared" si="10"/>
        <v>0.79935841150087261</v>
      </c>
      <c r="G73" s="1">
        <f t="shared" si="8"/>
        <v>1.090277648769822</v>
      </c>
      <c r="H73" s="1">
        <f t="shared" si="11"/>
        <v>-0.2765463572513116</v>
      </c>
      <c r="J73" s="1"/>
      <c r="K73" s="1"/>
      <c r="L73" s="1"/>
      <c r="M73" s="1"/>
    </row>
    <row r="74" spans="1:13" x14ac:dyDescent="0.25">
      <c r="A74" s="2">
        <f t="array" ref="A74:C74">ODE_RK4(A73:C73,$C$3,$E$3,$F$3,$G$3,$H$3)</f>
        <v>6.7999999999999918</v>
      </c>
      <c r="B74" s="1">
        <v>2.1153174350817325</v>
      </c>
      <c r="C74" s="1">
        <v>0.98333964048933853</v>
      </c>
      <c r="E74" s="1">
        <f t="shared" si="9"/>
        <v>1.6224930921008116</v>
      </c>
      <c r="F74" s="1">
        <f t="shared" si="10"/>
        <v>0.77170377577574145</v>
      </c>
      <c r="G74" s="1">
        <f t="shared" si="8"/>
        <v>1.1957412833144212</v>
      </c>
      <c r="H74" s="1">
        <f t="shared" si="11"/>
        <v>-0.24173780701731701</v>
      </c>
      <c r="J74" s="1"/>
      <c r="K74" s="1"/>
      <c r="L74" s="1"/>
      <c r="M74" s="1"/>
    </row>
    <row r="75" spans="1:13" x14ac:dyDescent="0.25">
      <c r="A75" s="2">
        <f t="array" ref="A75:C75">ODE_RK4(A74:C74,$C$3,$E$3,$F$3,$G$3,$H$3)</f>
        <v>6.8999999999999915</v>
      </c>
      <c r="B75" s="1">
        <v>2.2493738932055933</v>
      </c>
      <c r="C75" s="1">
        <v>0.96913095147507156</v>
      </c>
      <c r="E75" s="1">
        <f t="shared" si="9"/>
        <v>1.7420672204322538</v>
      </c>
      <c r="F75" s="1">
        <f t="shared" si="10"/>
        <v>0.74752999507400975</v>
      </c>
      <c r="G75" s="1">
        <f t="shared" si="8"/>
        <v>1.3091321640937146</v>
      </c>
      <c r="H75" s="1">
        <f t="shared" si="11"/>
        <v>-0.20734974584671295</v>
      </c>
      <c r="J75" s="1"/>
      <c r="K75" s="1"/>
      <c r="L75" s="1"/>
      <c r="M75" s="1"/>
    </row>
    <row r="76" spans="1:13" x14ac:dyDescent="0.25">
      <c r="A76" s="2">
        <f t="array" ref="A76:C76">ODE_RK4(A75:C75,$C$3,$E$3,$F$3,$G$3,$H$3)</f>
        <v>6.9999999999999911</v>
      </c>
      <c r="B76" s="1">
        <v>2.3936663541166907</v>
      </c>
      <c r="C76" s="1">
        <v>0.95912314344079586</v>
      </c>
      <c r="E76" s="1">
        <f t="shared" si="9"/>
        <v>1.8729804368416252</v>
      </c>
      <c r="F76" s="1">
        <f t="shared" si="10"/>
        <v>0.72679502048933842</v>
      </c>
      <c r="G76" s="1">
        <f t="shared" si="8"/>
        <v>1.4308128112276868</v>
      </c>
      <c r="H76" s="1">
        <f t="shared" si="11"/>
        <v>-0.17305415990033912</v>
      </c>
      <c r="J76" s="1"/>
      <c r="K76" s="1"/>
      <c r="L76" s="1"/>
      <c r="M76" s="1"/>
    </row>
    <row r="77" spans="1:13" x14ac:dyDescent="0.25">
      <c r="A77" s="2">
        <f t="array" ref="A77:C77">ODE_RK4(A76:C76,$C$3,$E$3,$F$3,$G$3,$H$3)</f>
        <v>7.0999999999999908</v>
      </c>
      <c r="B77" s="1">
        <v>2.5484134605028053</v>
      </c>
      <c r="C77" s="1">
        <v>0.95348567043927956</v>
      </c>
      <c r="E77" s="1">
        <f t="shared" si="9"/>
        <v>2.0160617179643938</v>
      </c>
      <c r="F77" s="1">
        <f t="shared" si="10"/>
        <v>0.70948960449930454</v>
      </c>
      <c r="G77" s="1">
        <f t="shared" si="8"/>
        <v>1.5610491630024246</v>
      </c>
      <c r="H77" s="1">
        <f t="shared" si="11"/>
        <v>-0.13847923432201986</v>
      </c>
      <c r="J77" s="1"/>
      <c r="K77" s="1"/>
      <c r="L77" s="1"/>
      <c r="M77" s="1"/>
    </row>
    <row r="78" spans="1:13" x14ac:dyDescent="0.25">
      <c r="A78" s="2">
        <f t="array" ref="A78:C78">ODE_RK4(A77:C77,$C$3,$E$3,$F$3,$G$3,$H$3)</f>
        <v>7.1999999999999904</v>
      </c>
      <c r="B78" s="1">
        <v>2.7137123451597063</v>
      </c>
      <c r="C78" s="1">
        <v>0.95244272682518671</v>
      </c>
      <c r="E78" s="1">
        <f t="shared" si="9"/>
        <v>2.1721666342646362</v>
      </c>
      <c r="F78" s="1">
        <f t="shared" si="10"/>
        <v>0.69564168106710256</v>
      </c>
      <c r="G78" s="1">
        <f t="shared" si="8"/>
        <v>1.6999701717069304</v>
      </c>
      <c r="H78" s="1">
        <f t="shared" si="11"/>
        <v>-0.10319845014836559</v>
      </c>
      <c r="J78" s="1"/>
      <c r="K78" s="1"/>
      <c r="L78" s="1"/>
      <c r="M78" s="1"/>
    </row>
    <row r="79" spans="1:13" x14ac:dyDescent="0.25">
      <c r="A79" s="2">
        <f t="array" ref="A79:C79">ODE_RK4(A78:C78,$C$3,$E$3,$F$3,$G$3,$H$3)</f>
        <v>7.2999999999999901</v>
      </c>
      <c r="B79" s="1">
        <v>2.889495802565603</v>
      </c>
      <c r="C79" s="1">
        <v>0.95628143130482246</v>
      </c>
      <c r="E79" s="1">
        <f t="shared" si="9"/>
        <v>2.342163651435329</v>
      </c>
      <c r="F79" s="1">
        <f t="shared" si="10"/>
        <v>0.68532183605226604</v>
      </c>
      <c r="G79" s="1">
        <f t="shared" si="8"/>
        <v>1.8475148453604713</v>
      </c>
      <c r="H79" s="1">
        <f t="shared" si="11"/>
        <v>-6.6716700660851003E-2</v>
      </c>
      <c r="J79" s="1"/>
      <c r="K79" s="1"/>
      <c r="L79" s="1"/>
      <c r="M79" s="1"/>
    </row>
    <row r="80" spans="1:13" x14ac:dyDescent="0.25">
      <c r="A80" s="2">
        <f t="array" ref="A80:C80">ODE_RK4(A79:C79,$C$3,$E$3,$F$3,$G$3,$H$3)</f>
        <v>7.3999999999999897</v>
      </c>
      <c r="B80" s="1">
        <v>3.0754803421483778</v>
      </c>
      <c r="C80" s="1">
        <v>0.96536103674750962</v>
      </c>
      <c r="E80" s="1">
        <f t="shared" si="9"/>
        <v>2.5269151359713762</v>
      </c>
      <c r="F80" s="1">
        <f t="shared" si="10"/>
        <v>0.678650165986181</v>
      </c>
      <c r="G80" s="1">
        <f t="shared" si="8"/>
        <v>2.0033633372896706</v>
      </c>
      <c r="H80" s="1">
        <f t="shared" si="11"/>
        <v>-2.8452719850954544E-2</v>
      </c>
      <c r="J80" s="1"/>
      <c r="K80" s="1"/>
      <c r="L80" s="1"/>
      <c r="M80" s="1"/>
    </row>
    <row r="81" spans="1:13" x14ac:dyDescent="0.25">
      <c r="A81" s="2">
        <f t="array" ref="A81:C81">ODE_RK4(A80:C80,$C$3,$E$3,$F$3,$G$3,$H$3)</f>
        <v>7.4999999999999893</v>
      </c>
      <c r="B81" s="1">
        <v>3.2711040187553388</v>
      </c>
      <c r="C81" s="1">
        <v>0.98012305761583973</v>
      </c>
      <c r="E81" s="1">
        <f t="shared" si="9"/>
        <v>2.7272514697003434</v>
      </c>
      <c r="F81" s="1">
        <f t="shared" si="10"/>
        <v>0.67580489400108557</v>
      </c>
      <c r="G81" s="1">
        <f t="shared" si="8"/>
        <v>2.1668478294033244</v>
      </c>
      <c r="H81" s="1">
        <f t="shared" si="11"/>
        <v>1.2283051917675092E-2</v>
      </c>
      <c r="J81" s="1"/>
      <c r="K81" s="1"/>
      <c r="L81" s="1"/>
      <c r="M81" s="1"/>
    </row>
    <row r="82" spans="1:13" x14ac:dyDescent="0.25">
      <c r="A82" s="2">
        <f t="array" ref="A82:C82">ODE_RK4(A81:C81,$C$3,$E$3,$F$3,$G$3,$H$3)</f>
        <v>7.599999999999989</v>
      </c>
      <c r="B82" s="1">
        <v>3.4754532654646217</v>
      </c>
      <c r="C82" s="1">
        <v>1.0011020002727573</v>
      </c>
      <c r="E82" s="1">
        <f t="shared" si="9"/>
        <v>2.9439362526406758</v>
      </c>
      <c r="F82" s="1">
        <f t="shared" si="10"/>
        <v>0.6770331991928531</v>
      </c>
      <c r="G82" s="1">
        <f t="shared" si="8"/>
        <v>2.3368379555617294</v>
      </c>
      <c r="H82" s="1">
        <f t="shared" si="11"/>
        <v>5.6316214449258384E-2</v>
      </c>
      <c r="J82" s="1"/>
      <c r="K82" s="1"/>
      <c r="L82" s="1"/>
      <c r="M82" s="1"/>
    </row>
    <row r="83" spans="1:13" x14ac:dyDescent="0.25">
      <c r="A83" s="2">
        <f t="array" ref="A83:C83">ODE_RK4(A82:C82,$C$3,$E$3,$F$3,$G$3,$H$3)</f>
        <v>7.6999999999999886</v>
      </c>
      <c r="B83" s="1">
        <v>3.6871786371592528</v>
      </c>
      <c r="C83" s="1">
        <v>1.0289360487324151</v>
      </c>
      <c r="E83" s="1">
        <f t="shared" si="9"/>
        <v>3.1776200481968488</v>
      </c>
      <c r="F83" s="1">
        <f t="shared" si="10"/>
        <v>0.68266482063777889</v>
      </c>
      <c r="G83" s="1">
        <f t="shared" si="8"/>
        <v>2.5115944056818309</v>
      </c>
      <c r="H83" s="1">
        <f t="shared" si="11"/>
        <v>0.1046429695669705</v>
      </c>
      <c r="J83" s="1"/>
      <c r="K83" s="1"/>
      <c r="L83" s="1"/>
      <c r="M83" s="1"/>
    </row>
    <row r="84" spans="1:13" x14ac:dyDescent="0.25">
      <c r="A84" s="2">
        <f t="array" ref="A84:C84">ODE_RK4(A83:C83,$C$3,$E$3,$F$3,$G$3,$H$3)</f>
        <v>7.7999999999999883</v>
      </c>
      <c r="B84" s="1">
        <v>3.9044005975172715</v>
      </c>
      <c r="C84" s="1">
        <v>1.0643765447206861</v>
      </c>
      <c r="E84" s="1">
        <f t="shared" si="9"/>
        <v>3.428779488765032</v>
      </c>
      <c r="F84" s="1">
        <f t="shared" si="10"/>
        <v>0.69312911759447593</v>
      </c>
      <c r="G84" s="1">
        <f t="shared" si="8"/>
        <v>2.688583245633791</v>
      </c>
      <c r="H84" s="1">
        <f t="shared" si="11"/>
        <v>0.15847277636654267</v>
      </c>
      <c r="J84" s="1"/>
      <c r="K84" s="1"/>
      <c r="L84" s="1"/>
      <c r="M84" s="1"/>
    </row>
    <row r="85" spans="1:13" x14ac:dyDescent="0.25">
      <c r="A85" s="2">
        <f t="array" ref="A85:C85">ODE_RK4(A84:C84,$C$3,$E$3,$F$3,$G$3,$H$3)</f>
        <v>7.8999999999999879</v>
      </c>
      <c r="B85" s="1">
        <v>4.1246084921476172</v>
      </c>
      <c r="C85" s="1">
        <v>1.1082943403499483</v>
      </c>
      <c r="E85" s="1">
        <f t="shared" si="9"/>
        <v>3.6976378133284111</v>
      </c>
      <c r="F85" s="1">
        <f t="shared" si="10"/>
        <v>0.70897639523113021</v>
      </c>
      <c r="G85" s="1">
        <f t="shared" si="8"/>
        <v>2.864242619335756</v>
      </c>
      <c r="H85" s="1">
        <f t="shared" si="11"/>
        <v>0.21928026214426444</v>
      </c>
      <c r="J85" s="1"/>
      <c r="K85" s="1"/>
      <c r="L85" s="1"/>
      <c r="M85" s="1"/>
    </row>
    <row r="86" spans="1:13" x14ac:dyDescent="0.25">
      <c r="A86" s="2">
        <f t="array" ref="A86:C86">ODE_RK4(A85:C85,$C$3,$E$3,$F$3,$G$3,$H$3)</f>
        <v>7.9999999999999876</v>
      </c>
      <c r="B86" s="1">
        <v>4.3445589356424161</v>
      </c>
      <c r="C86" s="1">
        <v>1.1616800279505126</v>
      </c>
      <c r="E86" s="1">
        <f t="shared" si="9"/>
        <v>3.9840620752619866</v>
      </c>
      <c r="F86" s="1">
        <f t="shared" si="10"/>
        <v>0.73090442144555667</v>
      </c>
      <c r="G86" s="1">
        <f t="shared" si="8"/>
        <v>3.0336933386408562</v>
      </c>
      <c r="H86" s="1">
        <f t="shared" si="11"/>
        <v>0.28886703868031849</v>
      </c>
      <c r="J86" s="1"/>
      <c r="K86" s="1"/>
      <c r="L86" s="1"/>
      <c r="M86" s="1"/>
    </row>
    <row r="87" spans="1:13" x14ac:dyDescent="0.25">
      <c r="A87" s="2">
        <f t="array" ref="A87:C87">ODE_RK4(A86:C86,$C$3,$E$3,$F$3,$G$3,$H$3)</f>
        <v>8.0999999999999872</v>
      </c>
      <c r="B87" s="1">
        <v>4.560184281556273</v>
      </c>
      <c r="C87" s="1">
        <v>1.2256336244001005</v>
      </c>
      <c r="E87" s="1">
        <f t="shared" si="9"/>
        <v>4.2874314091260723</v>
      </c>
      <c r="F87" s="1">
        <f t="shared" si="10"/>
        <v>0.7597911253135885</v>
      </c>
      <c r="G87" s="1">
        <f t="shared" si="8"/>
        <v>3.1903862899244531</v>
      </c>
      <c r="H87" s="1">
        <f t="shared" si="11"/>
        <v>0.36943280026254599</v>
      </c>
      <c r="J87" s="1"/>
      <c r="K87" s="1"/>
      <c r="L87" s="1"/>
      <c r="M87" s="1"/>
    </row>
    <row r="88" spans="1:13" x14ac:dyDescent="0.25">
      <c r="A88" s="2">
        <f t="array" ref="A88:C88">ODE_RK4(A87:C87,$C$3,$E$3,$F$3,$G$3,$H$3)</f>
        <v>8.1999999999999869</v>
      </c>
      <c r="B88" s="1">
        <v>4.7665277913051298</v>
      </c>
      <c r="C88" s="1">
        <v>1.3013375467553383</v>
      </c>
      <c r="E88" s="1">
        <f t="shared" si="9"/>
        <v>4.606470038118518</v>
      </c>
      <c r="F88" s="1">
        <f t="shared" si="10"/>
        <v>0.79673440533984308</v>
      </c>
      <c r="G88" s="1">
        <f t="shared" si="8"/>
        <v>3.3256841458205244</v>
      </c>
      <c r="H88" s="1">
        <f t="shared" si="11"/>
        <v>0.4636524256889738</v>
      </c>
      <c r="J88" s="1"/>
      <c r="K88" s="1"/>
      <c r="L88" s="1"/>
      <c r="M88" s="1"/>
    </row>
    <row r="89" spans="1:13" x14ac:dyDescent="0.25">
      <c r="A89" s="2">
        <f t="array" ref="A89:C89">ODE_RK4(A88:C88,$C$3,$E$3,$F$3,$G$3,$H$3)</f>
        <v>8.2999999999999865</v>
      </c>
      <c r="B89" s="1">
        <v>4.9577293511571723</v>
      </c>
      <c r="C89" s="1">
        <v>1.3900048770960873</v>
      </c>
      <c r="E89" s="1">
        <f t="shared" si="9"/>
        <v>4.9390384527005704</v>
      </c>
      <c r="F89" s="1">
        <f t="shared" si="10"/>
        <v>0.84309964790874048</v>
      </c>
      <c r="G89" s="1">
        <f t="shared" si="8"/>
        <v>3.4283851949529356</v>
      </c>
      <c r="H89" s="1">
        <f t="shared" si="11"/>
        <v>0.57475075581688206</v>
      </c>
      <c r="J89" s="1"/>
      <c r="K89" s="1"/>
      <c r="L89" s="1"/>
      <c r="M89" s="1"/>
    </row>
    <row r="90" spans="1:13" x14ac:dyDescent="0.25">
      <c r="A90" s="2">
        <f t="array" ref="A90:C90">ODE_RK4(A89:C89,$C$3,$E$3,$F$3,$G$3,$H$3)</f>
        <v>8.3999999999999861</v>
      </c>
      <c r="B90" s="1">
        <v>5.1270931339822674</v>
      </c>
      <c r="C90" s="1">
        <v>1.4927935065608784</v>
      </c>
      <c r="E90" s="1">
        <f t="shared" si="9"/>
        <v>5.2818769721958638</v>
      </c>
      <c r="F90" s="1">
        <f t="shared" si="10"/>
        <v>0.90057472349042866</v>
      </c>
      <c r="G90" s="1">
        <f t="shared" si="8"/>
        <v>3.4842174303875852</v>
      </c>
      <c r="H90" s="1">
        <f t="shared" si="11"/>
        <v>0.70655768933138274</v>
      </c>
      <c r="J90" s="1"/>
      <c r="K90" s="1"/>
      <c r="L90" s="1"/>
      <c r="M90" s="1"/>
    </row>
    <row r="91" spans="1:13" x14ac:dyDescent="0.25">
      <c r="A91" s="2">
        <f t="array" ref="A91:C91">ODE_RK4(A90:C90,$C$3,$E$3,$F$3,$G$3,$H$3)</f>
        <v>8.4999999999999858</v>
      </c>
      <c r="B91" s="1">
        <v>5.2672742383649647</v>
      </c>
      <c r="C91" s="1">
        <v>1.6106767743837458</v>
      </c>
      <c r="E91" s="1">
        <f t="shared" si="9"/>
        <v>5.6302987152346224</v>
      </c>
      <c r="F91" s="1">
        <f t="shared" si="10"/>
        <v>0.97123049242356696</v>
      </c>
      <c r="G91" s="1">
        <f t="shared" si="8"/>
        <v>3.4753677820680875</v>
      </c>
      <c r="H91" s="1">
        <f t="shared" si="11"/>
        <v>0.86351094416787588</v>
      </c>
      <c r="J91" s="1"/>
      <c r="K91" s="1"/>
      <c r="L91" s="1"/>
      <c r="M91" s="1"/>
    </row>
    <row r="92" spans="1:13" x14ac:dyDescent="0.25">
      <c r="A92" s="2">
        <f t="array" ref="A92:C92">ODE_RK4(A91:C91,$C$3,$E$3,$F$3,$G$3,$H$3)</f>
        <v>8.5999999999999854</v>
      </c>
      <c r="B92" s="1">
        <v>5.3706211442308529</v>
      </c>
      <c r="C92" s="1">
        <v>1.7442642399714721</v>
      </c>
      <c r="E92" s="1">
        <f t="shared" si="9"/>
        <v>5.9778354934414315</v>
      </c>
      <c r="F92" s="1">
        <f t="shared" si="10"/>
        <v>1.0575815868403546</v>
      </c>
      <c r="G92" s="1">
        <f t="shared" si="8"/>
        <v>3.3801733439150876</v>
      </c>
      <c r="H92" s="1">
        <f t="shared" si="11"/>
        <v>1.0505493546350313</v>
      </c>
      <c r="J92" s="1"/>
      <c r="K92" s="1"/>
      <c r="L92" s="1"/>
      <c r="M92" s="1"/>
    </row>
    <row r="93" spans="1:13" x14ac:dyDescent="0.25">
      <c r="A93" s="2">
        <f t="array" ref="A93:C93">ODE_RK4(A92:C92,$C$3,$E$3,$F$3,$G$3,$H$3)</f>
        <v>8.6999999999999851</v>
      </c>
      <c r="B93" s="1">
        <v>5.4296992736221341</v>
      </c>
      <c r="C93" s="1">
        <v>1.893574181106624</v>
      </c>
      <c r="E93" s="1">
        <f t="shared" si="9"/>
        <v>6.3158528278329404</v>
      </c>
      <c r="F93" s="1">
        <f t="shared" si="10"/>
        <v>1.1626365223038577</v>
      </c>
      <c r="G93" s="1">
        <f t="shared" si="8"/>
        <v>3.1731986931187235</v>
      </c>
      <c r="H93" s="1">
        <f t="shared" si="11"/>
        <v>1.2728031322973163</v>
      </c>
      <c r="J93" s="1"/>
      <c r="K93" s="1"/>
      <c r="L93" s="1"/>
      <c r="M93" s="1"/>
    </row>
    <row r="94" spans="1:13" x14ac:dyDescent="0.25">
      <c r="A94" s="2">
        <f t="array" ref="A94:C94">ODE_RK4(A93:C93,$C$3,$E$3,$F$3,$G$3,$H$3)</f>
        <v>8.7999999999999847</v>
      </c>
      <c r="B94" s="1">
        <v>5.4379922651217933</v>
      </c>
      <c r="C94" s="1">
        <v>2.057773856075495</v>
      </c>
      <c r="E94" s="1">
        <f t="shared" si="9"/>
        <v>6.6331726971448131</v>
      </c>
      <c r="F94" s="1">
        <f t="shared" si="10"/>
        <v>1.2899168355335893</v>
      </c>
      <c r="G94" s="1">
        <f t="shared" si="8"/>
        <v>2.8260625555444712</v>
      </c>
      <c r="H94" s="1">
        <f t="shared" si="11"/>
        <v>1.5349388720877806</v>
      </c>
      <c r="J94" s="1"/>
      <c r="K94" s="1"/>
      <c r="L94" s="1"/>
      <c r="M94" s="1"/>
    </row>
    <row r="95" spans="1:13" x14ac:dyDescent="0.25">
      <c r="A95" s="2">
        <f t="array" ref="A95:C95">ODE_RK4(A94:C94,$C$3,$E$3,$F$3,$G$3,$H$3)</f>
        <v>8.8999999999999844</v>
      </c>
      <c r="B95" s="1">
        <v>5.3907291471680505</v>
      </c>
      <c r="C95" s="1">
        <v>2.2349241391232364</v>
      </c>
      <c r="E95" s="1">
        <f t="shared" si="9"/>
        <v>6.9157789526992604</v>
      </c>
      <c r="F95" s="1">
        <f t="shared" si="10"/>
        <v>1.4434107227423674</v>
      </c>
      <c r="G95" s="1">
        <f t="shared" si="8"/>
        <v>2.3095490453738572</v>
      </c>
      <c r="H95" s="1">
        <f t="shared" si="11"/>
        <v>1.8399642707387336</v>
      </c>
      <c r="J95" s="1"/>
      <c r="K95" s="1"/>
      <c r="L95" s="1"/>
      <c r="M95" s="1"/>
    </row>
    <row r="96" spans="1:13" x14ac:dyDescent="0.25">
      <c r="A96" s="2">
        <f t="array" ref="A96:C96">ODE_RK4(A95:C95,$C$3,$E$3,$F$3,$G$3,$H$3)</f>
        <v>8.999999999999984</v>
      </c>
      <c r="B96" s="1">
        <v>5.2857232228803017</v>
      </c>
      <c r="C96" s="1">
        <v>2.4217875102625834</v>
      </c>
      <c r="E96" s="1">
        <f t="shared" si="9"/>
        <v>7.1467338572366463</v>
      </c>
      <c r="F96" s="1">
        <f t="shared" si="10"/>
        <v>1.6274071498162408</v>
      </c>
      <c r="G96" s="1">
        <f t="shared" si="8"/>
        <v>1.5976931624235435</v>
      </c>
      <c r="H96" s="1">
        <f t="shared" si="11"/>
        <v>2.1872680132772233</v>
      </c>
      <c r="J96" s="1"/>
      <c r="K96" s="1"/>
      <c r="L96" s="1"/>
      <c r="M96" s="1"/>
    </row>
    <row r="97" spans="1:13" x14ac:dyDescent="0.25">
      <c r="A97" s="2">
        <f t="array" ref="A97:C97">ODE_RK4(A96:C96,$C$3,$E$3,$F$3,$G$3,$H$3)</f>
        <v>9.0999999999999837</v>
      </c>
      <c r="B97" s="1">
        <v>5.1240509117907731</v>
      </c>
      <c r="C97" s="1">
        <v>2.6137730296481045</v>
      </c>
      <c r="E97" s="1">
        <f t="shared" si="9"/>
        <v>7.3065031734790011</v>
      </c>
      <c r="F97" s="1">
        <f t="shared" si="10"/>
        <v>1.8461339511439632</v>
      </c>
      <c r="G97" s="1">
        <f t="shared" si="8"/>
        <v>0.67453366455438513</v>
      </c>
      <c r="H97" s="1">
        <f t="shared" si="11"/>
        <v>2.569727910895037</v>
      </c>
      <c r="J97" s="1"/>
      <c r="K97" s="1"/>
      <c r="L97" s="1"/>
      <c r="M97" s="1"/>
    </row>
    <row r="98" spans="1:13" x14ac:dyDescent="0.25">
      <c r="A98" s="2">
        <f t="array" ref="A98:C98">ODE_RK4(A97:C97,$C$3,$E$3,$F$3,$G$3,$H$3)</f>
        <v>9.1999999999999833</v>
      </c>
      <c r="B98" s="1">
        <v>4.9103763075263505</v>
      </c>
      <c r="C98" s="1">
        <v>2.8050860198430922</v>
      </c>
      <c r="E98" s="1">
        <f t="shared" si="9"/>
        <v>7.37395653993444</v>
      </c>
      <c r="F98" s="1">
        <f t="shared" si="10"/>
        <v>2.1031067422334671</v>
      </c>
      <c r="G98" s="1">
        <f t="shared" si="8"/>
        <v>-0.45618278172228521</v>
      </c>
      <c r="H98" s="1">
        <f t="shared" si="11"/>
        <v>2.9699799210350326</v>
      </c>
      <c r="J98" s="1"/>
      <c r="K98" s="1"/>
      <c r="L98" s="1"/>
      <c r="M98" s="1"/>
    </row>
    <row r="99" spans="1:13" x14ac:dyDescent="0.25">
      <c r="A99" s="2">
        <f t="array" ref="A99:C99">ODE_RK4(A98:C98,$C$3,$E$3,$F$3,$G$3,$H$3)</f>
        <v>9.2999999999999829</v>
      </c>
      <c r="B99" s="1">
        <v>4.6527691257641353</v>
      </c>
      <c r="C99" s="1">
        <v>2.9891142215604773</v>
      </c>
      <c r="E99" s="1">
        <f t="shared" si="9"/>
        <v>7.3283382617622115</v>
      </c>
      <c r="F99" s="1">
        <f t="shared" si="10"/>
        <v>2.4001047343369701</v>
      </c>
      <c r="G99" s="1">
        <f t="shared" si="8"/>
        <v>-1.7592617000122939</v>
      </c>
      <c r="H99" s="1">
        <f t="shared" si="11"/>
        <v>3.3565500195938971</v>
      </c>
      <c r="J99" s="1"/>
      <c r="K99" s="1"/>
      <c r="L99" s="1"/>
      <c r="M99" s="1"/>
    </row>
    <row r="100" spans="1:13" x14ac:dyDescent="0.25">
      <c r="A100" s="2">
        <f t="array" ref="A100:C100">ODE_RK4(A99:C99,$C$3,$E$3,$F$3,$G$3,$H$3)</f>
        <v>9.3999999999999826</v>
      </c>
      <c r="B100" s="1">
        <v>4.3619770089040673</v>
      </c>
      <c r="C100" s="1">
        <v>3.1590193743609114</v>
      </c>
      <c r="E100" s="1">
        <f t="shared" si="9"/>
        <v>7.1524120917609819</v>
      </c>
      <c r="F100" s="1">
        <f t="shared" si="10"/>
        <v>2.7357597362963597</v>
      </c>
      <c r="G100" s="1">
        <f t="shared" si="8"/>
        <v>-3.1574741007101732</v>
      </c>
      <c r="H100" s="1">
        <f t="shared" si="11"/>
        <v>3.6815765163745877</v>
      </c>
      <c r="J100" s="1"/>
      <c r="K100" s="1"/>
      <c r="L100" s="1"/>
      <c r="M100" s="1"/>
    </row>
    <row r="101" spans="1:13" x14ac:dyDescent="0.25">
      <c r="A101" s="2">
        <f t="array" ref="A101:C101">ODE_RK4(A100:C100,$C$3,$E$3,$F$3,$G$3,$H$3)</f>
        <v>9.4999999999999822</v>
      </c>
      <c r="B101" s="1">
        <v>4.0502661848749266</v>
      </c>
      <c r="C101" s="1">
        <v>3.3084342945730687</v>
      </c>
      <c r="E101" s="1">
        <f t="shared" si="9"/>
        <v>6.8366646816899648</v>
      </c>
      <c r="F101" s="1">
        <f t="shared" si="10"/>
        <v>3.1039173879338184</v>
      </c>
      <c r="G101" s="1">
        <f t="shared" si="8"/>
        <v>-4.528267810554345</v>
      </c>
      <c r="H101" s="1">
        <f t="shared" si="11"/>
        <v>3.8829988039440959</v>
      </c>
      <c r="J101" s="1"/>
      <c r="K101" s="1"/>
      <c r="L101" s="1"/>
      <c r="M101" s="1"/>
    </row>
    <row r="102" spans="1:13" x14ac:dyDescent="0.25">
      <c r="A102" s="2">
        <f t="array" ref="A102:C102">ODE_RK4(A101:C101,$C$3,$E$3,$F$3,$G$3,$H$3)</f>
        <v>9.5999999999999819</v>
      </c>
      <c r="B102" s="1">
        <v>3.7300742885746958</v>
      </c>
      <c r="C102" s="1">
        <v>3.4321218251394909</v>
      </c>
      <c r="E102" s="1">
        <f t="shared" si="9"/>
        <v>6.3838379006345303</v>
      </c>
      <c r="F102" s="1">
        <f t="shared" si="10"/>
        <v>3.4922172683282282</v>
      </c>
      <c r="G102" s="1">
        <f t="shared" ref="G102:G133" si="12">$E$3*E102-$F$3*E102*F102</f>
        <v>-5.715643892121042</v>
      </c>
      <c r="H102" s="1">
        <f t="shared" si="11"/>
        <v>3.8943508717786566</v>
      </c>
      <c r="J102" s="1"/>
      <c r="K102" s="1"/>
      <c r="L102" s="1"/>
      <c r="M102" s="1"/>
    </row>
    <row r="103" spans="1:13" x14ac:dyDescent="0.25">
      <c r="A103" s="2">
        <f t="array" ref="A103:C103">ODE_RK4(A102:C102,$C$3,$E$3,$F$3,$G$3,$H$3)</f>
        <v>9.6999999999999815</v>
      </c>
      <c r="B103" s="1">
        <v>3.4127656540248696</v>
      </c>
      <c r="C103" s="1">
        <v>3.52645705621276</v>
      </c>
      <c r="E103" s="1">
        <f t="shared" ref="E103:E134" si="13">E102+$C$3*G102</f>
        <v>5.8122735114224264</v>
      </c>
      <c r="F103" s="1">
        <f t="shared" ref="F103:F134" si="14">F102+$C$3*H102</f>
        <v>3.8816523555060938</v>
      </c>
      <c r="G103" s="1">
        <f t="shared" si="12"/>
        <v>-6.5620068861682102</v>
      </c>
      <c r="H103" s="1">
        <f t="shared" ref="H103:H134" si="15">-$G$3*F103+$H$3*E103*F103</f>
        <v>3.6630456655326857</v>
      </c>
      <c r="J103" s="1"/>
      <c r="K103" s="1"/>
      <c r="L103" s="1"/>
      <c r="M103" s="1"/>
    </row>
    <row r="104" spans="1:13" x14ac:dyDescent="0.25">
      <c r="A104" s="2">
        <f t="array" ref="A104:C104">ODE_RK4(A103:C103,$C$3,$E$3,$F$3,$G$3,$H$3)</f>
        <v>9.7999999999999812</v>
      </c>
      <c r="B104" s="1">
        <v>3.1077236963364689</v>
      </c>
      <c r="C104" s="1">
        <v>3.5896474386950987</v>
      </c>
      <c r="E104" s="1">
        <f t="shared" si="13"/>
        <v>5.156072822805605</v>
      </c>
      <c r="F104" s="1">
        <f t="shared" si="14"/>
        <v>4.2479569220593625</v>
      </c>
      <c r="G104" s="1">
        <f t="shared" si="12"/>
        <v>-6.9543777556008104</v>
      </c>
      <c r="H104" s="1">
        <f t="shared" si="15"/>
        <v>3.1724670338362779</v>
      </c>
      <c r="J104" s="1"/>
      <c r="K104" s="1"/>
      <c r="L104" s="1"/>
      <c r="M104" s="1"/>
    </row>
    <row r="105" spans="1:13" x14ac:dyDescent="0.25">
      <c r="A105" s="2">
        <f t="array" ref="A105:C105">ODE_RK4(A104:C104,$C$3,$E$3,$F$3,$G$3,$H$3)</f>
        <v>9.8999999999999808</v>
      </c>
      <c r="B105" s="1">
        <v>2.8218905295348069</v>
      </c>
      <c r="C105" s="1">
        <v>3.6216818415969518</v>
      </c>
      <c r="E105" s="1">
        <f t="shared" si="13"/>
        <v>4.4606350472455238</v>
      </c>
      <c r="F105" s="1">
        <f t="shared" si="14"/>
        <v>4.5652036254429902</v>
      </c>
      <c r="G105" s="1">
        <f t="shared" si="12"/>
        <v>-6.8654623169833693</v>
      </c>
      <c r="H105" s="1">
        <f t="shared" si="15"/>
        <v>2.4569492864846065</v>
      </c>
      <c r="J105" s="1"/>
      <c r="K105" s="1"/>
      <c r="L105" s="1"/>
      <c r="M105" s="1"/>
    </row>
    <row r="106" spans="1:13" x14ac:dyDescent="0.25">
      <c r="A106" s="2">
        <f t="array" ref="A106:C106">ODE_RK4(A105:C105,$C$3,$E$3,$F$3,$G$3,$H$3)</f>
        <v>9.9999999999999805</v>
      </c>
      <c r="B106" s="1">
        <v>2.5597315749893381</v>
      </c>
      <c r="C106" s="1">
        <v>3.6240660625750971</v>
      </c>
      <c r="E106" s="1">
        <f t="shared" si="13"/>
        <v>3.774088815547187</v>
      </c>
      <c r="F106" s="1">
        <f t="shared" si="14"/>
        <v>4.8108985540914508</v>
      </c>
      <c r="G106" s="1">
        <f t="shared" si="12"/>
        <v>-6.3651484767805826</v>
      </c>
      <c r="H106" s="1">
        <f t="shared" si="15"/>
        <v>1.5983086844454424</v>
      </c>
      <c r="J106" s="1"/>
      <c r="K106" s="1"/>
      <c r="L106" s="1"/>
      <c r="M106" s="1"/>
    </row>
    <row r="107" spans="1:13" x14ac:dyDescent="0.25">
      <c r="A107" s="2">
        <f t="array" ref="A107:C107">ODE_RK4(A106:C106,$C$3,$E$3,$F$3,$G$3,$H$3)</f>
        <v>10.09999999999998</v>
      </c>
      <c r="B107" s="1">
        <v>2.3235128213649432</v>
      </c>
      <c r="C107" s="1">
        <v>3.5994367294062615</v>
      </c>
      <c r="E107" s="1">
        <f t="shared" si="13"/>
        <v>3.1375739678691286</v>
      </c>
      <c r="F107" s="1">
        <f t="shared" si="14"/>
        <v>4.970729422535995</v>
      </c>
      <c r="G107" s="1">
        <f t="shared" si="12"/>
        <v>-5.592529981039096</v>
      </c>
      <c r="H107" s="1">
        <f t="shared" si="15"/>
        <v>0.70222583321222842</v>
      </c>
      <c r="J107" s="1"/>
      <c r="K107" s="1"/>
      <c r="L107" s="1"/>
      <c r="M107" s="1"/>
    </row>
    <row r="108" spans="1:13" x14ac:dyDescent="0.25">
      <c r="A108" s="2">
        <f t="array" ref="A108:C108">ODE_RK4(A107:C107,$C$3,$E$3,$F$3,$G$3,$H$3)</f>
        <v>10.19999999999998</v>
      </c>
      <c r="B108" s="1">
        <v>2.1137480133803823</v>
      </c>
      <c r="C108" s="1">
        <v>3.5511452601281697</v>
      </c>
      <c r="E108" s="1">
        <f t="shared" si="13"/>
        <v>2.578320969765219</v>
      </c>
      <c r="F108" s="1">
        <f t="shared" si="14"/>
        <v>5.0409520058572177</v>
      </c>
      <c r="G108" s="1">
        <f t="shared" si="12"/>
        <v>-4.7043301948507619</v>
      </c>
      <c r="H108" s="1">
        <f t="shared" si="15"/>
        <v>-0.1336039254012622</v>
      </c>
      <c r="J108" s="1"/>
      <c r="K108" s="1"/>
      <c r="L108" s="1"/>
      <c r="M108" s="1"/>
    </row>
    <row r="109" spans="1:13" x14ac:dyDescent="0.25">
      <c r="A109" s="2">
        <f t="array" ref="A109:C109">ODE_RK4(A108:C108,$C$3,$E$3,$F$3,$G$3,$H$3)</f>
        <v>10.299999999999979</v>
      </c>
      <c r="B109" s="1">
        <v>1.929690241921701</v>
      </c>
      <c r="C109" s="1">
        <v>3.4828802952348457</v>
      </c>
      <c r="E109" s="1">
        <f t="shared" si="13"/>
        <v>2.1078879502801429</v>
      </c>
      <c r="F109" s="1">
        <f t="shared" si="14"/>
        <v>5.0275916133170915</v>
      </c>
      <c r="G109" s="1">
        <f t="shared" si="12"/>
        <v>-3.8290943280481891</v>
      </c>
      <c r="H109" s="1">
        <f t="shared" si="15"/>
        <v>-0.84279335646149312</v>
      </c>
      <c r="J109" s="1"/>
      <c r="K109" s="1"/>
      <c r="L109" s="1"/>
      <c r="M109" s="1"/>
    </row>
    <row r="110" spans="1:13" x14ac:dyDescent="0.25">
      <c r="A110" s="2">
        <f t="array" ref="A110:C110">ODE_RK4(A109:C109,$C$3,$E$3,$F$3,$G$3,$H$3)</f>
        <v>10.399999999999979</v>
      </c>
      <c r="B110" s="1">
        <v>1.7697827009292826</v>
      </c>
      <c r="C110" s="1">
        <v>3.3983663116281546</v>
      </c>
      <c r="E110" s="1">
        <f t="shared" si="13"/>
        <v>1.724978517475324</v>
      </c>
      <c r="F110" s="1">
        <f t="shared" si="14"/>
        <v>4.9433122776709419</v>
      </c>
      <c r="G110" s="1">
        <f t="shared" si="12"/>
        <v>-3.0462902695222445</v>
      </c>
      <c r="H110" s="1">
        <f t="shared" si="15"/>
        <v>-1.396517576890437</v>
      </c>
      <c r="J110" s="1"/>
      <c r="K110" s="1"/>
      <c r="L110" s="1"/>
      <c r="M110" s="1"/>
    </row>
    <row r="111" spans="1:13" x14ac:dyDescent="0.25">
      <c r="A111" s="2">
        <f t="array" ref="A111:C111">ODE_RK4(A110:C110,$C$3,$E$3,$F$3,$G$3,$H$3)</f>
        <v>10.499999999999979</v>
      </c>
      <c r="B111" s="1">
        <v>1.6320254106324394</v>
      </c>
      <c r="C111" s="1">
        <v>3.3011494286241758</v>
      </c>
      <c r="E111" s="1">
        <f t="shared" si="13"/>
        <v>1.4203494905230996</v>
      </c>
      <c r="F111" s="1">
        <f t="shared" si="14"/>
        <v>4.8036605199818982</v>
      </c>
      <c r="G111" s="1">
        <f t="shared" si="12"/>
        <v>-2.3893066746936102</v>
      </c>
      <c r="H111" s="1">
        <f t="shared" si="15"/>
        <v>-1.7960653843248537</v>
      </c>
      <c r="J111" s="1"/>
      <c r="K111" s="1"/>
      <c r="L111" s="1"/>
      <c r="M111" s="1"/>
    </row>
    <row r="112" spans="1:13" x14ac:dyDescent="0.25">
      <c r="A112" s="2">
        <f t="array" ref="A112:C112">ODE_RK4(A111:C111,$C$3,$E$3,$F$3,$G$3,$H$3)</f>
        <v>10.599999999999978</v>
      </c>
      <c r="B112" s="1">
        <v>1.5142467998823426</v>
      </c>
      <c r="C112" s="1">
        <v>3.1944637053208065</v>
      </c>
      <c r="E112" s="1">
        <f t="shared" si="13"/>
        <v>1.1814188230537386</v>
      </c>
      <c r="F112" s="1">
        <f t="shared" si="14"/>
        <v>4.6240539815494133</v>
      </c>
      <c r="G112" s="1">
        <f t="shared" si="12"/>
        <v>-1.8600640599069505</v>
      </c>
      <c r="H112" s="1">
        <f t="shared" si="15"/>
        <v>-2.0603598614538123</v>
      </c>
      <c r="J112" s="1"/>
      <c r="K112" s="1"/>
      <c r="L112" s="1"/>
      <c r="M112" s="1"/>
    </row>
    <row r="113" spans="1:13" x14ac:dyDescent="0.25">
      <c r="A113" s="2">
        <f t="array" ref="A113:C113">ODE_RK4(A112:C112,$C$3,$E$3,$F$3,$G$3,$H$3)</f>
        <v>10.699999999999978</v>
      </c>
      <c r="B113" s="1">
        <v>1.4142883101086212</v>
      </c>
      <c r="C113" s="1">
        <v>3.0811624979870831</v>
      </c>
      <c r="E113" s="1">
        <f t="shared" si="13"/>
        <v>0.99541241706304351</v>
      </c>
      <c r="F113" s="1">
        <f t="shared" si="14"/>
        <v>4.418017995404032</v>
      </c>
      <c r="G113" s="1">
        <f t="shared" si="12"/>
        <v>-1.4441550823842377</v>
      </c>
      <c r="H113" s="1">
        <f t="shared" si="15"/>
        <v>-2.2150894048932805</v>
      </c>
      <c r="J113" s="1"/>
      <c r="K113" s="1"/>
      <c r="L113" s="1"/>
      <c r="M113" s="1"/>
    </row>
    <row r="114" spans="1:13" x14ac:dyDescent="0.25">
      <c r="A114" s="2">
        <f t="array" ref="A114:C114">ODE_RK4(A113:C113,$C$3,$E$3,$F$3,$G$3,$H$3)</f>
        <v>10.799999999999978</v>
      </c>
      <c r="B114" s="1">
        <v>1.330118757945199</v>
      </c>
      <c r="C114" s="1">
        <v>2.9636972923513278</v>
      </c>
      <c r="E114" s="1">
        <f t="shared" si="13"/>
        <v>0.85099690882461976</v>
      </c>
      <c r="F114" s="1">
        <f t="shared" si="14"/>
        <v>4.1965090549147037</v>
      </c>
      <c r="G114" s="1">
        <f t="shared" si="12"/>
        <v>-1.1215334495626199</v>
      </c>
      <c r="H114" s="1">
        <f t="shared" si="15"/>
        <v>-2.2858423738556812</v>
      </c>
      <c r="J114" s="1"/>
      <c r="K114" s="1"/>
      <c r="L114" s="1"/>
      <c r="M114" s="1"/>
    </row>
    <row r="115" spans="1:13" x14ac:dyDescent="0.25">
      <c r="A115" s="2">
        <f t="array" ref="A115:C115">ODE_RK4(A114:C114,$C$3,$E$3,$F$3,$G$3,$H$3)</f>
        <v>10.899999999999977</v>
      </c>
      <c r="B115" s="1">
        <v>1.2598967808079402</v>
      </c>
      <c r="C115" s="1">
        <v>2.8441280568324423</v>
      </c>
      <c r="E115" s="1">
        <f t="shared" si="13"/>
        <v>0.7388435638683577</v>
      </c>
      <c r="F115" s="1">
        <f t="shared" si="14"/>
        <v>3.9679248175291355</v>
      </c>
      <c r="G115" s="1">
        <f t="shared" si="12"/>
        <v>-0.87239315136492834</v>
      </c>
      <c r="H115" s="1">
        <f t="shared" si="15"/>
        <v>-2.2948371400198297</v>
      </c>
      <c r="J115" s="1"/>
      <c r="K115" s="1"/>
      <c r="L115" s="1"/>
      <c r="M115" s="1"/>
    </row>
    <row r="116" spans="1:13" x14ac:dyDescent="0.25">
      <c r="A116" s="2">
        <f t="array" ref="A116:C116">ODE_RK4(A115:C115,$C$3,$E$3,$F$3,$G$3,$H$3)</f>
        <v>10.999999999999977</v>
      </c>
      <c r="B116" s="1">
        <v>1.2019976269389643</v>
      </c>
      <c r="C116" s="1">
        <v>2.7241523880921203</v>
      </c>
      <c r="E116" s="1">
        <f t="shared" si="13"/>
        <v>0.65160424873186484</v>
      </c>
      <c r="F116" s="1">
        <f t="shared" si="14"/>
        <v>3.7384411035271525</v>
      </c>
      <c r="G116" s="1">
        <f t="shared" si="12"/>
        <v>-0.6796653655370426</v>
      </c>
      <c r="H116" s="1">
        <f t="shared" si="15"/>
        <v>-2.2599576508140817</v>
      </c>
      <c r="J116" s="1"/>
      <c r="K116" s="1"/>
      <c r="L116" s="1"/>
      <c r="M116" s="1"/>
    </row>
    <row r="117" spans="1:13" x14ac:dyDescent="0.25">
      <c r="A117" s="2">
        <f t="array" ref="A117:C117">ODE_RK4(A116:C116,$C$3,$E$3,$F$3,$G$3,$H$3)</f>
        <v>11.099999999999977</v>
      </c>
      <c r="B117" s="1">
        <v>1.1550171354950105</v>
      </c>
      <c r="C117" s="1">
        <v>2.6051441787355967</v>
      </c>
      <c r="E117" s="1">
        <f t="shared" si="13"/>
        <v>0.58363771217816063</v>
      </c>
      <c r="F117" s="1">
        <f t="shared" si="14"/>
        <v>3.5124453384457444</v>
      </c>
      <c r="G117" s="1">
        <f t="shared" si="12"/>
        <v>-0.52963208227499881</v>
      </c>
      <c r="H117" s="1">
        <f t="shared" si="15"/>
        <v>-2.1949576023121997</v>
      </c>
      <c r="J117" s="1"/>
      <c r="K117" s="1"/>
      <c r="L117" s="1"/>
      <c r="M117" s="1"/>
    </row>
    <row r="118" spans="1:13" x14ac:dyDescent="0.25">
      <c r="A118" s="2">
        <f t="array" ref="A118:C118">ODE_RK4(A117:C117,$C$3,$E$3,$F$3,$G$3,$H$3)</f>
        <v>11.199999999999976</v>
      </c>
      <c r="B118" s="1">
        <v>1.1177622784979417</v>
      </c>
      <c r="C118" s="1">
        <v>2.4881955539457841</v>
      </c>
      <c r="E118" s="1">
        <f t="shared" si="13"/>
        <v>0.53067450395066074</v>
      </c>
      <c r="F118" s="1">
        <f t="shared" si="14"/>
        <v>3.2929495782145244</v>
      </c>
      <c r="G118" s="1">
        <f t="shared" si="12"/>
        <v>-0.41168122563132514</v>
      </c>
      <c r="H118" s="1">
        <f t="shared" si="15"/>
        <v>-2.1101143473855606</v>
      </c>
      <c r="J118" s="1"/>
      <c r="K118" s="1"/>
      <c r="L118" s="1"/>
      <c r="M118" s="1"/>
    </row>
    <row r="119" spans="1:13" x14ac:dyDescent="0.25">
      <c r="A119" s="2">
        <f t="array" ref="A119:C119">ODE_RK4(A118:C118,$C$3,$E$3,$F$3,$G$3,$H$3)</f>
        <v>11.299999999999976</v>
      </c>
      <c r="B119" s="1">
        <v>1.0892346867388898</v>
      </c>
      <c r="C119" s="1">
        <v>2.3741581707429664</v>
      </c>
      <c r="E119" s="1">
        <f t="shared" si="13"/>
        <v>0.48950638138752822</v>
      </c>
      <c r="F119" s="1">
        <f t="shared" si="14"/>
        <v>3.0819381434759685</v>
      </c>
      <c r="G119" s="1">
        <f t="shared" si="12"/>
        <v>-0.31776937529883698</v>
      </c>
      <c r="H119" s="1">
        <f t="shared" si="15"/>
        <v>-2.0129619982988394</v>
      </c>
      <c r="J119" s="1"/>
      <c r="K119" s="1"/>
      <c r="L119" s="1"/>
      <c r="M119" s="1"/>
    </row>
    <row r="120" spans="1:13" x14ac:dyDescent="0.25">
      <c r="A120" s="2">
        <f t="array" ref="A120:C120">ODE_RK4(A119:C119,$C$3,$E$3,$F$3,$G$3,$H$3)</f>
        <v>11.399999999999975</v>
      </c>
      <c r="B120" s="1">
        <v>1.068611317724373</v>
      </c>
      <c r="C120" s="1">
        <v>2.2636816608373778</v>
      </c>
      <c r="E120" s="1">
        <f t="shared" si="13"/>
        <v>0.45772944385764452</v>
      </c>
      <c r="F120" s="1">
        <f t="shared" si="14"/>
        <v>2.8806419436460846</v>
      </c>
      <c r="G120" s="1">
        <f t="shared" si="12"/>
        <v>-0.24185744826170241</v>
      </c>
      <c r="H120" s="1">
        <f t="shared" si="15"/>
        <v>-1.9089471644714298</v>
      </c>
      <c r="J120" s="1"/>
      <c r="K120" s="1"/>
      <c r="L120" s="1"/>
      <c r="M120" s="1"/>
    </row>
    <row r="121" spans="1:13" x14ac:dyDescent="0.25">
      <c r="A121" s="2">
        <f t="array" ref="A121:C121">ODE_RK4(A120:C120,$C$3,$E$3,$F$3,$G$3,$H$3)</f>
        <v>11.499999999999975</v>
      </c>
      <c r="B121" s="1">
        <v>1.0552248007273664</v>
      </c>
      <c r="C121" s="1">
        <v>2.1572481367452898</v>
      </c>
      <c r="E121" s="1">
        <f t="shared" si="13"/>
        <v>0.43354369903147427</v>
      </c>
      <c r="F121" s="1">
        <f t="shared" si="14"/>
        <v>2.6897472271989415</v>
      </c>
      <c r="G121" s="1">
        <f t="shared" si="12"/>
        <v>-0.17942133856591902</v>
      </c>
      <c r="H121" s="1">
        <f t="shared" si="15"/>
        <v>-1.8019608930573092</v>
      </c>
      <c r="J121" s="1"/>
      <c r="K121" s="1"/>
      <c r="L121" s="1"/>
      <c r="M121" s="1"/>
    </row>
    <row r="122" spans="1:13" x14ac:dyDescent="0.25">
      <c r="A122" s="2">
        <f t="array" ref="A122:C122">ODE_RK4(A121:C121,$C$3,$E$3,$F$3,$G$3,$H$3)</f>
        <v>11.599999999999975</v>
      </c>
      <c r="B122" s="1">
        <v>1.0485448899074867</v>
      </c>
      <c r="C122" s="1">
        <v>2.0552024052695788</v>
      </c>
      <c r="E122" s="1">
        <f t="shared" si="13"/>
        <v>0.41560156517488239</v>
      </c>
      <c r="F122" s="1">
        <f t="shared" si="14"/>
        <v>2.5095511378932107</v>
      </c>
      <c r="G122" s="1">
        <f t="shared" si="12"/>
        <v>-0.12706215026703643</v>
      </c>
      <c r="H122" s="1">
        <f t="shared" si="15"/>
        <v>-1.6947488960761208</v>
      </c>
      <c r="J122" s="1"/>
      <c r="K122" s="1"/>
      <c r="L122" s="1"/>
      <c r="M122" s="1"/>
    </row>
    <row r="123" spans="1:13" x14ac:dyDescent="0.25">
      <c r="A123" s="2">
        <f t="array" ref="A123:C123">ODE_RK4(A122:C122,$C$3,$E$3,$F$3,$G$3,$H$3)</f>
        <v>11.699999999999974</v>
      </c>
      <c r="B123" s="1">
        <v>1.0481617386203348</v>
      </c>
      <c r="C123" s="1">
        <v>1.9577779641090907</v>
      </c>
      <c r="E123" s="1">
        <f t="shared" si="13"/>
        <v>0.40289535014817873</v>
      </c>
      <c r="F123" s="1">
        <f t="shared" si="14"/>
        <v>2.3400762482855986</v>
      </c>
      <c r="G123" s="1">
        <f t="shared" si="12"/>
        <v>-8.2209083478063161E-2</v>
      </c>
      <c r="H123" s="1">
        <f t="shared" si="15"/>
        <v>-1.5892192468005399</v>
      </c>
      <c r="J123" s="1"/>
      <c r="K123" s="1"/>
      <c r="L123" s="1"/>
      <c r="M123" s="1"/>
    </row>
    <row r="124" spans="1:13" x14ac:dyDescent="0.25">
      <c r="A124" s="2">
        <f t="array" ref="A124:C124">ODE_RK4(A123:C123,$C$3,$E$3,$F$3,$G$3,$H$3)</f>
        <v>11.799999999999974</v>
      </c>
      <c r="B124" s="1">
        <v>1.0537712615425572</v>
      </c>
      <c r="C124" s="1">
        <v>1.8651190926910182</v>
      </c>
      <c r="E124" s="1">
        <f t="shared" si="13"/>
        <v>0.39467444180037242</v>
      </c>
      <c r="F124" s="1">
        <f t="shared" si="14"/>
        <v>2.1811543236055444</v>
      </c>
      <c r="G124" s="1">
        <f t="shared" si="12"/>
        <v>-4.2898188929245407E-2</v>
      </c>
      <c r="H124" s="1">
        <f t="shared" si="15"/>
        <v>-1.4866696993395894</v>
      </c>
      <c r="J124" s="1"/>
      <c r="K124" s="1"/>
      <c r="L124" s="1"/>
      <c r="M124" s="1"/>
    </row>
    <row r="125" spans="1:13" x14ac:dyDescent="0.25">
      <c r="A125" s="2">
        <f t="array" ref="A125:C125">ODE_RK4(A124:C124,$C$3,$E$3,$F$3,$G$3,$H$3)</f>
        <v>11.899999999999974</v>
      </c>
      <c r="B125" s="1">
        <v>1.065162586966649</v>
      </c>
      <c r="C125" s="1">
        <v>1.7772994580896164</v>
      </c>
      <c r="E125" s="1">
        <f t="shared" si="13"/>
        <v>0.39038462290744791</v>
      </c>
      <c r="F125" s="1">
        <f t="shared" si="14"/>
        <v>2.0324873536715855</v>
      </c>
      <c r="G125" s="1">
        <f t="shared" si="12"/>
        <v>-7.6095379874056568E-3</v>
      </c>
      <c r="H125" s="1">
        <f t="shared" si="15"/>
        <v>-1.387954340199097</v>
      </c>
      <c r="J125" s="1"/>
      <c r="K125" s="1"/>
      <c r="L125" s="1"/>
      <c r="M125" s="1"/>
    </row>
    <row r="126" spans="1:13" x14ac:dyDescent="0.25">
      <c r="A126" s="2">
        <f t="array" ref="A126:C126">ODE_RK4(A125:C125,$C$3,$E$3,$F$3,$G$3,$H$3)</f>
        <v>11.999999999999973</v>
      </c>
      <c r="B126" s="1">
        <v>1.0822074549092955</v>
      </c>
      <c r="C126" s="1">
        <v>1.6943376902874281</v>
      </c>
      <c r="E126" s="1">
        <f t="shared" si="13"/>
        <v>0.38962366910870733</v>
      </c>
      <c r="F126" s="1">
        <f t="shared" si="14"/>
        <v>1.8936919196516757</v>
      </c>
      <c r="G126" s="1">
        <f t="shared" si="12"/>
        <v>2.4852086592730416E-2</v>
      </c>
      <c r="H126" s="1">
        <f t="shared" si="15"/>
        <v>-1.2936053775524814</v>
      </c>
      <c r="J126" s="1"/>
      <c r="K126" s="1"/>
      <c r="L126" s="1"/>
      <c r="M126" s="1"/>
    </row>
    <row r="127" spans="1:13" x14ac:dyDescent="0.25">
      <c r="A127" s="2">
        <f t="array" ref="A127:C127">ODE_RK4(A126:C126,$C$3,$E$3,$F$3,$G$3,$H$3)</f>
        <v>12.099999999999973</v>
      </c>
      <c r="B127" s="1">
        <v>1.104851342731489</v>
      </c>
      <c r="C127" s="1">
        <v>1.6162103708029008</v>
      </c>
      <c r="E127" s="1">
        <f t="shared" si="13"/>
        <v>0.39210887776798037</v>
      </c>
      <c r="F127" s="1">
        <f t="shared" si="14"/>
        <v>1.7643313818964277</v>
      </c>
      <c r="G127" s="1">
        <f t="shared" si="12"/>
        <v>5.5444654421833495E-2</v>
      </c>
      <c r="H127" s="1">
        <f t="shared" si="15"/>
        <v>-1.2039221060672709</v>
      </c>
      <c r="J127" s="1"/>
      <c r="K127" s="1"/>
      <c r="L127" s="1"/>
      <c r="M127" s="1"/>
    </row>
    <row r="128" spans="1:13" x14ac:dyDescent="0.25">
      <c r="A128" s="2">
        <f t="array" ref="A128:C128">ODE_RK4(A127:C127,$C$3,$E$3,$F$3,$G$3,$H$3)</f>
        <v>12.199999999999973</v>
      </c>
      <c r="B128" s="1">
        <v>1.1331060687961763</v>
      </c>
      <c r="C128" s="1">
        <v>1.542862845853032</v>
      </c>
      <c r="E128" s="1">
        <f t="shared" si="13"/>
        <v>0.39765334321016371</v>
      </c>
      <c r="F128" s="1">
        <f t="shared" si="14"/>
        <v>1.6439391712897007</v>
      </c>
      <c r="G128" s="1">
        <f t="shared" si="12"/>
        <v>8.495326735369918E-2</v>
      </c>
      <c r="H128" s="1">
        <f t="shared" si="15"/>
        <v>-1.1190359647825121</v>
      </c>
      <c r="J128" s="1"/>
      <c r="K128" s="1"/>
      <c r="L128" s="1"/>
      <c r="M128" s="1"/>
    </row>
    <row r="129" spans="1:13" x14ac:dyDescent="0.25">
      <c r="A129" s="2">
        <f t="array" ref="A129:C129">ODE_RK4(A128:C128,$C$3,$E$3,$F$3,$G$3,$H$3)</f>
        <v>12.299999999999972</v>
      </c>
      <c r="B129" s="1">
        <v>1.1670436167446194</v>
      </c>
      <c r="C129" s="1">
        <v>1.474218232711539</v>
      </c>
      <c r="E129" s="1">
        <f t="shared" si="13"/>
        <v>0.40614866994553361</v>
      </c>
      <c r="F129" s="1">
        <f t="shared" si="14"/>
        <v>1.5320355748114496</v>
      </c>
      <c r="G129" s="1">
        <f t="shared" si="12"/>
        <v>0.11403787732329357</v>
      </c>
      <c r="H129" s="1">
        <f t="shared" si="15"/>
        <v>-1.0389581965434864</v>
      </c>
      <c r="J129" s="1"/>
      <c r="K129" s="1"/>
      <c r="L129" s="1"/>
      <c r="M129" s="1"/>
    </row>
    <row r="130" spans="1:13" x14ac:dyDescent="0.25">
      <c r="A130" s="2">
        <f t="array" ref="A130:C130">ODE_RK4(A129:C129,$C$3,$E$3,$F$3,$G$3,$H$3)</f>
        <v>12.399999999999972</v>
      </c>
      <c r="B130" s="1">
        <v>1.2067909257879101</v>
      </c>
      <c r="C130" s="1">
        <v>1.4101849434332747</v>
      </c>
      <c r="E130" s="1">
        <f t="shared" si="13"/>
        <v>0.41755245767786298</v>
      </c>
      <c r="F130" s="1">
        <f t="shared" si="14"/>
        <v>1.4281397551571009</v>
      </c>
      <c r="G130" s="1">
        <f t="shared" si="12"/>
        <v>0.14326899040945018</v>
      </c>
      <c r="H130" s="1">
        <f t="shared" si="15"/>
        <v>-0.96361482472368809</v>
      </c>
      <c r="J130" s="1"/>
      <c r="K130" s="1"/>
      <c r="L130" s="1"/>
      <c r="M130" s="1"/>
    </row>
    <row r="131" spans="1:13" x14ac:dyDescent="0.25">
      <c r="A131" s="2">
        <f t="array" ref="A131:C131">ODE_RK4(A130:C130,$C$3,$E$3,$F$3,$G$3,$H$3)</f>
        <v>12.499999999999972</v>
      </c>
      <c r="B131" s="1">
        <v>1.2525253981505928</v>
      </c>
      <c r="C131" s="1">
        <v>1.3506630079290303</v>
      </c>
      <c r="E131" s="1">
        <f t="shared" si="13"/>
        <v>0.43187935671880801</v>
      </c>
      <c r="F131" s="1">
        <f t="shared" si="14"/>
        <v>1.331778272684732</v>
      </c>
      <c r="G131" s="1">
        <f t="shared" si="12"/>
        <v>0.17315470184306919</v>
      </c>
      <c r="H131" s="1">
        <f t="shared" si="15"/>
        <v>-0.89287235503803553</v>
      </c>
      <c r="J131" s="1"/>
      <c r="K131" s="1"/>
      <c r="L131" s="1"/>
      <c r="M131" s="1"/>
    </row>
    <row r="132" spans="1:13" x14ac:dyDescent="0.25">
      <c r="A132" s="2">
        <f t="array" ref="A132:C132">ODE_RK4(A131:C131,$C$3,$E$3,$F$3,$G$3,$H$3)</f>
        <v>12.599999999999971</v>
      </c>
      <c r="B132" s="1">
        <v>1.304470878568011</v>
      </c>
      <c r="C132" s="1">
        <v>1.2955494406804127</v>
      </c>
      <c r="E132" s="1">
        <f t="shared" si="13"/>
        <v>0.44919482690311491</v>
      </c>
      <c r="F132" s="1">
        <f t="shared" si="14"/>
        <v>1.2424910371809286</v>
      </c>
      <c r="G132" s="1">
        <f t="shared" si="12"/>
        <v>0.20416146445864253</v>
      </c>
      <c r="H132" s="1">
        <f t="shared" si="15"/>
        <v>-0.82655666583219523</v>
      </c>
      <c r="J132" s="1"/>
      <c r="K132" s="1"/>
      <c r="L132" s="1"/>
      <c r="M132" s="1"/>
    </row>
    <row r="133" spans="1:13" x14ac:dyDescent="0.25">
      <c r="A133" s="2">
        <f t="array" ref="A133:C133">ODE_RK4(A132:C132,$C$3,$E$3,$F$3,$G$3,$H$3)</f>
        <v>12.699999999999971</v>
      </c>
      <c r="B133" s="1">
        <v>1.3628938594117637</v>
      </c>
      <c r="C133" s="1">
        <v>1.2447428631206332</v>
      </c>
      <c r="E133" s="1">
        <f t="shared" si="13"/>
        <v>0.46961097334897917</v>
      </c>
      <c r="F133" s="1">
        <f t="shared" si="14"/>
        <v>1.1598353705977091</v>
      </c>
      <c r="G133" s="1">
        <f t="shared" si="12"/>
        <v>0.23673031763219649</v>
      </c>
      <c r="H133" s="1">
        <f t="shared" si="15"/>
        <v>-0.76446687128487811</v>
      </c>
      <c r="J133" s="1"/>
      <c r="K133" s="1"/>
      <c r="L133" s="1"/>
      <c r="M133" s="1"/>
    </row>
    <row r="134" spans="1:13" x14ac:dyDescent="0.25">
      <c r="A134" s="2">
        <f t="array" ref="A134:C134">ODE_RK4(A133:C133,$C$3,$E$3,$F$3,$G$3,$H$3)</f>
        <v>12.799999999999971</v>
      </c>
      <c r="B134" s="1">
        <v>1.4280996565100332</v>
      </c>
      <c r="C134" s="1">
        <v>1.1981475671006698</v>
      </c>
      <c r="E134" s="1">
        <f t="shared" si="13"/>
        <v>0.49328400511219883</v>
      </c>
      <c r="F134" s="1">
        <f t="shared" si="14"/>
        <v>1.0833886834692212</v>
      </c>
      <c r="G134" s="1">
        <f t="shared" ref="G134:G165" si="16">$E$3*E134-$F$3*E134*F134</f>
        <v>0.27128982080968078</v>
      </c>
      <c r="H134" s="1">
        <f t="shared" si="15"/>
        <v>-0.70638545411289821</v>
      </c>
      <c r="J134" s="1"/>
      <c r="K134" s="1"/>
      <c r="L134" s="1"/>
      <c r="M134" s="1"/>
    </row>
    <row r="135" spans="1:13" x14ac:dyDescent="0.25">
      <c r="A135" s="2">
        <f t="array" ref="A135:C135">ODE_RK4(A134:C134,$C$3,$E$3,$F$3,$G$3,$H$3)</f>
        <v>12.89999999999997</v>
      </c>
      <c r="B135" s="1">
        <v>1.5004282834928289</v>
      </c>
      <c r="C135" s="1">
        <v>1.1556771837592239</v>
      </c>
      <c r="E135" s="1">
        <f t="shared" ref="E135:E166" si="17">E134+$C$3*G134</f>
        <v>0.52041298719316686</v>
      </c>
      <c r="F135" s="1">
        <f t="shared" ref="F135:F166" si="18">F134+$C$3*H134</f>
        <v>1.0127501380579313</v>
      </c>
      <c r="G135" s="1">
        <f t="shared" si="16"/>
        <v>0.30826658985558808</v>
      </c>
      <c r="H135" s="1">
        <f t="shared" ref="H135:H166" si="19">-$G$3*F135+$H$3*E135*F135</f>
        <v>-0.65208561305823909</v>
      </c>
      <c r="J135" s="1"/>
      <c r="K135" s="1"/>
      <c r="L135" s="1"/>
      <c r="M135" s="1"/>
    </row>
    <row r="136" spans="1:13" x14ac:dyDescent="0.25">
      <c r="A136" s="2">
        <f t="array" ref="A136:C136">ODE_RK4(A135:C135,$C$3,$E$3,$F$3,$G$3,$H$3)</f>
        <v>12.99999999999997</v>
      </c>
      <c r="B136" s="1">
        <v>1.5802497252159458</v>
      </c>
      <c r="C136" s="1">
        <v>1.1172581061833686</v>
      </c>
      <c r="E136" s="1">
        <f t="shared" si="17"/>
        <v>0.55123964617872567</v>
      </c>
      <c r="F136" s="1">
        <f t="shared" si="18"/>
        <v>0.94754157675210748</v>
      </c>
      <c r="G136" s="1">
        <f t="shared" si="16"/>
        <v>0.34809408530939268</v>
      </c>
      <c r="H136" s="1">
        <f t="shared" si="19"/>
        <v>-0.60133651634914698</v>
      </c>
      <c r="J136" s="1"/>
      <c r="K136" s="1"/>
      <c r="L136" s="1"/>
      <c r="M136" s="1"/>
    </row>
    <row r="137" spans="1:13" x14ac:dyDescent="0.25">
      <c r="A137" s="2">
        <f t="array" ref="A137:C137">ODE_RK4(A136:C136,$C$3,$E$3,$F$3,$G$3,$H$3)</f>
        <v>13.099999999999969</v>
      </c>
      <c r="B137" s="1">
        <v>1.6679582722613997</v>
      </c>
      <c r="C137" s="1">
        <v>1.0828328030681842</v>
      </c>
      <c r="E137" s="1">
        <f t="shared" si="17"/>
        <v>0.58604905470966495</v>
      </c>
      <c r="F137" s="1">
        <f t="shared" si="18"/>
        <v>0.8874079251171928</v>
      </c>
      <c r="G137" s="1">
        <f t="shared" si="16"/>
        <v>0.39122012025752034</v>
      </c>
      <c r="H137" s="1">
        <f t="shared" si="19"/>
        <v>-0.55390696739671552</v>
      </c>
      <c r="J137" s="1"/>
      <c r="K137" s="1"/>
      <c r="L137" s="1"/>
      <c r="M137" s="1"/>
    </row>
    <row r="138" spans="1:13" x14ac:dyDescent="0.25">
      <c r="A138" s="2">
        <f t="array" ref="A138:C138">ODE_RK4(A137:C137,$C$3,$E$3,$F$3,$G$3,$H$3)</f>
        <v>13.199999999999969</v>
      </c>
      <c r="B138" s="1">
        <v>1.7639655274447603</v>
      </c>
      <c r="C138" s="1">
        <v>1.0523631536978242</v>
      </c>
      <c r="E138" s="1">
        <f t="shared" si="17"/>
        <v>0.625171066735417</v>
      </c>
      <c r="F138" s="1">
        <f t="shared" si="18"/>
        <v>0.83201722837752123</v>
      </c>
      <c r="G138" s="1">
        <f t="shared" si="16"/>
        <v>0.43811342115828839</v>
      </c>
      <c r="H138" s="1">
        <f t="shared" si="19"/>
        <v>-0.50956785323991094</v>
      </c>
      <c r="J138" s="1"/>
      <c r="K138" s="1"/>
      <c r="L138" s="1"/>
      <c r="M138" s="1"/>
    </row>
    <row r="139" spans="1:13" x14ac:dyDescent="0.25">
      <c r="A139" s="2">
        <f t="array" ref="A139:C139">ODE_RK4(A138:C138,$C$3,$E$3,$F$3,$G$3,$H$3)</f>
        <v>13.299999999999969</v>
      </c>
      <c r="B139" s="1">
        <v>1.8686916304999703</v>
      </c>
      <c r="C139" s="1">
        <v>1.0258339314578535</v>
      </c>
      <c r="E139" s="1">
        <f t="shared" si="17"/>
        <v>0.66898240885124582</v>
      </c>
      <c r="F139" s="1">
        <f t="shared" si="18"/>
        <v>0.78106044305353017</v>
      </c>
      <c r="G139" s="1">
        <f t="shared" si="16"/>
        <v>0.48926947263007181</v>
      </c>
      <c r="H139" s="1">
        <f t="shared" si="19"/>
        <v>-0.46809364544711257</v>
      </c>
      <c r="J139" s="1"/>
      <c r="K139" s="1"/>
      <c r="L139" s="1"/>
      <c r="M139" s="1"/>
    </row>
    <row r="140" spans="1:13" x14ac:dyDescent="0.25">
      <c r="A140" s="2">
        <f t="array" ref="A140:C140">ODE_RK4(A139:C139,$C$3,$E$3,$F$3,$G$3,$H$3)</f>
        <v>13.399999999999968</v>
      </c>
      <c r="B140" s="1">
        <v>1.9825541676927516</v>
      </c>
      <c r="C140" s="1">
        <v>1.0032565631029147</v>
      </c>
      <c r="E140" s="1">
        <f t="shared" si="17"/>
        <v>0.71790935611425299</v>
      </c>
      <c r="F140" s="1">
        <f t="shared" si="18"/>
        <v>0.73425107850881888</v>
      </c>
      <c r="G140" s="1">
        <f t="shared" si="16"/>
        <v>0.54521579593802638</v>
      </c>
      <c r="H140" s="1">
        <f t="shared" si="19"/>
        <v>-0.42926314710751656</v>
      </c>
      <c r="J140" s="1"/>
      <c r="K140" s="1"/>
      <c r="L140" s="1"/>
      <c r="M140" s="1"/>
    </row>
    <row r="141" spans="1:13" x14ac:dyDescent="0.25">
      <c r="A141" s="2">
        <f t="array" ref="A141:C141">ODE_RK4(A140:C140,$C$3,$E$3,$F$3,$G$3,$H$3)</f>
        <v>13.499999999999968</v>
      </c>
      <c r="B141" s="1">
        <v>2.1059541386134271</v>
      </c>
      <c r="C141" s="1">
        <v>0.98467329324191133</v>
      </c>
      <c r="E141" s="1">
        <f t="shared" si="17"/>
        <v>0.77243093570805565</v>
      </c>
      <c r="F141" s="1">
        <f t="shared" si="18"/>
        <v>0.69132476379806718</v>
      </c>
      <c r="G141" s="1">
        <f t="shared" si="16"/>
        <v>0.60651674234245179</v>
      </c>
      <c r="H141" s="1">
        <f t="shared" si="19"/>
        <v>-0.39285962078484638</v>
      </c>
      <c r="J141" s="1"/>
      <c r="K141" s="1"/>
      <c r="L141" s="1"/>
      <c r="M141" s="1"/>
    </row>
    <row r="142" spans="1:13" x14ac:dyDescent="0.25">
      <c r="A142" s="2">
        <f t="array" ref="A142:C142">ODE_RK4(A141:C141,$C$3,$E$3,$F$3,$G$3,$H$3)</f>
        <v>13.599999999999968</v>
      </c>
      <c r="B142" s="1">
        <v>2.2392582435243149</v>
      </c>
      <c r="C142" s="1">
        <v>0.97016188659228342</v>
      </c>
      <c r="E142" s="1">
        <f t="shared" si="17"/>
        <v>0.83308260994230088</v>
      </c>
      <c r="F142" s="1">
        <f t="shared" si="18"/>
        <v>0.65203880171958251</v>
      </c>
      <c r="G142" s="1">
        <f t="shared" si="16"/>
        <v>0.67377781989864083</v>
      </c>
      <c r="H142" s="1">
        <f t="shared" si="19"/>
        <v>-0.35867038535960605</v>
      </c>
      <c r="J142" s="1"/>
      <c r="K142" s="1"/>
      <c r="L142" s="1"/>
      <c r="M142" s="1"/>
    </row>
    <row r="143" spans="1:13" x14ac:dyDescent="0.25">
      <c r="A143" s="2">
        <f t="array" ref="A143:C143">ODE_RK4(A142:C142,$C$3,$E$3,$F$3,$G$3,$H$3)</f>
        <v>13.699999999999967</v>
      </c>
      <c r="B143" s="1">
        <v>2.3827766341719232</v>
      </c>
      <c r="C143" s="1">
        <v>0.9598410023194841</v>
      </c>
      <c r="E143" s="1">
        <f t="shared" si="17"/>
        <v>0.90046039193216498</v>
      </c>
      <c r="F143" s="1">
        <f t="shared" si="18"/>
        <v>0.61617176318362188</v>
      </c>
      <c r="G143" s="1">
        <f t="shared" si="16"/>
        <v>0.74764950989428369</v>
      </c>
      <c r="H143" s="1">
        <f t="shared" si="19"/>
        <v>-0.32648593033474038</v>
      </c>
      <c r="J143" s="1"/>
      <c r="K143" s="1"/>
      <c r="L143" s="1"/>
      <c r="M143" s="1"/>
    </row>
    <row r="144" spans="1:13" x14ac:dyDescent="0.25">
      <c r="A144" s="2">
        <f t="array" ref="A144:C144">ODE_RK4(A143:C143,$C$3,$E$3,$F$3,$G$3,$H$3)</f>
        <v>13.799999999999967</v>
      </c>
      <c r="B144" s="1">
        <v>2.5367351453004918</v>
      </c>
      <c r="C144" s="1">
        <v>0.95387637173077222</v>
      </c>
      <c r="E144" s="1">
        <f t="shared" si="17"/>
        <v>0.97522534292159335</v>
      </c>
      <c r="F144" s="1">
        <f t="shared" si="18"/>
        <v>0.58352317015014787</v>
      </c>
      <c r="G144" s="1">
        <f t="shared" si="16"/>
        <v>0.82883046127848803</v>
      </c>
      <c r="H144" s="1">
        <f t="shared" si="19"/>
        <v>-0.29609856100640636</v>
      </c>
      <c r="J144" s="1"/>
      <c r="K144" s="1"/>
      <c r="L144" s="1"/>
      <c r="M144" s="1"/>
    </row>
    <row r="145" spans="1:13" x14ac:dyDescent="0.25">
      <c r="A145" s="2">
        <f t="array" ref="A145:C145">ODE_RK4(A144:C144,$C$3,$E$3,$F$3,$G$3,$H$3)</f>
        <v>13.899999999999967</v>
      </c>
      <c r="B145" s="1">
        <v>2.7012409055296818</v>
      </c>
      <c r="C145" s="1">
        <v>0.95248789718285642</v>
      </c>
      <c r="E145" s="1">
        <f t="shared" si="17"/>
        <v>1.0581083890494423</v>
      </c>
      <c r="F145" s="1">
        <f t="shared" si="18"/>
        <v>0.55391331404950728</v>
      </c>
      <c r="G145" s="1">
        <f t="shared" si="16"/>
        <v>0.9180698722181535</v>
      </c>
      <c r="H145" s="1">
        <f t="shared" si="19"/>
        <v>-0.26730055391901719</v>
      </c>
      <c r="J145" s="1"/>
      <c r="K145" s="1"/>
      <c r="L145" s="1"/>
      <c r="M145" s="1"/>
    </row>
    <row r="146" spans="1:13" x14ac:dyDescent="0.25">
      <c r="A146" s="2">
        <f t="array" ref="A146:C146">ODE_RK4(A145:C145,$C$3,$E$3,$F$3,$G$3,$H$3)</f>
        <v>13.999999999999966</v>
      </c>
      <c r="B146" s="1">
        <v>2.8762401365217261</v>
      </c>
      <c r="C146" s="1">
        <v>0.95595775758481594</v>
      </c>
      <c r="E146" s="1">
        <f t="shared" si="17"/>
        <v>1.1499153762712577</v>
      </c>
      <c r="F146" s="1">
        <f t="shared" si="18"/>
        <v>0.52718325865760551</v>
      </c>
      <c r="G146" s="1">
        <f t="shared" si="16"/>
        <v>1.0161687703796083</v>
      </c>
      <c r="H146" s="1">
        <f t="shared" si="19"/>
        <v>-0.23988176635313399</v>
      </c>
      <c r="J146" s="1"/>
      <c r="K146" s="1"/>
      <c r="L146" s="1"/>
      <c r="M146" s="1"/>
    </row>
    <row r="147" spans="1:13" x14ac:dyDescent="0.25">
      <c r="A147" s="2">
        <f t="array" ref="A147:C147">ODE_RK4(A146:C146,$C$3,$E$3,$F$3,$G$3,$H$3)</f>
        <v>14.099999999999966</v>
      </c>
      <c r="B147" s="1">
        <v>3.0614669247064987</v>
      </c>
      <c r="C147" s="1">
        <v>0.96463954094821691</v>
      </c>
      <c r="E147" s="1">
        <f t="shared" si="17"/>
        <v>1.2515322533092186</v>
      </c>
      <c r="F147" s="1">
        <f t="shared" si="18"/>
        <v>0.50319508202229213</v>
      </c>
      <c r="G147" s="1">
        <f t="shared" si="16"/>
        <v>1.1239797790565764</v>
      </c>
      <c r="H147" s="1">
        <f t="shared" si="19"/>
        <v>-0.21362660316059084</v>
      </c>
      <c r="J147" s="1"/>
      <c r="K147" s="1"/>
      <c r="L147" s="1"/>
      <c r="M147" s="1"/>
    </row>
    <row r="148" spans="1:13" x14ac:dyDescent="0.25">
      <c r="A148" s="2">
        <f t="array" ref="A148:C148">ODE_RK4(A147:C147,$C$3,$E$3,$F$3,$G$3,$H$3)</f>
        <v>14.199999999999966</v>
      </c>
      <c r="B148" s="1">
        <v>3.2563818480814462</v>
      </c>
      <c r="C148" s="1">
        <v>0.97896830698201287</v>
      </c>
      <c r="E148" s="1">
        <f t="shared" si="17"/>
        <v>1.3639302312148762</v>
      </c>
      <c r="F148" s="1">
        <f t="shared" si="18"/>
        <v>0.48183242170623303</v>
      </c>
      <c r="G148" s="1">
        <f t="shared" si="16"/>
        <v>1.2424047936510878</v>
      </c>
      <c r="H148" s="1">
        <f t="shared" si="19"/>
        <v>-0.18831019546160463</v>
      </c>
      <c r="J148" s="1"/>
      <c r="K148" s="1"/>
      <c r="L148" s="1"/>
      <c r="M148" s="1"/>
    </row>
    <row r="149" spans="1:13" x14ac:dyDescent="0.25">
      <c r="A149" s="2">
        <f t="array" ref="A149:C149">ODE_RK4(A148:C148,$C$3,$E$3,$F$3,$G$3,$H$3)</f>
        <v>14.299999999999965</v>
      </c>
      <c r="B149" s="1">
        <v>3.4600996504282238</v>
      </c>
      <c r="C149" s="1">
        <v>0.99947128354654469</v>
      </c>
      <c r="E149" s="1">
        <f t="shared" si="17"/>
        <v>1.4881707105799851</v>
      </c>
      <c r="F149" s="1">
        <f t="shared" si="18"/>
        <v>0.46300140216007257</v>
      </c>
      <c r="G149" s="1">
        <f t="shared" si="16"/>
        <v>1.3723897773047313</v>
      </c>
      <c r="H149" s="1">
        <f t="shared" si="19"/>
        <v>-0.16369358403243267</v>
      </c>
      <c r="J149" s="1"/>
      <c r="K149" s="1"/>
      <c r="L149" s="1"/>
      <c r="M149" s="1"/>
    </row>
    <row r="150" spans="1:13" x14ac:dyDescent="0.25">
      <c r="A150" s="2">
        <f t="array" ref="A150:C150">ODE_RK4(A149:C149,$C$3,$E$3,$F$3,$G$3,$H$3)</f>
        <v>14.399999999999965</v>
      </c>
      <c r="B150" s="1">
        <v>3.6713058072006719</v>
      </c>
      <c r="C150" s="1">
        <v>1.0267785790466586</v>
      </c>
      <c r="E150" s="1">
        <f t="shared" si="17"/>
        <v>1.6254096883104583</v>
      </c>
      <c r="F150" s="1">
        <f t="shared" si="18"/>
        <v>0.4466320437568293</v>
      </c>
      <c r="G150" s="1">
        <f t="shared" si="16"/>
        <v>1.5149155953531994</v>
      </c>
      <c r="H150" s="1">
        <f t="shared" si="19"/>
        <v>-0.13951761969578824</v>
      </c>
      <c r="J150" s="1"/>
      <c r="K150" s="1"/>
      <c r="L150" s="1"/>
      <c r="M150" s="1"/>
    </row>
    <row r="151" spans="1:13" x14ac:dyDescent="0.25">
      <c r="A151" s="2">
        <f t="array" ref="A151:C151">ODE_RK4(A150:C150,$C$3,$E$3,$F$3,$G$3,$H$3)</f>
        <v>14.499999999999964</v>
      </c>
      <c r="B151" s="1">
        <v>3.8881630043672217</v>
      </c>
      <c r="C151" s="1">
        <v>1.0616327946314206</v>
      </c>
      <c r="E151" s="1">
        <f t="shared" si="17"/>
        <v>1.7769012478457782</v>
      </c>
      <c r="F151" s="1">
        <f t="shared" si="18"/>
        <v>0.43268028178725049</v>
      </c>
      <c r="G151" s="1">
        <f t="shared" si="16"/>
        <v>1.6709834178393166</v>
      </c>
      <c r="H151" s="1">
        <f t="shared" si="19"/>
        <v>-0.11549518564199193</v>
      </c>
      <c r="J151" s="1"/>
      <c r="K151" s="1"/>
      <c r="L151" s="1"/>
      <c r="M151" s="1"/>
    </row>
    <row r="152" spans="1:13" x14ac:dyDescent="0.25">
      <c r="A152" s="2">
        <f t="array" ref="A152:C152">ODE_RK4(A151:C151,$C$3,$E$3,$F$3,$G$3,$H$3)</f>
        <v>14.599999999999964</v>
      </c>
      <c r="B152" s="1">
        <v>4.108210494279998</v>
      </c>
      <c r="C152" s="1">
        <v>1.1048956801745431</v>
      </c>
      <c r="E152" s="1">
        <f t="shared" si="17"/>
        <v>1.9439995896297098</v>
      </c>
      <c r="F152" s="1">
        <f t="shared" si="18"/>
        <v>0.42113076322305132</v>
      </c>
      <c r="G152" s="1">
        <f t="shared" si="16"/>
        <v>1.8415926890240168</v>
      </c>
      <c r="H152" s="1">
        <f t="shared" si="19"/>
        <v>-9.1301201312623592E-2</v>
      </c>
      <c r="J152" s="1"/>
      <c r="K152" s="1"/>
      <c r="L152" s="1"/>
      <c r="M152" s="1"/>
    </row>
    <row r="153" spans="1:13" x14ac:dyDescent="0.25">
      <c r="A153" s="2">
        <f t="array" ref="A153:C153">ODE_RK4(A152:C152,$C$3,$E$3,$F$3,$G$3,$H$3)</f>
        <v>14.699999999999964</v>
      </c>
      <c r="B153" s="1">
        <v>4.3282622879364911</v>
      </c>
      <c r="C153" s="1">
        <v>1.1575489295782917</v>
      </c>
      <c r="E153" s="1">
        <f t="shared" si="17"/>
        <v>2.1281588585321116</v>
      </c>
      <c r="F153" s="1">
        <f t="shared" si="18"/>
        <v>0.41200064309178897</v>
      </c>
      <c r="G153" s="1">
        <f t="shared" si="16"/>
        <v>2.0277089392485035</v>
      </c>
      <c r="H153" s="1">
        <f t="shared" si="19"/>
        <v>-6.655966897841592E-2</v>
      </c>
      <c r="J153" s="1"/>
      <c r="K153" s="1"/>
      <c r="L153" s="1"/>
      <c r="M153" s="1"/>
    </row>
    <row r="154" spans="1:13" x14ac:dyDescent="0.25">
      <c r="A154" s="2">
        <f t="array" ref="A154:C154">ODE_RK4(A153:C153,$C$3,$E$3,$F$3,$G$3,$H$3)</f>
        <v>14.799999999999963</v>
      </c>
      <c r="B154" s="1">
        <v>4.5443144753140166</v>
      </c>
      <c r="C154" s="1">
        <v>1.2206848105227945</v>
      </c>
      <c r="E154" s="1">
        <f t="shared" si="17"/>
        <v>2.3309297524569619</v>
      </c>
      <c r="F154" s="1">
        <f t="shared" si="18"/>
        <v>0.40534467619394737</v>
      </c>
      <c r="G154" s="1">
        <f t="shared" si="16"/>
        <v>2.230217723504051</v>
      </c>
      <c r="H154" s="1">
        <f t="shared" si="19"/>
        <v>-4.0826751233006442E-2</v>
      </c>
      <c r="J154" s="1"/>
      <c r="K154" s="1"/>
      <c r="L154" s="1"/>
      <c r="M154" s="1"/>
    </row>
    <row r="155" spans="1:13" x14ac:dyDescent="0.25">
      <c r="A155" s="2">
        <f t="array" ref="A155:C155">ODE_RK4(A154:C154,$C$3,$E$3,$F$3,$G$3,$H$3)</f>
        <v>14.899999999999963</v>
      </c>
      <c r="B155" s="1">
        <v>4.7514777999155076</v>
      </c>
      <c r="C155" s="1">
        <v>1.295480603073079</v>
      </c>
      <c r="E155" s="1">
        <f t="shared" si="17"/>
        <v>2.553951524807367</v>
      </c>
      <c r="F155" s="1">
        <f t="shared" si="18"/>
        <v>0.40126200107064675</v>
      </c>
      <c r="G155" s="1">
        <f t="shared" si="16"/>
        <v>2.4498596100798604</v>
      </c>
      <c r="H155" s="1">
        <f t="shared" si="19"/>
        <v>-1.3568491012027339E-2</v>
      </c>
      <c r="J155" s="1"/>
      <c r="K155" s="1"/>
      <c r="L155" s="1"/>
      <c r="M155" s="1"/>
    </row>
    <row r="156" spans="1:13" x14ac:dyDescent="0.25">
      <c r="A156" s="2">
        <f t="array" ref="A156:C156">ODE_RK4(A155:C155,$C$3,$E$3,$F$3,$G$3,$H$3)</f>
        <v>14.999999999999963</v>
      </c>
      <c r="B156" s="1">
        <v>4.9439587684464259</v>
      </c>
      <c r="C156" s="1">
        <v>1.3831489785925095</v>
      </c>
      <c r="E156" s="1">
        <f t="shared" si="17"/>
        <v>2.7989374858153528</v>
      </c>
      <c r="F156" s="1">
        <f t="shared" si="18"/>
        <v>0.39990515196944398</v>
      </c>
      <c r="G156" s="1">
        <f t="shared" si="16"/>
        <v>2.6871392706076458</v>
      </c>
      <c r="H156" s="1">
        <f t="shared" si="19"/>
        <v>1.5868734609833401E-2</v>
      </c>
      <c r="J156" s="1"/>
      <c r="K156" s="1"/>
      <c r="L156" s="1"/>
      <c r="M156" s="1"/>
    </row>
    <row r="157" spans="1:13" x14ac:dyDescent="0.25">
      <c r="A157" s="2">
        <f t="array" ref="A157:C157">ODE_RK4(A156:C156,$C$3,$E$3,$F$3,$G$3,$H$3)</f>
        <v>15.099999999999962</v>
      </c>
      <c r="B157" s="1">
        <v>5.1151201508469057</v>
      </c>
      <c r="C157" s="1">
        <v>1.4848549859064333</v>
      </c>
      <c r="E157" s="1">
        <f t="shared" si="17"/>
        <v>3.0676514128761174</v>
      </c>
      <c r="F157" s="1">
        <f t="shared" si="18"/>
        <v>0.40149202543042734</v>
      </c>
      <c r="G157" s="1">
        <f t="shared" si="16"/>
        <v>2.9421991480092542</v>
      </c>
      <c r="H157" s="1">
        <f t="shared" si="19"/>
        <v>4.8297653376701388E-2</v>
      </c>
      <c r="J157" s="1"/>
      <c r="K157" s="1"/>
      <c r="L157" s="1"/>
      <c r="M157" s="1"/>
    </row>
    <row r="158" spans="1:13" x14ac:dyDescent="0.25">
      <c r="A158" s="2">
        <f t="array" ref="A158:C158">ODE_RK4(A157:C157,$C$3,$E$3,$F$3,$G$3,$H$3)</f>
        <v>15.199999999999962</v>
      </c>
      <c r="B158" s="1">
        <v>5.2576576039570977</v>
      </c>
      <c r="C158" s="1">
        <v>1.601590188545174</v>
      </c>
      <c r="E158" s="1">
        <f t="shared" si="17"/>
        <v>3.3618713276770427</v>
      </c>
      <c r="F158" s="1">
        <f t="shared" si="18"/>
        <v>0.40632179076809749</v>
      </c>
      <c r="G158" s="1">
        <f t="shared" si="16"/>
        <v>3.2146446462962563</v>
      </c>
      <c r="H158" s="1">
        <f t="shared" si="19"/>
        <v>8.4743040843619222E-2</v>
      </c>
      <c r="J158" s="1"/>
      <c r="K158" s="1"/>
      <c r="L158" s="1"/>
      <c r="M158" s="1"/>
    </row>
    <row r="159" spans="1:13" x14ac:dyDescent="0.25">
      <c r="A159" s="2">
        <f t="array" ref="A159:C159">ODE_RK4(A158:C158,$C$3,$E$3,$F$3,$G$3,$H$3)</f>
        <v>15.299999999999962</v>
      </c>
      <c r="B159" s="1">
        <v>5.3639295498041148</v>
      </c>
      <c r="C159" s="1">
        <v>1.7339972370147323</v>
      </c>
      <c r="E159" s="1">
        <f t="shared" si="17"/>
        <v>3.6833357923066683</v>
      </c>
      <c r="F159" s="1">
        <f t="shared" si="18"/>
        <v>0.41479609485245938</v>
      </c>
      <c r="G159" s="1">
        <f t="shared" si="16"/>
        <v>3.5033029691605444</v>
      </c>
      <c r="H159" s="1">
        <f t="shared" si="19"/>
        <v>0.12651311492176104</v>
      </c>
      <c r="J159" s="1"/>
      <c r="K159" s="1"/>
      <c r="L159" s="1"/>
      <c r="M159" s="1"/>
    </row>
    <row r="160" spans="1:13" x14ac:dyDescent="0.25">
      <c r="A160" s="2">
        <f t="array" ref="A160:C160">ODE_RK4(A159:C159,$C$3,$E$3,$F$3,$G$3,$H$3)</f>
        <v>15.399999999999961</v>
      </c>
      <c r="B160" s="1">
        <v>5.4264669265116305</v>
      </c>
      <c r="C160" s="1">
        <v>1.8821456871816675</v>
      </c>
      <c r="E160" s="1">
        <f t="shared" si="17"/>
        <v>4.0336660892227227</v>
      </c>
      <c r="F160" s="1">
        <f t="shared" si="18"/>
        <v>0.42744740634463552</v>
      </c>
      <c r="G160" s="1">
        <f t="shared" si="16"/>
        <v>3.8058912423281299</v>
      </c>
      <c r="H160" s="1">
        <f t="shared" si="19"/>
        <v>0.17529610729386014</v>
      </c>
      <c r="J160" s="1"/>
      <c r="K160" s="1"/>
      <c r="L160" s="1"/>
      <c r="M160" s="1"/>
    </row>
    <row r="161" spans="1:13" x14ac:dyDescent="0.25">
      <c r="A161" s="2">
        <f t="array" ref="A161:C161">ODE_RK4(A160:C160,$C$3,$E$3,$F$3,$G$3,$H$3)</f>
        <v>15.499999999999961</v>
      </c>
      <c r="B161" s="1">
        <v>5.4386621708148244</v>
      </c>
      <c r="C161" s="1">
        <v>2.0452738144423988</v>
      </c>
      <c r="E161" s="1">
        <f t="shared" si="17"/>
        <v>4.4142552134555357</v>
      </c>
      <c r="F161" s="1">
        <f t="shared" si="18"/>
        <v>0.44497701707402154</v>
      </c>
      <c r="G161" s="1">
        <f t="shared" si="16"/>
        <v>4.1185609856545078</v>
      </c>
      <c r="H161" s="1">
        <f t="shared" si="19"/>
        <v>0.2332910215868505</v>
      </c>
      <c r="J161" s="1"/>
      <c r="K161" s="1"/>
      <c r="L161" s="1"/>
      <c r="M161" s="1"/>
    </row>
    <row r="162" spans="1:13" x14ac:dyDescent="0.25">
      <c r="A162" s="2">
        <f t="array" ref="A162:C162">ODE_RK4(A161:C161,$C$3,$E$3,$F$3,$G$3,$H$3)</f>
        <v>15.599999999999961</v>
      </c>
      <c r="B162" s="1">
        <v>5.3955897849863383</v>
      </c>
      <c r="C162" s="1">
        <v>2.2215313672287693</v>
      </c>
      <c r="E162" s="1">
        <f t="shared" si="17"/>
        <v>4.8261113120209869</v>
      </c>
      <c r="F162" s="1">
        <f t="shared" si="18"/>
        <v>0.4683061192327066</v>
      </c>
      <c r="G162" s="1">
        <f t="shared" si="16"/>
        <v>4.435275098714615</v>
      </c>
      <c r="H162" s="1">
        <f t="shared" si="19"/>
        <v>0.30338434246911894</v>
      </c>
      <c r="J162" s="1"/>
      <c r="K162" s="1"/>
      <c r="L162" s="1"/>
      <c r="M162" s="1"/>
    </row>
    <row r="163" spans="1:13" x14ac:dyDescent="0.25">
      <c r="A163" s="2">
        <f t="array" ref="A163:C163">ODE_RK4(A162:C162,$C$3,$E$3,$F$3,$G$3,$H$3)</f>
        <v>15.69999999999996</v>
      </c>
      <c r="B163" s="1">
        <v>5.2948490779759139</v>
      </c>
      <c r="C163" s="1">
        <v>2.40778068122667</v>
      </c>
      <c r="E163" s="1">
        <f t="shared" si="17"/>
        <v>5.2696388218924479</v>
      </c>
      <c r="F163" s="1">
        <f t="shared" si="18"/>
        <v>0.4986445534796185</v>
      </c>
      <c r="G163" s="1">
        <f t="shared" si="16"/>
        <v>4.7469605678660836</v>
      </c>
      <c r="H163" s="1">
        <f t="shared" si="19"/>
        <v>0.38938736641873184</v>
      </c>
      <c r="J163" s="1"/>
      <c r="K163" s="1"/>
      <c r="L163" s="1"/>
      <c r="M163" s="1"/>
    </row>
    <row r="164" spans="1:13" x14ac:dyDescent="0.25">
      <c r="A164" s="2">
        <f t="array" ref="A164:C164">ODE_RK4(A163:C163,$C$3,$E$3,$F$3,$G$3,$H$3)</f>
        <v>15.79999999999996</v>
      </c>
      <c r="B164" s="1">
        <v>5.1372608821408186</v>
      </c>
      <c r="C164" s="1">
        <v>2.5995291917975978</v>
      </c>
      <c r="E164" s="1">
        <f t="shared" si="17"/>
        <v>5.744334878679056</v>
      </c>
      <c r="F164" s="1">
        <f t="shared" si="18"/>
        <v>0.53758329012149164</v>
      </c>
      <c r="G164" s="1">
        <f t="shared" si="16"/>
        <v>5.0403667882309113</v>
      </c>
      <c r="H164" s="1">
        <f t="shared" si="19"/>
        <v>0.49635090099478463</v>
      </c>
      <c r="J164" s="1"/>
      <c r="K164" s="1"/>
      <c r="L164" s="1"/>
      <c r="M164" s="1"/>
    </row>
    <row r="165" spans="1:13" x14ac:dyDescent="0.25">
      <c r="A165" s="2">
        <f t="array" ref="A165:C165">ODE_RK4(A164:C164,$C$3,$E$3,$F$3,$G$3,$H$3)</f>
        <v>15.899999999999959</v>
      </c>
      <c r="B165" s="1">
        <v>4.9272239093665204</v>
      </c>
      <c r="C165" s="1">
        <v>2.7910623924278126</v>
      </c>
      <c r="E165" s="1">
        <f t="shared" si="17"/>
        <v>6.2483715575021472</v>
      </c>
      <c r="F165" s="1">
        <f t="shared" si="18"/>
        <v>0.58721838022097006</v>
      </c>
      <c r="G165" s="1">
        <f t="shared" si="16"/>
        <v>5.2965506939934617</v>
      </c>
      <c r="H165" s="1">
        <f t="shared" si="19"/>
        <v>0.63097288332778101</v>
      </c>
      <c r="J165" s="1"/>
      <c r="K165" s="1"/>
      <c r="L165" s="1"/>
      <c r="M165" s="1"/>
    </row>
    <row r="166" spans="1:13" x14ac:dyDescent="0.25">
      <c r="A166" s="2">
        <f t="array" ref="A166:C166">ODE_RK4(A165:C165,$C$3,$E$3,$F$3,$G$3,$H$3)</f>
        <v>15.999999999999959</v>
      </c>
      <c r="B166" s="1">
        <v>4.6725729488234462</v>
      </c>
      <c r="C166" s="1">
        <v>2.9758126506178719</v>
      </c>
      <c r="E166" s="1">
        <f t="shared" si="17"/>
        <v>6.778026626901493</v>
      </c>
      <c r="F166" s="1">
        <f t="shared" si="18"/>
        <v>0.65031566855374812</v>
      </c>
      <c r="G166" s="1">
        <f t="shared" ref="G166:G197" si="20">$E$3*E166-$F$3*E166*F166</f>
        <v>5.4889178018726605</v>
      </c>
      <c r="H166" s="1">
        <f t="shared" si="19"/>
        <v>0.80210454036156653</v>
      </c>
      <c r="J166" s="1"/>
      <c r="K166" s="1"/>
      <c r="L166" s="1"/>
      <c r="M166" s="1"/>
    </row>
    <row r="167" spans="1:13" x14ac:dyDescent="0.25">
      <c r="A167" s="2">
        <f t="array" ref="A167:C167">ODE_RK4(A166:C166,$C$3,$E$3,$F$3,$G$3,$H$3)</f>
        <v>16.099999999999959</v>
      </c>
      <c r="B167" s="1">
        <v>4.3838896498571547</v>
      </c>
      <c r="C167" s="1">
        <v>3.1469380018169821</v>
      </c>
      <c r="E167" s="1">
        <f t="shared" ref="E167:E200" si="21">E166+$C$3*G166</f>
        <v>7.3269184070887592</v>
      </c>
      <c r="F167" s="1">
        <f t="shared" ref="F167:F200" si="22">F166+$C$3*H166</f>
        <v>0.73052612258990479</v>
      </c>
      <c r="G167" s="1">
        <f t="shared" si="20"/>
        <v>5.5807989118286185</v>
      </c>
      <c r="H167" s="1">
        <f t="shared" ref="H167:H200" si="23">-$G$3*F167+$H$3*E167*F167</f>
        <v>1.0213306902670218</v>
      </c>
      <c r="J167" s="1"/>
      <c r="K167" s="1"/>
      <c r="L167" s="1"/>
      <c r="M167" s="1"/>
    </row>
    <row r="168" spans="1:13" x14ac:dyDescent="0.25">
      <c r="A168" s="2">
        <f t="array" ref="A168:C168">ODE_RK4(A167:C167,$C$3,$E$3,$F$3,$G$3,$H$3)</f>
        <v>16.19999999999996</v>
      </c>
      <c r="B168" s="1">
        <v>4.0733685162743587</v>
      </c>
      <c r="C168" s="1">
        <v>3.2980156498267141</v>
      </c>
      <c r="E168" s="1">
        <f t="shared" si="21"/>
        <v>7.8849982982716211</v>
      </c>
      <c r="F168" s="1">
        <f t="shared" si="22"/>
        <v>0.83265919161660695</v>
      </c>
      <c r="G168" s="1">
        <f t="shared" si="20"/>
        <v>5.5226881725636439</v>
      </c>
      <c r="H168" s="1">
        <f t="shared" si="23"/>
        <v>1.3035275393878651</v>
      </c>
      <c r="J168" s="1"/>
      <c r="K168" s="1"/>
      <c r="L168" s="1"/>
      <c r="M168" s="1"/>
    </row>
    <row r="169" spans="1:13" x14ac:dyDescent="0.25">
      <c r="A169" s="2">
        <f t="array" ref="A169:C169">ODE_RK4(A168:C168,$C$3,$E$3,$F$3,$G$3,$H$3)</f>
        <v>16.299999999999962</v>
      </c>
      <c r="B169" s="1">
        <v>3.7534744600881407</v>
      </c>
      <c r="C169" s="1">
        <v>3.4237083886501334</v>
      </c>
      <c r="E169" s="1">
        <f t="shared" si="21"/>
        <v>8.4372671155279857</v>
      </c>
      <c r="F169" s="1">
        <f t="shared" si="22"/>
        <v>0.96301194555539349</v>
      </c>
      <c r="G169" s="1">
        <f t="shared" si="20"/>
        <v>5.2496071265764934</v>
      </c>
      <c r="H169" s="1">
        <f t="shared" si="23"/>
        <v>1.6671471495842294</v>
      </c>
      <c r="J169" s="1"/>
      <c r="K169" s="1"/>
      <c r="L169" s="1"/>
      <c r="M169" s="1"/>
    </row>
    <row r="170" spans="1:13" x14ac:dyDescent="0.25">
      <c r="A170" s="2">
        <f t="array" ref="A170:C170">ODE_RK4(A169:C169,$C$3,$E$3,$F$3,$G$3,$H$3)</f>
        <v>16.399999999999963</v>
      </c>
      <c r="B170" s="1">
        <v>3.4356821364186758</v>
      </c>
      <c r="C170" s="1">
        <v>3.5202632804388911</v>
      </c>
      <c r="E170" s="1">
        <f t="shared" si="21"/>
        <v>8.9622278281856342</v>
      </c>
      <c r="F170" s="1">
        <f t="shared" si="22"/>
        <v>1.1297266605138163</v>
      </c>
      <c r="G170" s="1">
        <f t="shared" si="20"/>
        <v>4.6797527647626715</v>
      </c>
      <c r="H170" s="1">
        <f t="shared" si="23"/>
        <v>2.133678986118992</v>
      </c>
      <c r="J170" s="1"/>
      <c r="K170" s="1"/>
      <c r="L170" s="1"/>
      <c r="M170" s="1"/>
    </row>
    <row r="171" spans="1:13" x14ac:dyDescent="0.25">
      <c r="A171" s="2">
        <f t="array" ref="A171:C171">ODE_RK4(A170:C170,$C$3,$E$3,$F$3,$G$3,$H$3)</f>
        <v>16.499999999999964</v>
      </c>
      <c r="B171" s="1">
        <v>3.1295385827576032</v>
      </c>
      <c r="C171" s="1">
        <v>3.585752176300677</v>
      </c>
      <c r="E171" s="1">
        <f t="shared" si="21"/>
        <v>9.430203104661901</v>
      </c>
      <c r="F171" s="1">
        <f t="shared" si="22"/>
        <v>1.3430945591257155</v>
      </c>
      <c r="G171" s="1">
        <f t="shared" si="20"/>
        <v>3.7168510368011836</v>
      </c>
      <c r="H171" s="1">
        <f t="shared" si="23"/>
        <v>2.7252206970959767</v>
      </c>
      <c r="J171" s="1"/>
      <c r="K171" s="1"/>
      <c r="L171" s="1"/>
      <c r="M171" s="1"/>
    </row>
    <row r="172" spans="1:13" x14ac:dyDescent="0.25">
      <c r="A172" s="2">
        <f t="array" ref="A172:C172">ODE_RK4(A171:C171,$C$3,$E$3,$F$3,$G$3,$H$3)</f>
        <v>16.599999999999966</v>
      </c>
      <c r="B172" s="1">
        <v>2.8421694216420854</v>
      </c>
      <c r="C172" s="1">
        <v>3.6200394745621365</v>
      </c>
      <c r="E172" s="1">
        <f t="shared" si="21"/>
        <v>9.8018882083420191</v>
      </c>
      <c r="F172" s="1">
        <f t="shared" si="22"/>
        <v>1.6156166288353133</v>
      </c>
      <c r="G172" s="1">
        <f t="shared" si="20"/>
        <v>2.2606096999811367</v>
      </c>
      <c r="H172" s="1">
        <f t="shared" si="23"/>
        <v>3.4583347719463919</v>
      </c>
      <c r="J172" s="1"/>
      <c r="K172" s="1"/>
      <c r="L172" s="1"/>
      <c r="M172" s="1"/>
    </row>
    <row r="173" spans="1:13" x14ac:dyDescent="0.25">
      <c r="A173" s="2">
        <f t="array" ref="A173:C173">ODE_RK4(A172:C172,$C$3,$E$3,$F$3,$G$3,$H$3)</f>
        <v>16.699999999999967</v>
      </c>
      <c r="B173" s="1">
        <v>2.5782151652988743</v>
      </c>
      <c r="C173" s="1">
        <v>3.6245306155051944</v>
      </c>
      <c r="E173" s="1">
        <f t="shared" si="21"/>
        <v>10.027949178340133</v>
      </c>
      <c r="F173" s="1">
        <f t="shared" si="22"/>
        <v>1.9614501060299525</v>
      </c>
      <c r="G173" s="1">
        <f t="shared" si="20"/>
        <v>0.23194582653722229</v>
      </c>
      <c r="H173" s="1">
        <f t="shared" si="23"/>
        <v>4.3316365089115063</v>
      </c>
      <c r="J173" s="1"/>
      <c r="K173" s="1"/>
      <c r="L173" s="1"/>
      <c r="M173" s="1"/>
    </row>
    <row r="174" spans="1:13" x14ac:dyDescent="0.25">
      <c r="A174" s="2">
        <f t="array" ref="A174:C174">ODE_RK4(A173:C173,$C$3,$E$3,$F$3,$G$3,$H$3)</f>
        <v>16.799999999999969</v>
      </c>
      <c r="B174" s="1">
        <v>2.3400899981579255</v>
      </c>
      <c r="C174" s="1">
        <v>3.6017918949827541</v>
      </c>
      <c r="E174" s="1">
        <f t="shared" si="21"/>
        <v>10.051143760993856</v>
      </c>
      <c r="F174" s="1">
        <f t="shared" si="22"/>
        <v>2.3946137569211032</v>
      </c>
      <c r="G174" s="1">
        <f t="shared" si="20"/>
        <v>-2.3797917605279348</v>
      </c>
      <c r="H174" s="1">
        <f t="shared" si="23"/>
        <v>5.304891131323398</v>
      </c>
      <c r="J174" s="1"/>
      <c r="K174" s="1"/>
      <c r="L174" s="1"/>
      <c r="M174" s="1"/>
    </row>
    <row r="175" spans="1:13" x14ac:dyDescent="0.25">
      <c r="A175" s="2">
        <f t="array" ref="A175:C175">ODE_RK4(A174:C174,$C$3,$E$3,$F$3,$G$3,$H$3)</f>
        <v>16.89999999999997</v>
      </c>
      <c r="B175" s="1">
        <v>2.1284207871582068</v>
      </c>
      <c r="C175" s="1">
        <v>3.5551341870497808</v>
      </c>
      <c r="E175" s="1">
        <f t="shared" si="21"/>
        <v>9.8131645849410631</v>
      </c>
      <c r="F175" s="1">
        <f t="shared" si="22"/>
        <v>2.9251028700534429</v>
      </c>
      <c r="G175" s="1">
        <f t="shared" si="20"/>
        <v>-5.4469120331014693</v>
      </c>
      <c r="H175" s="1">
        <f t="shared" si="23"/>
        <v>6.271272471472618</v>
      </c>
      <c r="J175" s="1"/>
      <c r="K175" s="1"/>
      <c r="L175" s="1"/>
      <c r="M175" s="1"/>
    </row>
    <row r="176" spans="1:13" x14ac:dyDescent="0.25">
      <c r="A176" s="2">
        <f t="array" ref="A176:C176">ODE_RK4(A175:C175,$C$3,$E$3,$F$3,$G$3,$H$3)</f>
        <v>16.999999999999972</v>
      </c>
      <c r="B176" s="1">
        <v>1.9425385242593425</v>
      </c>
      <c r="C176" s="1">
        <v>3.4882310880583129</v>
      </c>
      <c r="E176" s="1">
        <f t="shared" si="21"/>
        <v>9.2684733816309155</v>
      </c>
      <c r="F176" s="1">
        <f t="shared" si="22"/>
        <v>3.5522301172007049</v>
      </c>
      <c r="G176" s="1">
        <f t="shared" si="20"/>
        <v>-8.6320821140643407</v>
      </c>
      <c r="H176" s="1">
        <f t="shared" si="23"/>
        <v>7.0353409922501555</v>
      </c>
      <c r="J176" s="1"/>
      <c r="K176" s="1"/>
      <c r="L176" s="1"/>
      <c r="M176" s="1"/>
    </row>
    <row r="177" spans="1:13" x14ac:dyDescent="0.25">
      <c r="A177" s="2">
        <f t="array" ref="A177:C177">ODE_RK4(A176:C176,$C$3,$E$3,$F$3,$G$3,$H$3)</f>
        <v>17.099999999999973</v>
      </c>
      <c r="B177" s="1">
        <v>1.7809337807058776</v>
      </c>
      <c r="C177" s="1">
        <v>3.4048114013333146</v>
      </c>
      <c r="E177" s="1">
        <f t="shared" si="21"/>
        <v>8.4052651702244816</v>
      </c>
      <c r="F177" s="1">
        <f t="shared" si="22"/>
        <v>4.255764216425721</v>
      </c>
      <c r="G177" s="1">
        <f t="shared" si="20"/>
        <v>-11.376177840337098</v>
      </c>
      <c r="H177" s="1">
        <f t="shared" si="23"/>
        <v>7.3266366491626602</v>
      </c>
      <c r="J177" s="1"/>
      <c r="K177" s="1"/>
      <c r="L177" s="1"/>
      <c r="M177" s="1"/>
    </row>
    <row r="178" spans="1:13" x14ac:dyDescent="0.25">
      <c r="A178" s="2">
        <f t="array" ref="A178:C178">ODE_RK4(A177:C177,$C$3,$E$3,$F$3,$G$3,$H$3)</f>
        <v>17.199999999999974</v>
      </c>
      <c r="B178" s="1">
        <v>1.6416301448231716</v>
      </c>
      <c r="C178" s="1">
        <v>3.3084386621425508</v>
      </c>
      <c r="E178" s="1">
        <f t="shared" si="21"/>
        <v>7.267647386190772</v>
      </c>
      <c r="F178" s="1">
        <f t="shared" si="22"/>
        <v>4.9884278813419876</v>
      </c>
      <c r="G178" s="1">
        <f t="shared" si="20"/>
        <v>-13.031304048392833</v>
      </c>
      <c r="H178" s="1">
        <f t="shared" si="23"/>
        <v>6.8854981508372894</v>
      </c>
      <c r="J178" s="1"/>
      <c r="K178" s="1"/>
      <c r="L178" s="1"/>
      <c r="M178" s="1"/>
    </row>
    <row r="179" spans="1:13" x14ac:dyDescent="0.25">
      <c r="A179" s="2">
        <f t="array" ref="A179:C179">ODE_RK4(A178:C178,$C$3,$E$3,$F$3,$G$3,$H$3)</f>
        <v>17.299999999999976</v>
      </c>
      <c r="B179" s="1">
        <v>1.5224626031704949</v>
      </c>
      <c r="C179" s="1">
        <v>3.202371994863904</v>
      </c>
      <c r="E179" s="1">
        <f t="shared" si="21"/>
        <v>5.9645169813514887</v>
      </c>
      <c r="F179" s="1">
        <f t="shared" si="22"/>
        <v>5.6769776964257161</v>
      </c>
      <c r="G179" s="1">
        <f t="shared" si="20"/>
        <v>-13.158837546229119</v>
      </c>
      <c r="H179" s="1">
        <f t="shared" si="23"/>
        <v>5.6165468047848792</v>
      </c>
      <c r="J179" s="1"/>
      <c r="K179" s="1"/>
      <c r="L179" s="1"/>
      <c r="M179" s="1"/>
    </row>
    <row r="180" spans="1:13" x14ac:dyDescent="0.25">
      <c r="A180" s="2">
        <f t="array" ref="A180:C180">ODE_RK4(A179:C179,$C$3,$E$3,$F$3,$G$3,$H$3)</f>
        <v>17.399999999999977</v>
      </c>
      <c r="B180" s="1">
        <v>1.4212679953839258</v>
      </c>
      <c r="C180" s="1">
        <v>3.089493271418327</v>
      </c>
      <c r="E180" s="1">
        <f t="shared" si="21"/>
        <v>4.6486332267285766</v>
      </c>
      <c r="F180" s="1">
        <f t="shared" si="22"/>
        <v>6.2386323769042038</v>
      </c>
      <c r="G180" s="1">
        <f t="shared" si="20"/>
        <v>-11.822308381898644</v>
      </c>
      <c r="H180" s="1">
        <f t="shared" si="23"/>
        <v>3.7094282254631041</v>
      </c>
      <c r="J180" s="1"/>
      <c r="K180" s="1"/>
      <c r="L180" s="1"/>
      <c r="M180" s="1"/>
    </row>
    <row r="181" spans="1:13" x14ac:dyDescent="0.25">
      <c r="A181" s="2">
        <f t="array" ref="A181:C181">ODE_RK4(A180:C180,$C$3,$E$3,$F$3,$G$3,$H$3)</f>
        <v>17.499999999999979</v>
      </c>
      <c r="B181" s="1">
        <v>1.3360039127681571</v>
      </c>
      <c r="C181" s="1">
        <v>2.9722829980803893</v>
      </c>
      <c r="E181" s="1">
        <f t="shared" si="21"/>
        <v>3.4664023885387119</v>
      </c>
      <c r="F181" s="1">
        <f t="shared" si="22"/>
        <v>6.6095751994505143</v>
      </c>
      <c r="G181" s="1">
        <f t="shared" si="20"/>
        <v>-9.587185488914443</v>
      </c>
      <c r="H181" s="1">
        <f t="shared" si="23"/>
        <v>1.5857740180200368</v>
      </c>
      <c r="J181" s="1"/>
      <c r="K181" s="1"/>
      <c r="L181" s="1"/>
      <c r="M181" s="1"/>
    </row>
    <row r="182" spans="1:13" x14ac:dyDescent="0.25">
      <c r="A182" s="2">
        <f t="array" ref="A182:C182">ODE_RK4(A181:C181,$C$3,$E$3,$F$3,$G$3,$H$3)</f>
        <v>17.59999999999998</v>
      </c>
      <c r="B182" s="1">
        <v>1.2648143917849017</v>
      </c>
      <c r="C182" s="1">
        <v>2.8528287908872065</v>
      </c>
      <c r="E182" s="1">
        <f t="shared" si="21"/>
        <v>2.5076838396472674</v>
      </c>
      <c r="F182" s="1">
        <f t="shared" si="22"/>
        <v>6.7681526012525177</v>
      </c>
      <c r="G182" s="1">
        <f t="shared" si="20"/>
        <v>-7.1742115338798129</v>
      </c>
      <c r="H182" s="1">
        <f t="shared" si="23"/>
        <v>-0.322806010273748</v>
      </c>
      <c r="J182" s="1"/>
      <c r="K182" s="1"/>
      <c r="L182" s="1"/>
      <c r="M182" s="1"/>
    </row>
    <row r="183" spans="1:13" x14ac:dyDescent="0.25">
      <c r="A183" s="2">
        <f t="array" ref="A183:C183">ODE_RK4(A182:C182,$C$3,$E$3,$F$3,$G$3,$H$3)</f>
        <v>17.699999999999982</v>
      </c>
      <c r="B183" s="1">
        <v>1.2060588726469235</v>
      </c>
      <c r="C183" s="1">
        <v>2.7328534600773167</v>
      </c>
      <c r="E183" s="1">
        <f t="shared" si="21"/>
        <v>1.7902626862592861</v>
      </c>
      <c r="F183" s="1">
        <f t="shared" si="22"/>
        <v>6.7358720002251431</v>
      </c>
      <c r="G183" s="1">
        <f t="shared" si="20"/>
        <v>-5.0870729573419213</v>
      </c>
      <c r="H183" s="1">
        <f t="shared" si="23"/>
        <v>-1.7710035097535828</v>
      </c>
      <c r="J183" s="1"/>
      <c r="K183" s="1"/>
      <c r="L183" s="1"/>
      <c r="M183" s="1"/>
    </row>
    <row r="184" spans="1:13" x14ac:dyDescent="0.25">
      <c r="A184" s="2">
        <f t="array" ref="A184:C184">ODE_RK4(A183:C183,$C$3,$E$3,$F$3,$G$3,$H$3)</f>
        <v>17.799999999999983</v>
      </c>
      <c r="B184" s="1">
        <v>1.1583175262582885</v>
      </c>
      <c r="C184" s="1">
        <v>2.6137531922260391</v>
      </c>
      <c r="E184" s="1">
        <f t="shared" si="21"/>
        <v>1.281555390525094</v>
      </c>
      <c r="F184" s="1">
        <f t="shared" si="22"/>
        <v>6.5587716492497847</v>
      </c>
      <c r="G184" s="1">
        <f t="shared" si="20"/>
        <v>-3.5053910287614212</v>
      </c>
      <c r="H184" s="1">
        <f t="shared" si="23"/>
        <v>-2.725388570704061</v>
      </c>
      <c r="J184" s="1"/>
      <c r="K184" s="1"/>
      <c r="L184" s="1"/>
      <c r="M184" s="1"/>
    </row>
    <row r="185" spans="1:13" x14ac:dyDescent="0.25">
      <c r="A185" s="2">
        <f t="array" ref="A185:C185">ODE_RK4(A184:C184,$C$3,$E$3,$F$3,$G$3,$H$3)</f>
        <v>17.899999999999984</v>
      </c>
      <c r="B185" s="1">
        <v>1.120382559655632</v>
      </c>
      <c r="C185" s="1">
        <v>2.4966393780347853</v>
      </c>
      <c r="E185" s="1">
        <f t="shared" si="21"/>
        <v>0.93101628764895183</v>
      </c>
      <c r="F185" s="1">
        <f t="shared" si="22"/>
        <v>6.286232792179379</v>
      </c>
      <c r="G185" s="1">
        <f t="shared" si="20"/>
        <v>-2.3943315253044277</v>
      </c>
      <c r="H185" s="1">
        <f t="shared" si="23"/>
        <v>-3.2732106985019183</v>
      </c>
      <c r="J185" s="1"/>
      <c r="K185" s="1"/>
      <c r="L185" s="1"/>
      <c r="M185" s="1"/>
    </row>
    <row r="186" spans="1:13" x14ac:dyDescent="0.25">
      <c r="A186" s="2">
        <f t="array" ref="A186:C186">ODE_RK4(A185:C185,$C$3,$E$3,$F$3,$G$3,$H$3)</f>
        <v>17.999999999999986</v>
      </c>
      <c r="B186" s="1">
        <v>1.0912421146370157</v>
      </c>
      <c r="C186" s="1">
        <v>2.3823800303405767</v>
      </c>
      <c r="E186" s="1">
        <f t="shared" si="21"/>
        <v>0.69158313511850911</v>
      </c>
      <c r="F186" s="1">
        <f t="shared" si="22"/>
        <v>5.9589117223291872</v>
      </c>
      <c r="G186" s="1">
        <f t="shared" si="20"/>
        <v>-1.6427499483515016</v>
      </c>
      <c r="H186" s="1">
        <f t="shared" si="23"/>
        <v>-3.5308045226164939</v>
      </c>
      <c r="J186" s="1"/>
      <c r="K186" s="1"/>
      <c r="L186" s="1"/>
      <c r="M186" s="1"/>
    </row>
    <row r="187" spans="1:13" x14ac:dyDescent="0.25">
      <c r="A187" s="2">
        <f t="array" ref="A187:C187">ODE_RK4(A186:C186,$C$3,$E$3,$F$3,$G$3,$H$3)</f>
        <v>18.099999999999987</v>
      </c>
      <c r="B187" s="1">
        <v>1.0700610608936962</v>
      </c>
      <c r="C187" s="1">
        <v>2.2716384689856977</v>
      </c>
      <c r="E187" s="1">
        <f t="shared" si="21"/>
        <v>0.52730814028335893</v>
      </c>
      <c r="F187" s="1">
        <f t="shared" si="22"/>
        <v>5.6058312700675375</v>
      </c>
      <c r="G187" s="1">
        <f t="shared" si="20"/>
        <v>-1.1408305087169373</v>
      </c>
      <c r="H187" s="1">
        <f t="shared" si="23"/>
        <v>-3.597864877525546</v>
      </c>
      <c r="J187" s="1"/>
      <c r="K187" s="1"/>
      <c r="L187" s="1"/>
      <c r="M187" s="1"/>
    </row>
    <row r="188" spans="1:13" x14ac:dyDescent="0.25">
      <c r="A188" s="2">
        <f t="array" ref="A188:C188">ODE_RK4(A187:C187,$C$3,$E$3,$F$3,$G$3,$H$3)</f>
        <v>18.199999999999989</v>
      </c>
      <c r="B188" s="1">
        <v>1.0561613190801389</v>
      </c>
      <c r="C188" s="1">
        <v>2.1649081234350294</v>
      </c>
      <c r="E188" s="1">
        <f t="shared" si="21"/>
        <v>0.41322508941166519</v>
      </c>
      <c r="F188" s="1">
        <f t="shared" si="22"/>
        <v>5.2460447823149829</v>
      </c>
      <c r="G188" s="1">
        <f t="shared" si="20"/>
        <v>-0.80480828724382691</v>
      </c>
      <c r="H188" s="1">
        <f t="shared" si="23"/>
        <v>-3.5464966285830744</v>
      </c>
      <c r="J188" s="1"/>
      <c r="K188" s="1"/>
      <c r="L188" s="1"/>
      <c r="M188" s="1"/>
    </row>
    <row r="189" spans="1:13" x14ac:dyDescent="0.25">
      <c r="A189" s="2">
        <f t="array" ref="A189:C189">ODE_RK4(A188:C188,$C$3,$E$3,$F$3,$G$3,$H$3)</f>
        <v>18.29999999999999</v>
      </c>
      <c r="B189" s="1">
        <v>1.0490032118427512</v>
      </c>
      <c r="C189" s="1">
        <v>2.0625430544978238</v>
      </c>
      <c r="E189" s="1">
        <f t="shared" si="21"/>
        <v>0.33274426068728247</v>
      </c>
      <c r="F189" s="1">
        <f t="shared" si="22"/>
        <v>4.8913951194566758</v>
      </c>
      <c r="G189" s="1">
        <f t="shared" si="20"/>
        <v>-0.57725707882705701</v>
      </c>
      <c r="H189" s="1">
        <f t="shared" si="23"/>
        <v>-3.4248409997394429</v>
      </c>
      <c r="J189" s="1"/>
      <c r="K189" s="1"/>
      <c r="L189" s="1"/>
      <c r="M189" s="1"/>
    </row>
    <row r="190" spans="1:13" x14ac:dyDescent="0.25">
      <c r="A190" s="2">
        <f t="array" ref="A190:C190">ODE_RK4(A189:C189,$C$3,$E$3,$F$3,$G$3,$H$3)</f>
        <v>18.399999999999991</v>
      </c>
      <c r="B190" s="1">
        <v>1.0481685988273401</v>
      </c>
      <c r="C190" s="1">
        <v>1.9647842461692016</v>
      </c>
      <c r="E190" s="1">
        <f t="shared" si="21"/>
        <v>0.27501855280457677</v>
      </c>
      <c r="F190" s="1">
        <f t="shared" si="22"/>
        <v>4.5489110194827314</v>
      </c>
      <c r="G190" s="1">
        <f t="shared" si="20"/>
        <v>-0.42059869188346743</v>
      </c>
      <c r="H190" s="1">
        <f t="shared" si="23"/>
        <v>-3.2638183379617054</v>
      </c>
      <c r="J190" s="1"/>
      <c r="K190" s="1"/>
      <c r="L190" s="1"/>
      <c r="M190" s="1"/>
    </row>
    <row r="191" spans="1:13" x14ac:dyDescent="0.25">
      <c r="A191" s="2">
        <f t="array" ref="A191:C191">ODE_RK4(A190:C190,$C$3,$E$3,$F$3,$G$3,$H$3)</f>
        <v>18.499999999999993</v>
      </c>
      <c r="B191" s="1">
        <v>1.0533460885413626</v>
      </c>
      <c r="C191" s="1">
        <v>1.8717819657826258</v>
      </c>
      <c r="E191" s="1">
        <f t="shared" si="21"/>
        <v>0.23295868361623001</v>
      </c>
      <c r="F191" s="1">
        <f t="shared" si="22"/>
        <v>4.222529185686561</v>
      </c>
      <c r="G191" s="1">
        <f t="shared" si="20"/>
        <v>-0.31065448403771573</v>
      </c>
      <c r="H191" s="1">
        <f t="shared" si="23"/>
        <v>-3.0829208963606529</v>
      </c>
      <c r="J191" s="1"/>
      <c r="K191" s="1"/>
      <c r="L191" s="1"/>
      <c r="M191" s="1"/>
    </row>
    <row r="192" spans="1:13" x14ac:dyDescent="0.25">
      <c r="A192" s="2">
        <f t="array" ref="A192:C192">ODE_RK4(A191:C191,$C$3,$E$3,$F$3,$G$3,$H$3)</f>
        <v>18.599999999999994</v>
      </c>
      <c r="B192" s="1">
        <v>1.0643183446647497</v>
      </c>
      <c r="C192" s="1">
        <v>1.7836146078761042</v>
      </c>
      <c r="E192" s="1">
        <f t="shared" si="21"/>
        <v>0.20189323521245844</v>
      </c>
      <c r="F192" s="1">
        <f t="shared" si="22"/>
        <v>3.9142370960504955</v>
      </c>
      <c r="G192" s="1">
        <f t="shared" si="20"/>
        <v>-0.23188291217120166</v>
      </c>
      <c r="H192" s="1">
        <f t="shared" si="23"/>
        <v>-2.8943122796273206</v>
      </c>
      <c r="J192" s="1"/>
      <c r="K192" s="1"/>
      <c r="L192" s="1"/>
      <c r="M192" s="1"/>
    </row>
    <row r="193" spans="1:13" x14ac:dyDescent="0.25">
      <c r="A193" s="2">
        <f t="array" ref="A193:C193">ODE_RK4(A192:C192,$C$3,$E$3,$F$3,$G$3,$H$3)</f>
        <v>18.699999999999996</v>
      </c>
      <c r="B193" s="1">
        <v>1.0809513506922255</v>
      </c>
      <c r="C193" s="1">
        <v>1.7003044750038039</v>
      </c>
      <c r="E193" s="1">
        <f t="shared" si="21"/>
        <v>0.17870494399533826</v>
      </c>
      <c r="F193" s="1">
        <f t="shared" si="22"/>
        <v>3.6248058680877633</v>
      </c>
      <c r="G193" s="1">
        <f t="shared" si="20"/>
        <v>-0.1742165049959524</v>
      </c>
      <c r="H193" s="1">
        <f t="shared" si="23"/>
        <v>-2.7055134755750316</v>
      </c>
      <c r="J193" s="1"/>
      <c r="K193" s="1"/>
      <c r="L193" s="1"/>
      <c r="M193" s="1"/>
    </row>
    <row r="194" spans="1:13" x14ac:dyDescent="0.25">
      <c r="A194" s="2">
        <f t="array" ref="A194:C194">ODE_RK4(A193:C193,$C$3,$E$3,$F$3,$G$3,$H$3)</f>
        <v>18.799999999999997</v>
      </c>
      <c r="B194" s="1">
        <v>1.1031854185822929</v>
      </c>
      <c r="C194" s="1">
        <v>1.6218309409552603</v>
      </c>
      <c r="E194" s="1">
        <f t="shared" si="21"/>
        <v>0.16128329349574302</v>
      </c>
      <c r="F194" s="1">
        <f t="shared" si="22"/>
        <v>3.3542545205302603</v>
      </c>
      <c r="G194" s="1">
        <f t="shared" si="20"/>
        <v>-0.1310511775815712</v>
      </c>
      <c r="H194" s="1">
        <f t="shared" si="23"/>
        <v>-2.5211080515359767</v>
      </c>
      <c r="J194" s="1"/>
      <c r="K194" s="1"/>
      <c r="L194" s="1"/>
      <c r="M194" s="1"/>
    </row>
    <row r="195" spans="1:13" x14ac:dyDescent="0.25">
      <c r="A195" s="2">
        <f t="array" ref="A195:C195">ODE_RK4(A194:C194,$C$3,$E$3,$F$3,$G$3,$H$3)</f>
        <v>18.899999999999999</v>
      </c>
      <c r="B195" s="1">
        <v>1.13102769346821</v>
      </c>
      <c r="C195" s="1">
        <v>1.5481414102028501</v>
      </c>
      <c r="E195" s="1">
        <f t="shared" si="21"/>
        <v>0.1481781757375859</v>
      </c>
      <c r="F195" s="1">
        <f t="shared" si="22"/>
        <v>3.1021437153766627</v>
      </c>
      <c r="G195" s="1">
        <f t="shared" si="20"/>
        <v>-9.7988187087095419E-2</v>
      </c>
      <c r="H195" s="1">
        <f t="shared" si="23"/>
        <v>-2.343813973315231</v>
      </c>
      <c r="J195" s="1"/>
      <c r="K195" s="1"/>
      <c r="L195" s="1"/>
      <c r="M195" s="1"/>
    </row>
    <row r="196" spans="1:13" x14ac:dyDescent="0.25">
      <c r="A196" s="2">
        <f t="array" ref="A196:C196">ODE_RK4(A195:C195,$C$3,$E$3,$F$3,$G$3,$H$3)</f>
        <v>19</v>
      </c>
      <c r="B196" s="1">
        <v>1.1645458972686342</v>
      </c>
      <c r="C196" s="1">
        <v>1.4791604453428198</v>
      </c>
      <c r="E196" s="1">
        <f t="shared" si="21"/>
        <v>0.13837935702887635</v>
      </c>
      <c r="F196" s="1">
        <f t="shared" si="22"/>
        <v>2.8677623180451395</v>
      </c>
      <c r="G196" s="1">
        <f t="shared" si="20"/>
        <v>-7.2048234974984221E-2</v>
      </c>
      <c r="H196" s="1">
        <f t="shared" si="23"/>
        <v>-2.1751581227312937</v>
      </c>
      <c r="J196" s="1"/>
      <c r="K196" s="1"/>
      <c r="L196" s="1"/>
      <c r="M196" s="1"/>
    </row>
    <row r="197" spans="1:13" x14ac:dyDescent="0.25">
      <c r="A197" s="2">
        <f t="array" ref="A197:C197">ODE_RK4(A196:C196,$C$3,$E$3,$F$3,$G$3,$H$3)</f>
        <v>19.100000000000001</v>
      </c>
      <c r="B197" s="1">
        <v>1.2038630563240122</v>
      </c>
      <c r="C197" s="1">
        <v>1.4147973898153785</v>
      </c>
      <c r="E197" s="1">
        <f t="shared" si="21"/>
        <v>0.13117453353137792</v>
      </c>
      <c r="F197" s="1">
        <f t="shared" si="22"/>
        <v>2.6502465057720102</v>
      </c>
      <c r="G197" s="1">
        <f t="shared" si="20"/>
        <v>-5.117746924503111E-2</v>
      </c>
      <c r="H197" s="1">
        <f t="shared" si="23"/>
        <v>-2.0159037498762662</v>
      </c>
      <c r="J197" s="1"/>
      <c r="K197" s="1"/>
      <c r="L197" s="1"/>
      <c r="M197" s="1"/>
    </row>
    <row r="198" spans="1:13" x14ac:dyDescent="0.25">
      <c r="A198" s="2">
        <f t="array" ref="A198:C198">ODE_RK4(A197:C197,$C$3,$E$3,$F$3,$G$3,$H$3)</f>
        <v>19.200000000000003</v>
      </c>
      <c r="B198" s="1">
        <v>1.2491529638677972</v>
      </c>
      <c r="C198" s="1">
        <v>1.354952770771219</v>
      </c>
      <c r="E198" s="1">
        <f t="shared" si="21"/>
        <v>0.1260567866068748</v>
      </c>
      <c r="F198" s="1">
        <f t="shared" si="22"/>
        <v>2.4486561307843835</v>
      </c>
      <c r="G198" s="1">
        <f>$E$3*E198-$F$3*E198*F198</f>
        <v>-3.3933690082891876E-2</v>
      </c>
      <c r="H198" s="1">
        <f t="shared" si="23"/>
        <v>-1.866323987621936</v>
      </c>
      <c r="J198" s="1"/>
      <c r="K198" s="1"/>
      <c r="L198" s="1"/>
      <c r="M198" s="1"/>
    </row>
    <row r="199" spans="1:13" x14ac:dyDescent="0.25">
      <c r="A199" s="2">
        <f t="array" ref="A199:C199">ODE_RK4(A198:C198,$C$3,$E$3,$F$3,$G$3,$H$3)</f>
        <v>19.300000000000004</v>
      </c>
      <c r="B199" s="1">
        <v>1.3006361321452069</v>
      </c>
      <c r="C199" s="1">
        <v>1.2995237289073407</v>
      </c>
      <c r="E199" s="1">
        <f t="shared" si="21"/>
        <v>0.12266341759858562</v>
      </c>
      <c r="F199" s="1">
        <f t="shared" si="22"/>
        <v>2.2620237320221896</v>
      </c>
      <c r="G199" s="1">
        <f>$E$3*E199-$F$3*E199*F199</f>
        <v>-1.9284435877066658E-2</v>
      </c>
      <c r="H199" s="1">
        <f t="shared" si="23"/>
        <v>-1.7263787171200671</v>
      </c>
      <c r="J199" s="1"/>
      <c r="K199" s="1"/>
      <c r="L199" s="1"/>
      <c r="M199" s="1"/>
    </row>
    <row r="200" spans="1:13" x14ac:dyDescent="0.25">
      <c r="A200" s="2">
        <f t="array" ref="A200:C200">ODE_RK4(A199:C199,$C$3,$E$3,$F$3,$G$3,$H$3)</f>
        <v>19.400000000000006</v>
      </c>
      <c r="B200" s="1">
        <v>1.3585759880972319</v>
      </c>
      <c r="C200" s="1">
        <v>1.248408689435117</v>
      </c>
      <c r="E200" s="1">
        <f t="shared" si="21"/>
        <v>0.12073497401087896</v>
      </c>
      <c r="F200" s="1">
        <f t="shared" si="22"/>
        <v>2.0893858603101831</v>
      </c>
      <c r="G200" s="1">
        <f>$E$3*E200-$F$3*E200*F200</f>
        <v>-6.4751997128940086E-3</v>
      </c>
      <c r="H200" s="1">
        <f t="shared" si="23"/>
        <v>-1.5958301039851723</v>
      </c>
      <c r="J200" s="1"/>
      <c r="K200" s="1"/>
      <c r="L200" s="1"/>
      <c r="M200" s="1"/>
    </row>
    <row r="201" spans="1:13" x14ac:dyDescent="0.25">
      <c r="B201" s="1"/>
      <c r="C201" s="1"/>
    </row>
    <row r="202" spans="1:13" x14ac:dyDescent="0.25">
      <c r="B202" s="1"/>
      <c r="C202" s="1"/>
    </row>
    <row r="203" spans="1:13" x14ac:dyDescent="0.25">
      <c r="B203" s="1"/>
      <c r="C203" s="1"/>
    </row>
    <row r="204" spans="1:13" x14ac:dyDescent="0.25">
      <c r="B204" s="1"/>
      <c r="C204" s="1"/>
    </row>
    <row r="205" spans="1:13" x14ac:dyDescent="0.25">
      <c r="B205" s="1"/>
      <c r="C205" s="1"/>
    </row>
    <row r="206" spans="1:13" x14ac:dyDescent="0.25">
      <c r="B206" s="1"/>
      <c r="C206" s="1"/>
    </row>
    <row r="207" spans="1:13" x14ac:dyDescent="0.25">
      <c r="B207" s="1"/>
      <c r="C207" s="1"/>
    </row>
    <row r="208" spans="1:13" x14ac:dyDescent="0.25">
      <c r="B208" s="1"/>
      <c r="C208" s="1"/>
    </row>
    <row r="209" spans="2:3" x14ac:dyDescent="0.25">
      <c r="B209" s="1"/>
      <c r="C209" s="1"/>
    </row>
    <row r="210" spans="2:3" x14ac:dyDescent="0.25">
      <c r="B210" s="1"/>
      <c r="C210" s="1"/>
    </row>
    <row r="211" spans="2:3" x14ac:dyDescent="0.25">
      <c r="B211" s="1"/>
      <c r="C211" s="1"/>
    </row>
    <row r="212" spans="2:3" x14ac:dyDescent="0.25">
      <c r="B212" s="1"/>
      <c r="C212" s="1"/>
    </row>
    <row r="213" spans="2:3" x14ac:dyDescent="0.25">
      <c r="B213" s="1"/>
      <c r="C213" s="1"/>
    </row>
    <row r="214" spans="2:3" x14ac:dyDescent="0.25">
      <c r="B214" s="1"/>
      <c r="C214" s="1"/>
    </row>
    <row r="215" spans="2:3" x14ac:dyDescent="0.25">
      <c r="B215" s="1"/>
      <c r="C215" s="1"/>
    </row>
    <row r="216" spans="2:3" x14ac:dyDescent="0.25">
      <c r="B216" s="1"/>
      <c r="C216" s="1"/>
    </row>
    <row r="217" spans="2:3" x14ac:dyDescent="0.25">
      <c r="B217" s="1"/>
      <c r="C217" s="1"/>
    </row>
    <row r="218" spans="2:3" x14ac:dyDescent="0.25">
      <c r="B218" s="1"/>
      <c r="C218" s="1"/>
    </row>
    <row r="219" spans="2:3" x14ac:dyDescent="0.25">
      <c r="B219" s="1"/>
      <c r="C219" s="1"/>
    </row>
    <row r="220" spans="2:3" x14ac:dyDescent="0.25">
      <c r="B220" s="1"/>
      <c r="C220" s="1"/>
    </row>
    <row r="221" spans="2:3" x14ac:dyDescent="0.25">
      <c r="B221" s="1"/>
      <c r="C221" s="1"/>
    </row>
    <row r="222" spans="2:3" x14ac:dyDescent="0.25">
      <c r="B222" s="1"/>
      <c r="C222" s="1"/>
    </row>
    <row r="223" spans="2:3" x14ac:dyDescent="0.25">
      <c r="B223" s="1"/>
      <c r="C223" s="1"/>
    </row>
    <row r="224" spans="2:3" x14ac:dyDescent="0.25">
      <c r="B224" s="1"/>
      <c r="C224" s="1"/>
    </row>
    <row r="225" spans="2:3" x14ac:dyDescent="0.25">
      <c r="B225" s="1"/>
      <c r="C225" s="1"/>
    </row>
    <row r="226" spans="2:3" x14ac:dyDescent="0.25">
      <c r="B226" s="1"/>
      <c r="C226" s="1"/>
    </row>
    <row r="227" spans="2:3" x14ac:dyDescent="0.25">
      <c r="B227" s="1"/>
      <c r="C227" s="1"/>
    </row>
    <row r="228" spans="2:3" x14ac:dyDescent="0.25">
      <c r="B228" s="1"/>
      <c r="C228" s="1"/>
    </row>
    <row r="229" spans="2:3" x14ac:dyDescent="0.25">
      <c r="B229" s="1"/>
      <c r="C229" s="1"/>
    </row>
    <row r="230" spans="2:3" x14ac:dyDescent="0.25">
      <c r="B230" s="1"/>
      <c r="C230" s="1"/>
    </row>
    <row r="231" spans="2:3" x14ac:dyDescent="0.25">
      <c r="B231" s="1"/>
      <c r="C231" s="1"/>
    </row>
    <row r="232" spans="2:3" x14ac:dyDescent="0.25">
      <c r="B232" s="1"/>
      <c r="C232" s="1"/>
    </row>
    <row r="233" spans="2:3" x14ac:dyDescent="0.25">
      <c r="B233" s="1"/>
      <c r="C233" s="1"/>
    </row>
    <row r="234" spans="2:3" x14ac:dyDescent="0.25">
      <c r="B234" s="1"/>
      <c r="C234" s="1"/>
    </row>
    <row r="235" spans="2:3" x14ac:dyDescent="0.25">
      <c r="B235" s="1"/>
      <c r="C235" s="1"/>
    </row>
    <row r="236" spans="2:3" x14ac:dyDescent="0.25">
      <c r="B236" s="1"/>
      <c r="C236" s="1"/>
    </row>
    <row r="237" spans="2:3" x14ac:dyDescent="0.25">
      <c r="B237" s="1"/>
      <c r="C237" s="1"/>
    </row>
    <row r="238" spans="2:3" x14ac:dyDescent="0.25">
      <c r="B238" s="1"/>
      <c r="C238" s="1"/>
    </row>
    <row r="239" spans="2:3" x14ac:dyDescent="0.25">
      <c r="B239" s="1"/>
      <c r="C239" s="1"/>
    </row>
    <row r="240" spans="2:3" x14ac:dyDescent="0.25">
      <c r="B240" s="1"/>
      <c r="C240" s="1"/>
    </row>
    <row r="241" spans="2:3" x14ac:dyDescent="0.25">
      <c r="B241" s="1"/>
      <c r="C241" s="1"/>
    </row>
    <row r="242" spans="2:3" x14ac:dyDescent="0.25">
      <c r="B242" s="1"/>
      <c r="C242" s="1"/>
    </row>
    <row r="243" spans="2:3" x14ac:dyDescent="0.25">
      <c r="B243" s="1"/>
      <c r="C243" s="1"/>
    </row>
    <row r="244" spans="2:3" x14ac:dyDescent="0.25">
      <c r="B244" s="1"/>
      <c r="C244" s="1"/>
    </row>
    <row r="245" spans="2:3" x14ac:dyDescent="0.25">
      <c r="B245" s="1"/>
      <c r="C245" s="1"/>
    </row>
    <row r="246" spans="2:3" x14ac:dyDescent="0.25">
      <c r="B246" s="1"/>
      <c r="C246" s="1"/>
    </row>
    <row r="247" spans="2:3" x14ac:dyDescent="0.25">
      <c r="B247" s="1"/>
      <c r="C247" s="1"/>
    </row>
    <row r="248" spans="2:3" x14ac:dyDescent="0.25">
      <c r="B248" s="1"/>
      <c r="C248" s="1"/>
    </row>
    <row r="249" spans="2:3" x14ac:dyDescent="0.25">
      <c r="B249" s="1"/>
      <c r="C249" s="1"/>
    </row>
    <row r="250" spans="2:3" x14ac:dyDescent="0.25">
      <c r="B250" s="1"/>
      <c r="C250" s="1"/>
    </row>
    <row r="251" spans="2:3" x14ac:dyDescent="0.25">
      <c r="B251" s="1"/>
      <c r="C251" s="1"/>
    </row>
    <row r="252" spans="2:3" x14ac:dyDescent="0.25">
      <c r="B252" s="1"/>
      <c r="C252" s="1"/>
    </row>
    <row r="253" spans="2:3" x14ac:dyDescent="0.25">
      <c r="B253" s="1"/>
      <c r="C253" s="1"/>
    </row>
    <row r="254" spans="2:3" x14ac:dyDescent="0.25">
      <c r="B254" s="1"/>
      <c r="C254" s="1"/>
    </row>
    <row r="255" spans="2:3" x14ac:dyDescent="0.25">
      <c r="B255" s="1"/>
      <c r="C255" s="1"/>
    </row>
    <row r="256" spans="2:3" x14ac:dyDescent="0.25">
      <c r="B256" s="1"/>
      <c r="C256" s="1"/>
    </row>
    <row r="257" spans="2:3" x14ac:dyDescent="0.25">
      <c r="B257" s="1"/>
      <c r="C257" s="1"/>
    </row>
    <row r="258" spans="2:3" x14ac:dyDescent="0.25">
      <c r="B258" s="1"/>
      <c r="C258" s="1"/>
    </row>
    <row r="259" spans="2:3" x14ac:dyDescent="0.25">
      <c r="B259" s="1"/>
      <c r="C259" s="1"/>
    </row>
    <row r="260" spans="2:3" x14ac:dyDescent="0.25">
      <c r="B260" s="1"/>
      <c r="C260" s="1"/>
    </row>
    <row r="261" spans="2:3" x14ac:dyDescent="0.25">
      <c r="B261" s="1"/>
      <c r="C261" s="1"/>
    </row>
    <row r="262" spans="2:3" x14ac:dyDescent="0.25">
      <c r="B262" s="1"/>
      <c r="C262" s="1"/>
    </row>
    <row r="263" spans="2:3" x14ac:dyDescent="0.25">
      <c r="B263" s="1"/>
      <c r="C263" s="1"/>
    </row>
    <row r="264" spans="2:3" x14ac:dyDescent="0.25">
      <c r="B264" s="1"/>
      <c r="C264" s="1"/>
    </row>
    <row r="265" spans="2:3" x14ac:dyDescent="0.25">
      <c r="B265" s="1"/>
      <c r="C265" s="1"/>
    </row>
    <row r="266" spans="2:3" x14ac:dyDescent="0.25">
      <c r="B266" s="1"/>
      <c r="C266" s="1"/>
    </row>
    <row r="267" spans="2:3" x14ac:dyDescent="0.25">
      <c r="B267" s="1"/>
      <c r="C267" s="1"/>
    </row>
    <row r="268" spans="2:3" x14ac:dyDescent="0.25">
      <c r="B268" s="1"/>
      <c r="C268" s="1"/>
    </row>
    <row r="269" spans="2:3" x14ac:dyDescent="0.25">
      <c r="B269" s="1"/>
      <c r="C269" s="1"/>
    </row>
    <row r="270" spans="2:3" x14ac:dyDescent="0.25">
      <c r="B270" s="1"/>
      <c r="C270" s="1"/>
    </row>
    <row r="271" spans="2:3" x14ac:dyDescent="0.25">
      <c r="B271" s="1"/>
      <c r="C271" s="1"/>
    </row>
    <row r="272" spans="2: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  <row r="279" spans="2:3" x14ac:dyDescent="0.25">
      <c r="B279" s="1"/>
      <c r="C279" s="1"/>
    </row>
    <row r="280" spans="2:3" x14ac:dyDescent="0.25">
      <c r="B280" s="1"/>
      <c r="C280" s="1"/>
    </row>
    <row r="281" spans="2:3" x14ac:dyDescent="0.25">
      <c r="B281" s="1"/>
      <c r="C281" s="1"/>
    </row>
    <row r="282" spans="2:3" x14ac:dyDescent="0.25">
      <c r="B282" s="1"/>
      <c r="C282" s="1"/>
    </row>
    <row r="283" spans="2:3" x14ac:dyDescent="0.25">
      <c r="B283" s="1"/>
      <c r="C283" s="1"/>
    </row>
    <row r="284" spans="2:3" x14ac:dyDescent="0.25">
      <c r="B284" s="1"/>
      <c r="C284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2</vt:i4>
      </vt:variant>
    </vt:vector>
  </HeadingPairs>
  <TitlesOfParts>
    <vt:vector size="3" baseType="lpstr">
      <vt:lpstr>SEDNL - rk4 xnum 2 - pred prey</vt:lpstr>
      <vt:lpstr>Gráf1</vt:lpstr>
      <vt:lpstr>Gráf2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2011-02-13T18:16:05Z</dcterms:created>
  <dcterms:modified xsi:type="dcterms:W3CDTF">2021-12-02T09:19:50Z</dcterms:modified>
</cp:coreProperties>
</file>