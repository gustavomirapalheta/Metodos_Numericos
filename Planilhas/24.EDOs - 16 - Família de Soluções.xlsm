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527" codeName="{B6124F1A-AFFB-F854-7757-9A1D4C6FC43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Z:\Google Drive\Disciplinas\Matemática II\cálculo, abordagem computacional\planilhas\"/>
    </mc:Choice>
  </mc:AlternateContent>
  <xr:revisionPtr revIDLastSave="0" documentId="13_ncr:40009_{0FD55074-DD27-42DF-BFC4-E99D648EB57F}" xr6:coauthVersionLast="47" xr6:coauthVersionMax="47" xr10:uidLastSave="{00000000-0000-0000-0000-000000000000}"/>
  <bookViews>
    <workbookView xWindow="-120" yWindow="-120" windowWidth="27960" windowHeight="14220"/>
  </bookViews>
  <sheets>
    <sheet name="edo - rk4 - família de soluções" sheetId="1" r:id="rId1"/>
    <sheet name="Gráf1" sheetId="2" r:id="rId2"/>
  </sheets>
  <functionGroups builtInGroupCount="19"/>
  <externalReferences>
    <externalReference r:id="rId3"/>
    <externalReference r:id="rId4"/>
    <externalReference r:id="rId5"/>
    <externalReference r:id="rId6"/>
  </externalReferences>
  <definedNames>
    <definedName name="a_">'[1]corr rand var - via atingir met'!$D$1</definedName>
    <definedName name="A1_">'[2]edo - i - SEDOLS - xnum'!$G$23</definedName>
    <definedName name="A2_">'[2]edo - i - SEDOLS - xnum'!$G$24</definedName>
    <definedName name="b_">'[1]corr rand var - via atingir met'!$D$2</definedName>
    <definedName name="C_">'[2]karris - s&amp;s - 11.2.1 - PB'!$C$3</definedName>
    <definedName name="C_b2">'[2]edo - i - SEDOLS - xnum'!$B$25</definedName>
    <definedName name="correl_">'[1]corr rand var - via atingir met'!$D$3</definedName>
    <definedName name="E0_">'[2]edo - i - SEDOLS - xnum'!$B$26</definedName>
    <definedName name="K_">'[2]noceti - gráficos - 1.5.1'!$C$1</definedName>
    <definedName name="K_2">'[2]noceti - ex.1'!#REF!</definedName>
    <definedName name="K_b2">'[2]edo - i - SEDOLS - xnum'!$G$22</definedName>
    <definedName name="L_">'[2]edo - i - SEDOLS - xnum'!$B$24</definedName>
    <definedName name="n_">'[1]corr rand var - via atingir met'!$D$7</definedName>
    <definedName name="p_">'[2]edo - i - SEDOLS - xnum'!$G$21</definedName>
    <definedName name="Q_">'[2]noceti - gráficos - 1.5.1'!$C$3</definedName>
    <definedName name="R_">'[2]karris - s&amp;s - 11.2.1 - PB'!$B$3</definedName>
    <definedName name="rho">'[3]corr rand var - via formula'!$C$4</definedName>
    <definedName name="sigma">'[1]corr rand var - via atingir met'!$D$6</definedName>
    <definedName name="V1_">'[2]karris - 4.18'!$D$2:$E$2</definedName>
    <definedName name="V1_b">#REF!</definedName>
    <definedName name="V2_">'[2]karris - 4.18'!$D$3:$E$3</definedName>
    <definedName name="V2_b">#REF!</definedName>
    <definedName name="variação">'[1]corr rand var - via atingir met'!$D$8</definedName>
    <definedName name="Vs_">'[2]karris - 4.18'!$D$6:$E$6</definedName>
    <definedName name="Vs_b">#REF!</definedName>
    <definedName name="w_">'[2]edo - i - SEDOLS - xnum'!$D$27</definedName>
    <definedName name="w0_">'[2]noceti - gráficos - 1.5.1'!$C$2</definedName>
    <definedName name="w0_2">'[2]noceti - ex.1'!#REF!</definedName>
  </definedNames>
  <calcPr calcId="181029" calcMode="autoNoTable" iterate="1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6" i="1" l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A17" i="1" a="1"/>
  <c r="A17" i="1" l="1"/>
  <c r="B17" i="1"/>
  <c r="A18" i="1" a="1"/>
  <c r="A18" i="1" l="1"/>
  <c r="B18" i="1"/>
  <c r="A19" i="1" a="1"/>
  <c r="A19" i="1" l="1"/>
  <c r="B19" i="1"/>
  <c r="A20" i="1" a="1"/>
  <c r="A20" i="1" l="1"/>
  <c r="B20" i="1"/>
  <c r="A21" i="1" a="1"/>
  <c r="A21" i="1" l="1"/>
  <c r="B21" i="1"/>
  <c r="A22" i="1" a="1"/>
  <c r="A22" i="1" l="1"/>
  <c r="B22" i="1"/>
  <c r="A23" i="1" a="1"/>
  <c r="A23" i="1" l="1"/>
  <c r="B23" i="1"/>
  <c r="A24" i="1" a="1"/>
  <c r="A24" i="1" l="1"/>
  <c r="B24" i="1"/>
  <c r="A25" i="1" a="1"/>
  <c r="A25" i="1" l="1"/>
  <c r="B25" i="1"/>
  <c r="A26" i="1" a="1"/>
  <c r="A26" i="1" l="1"/>
  <c r="B26" i="1"/>
  <c r="A27" i="1" a="1"/>
  <c r="A27" i="1" l="1"/>
  <c r="B27" i="1"/>
  <c r="A28" i="1" a="1"/>
  <c r="A28" i="1" l="1"/>
  <c r="B28" i="1"/>
  <c r="A29" i="1" a="1"/>
  <c r="A29" i="1" l="1"/>
  <c r="B29" i="1"/>
  <c r="A30" i="1" a="1"/>
  <c r="A30" i="1" l="1"/>
  <c r="B30" i="1"/>
  <c r="A31" i="1" a="1"/>
  <c r="A31" i="1" l="1"/>
  <c r="B31" i="1"/>
  <c r="A32" i="1" a="1"/>
  <c r="A32" i="1" l="1"/>
  <c r="B32" i="1"/>
  <c r="A33" i="1" a="1"/>
  <c r="A33" i="1" l="1"/>
  <c r="B33" i="1"/>
  <c r="A34" i="1" a="1"/>
  <c r="A34" i="1" l="1"/>
  <c r="B34" i="1"/>
  <c r="A35" i="1" a="1"/>
  <c r="A35" i="1" l="1"/>
  <c r="B35" i="1"/>
  <c r="A36" i="1" a="1"/>
  <c r="A36" i="1" l="1"/>
  <c r="F11" i="1" s="1"/>
  <c r="D15" i="1" s="1"/>
  <c r="B36" i="1"/>
  <c r="A37" i="1" a="1"/>
  <c r="A37" i="1" l="1"/>
  <c r="B37" i="1"/>
  <c r="A38" i="1" a="1"/>
  <c r="A38" i="1" l="1"/>
  <c r="B38" i="1"/>
  <c r="A39" i="1" a="1"/>
  <c r="A39" i="1" l="1"/>
  <c r="B39" i="1"/>
  <c r="A40" i="1" a="1"/>
  <c r="A40" i="1" l="1"/>
  <c r="B40" i="1"/>
  <c r="A41" i="1" a="1"/>
  <c r="A41" i="1" l="1"/>
  <c r="B41" i="1"/>
  <c r="A42" i="1" a="1"/>
  <c r="A42" i="1" l="1"/>
  <c r="B42" i="1"/>
  <c r="A43" i="1" a="1"/>
  <c r="A43" i="1" l="1"/>
  <c r="B43" i="1"/>
  <c r="A44" i="1" a="1"/>
  <c r="A44" i="1" l="1"/>
  <c r="B44" i="1"/>
  <c r="A45" i="1" a="1"/>
  <c r="A45" i="1" l="1"/>
  <c r="B45" i="1"/>
  <c r="A46" i="1" a="1"/>
  <c r="A46" i="1" l="1"/>
  <c r="B46" i="1"/>
  <c r="A47" i="1" a="1"/>
  <c r="A47" i="1" l="1"/>
  <c r="B47" i="1"/>
  <c r="A48" i="1" a="1"/>
  <c r="A48" i="1" l="1"/>
  <c r="B48" i="1"/>
  <c r="A49" i="1" a="1"/>
  <c r="A49" i="1" l="1"/>
  <c r="B49" i="1"/>
  <c r="A50" i="1" a="1"/>
  <c r="A50" i="1" l="1"/>
  <c r="B50" i="1"/>
  <c r="A51" i="1" a="1"/>
  <c r="A51" i="1" l="1"/>
  <c r="B51" i="1"/>
  <c r="A52" i="1" a="1"/>
  <c r="A52" i="1" l="1"/>
  <c r="B52" i="1"/>
  <c r="A53" i="1" a="1"/>
  <c r="A53" i="1" l="1"/>
  <c r="B53" i="1"/>
  <c r="A54" i="1" a="1"/>
  <c r="A54" i="1" l="1"/>
  <c r="B54" i="1"/>
  <c r="A55" i="1" a="1"/>
  <c r="A55" i="1" l="1"/>
  <c r="B55" i="1"/>
  <c r="A56" i="1" a="1"/>
  <c r="B56" i="1" l="1"/>
  <c r="A56" i="1"/>
</calcChain>
</file>

<file path=xl/sharedStrings.xml><?xml version="1.0" encoding="utf-8"?>
<sst xmlns="http://schemas.openxmlformats.org/spreadsheetml/2006/main" count="44" uniqueCount="43">
  <si>
    <t>y</t>
  </si>
  <si>
    <t>t</t>
  </si>
  <si>
    <t>Série 21</t>
  </si>
  <si>
    <t>Série 20</t>
  </si>
  <si>
    <t>Série 19</t>
  </si>
  <si>
    <t>Série 18</t>
  </si>
  <si>
    <t>Série 17</t>
  </si>
  <si>
    <t>Série 16</t>
  </si>
  <si>
    <t>Série 15</t>
  </si>
  <si>
    <t>Série 14</t>
  </si>
  <si>
    <t>Série 13</t>
  </si>
  <si>
    <t>Série 12</t>
  </si>
  <si>
    <t>Série 11</t>
  </si>
  <si>
    <t>Série 10</t>
  </si>
  <si>
    <t>Série 9</t>
  </si>
  <si>
    <t>Série 8</t>
  </si>
  <si>
    <t>Série 7</t>
  </si>
  <si>
    <t>Série 6</t>
  </si>
  <si>
    <t>Série 5</t>
  </si>
  <si>
    <t>Série 4</t>
  </si>
  <si>
    <t>Série 3</t>
  </si>
  <si>
    <t>Série 2</t>
  </si>
  <si>
    <t>Série 1</t>
  </si>
  <si>
    <t>y(0)</t>
  </si>
  <si>
    <t xml:space="preserve">        EM RECÁLCULO MANUAL</t>
  </si>
  <si>
    <t xml:space="preserve">  F9 NEM SEMPRE RECALCULA FUNÇÕES DO XNUMBERS QUANDO </t>
  </si>
  <si>
    <t xml:space="preserve">  VOLTE O RECÁLCULO PARA AUTOMÁTICO E ESPERE O RECÁLCULO</t>
  </si>
  <si>
    <t xml:space="preserve">  ALTERE OS VALORES DE ENTRADA DA LINHA</t>
  </si>
  <si>
    <t>ATENÇÃO : PARA ATUALIZAR PASSE O RECÁLCULO PARA MANUAL</t>
  </si>
  <si>
    <t>Gráfico da Família de curvas a direita  --&gt;&gt;</t>
  </si>
  <si>
    <t xml:space="preserve"> --&gt;cel. de retorno</t>
  </si>
  <si>
    <t>f(y,t)=</t>
  </si>
  <si>
    <t xml:space="preserve"> &lt;-cel.entrada linha</t>
  </si>
  <si>
    <t>y(0)=</t>
  </si>
  <si>
    <t xml:space="preserve"> &lt;-cel.entrada coluna</t>
  </si>
  <si>
    <t>t=</t>
  </si>
  <si>
    <t>h(fam.)</t>
  </si>
  <si>
    <t>h(rk4)</t>
  </si>
  <si>
    <t>y' = sqr(|y^2-1|)</t>
  </si>
  <si>
    <t>Família de Soluções de y'=sqrt(|y^2-1|)</t>
  </si>
  <si>
    <t xml:space="preserve"> =y(0)</t>
  </si>
  <si>
    <t>Para recalcular: Passar para recálculo automático, apertar F9 e esperar</t>
  </si>
  <si>
    <t xml:space="preserve">         Recálculo demorado devido à tabela de dados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</si>
</sst>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-* #,##0.00_-;\-* #,##0.00_-;_-* &quot;-&quot;??_-;_-@_-"/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15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3">
    <xf numFmtId="0" fontId="0" fillId="0" borderId="0"/>
    <xf numFmtId="0" fontId="1" fillId="0" borderId="0"/>
    <xf numFmtId="43" fontId="3" fillId="0" borderId="0" applyFont="0" applyFill="0" applyBorder="0" applyAlignment="0" applyProtection="0"/>
  </cellStyleXfs>
  <cellXfs count="26">
    <xf numFmtId="0" fontId="0" fillId="0" borderId="0" xfId="0"/>
    <xf numFmtId="164" fontId="0" fillId="0" borderId="1" xfId="0" applyNumberFormat="1" applyBorder="1"/>
    <xf numFmtId="164" fontId="0" fillId="0" borderId="2" xfId="0" applyNumberFormat="1" applyBorder="1"/>
    <xf numFmtId="165" fontId="0" fillId="2" borderId="3" xfId="0" applyNumberFormat="1" applyFill="1" applyBorder="1"/>
    <xf numFmtId="164" fontId="0" fillId="0" borderId="4" xfId="0" applyNumberFormat="1" applyBorder="1"/>
    <xf numFmtId="164" fontId="0" fillId="0" borderId="0" xfId="0" applyNumberFormat="1" applyBorder="1"/>
    <xf numFmtId="165" fontId="0" fillId="2" borderId="5" xfId="0" applyNumberFormat="1" applyFill="1" applyBorder="1"/>
    <xf numFmtId="164" fontId="0" fillId="0" borderId="6" xfId="0" applyNumberFormat="1" applyBorder="1"/>
    <xf numFmtId="164" fontId="0" fillId="0" borderId="7" xfId="0" applyNumberFormat="1" applyBorder="1"/>
    <xf numFmtId="164" fontId="0" fillId="0" borderId="8" xfId="0" applyNumberFormat="1" applyBorder="1"/>
    <xf numFmtId="164" fontId="0" fillId="3" borderId="3" xfId="0" applyNumberFormat="1" applyFill="1" applyBorder="1"/>
    <xf numFmtId="0" fontId="0" fillId="0" borderId="0" xfId="0" applyAlignment="1">
      <alignment horizontal="left"/>
    </xf>
    <xf numFmtId="0" fontId="0" fillId="0" borderId="0" xfId="0" applyFill="1" applyBorder="1" applyAlignment="1">
      <alignment horizontal="left"/>
    </xf>
    <xf numFmtId="165" fontId="0" fillId="0" borderId="0" xfId="0" applyNumberFormat="1" applyAlignment="1">
      <alignment horizontal="left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2" fontId="0" fillId="2" borderId="3" xfId="0" applyNumberFormat="1" applyFill="1" applyBorder="1" applyAlignment="1">
      <alignment horizontal="left"/>
    </xf>
    <xf numFmtId="2" fontId="0" fillId="3" borderId="3" xfId="0" applyNumberFormat="1" applyFill="1" applyBorder="1" applyAlignment="1">
      <alignment horizontal="left"/>
    </xf>
    <xf numFmtId="0" fontId="4" fillId="0" borderId="0" xfId="0" applyFont="1"/>
    <xf numFmtId="165" fontId="0" fillId="0" borderId="9" xfId="0" applyNumberFormat="1" applyBorder="1"/>
    <xf numFmtId="164" fontId="0" fillId="0" borderId="10" xfId="0" applyNumberFormat="1" applyBorder="1"/>
    <xf numFmtId="165" fontId="0" fillId="0" borderId="11" xfId="0" applyNumberFormat="1" applyBorder="1"/>
    <xf numFmtId="164" fontId="0" fillId="0" borderId="12" xfId="0" applyNumberFormat="1" applyBorder="1"/>
    <xf numFmtId="165" fontId="0" fillId="0" borderId="13" xfId="0" applyNumberFormat="1" applyBorder="1"/>
    <xf numFmtId="164" fontId="0" fillId="0" borderId="14" xfId="0" applyNumberFormat="1" applyBorder="1"/>
  </cellXfs>
  <cellStyles count="3">
    <cellStyle name="Normal" xfId="0" builtinId="0"/>
    <cellStyle name="Normal 2" xfId="1"/>
    <cellStyle name="Separador de milhares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microsoft.com/office/2006/relationships/vbaProject" Target="vbaProject.bin"/><Relationship Id="rId5" Type="http://schemas.openxmlformats.org/officeDocument/2006/relationships/externalLink" Target="externalLinks/externalLink3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2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Família</a:t>
            </a:r>
            <a:r>
              <a:rPr lang="pt-BR" baseline="0"/>
              <a:t> de Soluções</a:t>
            </a:r>
            <a:endParaRPr lang="pt-BR"/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'edo - rk4 - família de soluções'!$D$16:$D$56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'edo - rk4 - família de soluções'!$E$16:$E$56</c:f>
              <c:numCache>
                <c:formatCode>0.000</c:formatCode>
                <c:ptCount val="41"/>
                <c:pt idx="0">
                  <c:v>-2</c:v>
                </c:pt>
                <c:pt idx="1">
                  <c:v>-1.8365148433389709</c:v>
                </c:pt>
                <c:pt idx="2">
                  <c:v>-1.6914101314378227</c:v>
                </c:pt>
                <c:pt idx="3">
                  <c:v>-1.5632336204861856</c:v>
                </c:pt>
                <c:pt idx="4">
                  <c:v>-1.450702495977545</c:v>
                </c:pt>
                <c:pt idx="5">
                  <c:v>-1.3526905392059658</c:v>
                </c:pt>
                <c:pt idx="6">
                  <c:v>-1.2682168667833271</c:v>
                </c:pt>
                <c:pt idx="7">
                  <c:v>-1.1964361388267011</c:v>
                </c:pt>
                <c:pt idx="8">
                  <c:v>-1.1366301626010693</c:v>
                </c:pt>
                <c:pt idx="9">
                  <c:v>-1.0882008941988923</c:v>
                </c:pt>
                <c:pt idx="10">
                  <c:v>-1.0506651487194667</c:v>
                </c:pt>
                <c:pt idx="11">
                  <c:v>-1.0236533480914201</c:v>
                </c:pt>
                <c:pt idx="12">
                  <c:v>-1.0069418970232604</c:v>
                </c:pt>
                <c:pt idx="13">
                  <c:v>-0.99900251932326045</c:v>
                </c:pt>
                <c:pt idx="14">
                  <c:v>-0.98978271772532722</c:v>
                </c:pt>
                <c:pt idx="15">
                  <c:v>-0.97063297492055989</c:v>
                </c:pt>
                <c:pt idx="16">
                  <c:v>-0.94177609597638545</c:v>
                </c:pt>
                <c:pt idx="17">
                  <c:v>-0.90350662848379792</c:v>
                </c:pt>
                <c:pt idx="18">
                  <c:v>-0.8562085651706951</c:v>
                </c:pt>
                <c:pt idx="19">
                  <c:v>-0.80035505268575025</c:v>
                </c:pt>
                <c:pt idx="20">
                  <c:v>-0.73650439558826919</c:v>
                </c:pt>
                <c:pt idx="21">
                  <c:v>-0.66529468090014388</c:v>
                </c:pt>
                <c:pt idx="22">
                  <c:v>-0.5874374718112948</c:v>
                </c:pt>
                <c:pt idx="23">
                  <c:v>-0.50371072544095918</c:v>
                </c:pt>
                <c:pt idx="24">
                  <c:v>-0.41495103195856176</c:v>
                </c:pt>
                <c:pt idx="25">
                  <c:v>-0.32204526160164559</c:v>
                </c:pt>
                <c:pt idx="26">
                  <c:v>-0.22592170649820775</c:v>
                </c:pt>
                <c:pt idx="27">
                  <c:v>-0.12754080726109526</c:v>
                </c:pt>
                <c:pt idx="28">
                  <c:v>-2.7885557685650805E-2</c:v>
                </c:pt>
                <c:pt idx="29">
                  <c:v>7.2048316235033119E-2</c:v>
                </c:pt>
                <c:pt idx="30">
                  <c:v>0.17126230465283265</c:v>
                </c:pt>
                <c:pt idx="31">
                  <c:v>0.26876509002345095</c:v>
                </c:pt>
                <c:pt idx="32">
                  <c:v>0.36358245126052902</c:v>
                </c:pt>
                <c:pt idx="33">
                  <c:v>0.45476699672507059</c:v>
                </c:pt>
                <c:pt idx="34">
                  <c:v>0.54140762844750423</c:v>
                </c:pt>
                <c:pt idx="35">
                  <c:v>0.62263864231015553</c:v>
                </c:pt>
                <c:pt idx="36">
                  <c:v>0.69764837170657801</c:v>
                </c:pt>
                <c:pt idx="37">
                  <c:v>0.76568728456894442</c:v>
                </c:pt>
                <c:pt idx="38">
                  <c:v>0.82607544287299572</c:v>
                </c:pt>
                <c:pt idx="39">
                  <c:v>0.87820921972798838</c:v>
                </c:pt>
                <c:pt idx="40">
                  <c:v>0.9215670971743376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74-47F7-9961-072FAACFF74B}"/>
            </c:ext>
          </c:extLst>
        </c:ser>
        <c:ser>
          <c:idx val="1"/>
          <c:order val="1"/>
          <c:marker>
            <c:symbol val="none"/>
          </c:marker>
          <c:xVal>
            <c:numRef>
              <c:f>'edo - rk4 - família de soluções'!$D$16:$D$56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'edo - rk4 - família de soluções'!$F$16:$F$56</c:f>
              <c:numCache>
                <c:formatCode>0.000</c:formatCode>
                <c:ptCount val="41"/>
                <c:pt idx="0">
                  <c:v>-1.8</c:v>
                </c:pt>
                <c:pt idx="1">
                  <c:v>-1.6590920952854273</c:v>
                </c:pt>
                <c:pt idx="2">
                  <c:v>-1.534788945636002</c:v>
                </c:pt>
                <c:pt idx="3">
                  <c:v>-1.4258465045854773</c:v>
                </c:pt>
                <c:pt idx="4">
                  <c:v>-1.3311744742697902</c:v>
                </c:pt>
                <c:pt idx="5">
                  <c:v>-1.2498254067526195</c:v>
                </c:pt>
                <c:pt idx="6">
                  <c:v>-1.1809852528278983</c:v>
                </c:pt>
                <c:pt idx="7">
                  <c:v>-1.1239652966364855</c:v>
                </c:pt>
                <c:pt idx="8">
                  <c:v>-1.0781955160578636</c:v>
                </c:pt>
                <c:pt idx="9">
                  <c:v>-1.0432198710814993</c:v>
                </c:pt>
                <c:pt idx="10">
                  <c:v>-1.0186974827026369</c:v>
                </c:pt>
                <c:pt idx="11">
                  <c:v>-1.004477720069769</c:v>
                </c:pt>
                <c:pt idx="12">
                  <c:v>-0.99798076705943994</c:v>
                </c:pt>
                <c:pt idx="13">
                  <c:v>-0.98678979888102669</c:v>
                </c:pt>
                <c:pt idx="14">
                  <c:v>-0.96570875611921214</c:v>
                </c:pt>
                <c:pt idx="15">
                  <c:v>-0.93497184872308303</c:v>
                </c:pt>
                <c:pt idx="16">
                  <c:v>-0.89489082429972377</c:v>
                </c:pt>
                <c:pt idx="17">
                  <c:v>-0.84586744668380809</c:v>
                </c:pt>
                <c:pt idx="18">
                  <c:v>-0.78839200712120294</c:v>
                </c:pt>
                <c:pt idx="19">
                  <c:v>-0.72303898237872799</c:v>
                </c:pt>
                <c:pt idx="20">
                  <c:v>-0.65046145666627442</c:v>
                </c:pt>
                <c:pt idx="21">
                  <c:v>-0.57138465335643518</c:v>
                </c:pt>
                <c:pt idx="22">
                  <c:v>-0.48659871201425314</c:v>
                </c:pt>
                <c:pt idx="23">
                  <c:v>-0.39695080411196998</c:v>
                </c:pt>
                <c:pt idx="24">
                  <c:v>-0.30333667358584376</c:v>
                </c:pt>
                <c:pt idx="25">
                  <c:v>-0.20669168964813195</c:v>
                </c:pt>
                <c:pt idx="26">
                  <c:v>-0.10798150249691651</c:v>
                </c:pt>
                <c:pt idx="27">
                  <c:v>-8.192395873997893E-3</c:v>
                </c:pt>
                <c:pt idx="28">
                  <c:v>9.167856683273877E-2</c:v>
                </c:pt>
                <c:pt idx="29">
                  <c:v>0.1906335043054912</c:v>
                </c:pt>
                <c:pt idx="30">
                  <c:v>0.28768368715962062</c:v>
                </c:pt>
                <c:pt idx="31">
                  <c:v>0.3818594161892428</c:v>
                </c:pt>
                <c:pt idx="32">
                  <c:v>0.4722197100736229</c:v>
                </c:pt>
                <c:pt idx="33">
                  <c:v>0.55786170534562896</c:v>
                </c:pt>
                <c:pt idx="34">
                  <c:v>0.63792967387882493</c:v>
                </c:pt>
                <c:pt idx="35">
                  <c:v>0.71162356595578991</c:v>
                </c:pt>
                <c:pt idx="36">
                  <c:v>0.77820698905590413</c:v>
                </c:pt>
                <c:pt idx="37">
                  <c:v>0.83701453034940909</c:v>
                </c:pt>
                <c:pt idx="38">
                  <c:v>0.88745831122817698</c:v>
                </c:pt>
                <c:pt idx="39">
                  <c:v>0.92903356328833553</c:v>
                </c:pt>
                <c:pt idx="40">
                  <c:v>0.96132245622174195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74-47F7-9961-072FAACFF74B}"/>
            </c:ext>
          </c:extLst>
        </c:ser>
        <c:ser>
          <c:idx val="2"/>
          <c:order val="2"/>
          <c:marker>
            <c:symbol val="none"/>
          </c:marker>
          <c:xVal>
            <c:numRef>
              <c:f>'edo - rk4 - família de soluções'!$D$16:$D$56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'edo - rk4 - família de soluções'!$G$16:$G$56</c:f>
              <c:numCache>
                <c:formatCode>0.000</c:formatCode>
                <c:ptCount val="41"/>
                <c:pt idx="0">
                  <c:v>-1.6</c:v>
                </c:pt>
                <c:pt idx="1">
                  <c:v>-1.4828989976159548</c:v>
                </c:pt>
                <c:pt idx="2">
                  <c:v>-1.3806393854892285</c:v>
                </c:pt>
                <c:pt idx="3">
                  <c:v>-1.2921977597375605</c:v>
                </c:pt>
                <c:pt idx="4">
                  <c:v>-1.2166890493621112</c:v>
                </c:pt>
                <c:pt idx="5">
                  <c:v>-1.1533577059268387</c:v>
                </c:pt>
                <c:pt idx="6">
                  <c:v>-1.1015702761224415</c:v>
                </c:pt>
                <c:pt idx="7">
                  <c:v>-1.0608095197840497</c:v>
                </c:pt>
                <c:pt idx="8">
                  <c:v>-1.0306713219591661</c:v>
                </c:pt>
                <c:pt idx="9">
                  <c:v>-1.0108767415804356</c:v>
                </c:pt>
                <c:pt idx="10">
                  <c:v>-1.0011306538616536</c:v>
                </c:pt>
                <c:pt idx="11">
                  <c:v>-0.99542468859793576</c:v>
                </c:pt>
                <c:pt idx="12">
                  <c:v>-0.98097942793326953</c:v>
                </c:pt>
                <c:pt idx="13">
                  <c:v>-0.95671451073666836</c:v>
                </c:pt>
                <c:pt idx="14">
                  <c:v>-0.92288587696647661</c:v>
                </c:pt>
                <c:pt idx="15">
                  <c:v>-0.87983447176426344</c:v>
                </c:pt>
                <c:pt idx="16">
                  <c:v>-0.82799135236569432</c:v>
                </c:pt>
                <c:pt idx="17">
                  <c:v>-0.76787486641021296</c:v>
                </c:pt>
                <c:pt idx="18">
                  <c:v>-0.70008583533587299</c:v>
                </c:pt>
                <c:pt idx="19">
                  <c:v>-0.62530166427647349</c:v>
                </c:pt>
                <c:pt idx="20">
                  <c:v>-0.54426961564146037</c:v>
                </c:pt>
                <c:pt idx="21">
                  <c:v>-0.45779936045742203</c:v>
                </c:pt>
                <c:pt idx="22">
                  <c:v>-0.36675489669629979</c:v>
                </c:pt>
                <c:pt idx="23">
                  <c:v>-0.27204592070879718</c:v>
                </c:pt>
                <c:pt idx="24">
                  <c:v>-0.1746187401498544</c:v>
                </c:pt>
                <c:pt idx="25">
                  <c:v>-7.5446820155121247E-2</c:v>
                </c:pt>
                <c:pt idx="26">
                  <c:v>2.4478942305963564E-2</c:v>
                </c:pt>
                <c:pt idx="27">
                  <c:v>0.12416011847471971</c:v>
                </c:pt>
                <c:pt idx="28">
                  <c:v>0.22260072316800139</c:v>
                </c:pt>
                <c:pt idx="29">
                  <c:v>0.31881716565716928</c:v>
                </c:pt>
                <c:pt idx="30">
                  <c:v>0.41184807647079014</c:v>
                </c:pt>
                <c:pt idx="31">
                  <c:v>0.50076391167008871</c:v>
                </c:pt>
                <c:pt idx="32">
                  <c:v>0.58467623813166347</c:v>
                </c:pt>
                <c:pt idx="33">
                  <c:v>0.66274660600302038</c:v>
                </c:pt>
                <c:pt idx="34">
                  <c:v>0.73419491724359498</c:v>
                </c:pt>
                <c:pt idx="35">
                  <c:v>0.79830720046567649</c:v>
                </c:pt>
                <c:pt idx="36">
                  <c:v>0.85444269684144714</c:v>
                </c:pt>
                <c:pt idx="37">
                  <c:v>0.90204012824900448</c:v>
                </c:pt>
                <c:pt idx="38">
                  <c:v>0.94062284921556727</c:v>
                </c:pt>
                <c:pt idx="39">
                  <c:v>0.9698015276478491</c:v>
                </c:pt>
                <c:pt idx="40">
                  <c:v>0.989261941882841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74-47F7-9961-072FAACFF74B}"/>
            </c:ext>
          </c:extLst>
        </c:ser>
        <c:ser>
          <c:idx val="3"/>
          <c:order val="3"/>
          <c:marker>
            <c:symbol val="none"/>
          </c:marker>
          <c:xVal>
            <c:numRef>
              <c:f>'edo - rk4 - família de soluções'!$D$16:$D$56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'edo - rk4 - família de soluções'!$H$16:$H$56</c:f>
              <c:numCache>
                <c:formatCode>0.000</c:formatCode>
                <c:ptCount val="41"/>
                <c:pt idx="0">
                  <c:v>-1.4</c:v>
                </c:pt>
                <c:pt idx="1">
                  <c:v>-1.3088636818682511</c:v>
                </c:pt>
                <c:pt idx="2">
                  <c:v>-1.2308270560613108</c:v>
                </c:pt>
                <c:pt idx="3">
                  <c:v>-1.1651092502720652</c:v>
                </c:pt>
                <c:pt idx="4">
                  <c:v>-1.1110528628778318</c:v>
                </c:pt>
                <c:pt idx="5">
                  <c:v>-1.0681177347119237</c:v>
                </c:pt>
                <c:pt idx="6">
                  <c:v>-1.0358770365794641</c:v>
                </c:pt>
                <c:pt idx="7">
                  <c:v>-1.0140230149080975</c:v>
                </c:pt>
                <c:pt idx="8">
                  <c:v>-1.002609263254959</c:v>
                </c:pt>
                <c:pt idx="9">
                  <c:v>-0.99876513007870793</c:v>
                </c:pt>
                <c:pt idx="10">
                  <c:v>-0.98901285568979391</c:v>
                </c:pt>
                <c:pt idx="11">
                  <c:v>-0.96934102582473791</c:v>
                </c:pt>
                <c:pt idx="12">
                  <c:v>-0.93997559524528385</c:v>
                </c:pt>
                <c:pt idx="13">
                  <c:v>-0.90121570944941642</c:v>
                </c:pt>
                <c:pt idx="14">
                  <c:v>-0.85345016326907663</c:v>
                </c:pt>
                <c:pt idx="15">
                  <c:v>-0.79715674676969306</c:v>
                </c:pt>
                <c:pt idx="16">
                  <c:v>-0.73289815020525761</c:v>
                </c:pt>
                <c:pt idx="17">
                  <c:v>-0.66131653259942025</c:v>
                </c:pt>
                <c:pt idx="18">
                  <c:v>-0.58312717121855195</c:v>
                </c:pt>
                <c:pt idx="19">
                  <c:v>-0.49911134099574905</c:v>
                </c:pt>
                <c:pt idx="20">
                  <c:v>-0.41010852001806153</c:v>
                </c:pt>
                <c:pt idx="21">
                  <c:v>-0.31700800747923585</c:v>
                </c:pt>
                <c:pt idx="22">
                  <c:v>-0.22074004113407991</c:v>
                </c:pt>
                <c:pt idx="23">
                  <c:v>-0.12226650440388342</c:v>
                </c:pt>
                <c:pt idx="24">
                  <c:v>-2.25713166332496E-2</c:v>
                </c:pt>
                <c:pt idx="25">
                  <c:v>7.7349397154151081E-2</c:v>
                </c:pt>
                <c:pt idx="26">
                  <c:v>0.17649725858866988</c:v>
                </c:pt>
                <c:pt idx="27">
                  <c:v>0.27388161079614526</c:v>
                </c:pt>
                <c:pt idx="28">
                  <c:v>0.36852941593850141</c:v>
                </c:pt>
                <c:pt idx="29">
                  <c:v>0.45949497635441305</c:v>
                </c:pt>
                <c:pt idx="30">
                  <c:v>0.54586938180342726</c:v>
                </c:pt>
                <c:pt idx="31">
                  <c:v>0.62678958768228688</c:v>
                </c:pt>
                <c:pt idx="32">
                  <c:v>0.70144703187884017</c:v>
                </c:pt>
                <c:pt idx="33">
                  <c:v>0.76909570023312757</c:v>
                </c:pt>
                <c:pt idx="34">
                  <c:v>0.82905954946036342</c:v>
                </c:pt>
                <c:pt idx="35">
                  <c:v>0.88073918101909665</c:v>
                </c:pt>
                <c:pt idx="36">
                  <c:v>0.92361758100551028</c:v>
                </c:pt>
                <c:pt idx="37">
                  <c:v>0.95726431301132531</c:v>
                </c:pt>
                <c:pt idx="38">
                  <c:v>0.98133421632599938</c:v>
                </c:pt>
                <c:pt idx="39">
                  <c:v>0.99549507618445487</c:v>
                </c:pt>
                <c:pt idx="40">
                  <c:v>1.0019994119945113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C74-47F7-9961-072FAACFF74B}"/>
            </c:ext>
          </c:extLst>
        </c:ser>
        <c:ser>
          <c:idx val="4"/>
          <c:order val="4"/>
          <c:marker>
            <c:symbol val="none"/>
          </c:marker>
          <c:xVal>
            <c:numRef>
              <c:f>'edo - rk4 - família de soluções'!$D$16:$D$56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'edo - rk4 - família de soluções'!$I$16:$I$56</c:f>
              <c:numCache>
                <c:formatCode>0.000</c:formatCode>
                <c:ptCount val="41"/>
                <c:pt idx="0">
                  <c:v>-1.2</c:v>
                </c:pt>
                <c:pt idx="1">
                  <c:v>-1.1395638072377217</c:v>
                </c:pt>
                <c:pt idx="2">
                  <c:v>-1.0905336406919159</c:v>
                </c:pt>
                <c:pt idx="3">
                  <c:v>-1.0524202067019712</c:v>
                </c:pt>
                <c:pt idx="4">
                  <c:v>-1.0248476383045459</c:v>
                </c:pt>
                <c:pt idx="5">
                  <c:v>-1.0075805984468464</c:v>
                </c:pt>
                <c:pt idx="6">
                  <c:v>-0.99929811658553036</c:v>
                </c:pt>
                <c:pt idx="7">
                  <c:v>-0.99085425247233994</c:v>
                </c:pt>
                <c:pt idx="8">
                  <c:v>-0.97246635194529008</c:v>
                </c:pt>
                <c:pt idx="9">
                  <c:v>-0.9443519767188393</c:v>
                </c:pt>
                <c:pt idx="10">
                  <c:v>-0.90679904814831735</c:v>
                </c:pt>
                <c:pt idx="11">
                  <c:v>-0.8601845563029582</c:v>
                </c:pt>
                <c:pt idx="12">
                  <c:v>-0.80497486104669236</c:v>
                </c:pt>
                <c:pt idx="13">
                  <c:v>-0.7417218491525307</c:v>
                </c:pt>
                <c:pt idx="14">
                  <c:v>-0.6710576423122897</c:v>
                </c:pt>
                <c:pt idx="15">
                  <c:v>-0.59368835601471215</c:v>
                </c:pt>
                <c:pt idx="16">
                  <c:v>-0.51038707364733837</c:v>
                </c:pt>
                <c:pt idx="17">
                  <c:v>-0.42198613505991056</c:v>
                </c:pt>
                <c:pt idx="18">
                  <c:v>-0.32936882637249981</c:v>
                </c:pt>
                <c:pt idx="19">
                  <c:v>-0.23346055775988897</c:v>
                </c:pt>
                <c:pt idx="20">
                  <c:v>-0.13521961891603082</c:v>
                </c:pt>
                <c:pt idx="21">
                  <c:v>-3.56276052806907E-2</c:v>
                </c:pt>
                <c:pt idx="22">
                  <c:v>6.4320388955355717E-2</c:v>
                </c:pt>
                <c:pt idx="23">
                  <c:v>0.163625712874649</c:v>
                </c:pt>
                <c:pt idx="24">
                  <c:v>0.2612961364061222</c:v>
                </c:pt>
                <c:pt idx="25">
                  <c:v>0.35635576361384463</c:v>
                </c:pt>
                <c:pt idx="26">
                  <c:v>0.44785478245736615</c:v>
                </c:pt>
                <c:pt idx="27">
                  <c:v>0.53487895327041868</c:v>
                </c:pt>
                <c:pt idx="28">
                  <c:v>0.61655874048286685</c:v>
                </c:pt>
                <c:pt idx="29">
                  <c:v>0.69207799488392274</c:v>
                </c:pt>
                <c:pt idx="30">
                  <c:v>0.76068209619012461</c:v>
                </c:pt>
                <c:pt idx="31">
                  <c:v>0.82168546534268505</c:v>
                </c:pt>
                <c:pt idx="32">
                  <c:v>0.87447834377243683</c:v>
                </c:pt>
                <c:pt idx="33">
                  <c:v>0.91853267328590527</c:v>
                </c:pt>
                <c:pt idx="34">
                  <c:v>0.9534065720741246</c:v>
                </c:pt>
                <c:pt idx="35">
                  <c:v>0.97874443141075473</c:v>
                </c:pt>
                <c:pt idx="36">
                  <c:v>0.99423158681316892</c:v>
                </c:pt>
                <c:pt idx="37">
                  <c:v>1.0014764417631932</c:v>
                </c:pt>
                <c:pt idx="38">
                  <c:v>1.0117579452994314</c:v>
                </c:pt>
                <c:pt idx="39">
                  <c:v>1.0321996223808585</c:v>
                </c:pt>
                <c:pt idx="40">
                  <c:v>1.0629792516470502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C74-47F7-9961-072FAACFF74B}"/>
            </c:ext>
          </c:extLst>
        </c:ser>
        <c:ser>
          <c:idx val="5"/>
          <c:order val="5"/>
          <c:marker>
            <c:symbol val="none"/>
          </c:marker>
          <c:xVal>
            <c:numRef>
              <c:f>'edo - rk4 - família de soluções'!$D$16:$D$56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'edo - rk4 - família de soluções'!$J$16:$J$56</c:f>
              <c:numCache>
                <c:formatCode>0.000</c:formatCode>
                <c:ptCount val="4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C74-47F7-9961-072FAACFF74B}"/>
            </c:ext>
          </c:extLst>
        </c:ser>
        <c:ser>
          <c:idx val="6"/>
          <c:order val="6"/>
          <c:marker>
            <c:symbol val="none"/>
          </c:marker>
          <c:xVal>
            <c:numRef>
              <c:f>'edo - rk4 - família de soluções'!$D$16:$D$56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'edo - rk4 - família de soluções'!$K$16:$K$56</c:f>
              <c:numCache>
                <c:formatCode>0.000</c:formatCode>
                <c:ptCount val="41"/>
                <c:pt idx="0">
                  <c:v>-0.8</c:v>
                </c:pt>
                <c:pt idx="1">
                  <c:v>-0.73610382438429944</c:v>
                </c:pt>
                <c:pt idx="2">
                  <c:v>-0.66485259402067587</c:v>
                </c:pt>
                <c:pt idx="3">
                  <c:v>-0.58695828669990269</c:v>
                </c:pt>
                <c:pt idx="4">
                  <c:v>-0.50319923010798573</c:v>
                </c:pt>
                <c:pt idx="5">
                  <c:v>-0.41441233718952541</c:v>
                </c:pt>
                <c:pt idx="6">
                  <c:v>-0.32148474991675136</c:v>
                </c:pt>
                <c:pt idx="7">
                  <c:v>-0.22534497838560064</c:v>
                </c:pt>
                <c:pt idx="8">
                  <c:v>-0.12695362522671444</c:v>
                </c:pt>
                <c:pt idx="9">
                  <c:v>-2.7293788681454295E-2</c:v>
                </c:pt>
                <c:pt idx="10">
                  <c:v>7.2638759427765112E-2</c:v>
                </c:pt>
                <c:pt idx="11">
                  <c:v>0.17184552249850243</c:v>
                </c:pt>
                <c:pt idx="12">
                  <c:v>0.26933525517440837</c:v>
                </c:pt>
                <c:pt idx="13">
                  <c:v>0.36413386677671439</c:v>
                </c:pt>
                <c:pt idx="14">
                  <c:v>0.45529415298780562</c:v>
                </c:pt>
                <c:pt idx="15">
                  <c:v>0.54190525819590352</c:v>
                </c:pt>
                <c:pt idx="16">
                  <c:v>0.62310177324426208</c:v>
                </c:pt>
                <c:pt idx="17">
                  <c:v>0.69807237611795558</c:v>
                </c:pt>
                <c:pt idx="18">
                  <c:v>0.76606792546857827</c:v>
                </c:pt>
                <c:pt idx="19">
                  <c:v>0.82640891605959221</c:v>
                </c:pt>
                <c:pt idx="20">
                  <c:v>0.87849219106568532</c:v>
                </c:pt>
                <c:pt idx="21">
                  <c:v>0.92179673348770541</c:v>
                </c:pt>
                <c:pt idx="22">
                  <c:v>0.95588796607742099</c:v>
                </c:pt>
                <c:pt idx="23">
                  <c:v>0.98041700135312448</c:v>
                </c:pt>
                <c:pt idx="24">
                  <c:v>0.99505985095739435</c:v>
                </c:pt>
                <c:pt idx="25">
                  <c:v>1.0017428288041041</c:v>
                </c:pt>
                <c:pt idx="26">
                  <c:v>1.0125174787720774</c:v>
                </c:pt>
                <c:pt idx="27">
                  <c:v>1.0334574745417291</c:v>
                </c:pt>
                <c:pt idx="28">
                  <c:v>1.0647475392271772</c:v>
                </c:pt>
                <c:pt idx="29">
                  <c:v>1.1066960577760097</c:v>
                </c:pt>
                <c:pt idx="30">
                  <c:v>1.1597215837591228</c:v>
                </c:pt>
                <c:pt idx="31">
                  <c:v>1.2243543653988267</c:v>
                </c:pt>
                <c:pt idx="32">
                  <c:v>1.3012410809423083</c:v>
                </c:pt>
                <c:pt idx="33">
                  <c:v>1.3911511485971242</c:v>
                </c:pt>
                <c:pt idx="34">
                  <c:v>1.4949843711375796</c:v>
                </c:pt>
                <c:pt idx="35">
                  <c:v>1.613779919159863</c:v>
                </c:pt>
                <c:pt idx="36">
                  <c:v>1.7487267215778726</c:v>
                </c:pt>
                <c:pt idx="37">
                  <c:v>1.9011753600561503</c:v>
                </c:pt>
                <c:pt idx="38">
                  <c:v>2.0726515836154187</c:v>
                </c:pt>
                <c:pt idx="39">
                  <c:v>2.2648715774827117</c:v>
                </c:pt>
                <c:pt idx="40">
                  <c:v>2.4797591384605675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C74-47F7-9961-072FAACFF74B}"/>
            </c:ext>
          </c:extLst>
        </c:ser>
        <c:ser>
          <c:idx val="7"/>
          <c:order val="7"/>
          <c:marker>
            <c:symbol val="none"/>
          </c:marker>
          <c:xVal>
            <c:numRef>
              <c:f>'edo - rk4 - família de soluções'!$D$16:$D$56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'edo - rk4 - família de soluções'!$L$16:$L$56</c:f>
              <c:numCache>
                <c:formatCode>0.000</c:formatCode>
                <c:ptCount val="41"/>
                <c:pt idx="0">
                  <c:v>-0.6</c:v>
                </c:pt>
                <c:pt idx="1">
                  <c:v>-0.51713591404383241</c:v>
                </c:pt>
                <c:pt idx="2">
                  <c:v>-0.42910473837570812</c:v>
                </c:pt>
                <c:pt idx="3">
                  <c:v>-0.33678606503604724</c:v>
                </c:pt>
                <c:pt idx="4">
                  <c:v>-0.24110232060951009</c:v>
                </c:pt>
                <c:pt idx="5">
                  <c:v>-0.14300955158036494</c:v>
                </c:pt>
                <c:pt idx="6">
                  <c:v>-4.3487873012962877E-2</c:v>
                </c:pt>
                <c:pt idx="7">
                  <c:v>5.6468323632118234E-2</c:v>
                </c:pt>
                <c:pt idx="8">
                  <c:v>0.15586030549437968</c:v>
                </c:pt>
                <c:pt idx="9">
                  <c:v>0.25369497670916236</c:v>
                </c:pt>
                <c:pt idx="10">
                  <c:v>0.34899480036319763</c:v>
                </c:pt>
                <c:pt idx="11">
                  <c:v>0.44080756468601495</c:v>
                </c:pt>
                <c:pt idx="12">
                  <c:v>0.52821589557596937</c:v>
                </c:pt>
                <c:pt idx="13">
                  <c:v>0.61034641978300186</c:v>
                </c:pt>
                <c:pt idx="14">
                  <c:v>0.68637848582312133</c:v>
                </c:pt>
                <c:pt idx="15">
                  <c:v>0.75555235224373218</c:v>
                </c:pt>
                <c:pt idx="16">
                  <c:v>0.81717675292256198</c:v>
                </c:pt>
                <c:pt idx="17">
                  <c:v>0.8706357385444311</c:v>
                </c:pt>
                <c:pt idx="18">
                  <c:v>0.91539463732701754</c:v>
                </c:pt>
                <c:pt idx="19">
                  <c:v>0.95100468394745108</c:v>
                </c:pt>
                <c:pt idx="20">
                  <c:v>0.97710379128314917</c:v>
                </c:pt>
                <c:pt idx="21">
                  <c:v>0.99338179724994768</c:v>
                </c:pt>
                <c:pt idx="22">
                  <c:v>1.0011256352291089</c:v>
                </c:pt>
                <c:pt idx="23">
                  <c:v>1.0106766185072522</c:v>
                </c:pt>
                <c:pt idx="24">
                  <c:v>1.030380603793396</c:v>
                </c:pt>
                <c:pt idx="25">
                  <c:v>1.0604051101288117</c:v>
                </c:pt>
                <c:pt idx="26">
                  <c:v>1.1010448965110986</c:v>
                </c:pt>
                <c:pt idx="27">
                  <c:v>1.1527052218611882</c:v>
                </c:pt>
                <c:pt idx="28">
                  <c:v>1.2159026158310959</c:v>
                </c:pt>
                <c:pt idx="29">
                  <c:v>1.2912693715500803</c:v>
                </c:pt>
                <c:pt idx="30">
                  <c:v>1.3795596871094393</c:v>
                </c:pt>
                <c:pt idx="31">
                  <c:v>1.4816571506870353</c:v>
                </c:pt>
                <c:pt idx="32">
                  <c:v>1.5985835590515824</c:v>
                </c:pt>
                <c:pt idx="33">
                  <c:v>1.7315091332082404</c:v>
                </c:pt>
                <c:pt idx="34">
                  <c:v>1.8817642251785847</c:v>
                </c:pt>
                <c:pt idx="35">
                  <c:v>2.0508526299456502</c:v>
                </c:pt>
                <c:pt idx="36">
                  <c:v>2.2404666344832118</c:v>
                </c:pt>
                <c:pt idx="37">
                  <c:v>2.4525039538919815</c:v>
                </c:pt>
                <c:pt idx="38">
                  <c:v>2.6890867238590084</c:v>
                </c:pt>
                <c:pt idx="39">
                  <c:v>2.9525827393771769</c:v>
                </c:pt>
                <c:pt idx="40">
                  <c:v>3.2456291522108982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C74-47F7-9961-072FAACFF74B}"/>
            </c:ext>
          </c:extLst>
        </c:ser>
        <c:ser>
          <c:idx val="8"/>
          <c:order val="8"/>
          <c:marker>
            <c:symbol val="none"/>
          </c:marker>
          <c:xVal>
            <c:numRef>
              <c:f>'edo - rk4 - família de soluções'!$D$16:$D$56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'edo - rk4 - família de soluções'!$M$16:$M$56</c:f>
              <c:numCache>
                <c:formatCode>0.000</c:formatCode>
                <c:ptCount val="41"/>
                <c:pt idx="0">
                  <c:v>-0.4</c:v>
                </c:pt>
                <c:pt idx="1">
                  <c:v>-0.30650289103975931</c:v>
                </c:pt>
                <c:pt idx="2">
                  <c:v>-0.2099432926554109</c:v>
                </c:pt>
                <c:pt idx="3">
                  <c:v>-0.1112860019586742</c:v>
                </c:pt>
                <c:pt idx="4">
                  <c:v>-1.1516774197481761E-2</c:v>
                </c:pt>
                <c:pt idx="5">
                  <c:v>8.8367525854716217E-2</c:v>
                </c:pt>
                <c:pt idx="6">
                  <c:v>0.1873688836291994</c:v>
                </c:pt>
                <c:pt idx="7">
                  <c:v>0.28449810595949387</c:v>
                </c:pt>
                <c:pt idx="8">
                  <c:v>0.37878470396966041</c:v>
                </c:pt>
                <c:pt idx="9">
                  <c:v>0.46928658868900597</c:v>
                </c:pt>
                <c:pt idx="10">
                  <c:v>0.55509948212421478</c:v>
                </c:pt>
                <c:pt idx="11">
                  <c:v>0.63536594895502896</c:v>
                </c:pt>
                <c:pt idx="12">
                  <c:v>0.70928395682512491</c:v>
                </c:pt>
                <c:pt idx="13">
                  <c:v>0.77611487533354251</c:v>
                </c:pt>
                <c:pt idx="14">
                  <c:v>0.83519082193911998</c:v>
                </c:pt>
                <c:pt idx="15">
                  <c:v>0.8859212444065756</c:v>
                </c:pt>
                <c:pt idx="16">
                  <c:v>0.9277985357014964</c:v>
                </c:pt>
                <c:pt idx="17">
                  <c:v>0.96040195205011802</c:v>
                </c:pt>
                <c:pt idx="18">
                  <c:v>0.9833947645450507</c:v>
                </c:pt>
                <c:pt idx="19">
                  <c:v>0.99641219051774332</c:v>
                </c:pt>
                <c:pt idx="20">
                  <c:v>1.0021694514295356</c:v>
                </c:pt>
                <c:pt idx="21">
                  <c:v>1.0136558489286738</c:v>
                </c:pt>
                <c:pt idx="22">
                  <c:v>1.0353156585434258</c:v>
                </c:pt>
                <c:pt idx="23">
                  <c:v>1.0673435160637219</c:v>
                </c:pt>
                <c:pt idx="24">
                  <c:v>1.1100556614654191</c:v>
                </c:pt>
                <c:pt idx="25">
                  <c:v>1.1638783908063588</c:v>
                </c:pt>
                <c:pt idx="26">
                  <c:v>1.2293499597471536</c:v>
                </c:pt>
                <c:pt idx="27">
                  <c:v>1.3071254516194166</c:v>
                </c:pt>
                <c:pt idx="28">
                  <c:v>1.3979831840149259</c:v>
                </c:pt>
                <c:pt idx="29">
                  <c:v>1.5028324461906049</c:v>
                </c:pt>
                <c:pt idx="30">
                  <c:v>1.6227225785732078</c:v>
                </c:pt>
                <c:pt idx="31">
                  <c:v>1.7588534655549335</c:v>
                </c:pt>
                <c:pt idx="32">
                  <c:v>1.9125875397976231</c:v>
                </c:pt>
                <c:pt idx="33">
                  <c:v>2.0854634155530642</c:v>
                </c:pt>
                <c:pt idx="34">
                  <c:v>2.2792112863258356</c:v>
                </c:pt>
                <c:pt idx="35">
                  <c:v>2.495770240470129</c:v>
                </c:pt>
                <c:pt idx="36">
                  <c:v>2.7373076677701822</c:v>
                </c:pt>
                <c:pt idx="37">
                  <c:v>3.0062409511027846</c:v>
                </c:pt>
                <c:pt idx="38">
                  <c:v>3.3052616602096196</c:v>
                </c:pt>
                <c:pt idx="39">
                  <c:v>3.6373624896796262</c:v>
                </c:pt>
                <c:pt idx="40">
                  <c:v>4.0058672107228066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C74-47F7-9961-072FAACFF74B}"/>
            </c:ext>
          </c:extLst>
        </c:ser>
        <c:ser>
          <c:idx val="9"/>
          <c:order val="9"/>
          <c:marker>
            <c:symbol val="none"/>
          </c:marker>
          <c:xVal>
            <c:numRef>
              <c:f>'edo - rk4 - família de soluções'!$D$16:$D$56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'edo - rk4 - família de soluções'!$N$16:$N$56</c:f>
              <c:numCache>
                <c:formatCode>0.000</c:formatCode>
                <c:ptCount val="41"/>
                <c:pt idx="0">
                  <c:v>-0.2</c:v>
                </c:pt>
                <c:pt idx="1">
                  <c:v>-0.10118449727348186</c:v>
                </c:pt>
                <c:pt idx="2">
                  <c:v>-1.3579887627304249E-3</c:v>
                </c:pt>
                <c:pt idx="3">
                  <c:v>9.8482088452624586E-2</c:v>
                </c:pt>
                <c:pt idx="4">
                  <c:v>0.19733816162673096</c:v>
                </c:pt>
                <c:pt idx="5">
                  <c:v>0.29422248912070065</c:v>
                </c:pt>
                <c:pt idx="6">
                  <c:v>0.38816702876025455</c:v>
                </c:pt>
                <c:pt idx="7">
                  <c:v>0.47823310894685578</c:v>
                </c:pt>
                <c:pt idx="8">
                  <c:v>0.56352080547061478</c:v>
                </c:pt>
                <c:pt idx="9">
                  <c:v>0.64317792946885377</c:v>
                </c:pt>
                <c:pt idx="10">
                  <c:v>0.71640853477782285</c:v>
                </c:pt>
                <c:pt idx="11">
                  <c:v>0.78248085487061458</c:v>
                </c:pt>
                <c:pt idx="12">
                  <c:v>0.84073457685209596</c:v>
                </c:pt>
                <c:pt idx="13">
                  <c:v>0.89058733794730871</c:v>
                </c:pt>
                <c:pt idx="14">
                  <c:v>0.93154021935412912</c:v>
                </c:pt>
                <c:pt idx="15">
                  <c:v>0.96318137612762178</c:v>
                </c:pt>
                <c:pt idx="16">
                  <c:v>0.98518136243899368</c:v>
                </c:pt>
                <c:pt idx="17">
                  <c:v>0.99711473658808825</c:v>
                </c:pt>
                <c:pt idx="18">
                  <c:v>1.0018365397491964</c:v>
                </c:pt>
                <c:pt idx="19">
                  <c:v>1.0127748916918657</c:v>
                </c:pt>
                <c:pt idx="20">
                  <c:v>1.0338803787611301</c:v>
                </c:pt>
                <c:pt idx="21">
                  <c:v>1.065340018746725</c:v>
                </c:pt>
                <c:pt idx="22">
                  <c:v>1.1074640072573183</c:v>
                </c:pt>
                <c:pt idx="23">
                  <c:v>1.1606726778603951</c:v>
                </c:pt>
                <c:pt idx="24">
                  <c:v>1.2254981185699148</c:v>
                </c:pt>
                <c:pt idx="25">
                  <c:v>1.3025889382414801</c:v>
                </c:pt>
                <c:pt idx="26">
                  <c:v>1.392716598816035</c:v>
                </c:pt>
                <c:pt idx="27">
                  <c:v>1.4967830812650269</c:v>
                </c:pt>
                <c:pt idx="28">
                  <c:v>1.6158298909540474</c:v>
                </c:pt>
                <c:pt idx="29">
                  <c:v>1.7510484716275045</c:v>
                </c:pt>
                <c:pt idx="30">
                  <c:v>1.9037921250637293</c:v>
                </c:pt>
                <c:pt idx="31">
                  <c:v>2.0755895529291859</c:v>
                </c:pt>
                <c:pt idx="32">
                  <c:v>2.2681601551921222</c:v>
                </c:pt>
                <c:pt idx="33">
                  <c:v>2.4834312376725394</c:v>
                </c:pt>
                <c:pt idx="34">
                  <c:v>2.7235573006872054</c:v>
                </c:pt>
                <c:pt idx="35">
                  <c:v>2.990941601703283</c:v>
                </c:pt>
                <c:pt idx="36">
                  <c:v>3.2882602077348864</c:v>
                </c:pt>
                <c:pt idx="37">
                  <c:v>3.6184887781666091</c:v>
                </c:pt>
                <c:pt idx="38">
                  <c:v>3.984932346031929</c:v>
                </c:pt>
                <c:pt idx="39">
                  <c:v>4.3912583957932201</c:v>
                </c:pt>
                <c:pt idx="40">
                  <c:v>4.8415335686679022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C74-47F7-9961-072FAACFF74B}"/>
            </c:ext>
          </c:extLst>
        </c:ser>
        <c:ser>
          <c:idx val="10"/>
          <c:order val="10"/>
          <c:marker>
            <c:symbol val="none"/>
          </c:marker>
          <c:xVal>
            <c:numRef>
              <c:f>'edo - rk4 - família de soluções'!$D$16:$D$56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'edo - rk4 - família de soluções'!$O$16:$O$56</c:f>
              <c:numCache>
                <c:formatCode>0.000</c:formatCode>
                <c:ptCount val="41"/>
                <c:pt idx="0">
                  <c:v>0</c:v>
                </c:pt>
                <c:pt idx="1">
                  <c:v>9.9833384958299604E-2</c:v>
                </c:pt>
                <c:pt idx="2">
                  <c:v>0.1986692641136637</c:v>
                </c:pt>
                <c:pt idx="3">
                  <c:v>0.29552009758408293</c:v>
                </c:pt>
                <c:pt idx="4">
                  <c:v>0.38941817782793747</c:v>
                </c:pt>
                <c:pt idx="5">
                  <c:v>0.47942529740367101</c:v>
                </c:pt>
                <c:pt idx="6">
                  <c:v>0.56464212112913037</c:v>
                </c:pt>
                <c:pt idx="7">
                  <c:v>0.64421716812188234</c:v>
                </c:pt>
                <c:pt idx="8">
                  <c:v>0.71735531200437552</c:v>
                </c:pt>
                <c:pt idx="9">
                  <c:v>0.78332570947571734</c:v>
                </c:pt>
                <c:pt idx="10">
                  <c:v>0.84146906460954785</c:v>
                </c:pt>
                <c:pt idx="11">
                  <c:v>0.8912041137011516</c:v>
                </c:pt>
                <c:pt idx="12">
                  <c:v>0.93203310243884618</c:v>
                </c:pt>
                <c:pt idx="13">
                  <c:v>0.96354537425127851</c:v>
                </c:pt>
                <c:pt idx="14">
                  <c:v>0.98541241488350495</c:v>
                </c:pt>
                <c:pt idx="15">
                  <c:v>0.99719660748326699</c:v>
                </c:pt>
                <c:pt idx="16">
                  <c:v>1.0017302601745603</c:v>
                </c:pt>
                <c:pt idx="17">
                  <c:v>1.0124825978334222</c:v>
                </c:pt>
                <c:pt idx="18">
                  <c:v>1.0334000403284636</c:v>
                </c:pt>
                <c:pt idx="19">
                  <c:v>1.0646669974752279</c:v>
                </c:pt>
                <c:pt idx="20">
                  <c:v>1.1065916072330533</c:v>
                </c:pt>
                <c:pt idx="21">
                  <c:v>1.1595921805952996</c:v>
                </c:pt>
                <c:pt idx="22">
                  <c:v>1.2241987151109268</c:v>
                </c:pt>
                <c:pt idx="23">
                  <c:v>1.3010576260054603</c:v>
                </c:pt>
                <c:pt idx="24">
                  <c:v>1.3909380530721192</c:v>
                </c:pt>
                <c:pt idx="25">
                  <c:v>1.4947395023699299</c:v>
                </c:pt>
                <c:pt idx="26">
                  <c:v>1.6135008264668178</c:v>
                </c:pt>
                <c:pt idx="27">
                  <c:v>1.7484106117357803</c:v>
                </c:pt>
                <c:pt idx="28">
                  <c:v>1.9008190693522917</c:v>
                </c:pt>
                <c:pt idx="29">
                  <c:v>2.072251546188451</c:v>
                </c:pt>
                <c:pt idx="30">
                  <c:v>2.2644237896365653</c:v>
                </c:pt>
                <c:pt idx="31">
                  <c:v>2.4792591185954476</c:v>
                </c:pt>
                <c:pt idx="32">
                  <c:v>2.718907672208871</c:v>
                </c:pt>
                <c:pt idx="33">
                  <c:v>2.9857679288687726</c:v>
                </c:pt>
                <c:pt idx="34">
                  <c:v>3.2825107107798548</c:v>
                </c:pt>
                <c:pt idx="35">
                  <c:v>3.6121059142904972</c:v>
                </c:pt>
                <c:pt idx="36">
                  <c:v>3.9778522334922846</c:v>
                </c:pt>
                <c:pt idx="37">
                  <c:v>4.3834101745574969</c:v>
                </c:pt>
                <c:pt idx="38">
                  <c:v>4.8328386912240546</c:v>
                </c:pt>
                <c:pt idx="39">
                  <c:v>5.3306358080822136</c:v>
                </c:pt>
                <c:pt idx="40">
                  <c:v>5.8817836382304236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C74-47F7-9961-072FAACFF74B}"/>
            </c:ext>
          </c:extLst>
        </c:ser>
        <c:ser>
          <c:idx val="11"/>
          <c:order val="11"/>
          <c:marker>
            <c:symbol val="none"/>
          </c:marker>
          <c:xVal>
            <c:numRef>
              <c:f>'edo - rk4 - família de soluções'!$D$16:$D$56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'edo - rk4 - família de soluções'!$P$16:$P$56</c:f>
              <c:numCache>
                <c:formatCode>0.000</c:formatCode>
                <c:ptCount val="41"/>
                <c:pt idx="0">
                  <c:v>0.2</c:v>
                </c:pt>
                <c:pt idx="1">
                  <c:v>0.29681716084545329</c:v>
                </c:pt>
                <c:pt idx="2">
                  <c:v>0.39066860853916086</c:v>
                </c:pt>
                <c:pt idx="3">
                  <c:v>0.48061660152627406</c:v>
                </c:pt>
                <c:pt idx="4">
                  <c:v>0.56576239531009387</c:v>
                </c:pt>
                <c:pt idx="5">
                  <c:v>0.64525521855723655</c:v>
                </c:pt>
                <c:pt idx="6">
                  <c:v>0.71830076613974003</c:v>
                </c:pt>
                <c:pt idx="7">
                  <c:v>0.78416911932385114</c:v>
                </c:pt>
                <c:pt idx="8">
                  <c:v>0.84220200035058512</c:v>
                </c:pt>
                <c:pt idx="9">
                  <c:v>0.89181924560455395</c:v>
                </c:pt>
                <c:pt idx="10">
                  <c:v>0.9325242659780435</c:v>
                </c:pt>
                <c:pt idx="11">
                  <c:v>0.96390759290404904</c:v>
                </c:pt>
                <c:pt idx="12">
                  <c:v>0.98564163245679581</c:v>
                </c:pt>
                <c:pt idx="13">
                  <c:v>0.99727513118927202</c:v>
                </c:pt>
                <c:pt idx="14">
                  <c:v>1.0015944028971611</c:v>
                </c:pt>
                <c:pt idx="15">
                  <c:v>1.0120997603548492</c:v>
                </c:pt>
                <c:pt idx="16">
                  <c:v>1.0327676003897521</c:v>
                </c:pt>
                <c:pt idx="17">
                  <c:v>1.0637788580158827</c:v>
                </c:pt>
                <c:pt idx="18">
                  <c:v>1.1054389339140642</c:v>
                </c:pt>
                <c:pt idx="19">
                  <c:v>1.1581634544276296</c:v>
                </c:pt>
                <c:pt idx="20">
                  <c:v>1.2224796437210637</c:v>
                </c:pt>
                <c:pt idx="21">
                  <c:v>1.2990310074290683</c:v>
                </c:pt>
                <c:pt idx="22">
                  <c:v>1.3885836057862433</c:v>
                </c:pt>
                <c:pt idx="23">
                  <c:v>1.4920336631351301</c:v>
                </c:pt>
                <c:pt idx="24">
                  <c:v>1.6104165148490184</c:v>
                </c:pt>
                <c:pt idx="25">
                  <c:v>1.7449169592395755</c:v>
                </c:pt>
                <c:pt idx="26">
                  <c:v>1.8968811105607981</c:v>
                </c:pt>
                <c:pt idx="27">
                  <c:v>2.0678298688616663</c:v>
                </c:pt>
                <c:pt idx="28">
                  <c:v>2.2594741402853624</c:v>
                </c:pt>
                <c:pt idx="29">
                  <c:v>2.4737319595926719</c:v>
                </c:pt>
                <c:pt idx="30">
                  <c:v>2.7127476860094832</c:v>
                </c:pt>
                <c:pt idx="31">
                  <c:v>2.9789134643794877</c:v>
                </c:pt>
                <c:pt idx="32">
                  <c:v>3.27489316633867</c:v>
                </c:pt>
                <c:pt idx="33">
                  <c:v>3.6036490510815122</c:v>
                </c:pt>
                <c:pt idx="34">
                  <c:v>3.96847141252469</c:v>
                </c:pt>
                <c:pt idx="35">
                  <c:v>4.3730115095724305</c:v>
                </c:pt>
                <c:pt idx="36">
                  <c:v>4.8213181090515178</c:v>
                </c:pt>
                <c:pt idx="37">
                  <c:v>5.3178780070438973</c:v>
                </c:pt>
                <c:pt idx="38">
                  <c:v>5.8676609341638768</c:v>
                </c:pt>
                <c:pt idx="39">
                  <c:v>6.4761692942040341</c:v>
                </c:pt>
                <c:pt idx="40">
                  <c:v>7.1494932339486255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C74-47F7-9961-072FAACFF74B}"/>
            </c:ext>
          </c:extLst>
        </c:ser>
        <c:ser>
          <c:idx val="12"/>
          <c:order val="12"/>
          <c:marker>
            <c:symbol val="none"/>
          </c:marker>
          <c:xVal>
            <c:numRef>
              <c:f>'edo - rk4 - família de soluções'!$D$16:$D$56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'edo - rk4 - família de soluções'!$Q$16:$Q$56</c:f>
              <c:numCache>
                <c:formatCode>0.000</c:formatCode>
                <c:ptCount val="41"/>
                <c:pt idx="0">
                  <c:v>0.4</c:v>
                </c:pt>
                <c:pt idx="1">
                  <c:v>0.48950041559604118</c:v>
                </c:pt>
                <c:pt idx="2">
                  <c:v>0.57410986603872116</c:v>
                </c:pt>
                <c:pt idx="3">
                  <c:v>0.65298293773004079</c:v>
                </c:pt>
                <c:pt idx="4">
                  <c:v>0.7253315155372263</c:v>
                </c:pt>
                <c:pt idx="5">
                  <c:v>0.79043263973243594</c:v>
                </c:pt>
                <c:pt idx="6">
                  <c:v>0.84763568722612193</c:v>
                </c:pt>
                <c:pt idx="7">
                  <c:v>0.89636875614986966</c:v>
                </c:pt>
                <c:pt idx="8">
                  <c:v>0.93614399620929911</c:v>
                </c:pt>
                <c:pt idx="9">
                  <c:v>0.96656081110200742</c:v>
                </c:pt>
                <c:pt idx="10">
                  <c:v>0.98729808318092638</c:v>
                </c:pt>
                <c:pt idx="11">
                  <c:v>0.99770044873288566</c:v>
                </c:pt>
                <c:pt idx="12">
                  <c:v>1.0015664060096621</c:v>
                </c:pt>
                <c:pt idx="13">
                  <c:v>1.01201946953389</c:v>
                </c:pt>
                <c:pt idx="14">
                  <c:v>1.0326344706750115</c:v>
                </c:pt>
                <c:pt idx="15">
                  <c:v>1.063591607467675</c:v>
                </c:pt>
                <c:pt idx="16">
                  <c:v>1.1051957002172688</c:v>
                </c:pt>
                <c:pt idx="17">
                  <c:v>1.15786180694833</c:v>
                </c:pt>
                <c:pt idx="18">
                  <c:v>1.222116564927751</c:v>
                </c:pt>
                <c:pt idx="19">
                  <c:v>1.298602864166416</c:v>
                </c:pt>
                <c:pt idx="20">
                  <c:v>1.3880861133853628</c:v>
                </c:pt>
                <c:pt idx="21">
                  <c:v>1.491461842708534</c:v>
                </c:pt>
                <c:pt idx="22">
                  <c:v>1.6097646435353863</c:v>
                </c:pt>
                <c:pt idx="23">
                  <c:v>1.7441785129624034</c:v>
                </c:pt>
                <c:pt idx="24">
                  <c:v>1.8960486987508083</c:v>
                </c:pt>
                <c:pt idx="25">
                  <c:v>2.0668951604989054</c:v>
                </c:pt>
                <c:pt idx="26">
                  <c:v>2.2584277805248774</c:v>
                </c:pt>
                <c:pt idx="27">
                  <c:v>2.4725634761412532</c:v>
                </c:pt>
                <c:pt idx="28">
                  <c:v>2.7114453843174302</c:v>
                </c:pt>
                <c:pt idx="29">
                  <c:v>2.9774643105989504</c:v>
                </c:pt>
                <c:pt idx="30">
                  <c:v>3.273282656877452</c:v>
                </c:pt>
                <c:pt idx="31">
                  <c:v>3.6018610674469502</c:v>
                </c:pt>
                <c:pt idx="32">
                  <c:v>3.9664880600049299</c:v>
                </c:pt>
                <c:pt idx="33">
                  <c:v>4.3708129381406309</c:v>
                </c:pt>
                <c:pt idx="34">
                  <c:v>4.8188823147005637</c:v>
                </c:pt>
                <c:pt idx="35">
                  <c:v>5.3151806115633455</c:v>
                </c:pt>
                <c:pt idx="36">
                  <c:v>5.86467494115508</c:v>
                </c:pt>
                <c:pt idx="37">
                  <c:v>6.4728648188915763</c:v>
                </c:pt>
                <c:pt idx="38">
                  <c:v>7.1458372040839437</c:v>
                </c:pt>
                <c:pt idx="39">
                  <c:v>7.8903274201735556</c:v>
                </c:pt>
                <c:pt idx="40">
                  <c:v>8.7137865640049235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C74-47F7-9961-072FAACFF74B}"/>
            </c:ext>
          </c:extLst>
        </c:ser>
        <c:ser>
          <c:idx val="13"/>
          <c:order val="13"/>
          <c:marker>
            <c:symbol val="none"/>
          </c:marker>
          <c:xVal>
            <c:numRef>
              <c:f>'edo - rk4 - família de soluções'!$D$16:$D$56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'edo - rk4 - família de soluções'!$R$16:$R$56</c:f>
              <c:numCache>
                <c:formatCode>0.000</c:formatCode>
                <c:ptCount val="41"/>
                <c:pt idx="0">
                  <c:v>0.6</c:v>
                </c:pt>
                <c:pt idx="1">
                  <c:v>0.67686899786266763</c:v>
                </c:pt>
                <c:pt idx="2">
                  <c:v>0.74697482083003919</c:v>
                </c:pt>
                <c:pt idx="3">
                  <c:v>0.80961689983217344</c:v>
                </c:pt>
                <c:pt idx="4">
                  <c:v>0.86416913875985912</c:v>
                </c:pt>
                <c:pt idx="5">
                  <c:v>0.91008600381736671</c:v>
                </c:pt>
                <c:pt idx="6">
                  <c:v>0.94690738164688448</c:v>
                </c:pt>
                <c:pt idx="7">
                  <c:v>0.9742602613350283</c:v>
                </c:pt>
                <c:pt idx="8">
                  <c:v>0.99183602146205951</c:v>
                </c:pt>
                <c:pt idx="9">
                  <c:v>1.0003944057788927</c:v>
                </c:pt>
                <c:pt idx="10">
                  <c:v>1.0078075368329806</c:v>
                </c:pt>
                <c:pt idx="11">
                  <c:v>1.0253510972036584</c:v>
                </c:pt>
                <c:pt idx="12">
                  <c:v>1.0531677525606349</c:v>
                </c:pt>
                <c:pt idx="13">
                  <c:v>1.0915278814634715</c:v>
                </c:pt>
                <c:pt idx="14">
                  <c:v>1.1408134887131494</c:v>
                </c:pt>
                <c:pt idx="15">
                  <c:v>1.2015172193211276</c:v>
                </c:pt>
                <c:pt idx="16">
                  <c:v>1.2742463691711625</c:v>
                </c:pt>
                <c:pt idx="17">
                  <c:v>1.3597287224564953</c:v>
                </c:pt>
                <c:pt idx="18">
                  <c:v>1.4588197572261907</c:v>
                </c:pt>
                <c:pt idx="19">
                  <c:v>1.572511177429079</c:v>
                </c:pt>
                <c:pt idx="20">
                  <c:v>1.7019408254114388</c:v>
                </c:pt>
                <c:pt idx="21">
                  <c:v>1.8484040638024113</c:v>
                </c:pt>
                <c:pt idx="22">
                  <c:v>2.0133667368862964</c:v>
                </c:pt>
                <c:pt idx="23">
                  <c:v>2.1984798396173288</c:v>
                </c:pt>
                <c:pt idx="24">
                  <c:v>2.4055960403917758</c:v>
                </c:pt>
                <c:pt idx="25">
                  <c:v>2.6367882226104089</c:v>
                </c:pt>
                <c:pt idx="26">
                  <c:v>2.8943702304338412</c:v>
                </c:pt>
                <c:pt idx="27">
                  <c:v>3.1809200262723301</c:v>
                </c:pt>
                <c:pt idx="28">
                  <c:v>3.4993054917287836</c:v>
                </c:pt>
                <c:pt idx="29">
                  <c:v>3.8527131301911162</c:v>
                </c:pt>
                <c:pt idx="30">
                  <c:v>4.2446799583221857</c:v>
                </c:pt>
                <c:pt idx="31">
                  <c:v>4.6791289056175165</c:v>
                </c:pt>
                <c:pt idx="32">
                  <c:v>5.1604080763146678</c:v>
                </c:pt>
                <c:pt idx="33">
                  <c:v>5.6933342665960156</c:v>
                </c:pt>
                <c:pt idx="34">
                  <c:v>6.2832411726164761</c:v>
                </c:pt>
                <c:pt idx="35">
                  <c:v>6.9360327718358246</c:v>
                </c:pt>
                <c:pt idx="36">
                  <c:v>7.6582424119119539</c:v>
                </c:pt>
                <c:pt idx="37">
                  <c:v>8.4570981985348634</c:v>
                </c:pt>
                <c:pt idx="38">
                  <c:v>9.3405953366232382</c:v>
                </c:pt>
                <c:pt idx="39">
                  <c:v>10.317576148897139</c:v>
                </c:pt>
                <c:pt idx="40">
                  <c:v>11.397818572678061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C74-47F7-9961-072FAACFF74B}"/>
            </c:ext>
          </c:extLst>
        </c:ser>
        <c:ser>
          <c:idx val="14"/>
          <c:order val="14"/>
          <c:marker>
            <c:symbol val="none"/>
          </c:marker>
          <c:xVal>
            <c:numRef>
              <c:f>'edo - rk4 - família de soluções'!$D$16:$D$56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'edo - rk4 - família de soluções'!$S$16:$S$56</c:f>
              <c:numCache>
                <c:formatCode>0.000</c:formatCode>
                <c:ptCount val="41"/>
                <c:pt idx="0">
                  <c:v>0.8</c:v>
                </c:pt>
                <c:pt idx="1">
                  <c:v>0.85590235124022973</c:v>
                </c:pt>
                <c:pt idx="2">
                  <c:v>0.90325203601171644</c:v>
                </c:pt>
                <c:pt idx="3">
                  <c:v>0.9415748499708172</c:v>
                </c:pt>
                <c:pt idx="4">
                  <c:v>0.97048389567529258</c:v>
                </c:pt>
                <c:pt idx="5">
                  <c:v>0.98966618137314966</c:v>
                </c:pt>
                <c:pt idx="6">
                  <c:v>0.99917632668350498</c:v>
                </c:pt>
                <c:pt idx="7">
                  <c:v>1.0050453817751492</c:v>
                </c:pt>
                <c:pt idx="8">
                  <c:v>1.0200869968009552</c:v>
                </c:pt>
                <c:pt idx="9">
                  <c:v>1.0453541008801492</c:v>
                </c:pt>
                <c:pt idx="10">
                  <c:v>1.0810874796625971</c:v>
                </c:pt>
                <c:pt idx="11">
                  <c:v>1.1276421282442024</c:v>
                </c:pt>
                <c:pt idx="12">
                  <c:v>1.1854831786588107</c:v>
                </c:pt>
                <c:pt idx="13">
                  <c:v>1.2551892177461579</c:v>
                </c:pt>
                <c:pt idx="14">
                  <c:v>1.337457750901901</c:v>
                </c:pt>
                <c:pt idx="15">
                  <c:v>1.4331120813519362</c:v>
                </c:pt>
                <c:pt idx="16">
                  <c:v>1.543109512633162</c:v>
                </c:pt>
                <c:pt idx="17">
                  <c:v>1.6685509139792294</c:v>
                </c:pt>
                <c:pt idx="18">
                  <c:v>1.8106917309913944</c:v>
                </c:pt>
                <c:pt idx="19">
                  <c:v>1.9709545469742067</c:v>
                </c:pt>
                <c:pt idx="20">
                  <c:v>2.1509433187201092</c:v>
                </c:pt>
                <c:pt idx="21">
                  <c:v>2.3524594283739098</c:v>
                </c:pt>
                <c:pt idx="22">
                  <c:v>2.5775197116328772</c:v>
                </c:pt>
                <c:pt idx="23">
                  <c:v>2.8283766425172421</c:v>
                </c:pt>
                <c:pt idx="24">
                  <c:v>3.1075408766235895</c:v>
                </c:pt>
                <c:pt idx="25">
                  <c:v>3.4178063784248942</c:v>
                </c:pt>
                <c:pt idx="26">
                  <c:v>3.7622783840673013</c:v>
                </c:pt>
                <c:pt idx="27">
                  <c:v>4.1444044795055355</c:v>
                </c:pt>
                <c:pt idx="28">
                  <c:v>4.5680091050055509</c:v>
                </c:pt>
                <c:pt idx="29">
                  <c:v>5.0373318313395306</c:v>
                </c:pt>
                <c:pt idx="30">
                  <c:v>5.5570697907491953</c:v>
                </c:pt>
                <c:pt idx="31">
                  <c:v>6.132424687337231</c:v>
                </c:pt>
                <c:pt idx="32">
                  <c:v>6.7691548573799833</c:v>
                </c:pt>
                <c:pt idx="33">
                  <c:v>7.4736329005964555</c:v>
                </c:pt>
                <c:pt idx="34">
                  <c:v>8.2529094591649503</c:v>
                </c:pt>
                <c:pt idx="35">
                  <c:v>9.1147837828076081</c:v>
                </c:pt>
                <c:pt idx="36">
                  <c:v>10.067881786180429</c:v>
                </c:pt>
                <c:pt idx="37">
                  <c:v>11.121742379791854</c:v>
                </c:pt>
                <c:pt idx="38">
                  <c:v>12.286912938477252</c:v>
                </c:pt>
                <c:pt idx="39">
                  <c:v>13.575054862908241</c:v>
                </c:pt>
                <c:pt idx="40">
                  <c:v>14.999060290630204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C74-47F7-9961-072FAACFF74B}"/>
            </c:ext>
          </c:extLst>
        </c:ser>
        <c:ser>
          <c:idx val="15"/>
          <c:order val="15"/>
          <c:marker>
            <c:symbol val="none"/>
          </c:marker>
          <c:xVal>
            <c:numRef>
              <c:f>'edo - rk4 - família de soluções'!$D$16:$D$56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'edo - rk4 - família de soluções'!$T$16:$T$56</c:f>
              <c:numCache>
                <c:formatCode>0.000</c:formatCode>
                <c:ptCount val="4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C74-47F7-9961-072FAACFF74B}"/>
            </c:ext>
          </c:extLst>
        </c:ser>
        <c:ser>
          <c:idx val="16"/>
          <c:order val="16"/>
          <c:marker>
            <c:symbol val="none"/>
          </c:marker>
          <c:xVal>
            <c:numRef>
              <c:f>'edo - rk4 - família de soluções'!$D$16:$D$56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'edo - rk4 - família de soluções'!$U$16:$U$56</c:f>
              <c:numCache>
                <c:formatCode>0.000</c:formatCode>
                <c:ptCount val="41"/>
                <c:pt idx="0">
                  <c:v>1.2</c:v>
                </c:pt>
                <c:pt idx="1">
                  <c:v>1.2724470092376972</c:v>
                </c:pt>
                <c:pt idx="2">
                  <c:v>1.3576292151167888</c:v>
                </c:pt>
                <c:pt idx="3">
                  <c:v>1.4563990908752455</c:v>
                </c:pt>
                <c:pt idx="4">
                  <c:v>1.5697451257899835</c:v>
                </c:pt>
                <c:pt idx="5">
                  <c:v>1.6988017052655309</c:v>
                </c:pt>
                <c:pt idx="6">
                  <c:v>1.8448604580220125</c:v>
                </c:pt>
                <c:pt idx="7">
                  <c:v>2.0093831800517923</c:v>
                </c:pt>
                <c:pt idx="8">
                  <c:v>2.1940164630953043</c:v>
                </c:pt>
                <c:pt idx="9">
                  <c:v>2.4006081733327536</c:v>
                </c:pt>
                <c:pt idx="10">
                  <c:v>2.6312259448781257</c:v>
                </c:pt>
                <c:pt idx="11">
                  <c:v>2.8881778729943646</c:v>
                </c:pt>
                <c:pt idx="12">
                  <c:v>3.1740356140442341</c:v>
                </c:pt>
                <c:pt idx="13">
                  <c:v>3.4916601233190772</c:v>
                </c:pt>
                <c:pt idx="14">
                  <c:v>3.8442302883096127</c:v>
                </c:pt>
                <c:pt idx="15">
                  <c:v>4.235274743973009</c:v>
                </c:pt>
                <c:pt idx="16">
                  <c:v>4.6687071884034657</c:v>
                </c:pt>
                <c:pt idx="17">
                  <c:v>5.1488655523505278</c:v>
                </c:pt>
                <c:pt idx="18">
                  <c:v>5.6805554146021864</c:v>
                </c:pt>
                <c:pt idx="19">
                  <c:v>6.2690980977452089</c:v>
                </c:pt>
                <c:pt idx="20">
                  <c:v>6.9203839256587498</c:v>
                </c:pt>
                <c:pt idx="21">
                  <c:v>7.6409311757581406</c:v>
                </c:pt>
                <c:pt idx="22">
                  <c:v>8.4379513160010209</c:v>
                </c:pt>
                <c:pt idx="23">
                  <c:v>9.3194211795681294</c:v>
                </c:pt>
                <c:pt idx="24">
                  <c:v>10.294162799565727</c:v>
                </c:pt>
                <c:pt idx="25">
                  <c:v>11.371931702760685</c:v>
                </c:pt>
                <c:pt idx="26">
                  <c:v>12.563514546020052</c:v>
                </c:pt>
                <c:pt idx="27">
                  <c:v>13.880837072631781</c:v>
                </c:pt>
                <c:pt idx="28">
                  <c:v>15.337083468967991</c:v>
                </c:pt>
                <c:pt idx="29">
                  <c:v>16.946828316050457</c:v>
                </c:pt>
                <c:pt idx="30">
                  <c:v>18.726182456631868</c:v>
                </c:pt>
                <c:pt idx="31">
                  <c:v>20.692954237677359</c:v>
                </c:pt>
                <c:pt idx="32">
                  <c:v>22.866827742012752</c:v>
                </c:pt>
                <c:pt idx="33">
                  <c:v>25.269559792938985</c:v>
                </c:pt>
                <c:pt idx="34">
                  <c:v>27.9251977034981</c:v>
                </c:pt>
                <c:pt idx="35">
                  <c:v>30.860319949695267</c:v>
                </c:pt>
                <c:pt idx="36">
                  <c:v>34.104302176411629</c:v>
                </c:pt>
                <c:pt idx="37">
                  <c:v>37.689611198280488</c:v>
                </c:pt>
                <c:pt idx="38">
                  <c:v>41.65212993798184</c:v>
                </c:pt>
                <c:pt idx="39">
                  <c:v>46.031516554042021</c:v>
                </c:pt>
                <c:pt idx="40">
                  <c:v>50.871601352404568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C74-47F7-9961-072FAACFF74B}"/>
            </c:ext>
          </c:extLst>
        </c:ser>
        <c:ser>
          <c:idx val="17"/>
          <c:order val="17"/>
          <c:marker>
            <c:symbol val="none"/>
          </c:marker>
          <c:xVal>
            <c:numRef>
              <c:f>'edo - rk4 - família de soluções'!$D$16:$D$56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'edo - rk4 - família de soluções'!$V$16:$V$56</c:f>
              <c:numCache>
                <c:formatCode>0.000</c:formatCode>
                <c:ptCount val="41"/>
                <c:pt idx="0">
                  <c:v>1.4</c:v>
                </c:pt>
                <c:pt idx="1">
                  <c:v>1.5051482313396933</c:v>
                </c:pt>
                <c:pt idx="2">
                  <c:v>1.6253605096268211</c:v>
                </c:pt>
                <c:pt idx="3">
                  <c:v>1.7618399435435632</c:v>
                </c:pt>
                <c:pt idx="4">
                  <c:v>1.9159524542068933</c:v>
                </c:pt>
                <c:pt idx="5">
                  <c:v>2.0892404434326011</c:v>
                </c:pt>
                <c:pt idx="6">
                  <c:v>2.2834382293204785</c:v>
                </c:pt>
                <c:pt idx="7">
                  <c:v>2.500489403139484</c:v>
                </c:pt>
                <c:pt idx="8">
                  <c:v>2.7425662809792795</c:v>
                </c:pt>
                <c:pt idx="9">
                  <c:v>3.0120916447193777</c:v>
                </c:pt>
                <c:pt idx="10">
                  <c:v>3.3117629898379906</c:v>
                </c:pt>
                <c:pt idx="11">
                  <c:v>3.6445795227020175</c:v>
                </c:pt>
                <c:pt idx="12">
                  <c:v>4.0138721775134263</c:v>
                </c:pt>
                <c:pt idx="13">
                  <c:v>4.4233369533179054</c:v>
                </c:pt>
                <c:pt idx="14">
                  <c:v>4.8770719047150619</c:v>
                </c:pt>
                <c:pt idx="15">
                  <c:v>5.3796181564798786</c:v>
                </c:pt>
                <c:pt idx="16">
                  <c:v>5.9360053525795875</c:v>
                </c:pt>
                <c:pt idx="17">
                  <c:v>6.5518019944521102</c:v>
                </c:pt>
                <c:pt idx="18">
                  <c:v>7.2331711723462364</c:v>
                </c:pt>
                <c:pt idx="19">
                  <c:v>7.9869322474996762</c:v>
                </c:pt>
                <c:pt idx="20">
                  <c:v>8.8206291024893275</c:v>
                </c:pt>
                <c:pt idx="21">
                  <c:v>9.7426056428246834</c:v>
                </c:pt>
                <c:pt idx="22">
                  <c:v>10.762089305428203</c:v>
                </c:pt>
                <c:pt idx="23">
                  <c:v>11.889283409782072</c:v>
                </c:pt>
                <c:pt idx="24">
                  <c:v>13.135469276021084</c:v>
                </c:pt>
                <c:pt idx="25">
                  <c:v>14.513119132002139</c:v>
                </c:pt>
                <c:pt idx="26">
                  <c:v>16.036020939360458</c:v>
                </c:pt>
                <c:pt idx="27">
                  <c:v>17.719416387851634</c:v>
                </c:pt>
                <c:pt idx="28">
                  <c:v>19.580153439071132</c:v>
                </c:pt>
                <c:pt idx="29">
                  <c:v>21.636854946257664</c:v>
                </c:pt>
                <c:pt idx="30">
                  <c:v>23.910105037781491</c:v>
                </c:pt>
                <c:pt idx="31">
                  <c:v>26.422655129703383</c:v>
                </c:pt>
                <c:pt idx="32">
                  <c:v>29.199651629243977</c:v>
                </c:pt>
                <c:pt idx="33">
                  <c:v>32.268887608092882</c:v>
                </c:pt>
                <c:pt idx="34">
                  <c:v>35.661080964384723</c:v>
                </c:pt>
                <c:pt idx="35">
                  <c:v>39.410181857276427</c:v>
                </c:pt>
                <c:pt idx="36">
                  <c:v>43.553712491029543</c:v>
                </c:pt>
                <c:pt idx="37">
                  <c:v>48.13314264926575</c:v>
                </c:pt>
                <c:pt idx="38">
                  <c:v>53.194304737862751</c:v>
                </c:pt>
                <c:pt idx="39">
                  <c:v>58.787852490373069</c:v>
                </c:pt>
                <c:pt idx="40">
                  <c:v>64.969767926836639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C74-47F7-9961-072FAACFF74B}"/>
            </c:ext>
          </c:extLst>
        </c:ser>
        <c:ser>
          <c:idx val="18"/>
          <c:order val="18"/>
          <c:marker>
            <c:symbol val="none"/>
          </c:marker>
          <c:xVal>
            <c:numRef>
              <c:f>'edo - rk4 - família de soluções'!$D$16:$D$56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'edo - rk4 - família de soluções'!$W$16:$W$56</c:f>
              <c:numCache>
                <c:formatCode>0.000</c:formatCode>
                <c:ptCount val="41"/>
                <c:pt idx="0">
                  <c:v>1.6</c:v>
                </c:pt>
                <c:pt idx="1">
                  <c:v>1.7331144667392198</c:v>
                </c:pt>
                <c:pt idx="2">
                  <c:v>1.8835745178983787</c:v>
                </c:pt>
                <c:pt idx="3">
                  <c:v>2.0528859997887534</c:v>
                </c:pt>
                <c:pt idx="4">
                  <c:v>2.2427434320304833</c:v>
                </c:pt>
                <c:pt idx="5">
                  <c:v>2.4550469660388181</c:v>
                </c:pt>
                <c:pt idx="6">
                  <c:v>2.6919214018696995</c:v>
                </c:pt>
                <c:pt idx="7">
                  <c:v>2.955737453606702</c:v>
                </c:pt>
                <c:pt idx="8">
                  <c:v>3.2491354760428668</c:v>
                </c:pt>
                <c:pt idx="9">
                  <c:v>3.5750518900786625</c:v>
                </c:pt>
                <c:pt idx="10">
                  <c:v>3.9367485712851389</c:v>
                </c:pt>
                <c:pt idx="11">
                  <c:v>4.3378454957476853</c:v>
                </c:pt>
                <c:pt idx="12">
                  <c:v>4.782356969911441</c:v>
                </c:pt>
                <c:pt idx="13">
                  <c:v>5.2747318070226061</c:v>
                </c:pt>
                <c:pt idx="14">
                  <c:v>5.8198978522607323</c:v>
                </c:pt>
                <c:pt idx="15">
                  <c:v>6.4233113021814159</c:v>
                </c:pt>
                <c:pt idx="16">
                  <c:v>7.0910113120726166</c:v>
                </c:pt>
                <c:pt idx="17">
                  <c:v>7.8296804377514633</c:v>
                </c:pt>
                <c:pt idx="18">
                  <c:v>8.6467115167217035</c:v>
                </c:pt>
                <c:pt idx="19">
                  <c:v>9.5502816580593652</c:v>
                </c:pt>
                <c:pt idx="20">
                  <c:v>10.549434081540767</c:v>
                </c:pt>
                <c:pt idx="21">
                  <c:v>11.654168625084893</c:v>
                </c:pt>
                <c:pt idx="22">
                  <c:v>12.875541826337438</c:v>
                </c:pt>
                <c:pt idx="23">
                  <c:v>14.225777580045003</c:v>
                </c:pt>
                <c:pt idx="24">
                  <c:v>15.718389478713842</c:v>
                </c:pt>
                <c:pt idx="25">
                  <c:v>17.368316060977644</c:v>
                </c:pt>
                <c:pt idx="26">
                  <c:v>19.192070321283335</c:v>
                </c:pt>
                <c:pt idx="27">
                  <c:v>21.207904977235785</c:v>
                </c:pt>
                <c:pt idx="28">
                  <c:v>23.435995148649944</c:v>
                </c:pt>
                <c:pt idx="29">
                  <c:v>25.898640276620995</c:v>
                </c:pt>
                <c:pt idx="30">
                  <c:v>28.620487303483259</c:v>
                </c:pt>
                <c:pt idx="31">
                  <c:v>31.628777347314518</c:v>
                </c:pt>
                <c:pt idx="32">
                  <c:v>34.953618339783283</c:v>
                </c:pt>
                <c:pt idx="33">
                  <c:v>38.628286355986013</c:v>
                </c:pt>
                <c:pt idx="34">
                  <c:v>42.689558652079967</c:v>
                </c:pt>
                <c:pt idx="35">
                  <c:v>47.17808174385911</c:v>
                </c:pt>
                <c:pt idx="36">
                  <c:v>52.138778210121565</c:v>
                </c:pt>
                <c:pt idx="37">
                  <c:v>57.621296292247131</c:v>
                </c:pt>
                <c:pt idx="38">
                  <c:v>63.680506789721711</c:v>
                </c:pt>
                <c:pt idx="39">
                  <c:v>70.377052224698389</c:v>
                </c:pt>
                <c:pt idx="40">
                  <c:v>77.777953771810232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C74-47F7-9961-072FAACFF74B}"/>
            </c:ext>
          </c:extLst>
        </c:ser>
        <c:ser>
          <c:idx val="19"/>
          <c:order val="19"/>
          <c:marker>
            <c:symbol val="none"/>
          </c:marker>
          <c:xVal>
            <c:numRef>
              <c:f>'edo - rk4 - família de soluções'!$D$16:$D$56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'edo - rk4 - família de soluções'!$X$16:$X$56</c:f>
              <c:numCache>
                <c:formatCode>0.000</c:formatCode>
                <c:ptCount val="41"/>
                <c:pt idx="0">
                  <c:v>1.8</c:v>
                </c:pt>
                <c:pt idx="1">
                  <c:v>1.9589229913964983</c:v>
                </c:pt>
                <c:pt idx="2">
                  <c:v>2.1374515231713667</c:v>
                </c:pt>
                <c:pt idx="3">
                  <c:v>2.3373723628252456</c:v>
                </c:pt>
                <c:pt idx="4">
                  <c:v>2.560686380021167</c:v>
                </c:pt>
                <c:pt idx="5">
                  <c:v>2.8096285715488047</c:v>
                </c:pt>
                <c:pt idx="6">
                  <c:v>3.086690429652502</c:v>
                </c:pt>
                <c:pt idx="7">
                  <c:v>3.3946448775337164</c:v>
                </c:pt>
                <c:pt idx="8">
                  <c:v>3.7365740215571392</c:v>
                </c:pt>
                <c:pt idx="9">
                  <c:v>4.1158999978940036</c:v>
                </c:pt>
                <c:pt idx="10">
                  <c:v>4.536419222313949</c:v>
                </c:pt>
                <c:pt idx="11">
                  <c:v>5.0023403859010793</c:v>
                </c:pt>
                <c:pt idx="12">
                  <c:v>5.5183265769629175</c:v>
                </c:pt>
                <c:pt idx="13">
                  <c:v>6.0895419506988508</c:v>
                </c:pt>
                <c:pt idx="14">
                  <c:v>6.721703413711106</c:v>
                </c:pt>
                <c:pt idx="15">
                  <c:v>7.4211378406321025</c:v>
                </c:pt>
                <c:pt idx="16">
                  <c:v>8.1948453955096312</c:v>
                </c:pt>
                <c:pt idx="17">
                  <c:v>9.0505695916899889</c:v>
                </c:pt>
                <c:pt idx="18">
                  <c:v>9.9968747913804012</c:v>
                </c:pt>
                <c:pt idx="19">
                  <c:v>11.043231920530914</c:v>
                </c:pt>
                <c:pt idx="20">
                  <c:v>12.200113256897575</c:v>
                </c:pt>
                <c:pt idx="21">
                  <c:v>13.479097239956076</c:v>
                </c:pt>
                <c:pt idx="22">
                  <c:v>14.892984351636992</c:v>
                </c:pt>
                <c:pt idx="23">
                  <c:v>16.455925227654095</c:v>
                </c:pt>
                <c:pt idx="24">
                  <c:v>18.183562281604956</c:v>
                </c:pt>
                <c:pt idx="25">
                  <c:v>20.093186259263213</c:v>
                </c:pt>
                <c:pt idx="26">
                  <c:v>22.203909289908033</c:v>
                </c:pt>
                <c:pt idx="27">
                  <c:v>24.536856166643993</c:v>
                </c:pt>
                <c:pt idx="28">
                  <c:v>27.115375770106127</c:v>
                </c:pt>
                <c:pt idx="29">
                  <c:v>29.965274751546378</c:v>
                </c:pt>
                <c:pt idx="30">
                  <c:v>33.115075814076754</c:v>
                </c:pt>
                <c:pt idx="31">
                  <c:v>36.596303177030691</c:v>
                </c:pt>
                <c:pt idx="32">
                  <c:v>40.443798080461512</c:v>
                </c:pt>
                <c:pt idx="33">
                  <c:v>44.696067487448182</c:v>
                </c:pt>
                <c:pt idx="34">
                  <c:v>49.395669474132923</c:v>
                </c:pt>
                <c:pt idx="35">
                  <c:v>54.589639164597727</c:v>
                </c:pt>
                <c:pt idx="36">
                  <c:v>60.329959473472726</c:v>
                </c:pt>
                <c:pt idx="37">
                  <c:v>66.674081367619308</c:v>
                </c:pt>
                <c:pt idx="38">
                  <c:v>73.68549885383392</c:v>
                </c:pt>
                <c:pt idx="39">
                  <c:v>81.434384447233768</c:v>
                </c:pt>
                <c:pt idx="40">
                  <c:v>89.998291480296018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C74-47F7-9961-072FAACFF74B}"/>
            </c:ext>
          </c:extLst>
        </c:ser>
        <c:ser>
          <c:idx val="20"/>
          <c:order val="20"/>
          <c:marker>
            <c:symbol val="none"/>
          </c:marker>
          <c:xVal>
            <c:numRef>
              <c:f>'edo - rk4 - família de soluções'!$D$16:$D$56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'edo - rk4 - família de soluções'!$Y$16:$Y$56</c:f>
              <c:numCache>
                <c:formatCode>0.000</c:formatCode>
                <c:ptCount val="41"/>
                <c:pt idx="0">
                  <c:v>2</c:v>
                </c:pt>
                <c:pt idx="1">
                  <c:v>2.1835018875784189</c:v>
                </c:pt>
                <c:pt idx="2">
                  <c:v>2.3888569692370667</c:v>
                </c:pt>
                <c:pt idx="3">
                  <c:v>2.6181205024729501</c:v>
                </c:pt>
                <c:pt idx="4">
                  <c:v>2.873587028870225</c:v>
                </c:pt>
                <c:pt idx="5">
                  <c:v>3.1578133383963509</c:v>
                </c:pt>
                <c:pt idx="6">
                  <c:v>3.4736440584400663</c:v>
                </c:pt>
                <c:pt idx="7">
                  <c:v>3.8242401236653434</c:v>
                </c:pt>
                <c:pt idx="8">
                  <c:v>4.2131104115995575</c:v>
                </c:pt>
                <c:pt idx="9">
                  <c:v>4.6441468605645548</c:v>
                </c:pt>
                <c:pt idx="10">
                  <c:v>5.1216634214156365</c:v>
                </c:pt>
                <c:pt idx="11">
                  <c:v>5.6504392329258151</c:v>
                </c:pt>
                <c:pt idx="12">
                  <c:v>6.2357664529257395</c:v>
                </c:pt>
                <c:pt idx="13">
                  <c:v>6.8835032239068958</c:v>
                </c:pt>
                <c:pt idx="14">
                  <c:v>7.6001323031836225</c:v>
                </c:pt>
                <c:pt idx="15">
                  <c:v>8.3928259444025866</c:v>
                </c:pt>
                <c:pt idx="16">
                  <c:v>9.269517679754113</c:v>
                </c:pt>
                <c:pt idx="17">
                  <c:v>10.238981721304361</c:v>
                </c:pt>
                <c:pt idx="18">
                  <c:v>11.310920776122066</c:v>
                </c:pt>
                <c:pt idx="19">
                  <c:v>12.496063154081609</c:v>
                </c:pt>
                <c:pt idx="20">
                  <c:v>13.80627014022831</c:v>
                </c:pt>
                <c:pt idx="21">
                  <c:v>15.254654706322901</c:v>
                </c:pt>
                <c:pt idx="22">
                  <c:v>16.855712749668342</c:v>
                </c:pt>
                <c:pt idx="23">
                  <c:v>18.625468172699172</c:v>
                </c:pt>
                <c:pt idx="24">
                  <c:v>20.581633255336445</c:v>
                </c:pt>
                <c:pt idx="25">
                  <c:v>22.743785925166183</c:v>
                </c:pt>
                <c:pt idx="26">
                  <c:v>25.133565699618103</c:v>
                </c:pt>
                <c:pt idx="27">
                  <c:v>27.77489026119683</c:v>
                </c:pt>
                <c:pt idx="28">
                  <c:v>30.694194833319916</c:v>
                </c:pt>
                <c:pt idx="29">
                  <c:v>33.920696752512832</c:v>
                </c:pt>
                <c:pt idx="30">
                  <c:v>37.486687884884361</c:v>
                </c:pt>
                <c:pt idx="31">
                  <c:v>41.427857813480195</c:v>
                </c:pt>
                <c:pt idx="32">
                  <c:v>45.783651031077468</c:v>
                </c:pt>
                <c:pt idx="33">
                  <c:v>50.597661713320313</c:v>
                </c:pt>
                <c:pt idx="34">
                  <c:v>55.918070023212522</c:v>
                </c:pt>
                <c:pt idx="35">
                  <c:v>61.798124313642703</c:v>
                </c:pt>
                <c:pt idx="36">
                  <c:v>68.296674053979388</c:v>
                </c:pt>
                <c:pt idx="37">
                  <c:v>75.478758814436489</c:v>
                </c:pt>
                <c:pt idx="38">
                  <c:v>83.416259202953455</c:v>
                </c:pt>
                <c:pt idx="39">
                  <c:v>92.188616269375245</c:v>
                </c:pt>
                <c:pt idx="40">
                  <c:v>101.88362657695995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C74-47F7-9961-072FAACFF7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6750768"/>
        <c:axId val="1"/>
      </c:scatterChart>
      <c:valAx>
        <c:axId val="426750768"/>
        <c:scaling>
          <c:orientation val="minMax"/>
          <c:max val="4"/>
          <c:min val="0"/>
        </c:scaling>
        <c:delete val="0"/>
        <c:axPos val="b"/>
        <c:numFmt formatCode="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4"/>
          <c:min val="-2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426750768"/>
        <c:crosses val="autoZero"/>
        <c:crossBetween val="midCat"/>
      </c:valAx>
    </c:plotArea>
    <c:plotVisOnly val="0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ico1"/>
  <sheetViews>
    <sheetView workbookViewId="0"/>
  </sheetViews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400051</xdr:colOff>
      <xdr:row>9</xdr:row>
      <xdr:rowOff>153458</xdr:rowOff>
    </xdr:from>
    <xdr:to>
      <xdr:col>4</xdr:col>
      <xdr:colOff>285751</xdr:colOff>
      <xdr:row>14</xdr:row>
      <xdr:rowOff>180974</xdr:rowOff>
    </xdr:to>
    <xdr:cxnSp macro="">
      <xdr:nvCxnSpPr>
        <xdr:cNvPr id="4" name="Conector de seta reta 3">
          <a:extLst>
            <a:ext uri="{FF2B5EF4-FFF2-40B4-BE49-F238E27FC236}">
              <a16:creationId xmlns:a16="http://schemas.microsoft.com/office/drawing/2014/main" id="{C542F35A-4E4A-4865-9CC5-2A512AAED499}"/>
            </a:ext>
          </a:extLst>
        </xdr:cNvPr>
        <xdr:cNvCxnSpPr/>
      </xdr:nvCxnSpPr>
      <xdr:spPr>
        <a:xfrm rot="10800000" flipV="1">
          <a:off x="1008593" y="534458"/>
          <a:ext cx="1711325" cy="980016"/>
        </a:xfrm>
        <a:prstGeom prst="straightConnector1">
          <a:avLst/>
        </a:prstGeom>
        <a:ln w="15875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164013</xdr:colOff>
      <xdr:row>8</xdr:row>
      <xdr:rowOff>116418</xdr:rowOff>
    </xdr:from>
    <xdr:to>
      <xdr:col>24</xdr:col>
      <xdr:colOff>439208</xdr:colOff>
      <xdr:row>10</xdr:row>
      <xdr:rowOff>121710</xdr:rowOff>
    </xdr:to>
    <xdr:sp macro="" textlink="">
      <xdr:nvSpPr>
        <xdr:cNvPr id="8" name="Arco 7">
          <a:extLst>
            <a:ext uri="{FF2B5EF4-FFF2-40B4-BE49-F238E27FC236}">
              <a16:creationId xmlns:a16="http://schemas.microsoft.com/office/drawing/2014/main" id="{275EAEB9-0F3A-44E7-A246-994A768B9737}"/>
            </a:ext>
          </a:extLst>
        </xdr:cNvPr>
        <xdr:cNvSpPr/>
      </xdr:nvSpPr>
      <xdr:spPr>
        <a:xfrm>
          <a:off x="4423805" y="306918"/>
          <a:ext cx="883736" cy="386292"/>
        </a:xfrm>
        <a:prstGeom prst="arc">
          <a:avLst>
            <a:gd name="adj1" fmla="val 16200000"/>
            <a:gd name="adj2" fmla="val 6657707"/>
          </a:avLst>
        </a:prstGeom>
        <a:ln w="15875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endParaRPr lang="pt-BR"/>
        </a:p>
      </xdr:txBody>
    </xdr:sp>
    <xdr:clientData/>
  </xdr:twoCellAnchor>
  <xdr:twoCellAnchor>
    <xdr:from>
      <xdr:col>3</xdr:col>
      <xdr:colOff>396875</xdr:colOff>
      <xdr:row>10</xdr:row>
      <xdr:rowOff>148166</xdr:rowOff>
    </xdr:from>
    <xdr:to>
      <xdr:col>4</xdr:col>
      <xdr:colOff>259291</xdr:colOff>
      <xdr:row>14</xdr:row>
      <xdr:rowOff>37042</xdr:rowOff>
    </xdr:to>
    <xdr:cxnSp macro="">
      <xdr:nvCxnSpPr>
        <xdr:cNvPr id="9" name="Conector de seta reta 8">
          <a:extLst>
            <a:ext uri="{FF2B5EF4-FFF2-40B4-BE49-F238E27FC236}">
              <a16:creationId xmlns:a16="http://schemas.microsoft.com/office/drawing/2014/main" id="{90CCC2F0-2030-4B97-9D23-9108B98377B0}"/>
            </a:ext>
          </a:extLst>
        </xdr:cNvPr>
        <xdr:cNvCxnSpPr/>
      </xdr:nvCxnSpPr>
      <xdr:spPr>
        <a:xfrm rot="5400000">
          <a:off x="2132541" y="809625"/>
          <a:ext cx="650876" cy="470958"/>
        </a:xfrm>
        <a:prstGeom prst="straightConnector1">
          <a:avLst/>
        </a:prstGeom>
        <a:ln w="15875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38100</xdr:colOff>
      <xdr:row>15</xdr:row>
      <xdr:rowOff>28575</xdr:rowOff>
    </xdr:from>
    <xdr:to>
      <xdr:col>2</xdr:col>
      <xdr:colOff>193548</xdr:colOff>
      <xdr:row>55</xdr:row>
      <xdr:rowOff>185738</xdr:rowOff>
    </xdr:to>
    <xdr:sp macro="" textlink="">
      <xdr:nvSpPr>
        <xdr:cNvPr id="12" name="Chave direita 11">
          <a:extLst>
            <a:ext uri="{FF2B5EF4-FFF2-40B4-BE49-F238E27FC236}">
              <a16:creationId xmlns:a16="http://schemas.microsoft.com/office/drawing/2014/main" id="{D285132C-C7B4-46D1-A729-4AF88AD56165}"/>
            </a:ext>
          </a:extLst>
        </xdr:cNvPr>
        <xdr:cNvSpPr/>
      </xdr:nvSpPr>
      <xdr:spPr>
        <a:xfrm>
          <a:off x="1257300" y="1562100"/>
          <a:ext cx="155448" cy="1309688"/>
        </a:xfrm>
        <a:prstGeom prst="rightBrac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endParaRPr lang="pt-BR"/>
        </a:p>
      </xdr:txBody>
    </xdr:sp>
    <xdr:clientData/>
  </xdr:twoCellAnchor>
  <xdr:twoCellAnchor>
    <xdr:from>
      <xdr:col>3</xdr:col>
      <xdr:colOff>393700</xdr:colOff>
      <xdr:row>10</xdr:row>
      <xdr:rowOff>148166</xdr:rowOff>
    </xdr:from>
    <xdr:to>
      <xdr:col>4</xdr:col>
      <xdr:colOff>256116</xdr:colOff>
      <xdr:row>14</xdr:row>
      <xdr:rowOff>37042</xdr:rowOff>
    </xdr:to>
    <xdr:cxnSp macro="">
      <xdr:nvCxnSpPr>
        <xdr:cNvPr id="13" name="Conector de seta reta 12">
          <a:extLst>
            <a:ext uri="{FF2B5EF4-FFF2-40B4-BE49-F238E27FC236}">
              <a16:creationId xmlns:a16="http://schemas.microsoft.com/office/drawing/2014/main" id="{33E5323E-D8C2-4E42-8FE3-B72645FB03C5}"/>
            </a:ext>
          </a:extLst>
        </xdr:cNvPr>
        <xdr:cNvCxnSpPr/>
      </xdr:nvCxnSpPr>
      <xdr:spPr>
        <a:xfrm rot="5400000">
          <a:off x="2133070" y="809096"/>
          <a:ext cx="650876" cy="472016"/>
        </a:xfrm>
        <a:prstGeom prst="straightConnector1">
          <a:avLst/>
        </a:prstGeom>
        <a:ln w="15875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219075</xdr:colOff>
      <xdr:row>11</xdr:row>
      <xdr:rowOff>0</xdr:rowOff>
    </xdr:from>
    <xdr:to>
      <xdr:col>4</xdr:col>
      <xdr:colOff>600075</xdr:colOff>
      <xdr:row>18</xdr:row>
      <xdr:rowOff>90488</xdr:rowOff>
    </xdr:to>
    <xdr:cxnSp macro="">
      <xdr:nvCxnSpPr>
        <xdr:cNvPr id="14" name="Conector de seta reta 13">
          <a:extLst>
            <a:ext uri="{FF2B5EF4-FFF2-40B4-BE49-F238E27FC236}">
              <a16:creationId xmlns:a16="http://schemas.microsoft.com/office/drawing/2014/main" id="{807AD4D7-7FA6-46D3-8657-CC6617EA496E}"/>
            </a:ext>
          </a:extLst>
        </xdr:cNvPr>
        <xdr:cNvCxnSpPr/>
      </xdr:nvCxnSpPr>
      <xdr:spPr>
        <a:xfrm flipV="1">
          <a:off x="1438275" y="762000"/>
          <a:ext cx="1600200" cy="1443038"/>
        </a:xfrm>
        <a:prstGeom prst="straightConnector1">
          <a:avLst/>
        </a:prstGeom>
        <a:ln w="15875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</xdr:col>
      <xdr:colOff>266700</xdr:colOff>
      <xdr:row>11</xdr:row>
      <xdr:rowOff>119063</xdr:rowOff>
    </xdr:from>
    <xdr:ext cx="306751" cy="264560"/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3DDF640F-7067-459C-A10D-9148C32DB920}"/>
            </a:ext>
          </a:extLst>
        </xdr:cNvPr>
        <xdr:cNvSpPr txBox="1"/>
      </xdr:nvSpPr>
      <xdr:spPr>
        <a:xfrm>
          <a:off x="1485900" y="881063"/>
          <a:ext cx="3067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100" b="1"/>
            <a:t>1</a:t>
          </a:r>
          <a:r>
            <a:rPr lang="en-US" sz="1100" b="1" baseline="30000"/>
            <a:t>o</a:t>
          </a:r>
        </a:p>
      </xdr:txBody>
    </xdr:sp>
    <xdr:clientData/>
  </xdr:oneCellAnchor>
  <xdr:oneCellAnchor>
    <xdr:from>
      <xdr:col>2</xdr:col>
      <xdr:colOff>338138</xdr:colOff>
      <xdr:row>15</xdr:row>
      <xdr:rowOff>142890</xdr:rowOff>
    </xdr:from>
    <xdr:ext cx="306751" cy="264560"/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46E3426C-FF24-494A-A546-DCD0FC86F95A}"/>
            </a:ext>
          </a:extLst>
        </xdr:cNvPr>
        <xdr:cNvSpPr txBox="1"/>
      </xdr:nvSpPr>
      <xdr:spPr>
        <a:xfrm>
          <a:off x="1557338" y="1676415"/>
          <a:ext cx="3067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100" b="1"/>
            <a:t>2</a:t>
          </a:r>
          <a:r>
            <a:rPr lang="en-US" sz="1100" b="1" baseline="30000"/>
            <a:t>o</a:t>
          </a:r>
        </a:p>
      </xdr:txBody>
    </xdr:sp>
    <xdr:clientData/>
  </xdr:oneCellAnchor>
  <xdr:oneCellAnchor>
    <xdr:from>
      <xdr:col>8</xdr:col>
      <xdr:colOff>0</xdr:colOff>
      <xdr:row>9</xdr:row>
      <xdr:rowOff>57165</xdr:rowOff>
    </xdr:from>
    <xdr:ext cx="306751" cy="264560"/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A6BD98F2-BBF5-4E87-84C4-812DFFD94574}"/>
            </a:ext>
          </a:extLst>
        </xdr:cNvPr>
        <xdr:cNvSpPr txBox="1"/>
      </xdr:nvSpPr>
      <xdr:spPr>
        <a:xfrm>
          <a:off x="4876800" y="438165"/>
          <a:ext cx="3067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100" b="1"/>
            <a:t>2</a:t>
          </a:r>
          <a:r>
            <a:rPr lang="en-US" sz="1100" b="1" baseline="30000"/>
            <a:t>o</a:t>
          </a:r>
        </a:p>
      </xdr:txBody>
    </xdr:sp>
    <xdr:clientData/>
  </xdr:oneCellAnchor>
  <xdr:oneCellAnchor>
    <xdr:from>
      <xdr:col>3</xdr:col>
      <xdr:colOff>390525</xdr:colOff>
      <xdr:row>11</xdr:row>
      <xdr:rowOff>52402</xdr:rowOff>
    </xdr:from>
    <xdr:ext cx="306751" cy="264560"/>
    <xdr:sp macro="" textlink="">
      <xdr:nvSpPr>
        <xdr:cNvPr id="20" name="CaixaDeTexto 19">
          <a:extLst>
            <a:ext uri="{FF2B5EF4-FFF2-40B4-BE49-F238E27FC236}">
              <a16:creationId xmlns:a16="http://schemas.microsoft.com/office/drawing/2014/main" id="{83A647F8-2EC9-4BED-94CB-66EB3EAC842B}"/>
            </a:ext>
          </a:extLst>
        </xdr:cNvPr>
        <xdr:cNvSpPr txBox="1"/>
      </xdr:nvSpPr>
      <xdr:spPr>
        <a:xfrm>
          <a:off x="2219325" y="814402"/>
          <a:ext cx="3067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100" b="1"/>
            <a:t>3</a:t>
          </a:r>
          <a:r>
            <a:rPr lang="en-US" sz="1100" b="1" baseline="30000"/>
            <a:t>o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648825" cy="601027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ED56C1C-1370-45A9-A4FF-57D0E28E70C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lanilhas_cap_montecarlo%20-%20parte%20I%20-%200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ustavo/Documents/Academico/Trabalho/Livro-Numerico/Textos%20-%20Word/c&#225;lculo%20num&#233;rico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planilhas_cap_montecarlo%20-%20parte%20I%20-%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ustavo/Documents/Academico/Trabalho/Livro-Numerico/Textos%20-%20Word/27%20-%20karris%20-%20c&#225;lculo%20num&#233;rico%20-%20cap&#237;tulo%2005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rr rand var - via atingir met"/>
    </sheetNames>
    <sheetDataSet>
      <sheetData sheetId="0">
        <row r="1">
          <cell r="D1">
            <v>1</v>
          </cell>
        </row>
        <row r="2">
          <cell r="D2">
            <v>3</v>
          </cell>
        </row>
        <row r="3">
          <cell r="D3">
            <v>0.9</v>
          </cell>
        </row>
        <row r="6">
          <cell r="D6">
            <v>13111.540952209451</v>
          </cell>
        </row>
        <row r="7">
          <cell r="D7">
            <v>991</v>
          </cell>
        </row>
        <row r="8">
          <cell r="D8">
            <v>416.50182481246651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do - bernoulli - exata"/>
      <sheetName val="edo - bernoulli - erro"/>
      <sheetName val="edo - chapra - 28.3 - conc.quím"/>
      <sheetName val="edo - fd"/>
      <sheetName val="edo - rk4"/>
      <sheetName val="edo - erro"/>
      <sheetName val="edo - rk4 - família de soluções"/>
      <sheetName val="edo - i - SEDOLS - xnum"/>
      <sheetName val="edo - i - RK4 - xnum"/>
      <sheetName val="edo - i - dif.finita"/>
      <sheetName val="edo - i - euler"/>
      <sheetName val="edo - logística - funcao"/>
      <sheetName val="edo - logística - euler"/>
      <sheetName val="edo - logística - rk4"/>
      <sheetName val="edo - pêndulo - an.eul.rk4 - v1"/>
      <sheetName val="edo - pêndulo - an.eul.rk4 - v2"/>
      <sheetName val="edo - pêndulo - rk4.xnum"/>
      <sheetName val="edo - pêndulo - dif.fin."/>
      <sheetName val="SEDOL - massa mola - euler 1"/>
      <sheetName val="SEDOL - massa mola - euler 2"/>
      <sheetName val="SEDOL - massa mola - rk4 1"/>
      <sheetName val="SEDOL - massa mola - rk4 2"/>
      <sheetName val="SEDOL - 2 corpos - 1"/>
      <sheetName val="SEDOL - 2 corpos - 2"/>
      <sheetName val="SEDOL - 3 variáveis - tempo"/>
      <sheetName val="SEDOL - 3 variáveis - fase"/>
      <sheetName val="SEDNL - rk4 xnum - pred prey"/>
      <sheetName val="SEDNL - rk4 xnum 2 - pred prey"/>
      <sheetName val="SEDNL - rk4 - van der walls"/>
      <sheetName val="SEDNL - rk4 - van der walls 2"/>
      <sheetName val="EDP - Temperatura - Passeio Ale"/>
      <sheetName val="frações parciais"/>
      <sheetName val="frações parciais - II"/>
      <sheetName val="frações parciais - III"/>
      <sheetName val="frações parciais - IV"/>
      <sheetName val="FFT - coeficientes"/>
      <sheetName val="FFT - coeficientes II"/>
      <sheetName val="FFT - coeficientes III"/>
      <sheetName val="FFT - com ruído"/>
      <sheetName val="fourier - det.erro - triangular"/>
      <sheetName val="fourier - det.erro - quadrado"/>
      <sheetName val="fourier - onda dente de ser"/>
      <sheetName val="fourier - onda quadrada - I"/>
      <sheetName val="fourier - onda quadrada - II"/>
      <sheetName val="fourier - triângulo"/>
      <sheetName val="fourier - triângulo II"/>
      <sheetName val="fourier - triângulo III"/>
      <sheetName val="fourier - triângulo IV"/>
      <sheetName val="fractais - mandelbrot -LoopData"/>
      <sheetName val="fractais - mandelbrot -Chart1"/>
      <sheetName val="Fractais Leaf1"/>
      <sheetName val="Fractais Leaf2"/>
      <sheetName val="geometria analítica - desenhos"/>
      <sheetName val="gráficos polares - I"/>
      <sheetName val="gráficos polares - II"/>
      <sheetName val="integração numérica"/>
      <sheetName val="interpolação polin. - I"/>
      <sheetName val="interpolação polin. - II"/>
      <sheetName val="interpolação polin. - III"/>
      <sheetName val="interpolação polin. - IV"/>
      <sheetName val="karris - 1.1"/>
      <sheetName val="karris - 1.2"/>
      <sheetName val="karris - 1.3"/>
      <sheetName val="karris - 1.4"/>
      <sheetName val="karris - 1.5"/>
      <sheetName val="karris - 1.6"/>
      <sheetName val="karris - 1.7"/>
      <sheetName val="karris - 1.11"/>
      <sheetName val="karris - 1.12"/>
      <sheetName val="karris - 1.12b"/>
      <sheetName val="karris - 1.13"/>
      <sheetName val="karris - 1.15"/>
      <sheetName val="karris - 1.16"/>
      <sheetName val="karris - 2.1"/>
      <sheetName val="karris - 2.2"/>
      <sheetName val="karris - 3.10.1"/>
      <sheetName val="karris - 3.10.2"/>
      <sheetName val="karris - 4.1"/>
      <sheetName val="karris - 4.2"/>
      <sheetName val="karris - 4.3"/>
      <sheetName val="karris - 4.18"/>
      <sheetName val="karris - 5.6"/>
      <sheetName val="karris - 5.7"/>
      <sheetName val="karris - 5.8"/>
      <sheetName val="karris - 5.9"/>
      <sheetName val="karris - 5.16"/>
      <sheetName val="karris - 5.13.8"/>
      <sheetName val="karris - 7.10"/>
      <sheetName val="karris - 7.11"/>
      <sheetName val="karris - 7.12"/>
      <sheetName val="karris - 7.13"/>
      <sheetName val="karris - 7.14a"/>
      <sheetName val="karris - 7.14b"/>
      <sheetName val="karris - 7.15"/>
      <sheetName val="karris - s&amp;s - 4.3"/>
      <sheetName val="karris - s&amp;s - 5.2.c"/>
      <sheetName val="karris - s&amp;s - 5.2.d"/>
      <sheetName val="karris - s&amp;s - 5.2.e"/>
      <sheetName val="karris - s&amp;s - 11.2.1 - PB"/>
      <sheetName val="karris - s&amp;s - 11.2.2 - PA"/>
      <sheetName val="karris - s&amp;s - 11.2.3 - PF"/>
      <sheetName val="karris - s&amp;s - 11.2.3 - RF"/>
      <sheetName val="lognormal distr - errado!"/>
      <sheetName val="lognormal distr - simtool"/>
      <sheetName val="mecânica celeste - I"/>
      <sheetName val="mecânica celeste - II"/>
      <sheetName val="mcmahon - 1"/>
      <sheetName val="mcmahon - 2"/>
      <sheetName val="noceti - ex.1"/>
      <sheetName val="noceti - ex.3"/>
      <sheetName val="noceti - gráficos - 1.5.1"/>
      <sheetName val="polinômios"/>
      <sheetName val="root-loc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21">
          <cell r="G21">
            <v>2</v>
          </cell>
        </row>
        <row r="22">
          <cell r="G22">
            <v>2</v>
          </cell>
        </row>
        <row r="23">
          <cell r="G23">
            <v>1.8708286933869707</v>
          </cell>
        </row>
        <row r="24">
          <cell r="B24">
            <v>1</v>
          </cell>
          <cell r="G24">
            <v>2</v>
          </cell>
        </row>
        <row r="25">
          <cell r="B25">
            <v>0.25</v>
          </cell>
        </row>
        <row r="26">
          <cell r="B26">
            <v>1</v>
          </cell>
        </row>
        <row r="27">
          <cell r="D27">
            <v>1.8708286933869707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 refreshError="1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>
        <row r="2">
          <cell r="D2">
            <v>105.07454435286004</v>
          </cell>
          <cell r="E2">
            <v>49.57701987408295</v>
          </cell>
        </row>
        <row r="3">
          <cell r="D3">
            <v>53.480065293266293</v>
          </cell>
          <cell r="E3">
            <v>55.365651526938876</v>
          </cell>
        </row>
        <row r="6">
          <cell r="D6">
            <v>170</v>
          </cell>
          <cell r="E6">
            <v>0</v>
          </cell>
        </row>
      </sheetData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>
        <row r="3">
          <cell r="B3">
            <v>1</v>
          </cell>
          <cell r="C3">
            <v>2</v>
          </cell>
        </row>
      </sheetData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>
        <row r="1">
          <cell r="C1">
            <v>1</v>
          </cell>
        </row>
        <row r="2">
          <cell r="C2">
            <v>1</v>
          </cell>
        </row>
        <row r="3">
          <cell r="C3">
            <v>0.25</v>
          </cell>
        </row>
      </sheetData>
      <sheetData sheetId="111"/>
      <sheetData sheetId="11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rr rand var - via formula"/>
    </sheetNames>
    <sheetDataSet>
      <sheetData sheetId="0">
        <row r="4">
          <cell r="C4">
            <v>0.85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/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0"/>
  <dimension ref="A1:Y59"/>
  <sheetViews>
    <sheetView tabSelected="1" zoomScale="190" zoomScaleNormal="190" workbookViewId="0">
      <selection activeCell="B18" sqref="B18"/>
    </sheetView>
  </sheetViews>
  <sheetFormatPr defaultRowHeight="15" x14ac:dyDescent="0.25"/>
  <cols>
    <col min="9" max="9" width="0" hidden="1" customWidth="1"/>
    <col min="10" max="24" width="9.140625" hidden="1" customWidth="1"/>
  </cols>
  <sheetData>
    <row r="1" spans="1:25" x14ac:dyDescent="0.25">
      <c r="A1" s="19" t="s">
        <v>39</v>
      </c>
    </row>
    <row r="2" spans="1:25" hidden="1" x14ac:dyDescent="0.25">
      <c r="A2" t="s">
        <v>29</v>
      </c>
    </row>
    <row r="3" spans="1:25" hidden="1" x14ac:dyDescent="0.25">
      <c r="A3" t="s">
        <v>28</v>
      </c>
    </row>
    <row r="4" spans="1:25" hidden="1" x14ac:dyDescent="0.25">
      <c r="B4" t="s">
        <v>27</v>
      </c>
    </row>
    <row r="5" spans="1:25" hidden="1" x14ac:dyDescent="0.25">
      <c r="B5" t="s">
        <v>26</v>
      </c>
    </row>
    <row r="6" spans="1:25" hidden="1" x14ac:dyDescent="0.25">
      <c r="B6" t="s">
        <v>25</v>
      </c>
    </row>
    <row r="7" spans="1:25" hidden="1" x14ac:dyDescent="0.25">
      <c r="B7" t="s">
        <v>24</v>
      </c>
    </row>
    <row r="8" spans="1:25" hidden="1" x14ac:dyDescent="0.25"/>
    <row r="9" spans="1:25" x14ac:dyDescent="0.25">
      <c r="A9" t="s">
        <v>38</v>
      </c>
      <c r="C9" s="16" t="s">
        <v>37</v>
      </c>
      <c r="D9" s="16" t="s">
        <v>36</v>
      </c>
      <c r="E9" s="14" t="s">
        <v>35</v>
      </c>
      <c r="F9" s="17">
        <v>0.01</v>
      </c>
      <c r="G9" t="s">
        <v>34</v>
      </c>
    </row>
    <row r="10" spans="1:25" x14ac:dyDescent="0.25">
      <c r="C10" s="15">
        <v>0.1</v>
      </c>
      <c r="D10" s="15">
        <v>0.2</v>
      </c>
      <c r="E10" s="14" t="s">
        <v>33</v>
      </c>
      <c r="F10" s="17">
        <v>0</v>
      </c>
      <c r="G10" t="s">
        <v>32</v>
      </c>
    </row>
    <row r="11" spans="1:25" x14ac:dyDescent="0.25">
      <c r="E11" s="14" t="s">
        <v>31</v>
      </c>
      <c r="F11" s="18">
        <f ca="1">VLOOKUP(F9,$A$16:$B$56,2)</f>
        <v>0</v>
      </c>
      <c r="G11" t="s">
        <v>30</v>
      </c>
    </row>
    <row r="12" spans="1:25" x14ac:dyDescent="0.25">
      <c r="F12" s="14"/>
      <c r="G12" s="13"/>
    </row>
    <row r="13" spans="1:25" x14ac:dyDescent="0.25">
      <c r="D13" s="15" t="s">
        <v>1</v>
      </c>
      <c r="E13" s="15" t="s">
        <v>23</v>
      </c>
      <c r="F13" s="14"/>
      <c r="G13" s="13"/>
    </row>
    <row r="14" spans="1:25" x14ac:dyDescent="0.25">
      <c r="E14" s="11" t="s">
        <v>22</v>
      </c>
      <c r="F14" s="12" t="s">
        <v>21</v>
      </c>
      <c r="G14" s="11" t="s">
        <v>20</v>
      </c>
      <c r="H14" s="11" t="s">
        <v>19</v>
      </c>
      <c r="I14" s="12" t="s">
        <v>18</v>
      </c>
      <c r="J14" s="11" t="s">
        <v>17</v>
      </c>
      <c r="K14" s="11" t="s">
        <v>16</v>
      </c>
      <c r="L14" s="12" t="s">
        <v>15</v>
      </c>
      <c r="M14" s="11" t="s">
        <v>14</v>
      </c>
      <c r="N14" s="11" t="s">
        <v>13</v>
      </c>
      <c r="O14" s="12" t="s">
        <v>12</v>
      </c>
      <c r="P14" s="11" t="s">
        <v>11</v>
      </c>
      <c r="Q14" s="11" t="s">
        <v>10</v>
      </c>
      <c r="R14" s="12" t="s">
        <v>9</v>
      </c>
      <c r="S14" s="11" t="s">
        <v>8</v>
      </c>
      <c r="T14" s="12" t="s">
        <v>7</v>
      </c>
      <c r="U14" s="11" t="s">
        <v>6</v>
      </c>
      <c r="V14" s="11" t="s">
        <v>5</v>
      </c>
      <c r="W14" s="12" t="s">
        <v>4</v>
      </c>
      <c r="X14" s="11" t="s">
        <v>3</v>
      </c>
      <c r="Y14" s="11" t="s">
        <v>2</v>
      </c>
    </row>
    <row r="15" spans="1:25" ht="15.75" thickBot="1" x14ac:dyDescent="0.3">
      <c r="A15" t="s">
        <v>1</v>
      </c>
      <c r="B15" t="s">
        <v>0</v>
      </c>
      <c r="D15" s="10">
        <f ca="1">F11</f>
        <v>0</v>
      </c>
      <c r="E15" s="3">
        <v>-2</v>
      </c>
      <c r="F15" s="3">
        <v>-1.8</v>
      </c>
      <c r="G15" s="3">
        <v>-1.6</v>
      </c>
      <c r="H15" s="3">
        <v>-1.4</v>
      </c>
      <c r="I15" s="3">
        <v>-1.2</v>
      </c>
      <c r="J15" s="3">
        <v>-1</v>
      </c>
      <c r="K15" s="3">
        <v>-0.8</v>
      </c>
      <c r="L15" s="3">
        <v>-0.6</v>
      </c>
      <c r="M15" s="3">
        <v>-0.4</v>
      </c>
      <c r="N15" s="3">
        <v>-0.2</v>
      </c>
      <c r="O15" s="3">
        <v>0</v>
      </c>
      <c r="P15" s="3">
        <v>0.2</v>
      </c>
      <c r="Q15" s="3">
        <v>0.4</v>
      </c>
      <c r="R15" s="3">
        <v>0.6</v>
      </c>
      <c r="S15" s="3">
        <v>0.8</v>
      </c>
      <c r="T15" s="3">
        <v>1</v>
      </c>
      <c r="U15" s="3">
        <v>1.2</v>
      </c>
      <c r="V15" s="3">
        <v>1.4</v>
      </c>
      <c r="W15" s="3">
        <v>1.6</v>
      </c>
      <c r="X15" s="3">
        <v>1.8</v>
      </c>
      <c r="Y15" s="3">
        <v>2</v>
      </c>
    </row>
    <row r="16" spans="1:25" ht="15.75" thickTop="1" x14ac:dyDescent="0.25">
      <c r="A16" s="20">
        <v>0</v>
      </c>
      <c r="B16" s="21">
        <f>F10</f>
        <v>0</v>
      </c>
      <c r="C16" s="19" t="s">
        <v>40</v>
      </c>
      <c r="D16" s="3">
        <v>0</v>
      </c>
      <c r="E16" s="9">
        <f t="dataTable" ref="E16:Y56" dt2D="1" dtr="0" r1="F10" r2="F9" ca="1"/>
        <v>-2</v>
      </c>
      <c r="F16" s="8">
        <v>-1.8</v>
      </c>
      <c r="G16" s="8">
        <v>-1.6</v>
      </c>
      <c r="H16" s="8">
        <v>-1.4</v>
      </c>
      <c r="I16" s="8">
        <v>-1.2</v>
      </c>
      <c r="J16" s="5">
        <v>-1</v>
      </c>
      <c r="K16" s="5">
        <v>-0.8</v>
      </c>
      <c r="L16" s="5">
        <v>-0.6</v>
      </c>
      <c r="M16" s="5">
        <v>-0.4</v>
      </c>
      <c r="N16" s="5">
        <v>-0.2</v>
      </c>
      <c r="O16" s="5">
        <v>0</v>
      </c>
      <c r="P16" s="5">
        <v>0.2</v>
      </c>
      <c r="Q16" s="5">
        <v>0.4</v>
      </c>
      <c r="R16" s="5">
        <v>0.6</v>
      </c>
      <c r="S16" s="5">
        <v>0.8</v>
      </c>
      <c r="T16" s="5">
        <v>1</v>
      </c>
      <c r="U16" s="5">
        <v>1.2</v>
      </c>
      <c r="V16" s="5">
        <v>1.4</v>
      </c>
      <c r="W16" s="5">
        <v>1.6</v>
      </c>
      <c r="X16" s="5">
        <v>1.8</v>
      </c>
      <c r="Y16" s="4">
        <v>2</v>
      </c>
    </row>
    <row r="17" spans="1:25" x14ac:dyDescent="0.25">
      <c r="A17" s="22">
        <f t="array" aca="1" ref="A17:B17" ca="1">ODE_RK4(A16:B16,$C$10)</f>
        <v>0.1</v>
      </c>
      <c r="B17" s="23">
        <f ca="1"/>
        <v>9.9833384958299604E-2</v>
      </c>
      <c r="D17" s="3">
        <f t="shared" ref="D17:D56" si="0">D16+$C$10</f>
        <v>0.1</v>
      </c>
      <c r="E17" s="7">
        <v>-1.8365148433389709</v>
      </c>
      <c r="F17" s="5">
        <v>-1.6590920952854273</v>
      </c>
      <c r="G17" s="5">
        <v>-1.4828989976159548</v>
      </c>
      <c r="H17" s="5">
        <v>-1.3088636818682511</v>
      </c>
      <c r="I17" s="5">
        <v>-1.1395638072377217</v>
      </c>
      <c r="J17" s="5">
        <v>-1</v>
      </c>
      <c r="K17" s="5">
        <v>-0.73610382438429944</v>
      </c>
      <c r="L17" s="5">
        <v>-0.51713591404383241</v>
      </c>
      <c r="M17" s="5">
        <v>-0.30650289103975931</v>
      </c>
      <c r="N17" s="5">
        <v>-0.10118449727348186</v>
      </c>
      <c r="O17" s="5">
        <v>9.9833384958299604E-2</v>
      </c>
      <c r="P17" s="5">
        <v>0.29681716084545329</v>
      </c>
      <c r="Q17" s="5">
        <v>0.48950041559604118</v>
      </c>
      <c r="R17" s="5">
        <v>0.67686899786266763</v>
      </c>
      <c r="S17" s="5">
        <v>0.85590235124022973</v>
      </c>
      <c r="T17" s="5">
        <v>1</v>
      </c>
      <c r="U17" s="5">
        <v>1.2724470092376972</v>
      </c>
      <c r="V17" s="5">
        <v>1.5051482313396933</v>
      </c>
      <c r="W17" s="5">
        <v>1.7331144667392198</v>
      </c>
      <c r="X17" s="5">
        <v>1.9589229913964983</v>
      </c>
      <c r="Y17" s="4">
        <v>2.1835018875784189</v>
      </c>
    </row>
    <row r="18" spans="1:25" x14ac:dyDescent="0.25">
      <c r="A18" s="22">
        <f t="array" aca="1" ref="A18:B18" ca="1">ODE_RK4(A17:B17,$C$10)</f>
        <v>0.2</v>
      </c>
      <c r="B18" s="23">
        <f ca="1"/>
        <v>0.1986692641136637</v>
      </c>
      <c r="D18" s="3">
        <f t="shared" si="0"/>
        <v>0.2</v>
      </c>
      <c r="E18" s="7">
        <v>-1.6914101314378227</v>
      </c>
      <c r="F18" s="5">
        <v>-1.534788945636002</v>
      </c>
      <c r="G18" s="5">
        <v>-1.3806393854892285</v>
      </c>
      <c r="H18" s="5">
        <v>-1.2308270560613108</v>
      </c>
      <c r="I18" s="5">
        <v>-1.0905336406919159</v>
      </c>
      <c r="J18" s="5">
        <v>-1</v>
      </c>
      <c r="K18" s="5">
        <v>-0.66485259402067587</v>
      </c>
      <c r="L18" s="5">
        <v>-0.42910473837570812</v>
      </c>
      <c r="M18" s="5">
        <v>-0.2099432926554109</v>
      </c>
      <c r="N18" s="5">
        <v>-1.3579887627304249E-3</v>
      </c>
      <c r="O18" s="5">
        <v>0.1986692641136637</v>
      </c>
      <c r="P18" s="5">
        <v>0.39066860853916086</v>
      </c>
      <c r="Q18" s="5">
        <v>0.57410986603872116</v>
      </c>
      <c r="R18" s="5">
        <v>0.74697482083003919</v>
      </c>
      <c r="S18" s="5">
        <v>0.90325203601171644</v>
      </c>
      <c r="T18" s="5">
        <v>1</v>
      </c>
      <c r="U18" s="5">
        <v>1.3576292151167888</v>
      </c>
      <c r="V18" s="5">
        <v>1.6253605096268211</v>
      </c>
      <c r="W18" s="5">
        <v>1.8835745178983787</v>
      </c>
      <c r="X18" s="5">
        <v>2.1374515231713667</v>
      </c>
      <c r="Y18" s="4">
        <v>2.3888569692370667</v>
      </c>
    </row>
    <row r="19" spans="1:25" x14ac:dyDescent="0.25">
      <c r="A19" s="22">
        <f t="array" aca="1" ref="A19:B19" ca="1">ODE_RK4(A18:B18,$C$10)</f>
        <v>0.30000000000000004</v>
      </c>
      <c r="B19" s="23">
        <f ca="1"/>
        <v>0.29552009758408293</v>
      </c>
      <c r="D19" s="3">
        <f t="shared" si="0"/>
        <v>0.30000000000000004</v>
      </c>
      <c r="E19" s="7">
        <v>-1.5632336204861856</v>
      </c>
      <c r="F19" s="5">
        <v>-1.4258465045854773</v>
      </c>
      <c r="G19" s="5">
        <v>-1.2921977597375605</v>
      </c>
      <c r="H19" s="5">
        <v>-1.1651092502720652</v>
      </c>
      <c r="I19" s="5">
        <v>-1.0524202067019712</v>
      </c>
      <c r="J19" s="5">
        <v>-1</v>
      </c>
      <c r="K19" s="5">
        <v>-0.58695828669990269</v>
      </c>
      <c r="L19" s="5">
        <v>-0.33678606503604724</v>
      </c>
      <c r="M19" s="5">
        <v>-0.1112860019586742</v>
      </c>
      <c r="N19" s="5">
        <v>9.8482088452624586E-2</v>
      </c>
      <c r="O19" s="5">
        <v>0.29552009758408293</v>
      </c>
      <c r="P19" s="5">
        <v>0.48061660152627406</v>
      </c>
      <c r="Q19" s="5">
        <v>0.65298293773004079</v>
      </c>
      <c r="R19" s="5">
        <v>0.80961689983217344</v>
      </c>
      <c r="S19" s="5">
        <v>0.9415748499708172</v>
      </c>
      <c r="T19" s="5">
        <v>1</v>
      </c>
      <c r="U19" s="5">
        <v>1.4563990908752455</v>
      </c>
      <c r="V19" s="5">
        <v>1.7618399435435632</v>
      </c>
      <c r="W19" s="5">
        <v>2.0528859997887534</v>
      </c>
      <c r="X19" s="5">
        <v>2.3373723628252456</v>
      </c>
      <c r="Y19" s="4">
        <v>2.6181205024729501</v>
      </c>
    </row>
    <row r="20" spans="1:25" hidden="1" x14ac:dyDescent="0.25">
      <c r="A20" s="22">
        <f t="array" aca="1" ref="A20:B20" ca="1">ODE_RK4(A19:B19,$C$10)</f>
        <v>0.4</v>
      </c>
      <c r="B20" s="23">
        <f ca="1"/>
        <v>0.38941817782793747</v>
      </c>
      <c r="D20" s="3">
        <f t="shared" si="0"/>
        <v>0.4</v>
      </c>
      <c r="E20" s="7">
        <v>-1.450702495977545</v>
      </c>
      <c r="F20" s="5">
        <v>-1.3311744742697902</v>
      </c>
      <c r="G20" s="5">
        <v>-1.2166890493621112</v>
      </c>
      <c r="H20" s="5">
        <v>-1.1110528628778318</v>
      </c>
      <c r="I20" s="5">
        <v>-1.0248476383045459</v>
      </c>
      <c r="J20" s="5">
        <v>-1</v>
      </c>
      <c r="K20" s="5">
        <v>-0.50319923010798573</v>
      </c>
      <c r="L20" s="5">
        <v>-0.24110232060951009</v>
      </c>
      <c r="M20" s="5">
        <v>-1.1516774197481761E-2</v>
      </c>
      <c r="N20" s="5">
        <v>0.19733816162673096</v>
      </c>
      <c r="O20" s="5">
        <v>0.38941817782793747</v>
      </c>
      <c r="P20" s="5">
        <v>0.56576239531009387</v>
      </c>
      <c r="Q20" s="5">
        <v>0.7253315155372263</v>
      </c>
      <c r="R20" s="5">
        <v>0.86416913875985912</v>
      </c>
      <c r="S20" s="5">
        <v>0.97048389567529258</v>
      </c>
      <c r="T20" s="5">
        <v>1</v>
      </c>
      <c r="U20" s="5">
        <v>1.5697451257899835</v>
      </c>
      <c r="V20" s="5">
        <v>1.9159524542068933</v>
      </c>
      <c r="W20" s="5">
        <v>2.2427434320304833</v>
      </c>
      <c r="X20" s="5">
        <v>2.560686380021167</v>
      </c>
      <c r="Y20" s="4">
        <v>2.873587028870225</v>
      </c>
    </row>
    <row r="21" spans="1:25" hidden="1" x14ac:dyDescent="0.25">
      <c r="A21" s="22">
        <f t="array" aca="1" ref="A21:B21" ca="1">ODE_RK4(A20:B20,$C$10)</f>
        <v>0.5</v>
      </c>
      <c r="B21" s="23">
        <f ca="1"/>
        <v>0.47942529740367101</v>
      </c>
      <c r="D21" s="3">
        <f t="shared" si="0"/>
        <v>0.5</v>
      </c>
      <c r="E21" s="7">
        <v>-1.3526905392059658</v>
      </c>
      <c r="F21" s="5">
        <v>-1.2498254067526195</v>
      </c>
      <c r="G21" s="5">
        <v>-1.1533577059268387</v>
      </c>
      <c r="H21" s="5">
        <v>-1.0681177347119237</v>
      </c>
      <c r="I21" s="5">
        <v>-1.0075805984468464</v>
      </c>
      <c r="J21" s="5">
        <v>-1</v>
      </c>
      <c r="K21" s="5">
        <v>-0.41441233718952541</v>
      </c>
      <c r="L21" s="5">
        <v>-0.14300955158036494</v>
      </c>
      <c r="M21" s="5">
        <v>8.8367525854716217E-2</v>
      </c>
      <c r="N21" s="5">
        <v>0.29422248912070065</v>
      </c>
      <c r="O21" s="5">
        <v>0.47942529740367101</v>
      </c>
      <c r="P21" s="5">
        <v>0.64525521855723655</v>
      </c>
      <c r="Q21" s="5">
        <v>0.79043263973243594</v>
      </c>
      <c r="R21" s="5">
        <v>0.91008600381736671</v>
      </c>
      <c r="S21" s="5">
        <v>0.98966618137314966</v>
      </c>
      <c r="T21" s="5">
        <v>1</v>
      </c>
      <c r="U21" s="5">
        <v>1.6988017052655309</v>
      </c>
      <c r="V21" s="5">
        <v>2.0892404434326011</v>
      </c>
      <c r="W21" s="5">
        <v>2.4550469660388181</v>
      </c>
      <c r="X21" s="5">
        <v>2.8096285715488047</v>
      </c>
      <c r="Y21" s="4">
        <v>3.1578133383963509</v>
      </c>
    </row>
    <row r="22" spans="1:25" hidden="1" x14ac:dyDescent="0.25">
      <c r="A22" s="22">
        <f t="array" aca="1" ref="A22:B22" ca="1">ODE_RK4(A21:B21,$C$10)</f>
        <v>0.6</v>
      </c>
      <c r="B22" s="23">
        <f ca="1"/>
        <v>0.56464212112913037</v>
      </c>
      <c r="D22" s="3">
        <f t="shared" si="0"/>
        <v>0.6</v>
      </c>
      <c r="E22" s="7">
        <v>-1.2682168667833271</v>
      </c>
      <c r="F22" s="5">
        <v>-1.1809852528278983</v>
      </c>
      <c r="G22" s="5">
        <v>-1.1015702761224415</v>
      </c>
      <c r="H22" s="5">
        <v>-1.0358770365794641</v>
      </c>
      <c r="I22" s="5">
        <v>-0.99929811658553036</v>
      </c>
      <c r="J22" s="5">
        <v>-1</v>
      </c>
      <c r="K22" s="5">
        <v>-0.32148474991675136</v>
      </c>
      <c r="L22" s="5">
        <v>-4.3487873012962877E-2</v>
      </c>
      <c r="M22" s="5">
        <v>0.1873688836291994</v>
      </c>
      <c r="N22" s="5">
        <v>0.38816702876025455</v>
      </c>
      <c r="O22" s="5">
        <v>0.56464212112913037</v>
      </c>
      <c r="P22" s="5">
        <v>0.71830076613974003</v>
      </c>
      <c r="Q22" s="5">
        <v>0.84763568722612193</v>
      </c>
      <c r="R22" s="5">
        <v>0.94690738164688448</v>
      </c>
      <c r="S22" s="5">
        <v>0.99917632668350498</v>
      </c>
      <c r="T22" s="5">
        <v>1</v>
      </c>
      <c r="U22" s="5">
        <v>1.8448604580220125</v>
      </c>
      <c r="V22" s="5">
        <v>2.2834382293204785</v>
      </c>
      <c r="W22" s="5">
        <v>2.6919214018696995</v>
      </c>
      <c r="X22" s="5">
        <v>3.086690429652502</v>
      </c>
      <c r="Y22" s="4">
        <v>3.4736440584400663</v>
      </c>
    </row>
    <row r="23" spans="1:25" hidden="1" x14ac:dyDescent="0.25">
      <c r="A23" s="22">
        <f t="array" aca="1" ref="A23:B23" ca="1">ODE_RK4(A22:B22,$C$10)</f>
        <v>0.7</v>
      </c>
      <c r="B23" s="23">
        <f ca="1"/>
        <v>0.64421716812188234</v>
      </c>
      <c r="D23" s="3">
        <f t="shared" si="0"/>
        <v>0.7</v>
      </c>
      <c r="E23" s="7">
        <v>-1.1964361388267011</v>
      </c>
      <c r="F23" s="5">
        <v>-1.1239652966364855</v>
      </c>
      <c r="G23" s="5">
        <v>-1.0608095197840497</v>
      </c>
      <c r="H23" s="5">
        <v>-1.0140230149080975</v>
      </c>
      <c r="I23" s="5">
        <v>-0.99085425247233994</v>
      </c>
      <c r="J23" s="5">
        <v>-1</v>
      </c>
      <c r="K23" s="5">
        <v>-0.22534497838560064</v>
      </c>
      <c r="L23" s="5">
        <v>5.6468323632118234E-2</v>
      </c>
      <c r="M23" s="5">
        <v>0.28449810595949387</v>
      </c>
      <c r="N23" s="5">
        <v>0.47823310894685578</v>
      </c>
      <c r="O23" s="5">
        <v>0.64421716812188234</v>
      </c>
      <c r="P23" s="5">
        <v>0.78416911932385114</v>
      </c>
      <c r="Q23" s="5">
        <v>0.89636875614986966</v>
      </c>
      <c r="R23" s="5">
        <v>0.9742602613350283</v>
      </c>
      <c r="S23" s="5">
        <v>1.0050453817751492</v>
      </c>
      <c r="T23" s="5">
        <v>1</v>
      </c>
      <c r="U23" s="5">
        <v>2.0093831800517923</v>
      </c>
      <c r="V23" s="5">
        <v>2.500489403139484</v>
      </c>
      <c r="W23" s="5">
        <v>2.955737453606702</v>
      </c>
      <c r="X23" s="5">
        <v>3.3946448775337164</v>
      </c>
      <c r="Y23" s="4">
        <v>3.8242401236653434</v>
      </c>
    </row>
    <row r="24" spans="1:25" hidden="1" x14ac:dyDescent="0.25">
      <c r="A24" s="22">
        <f t="array" aca="1" ref="A24:B24" ca="1">ODE_RK4(A23:B23,$C$10)</f>
        <v>0.79999999999999993</v>
      </c>
      <c r="B24" s="23">
        <f ca="1"/>
        <v>0.71735531200437552</v>
      </c>
      <c r="D24" s="3">
        <f t="shared" si="0"/>
        <v>0.79999999999999993</v>
      </c>
      <c r="E24" s="7">
        <v>-1.1366301626010693</v>
      </c>
      <c r="F24" s="5">
        <v>-1.0781955160578636</v>
      </c>
      <c r="G24" s="5">
        <v>-1.0306713219591661</v>
      </c>
      <c r="H24" s="5">
        <v>-1.002609263254959</v>
      </c>
      <c r="I24" s="5">
        <v>-0.97246635194529008</v>
      </c>
      <c r="J24" s="5">
        <v>-1</v>
      </c>
      <c r="K24" s="5">
        <v>-0.12695362522671444</v>
      </c>
      <c r="L24" s="5">
        <v>0.15586030549437968</v>
      </c>
      <c r="M24" s="5">
        <v>0.37878470396966041</v>
      </c>
      <c r="N24" s="5">
        <v>0.56352080547061478</v>
      </c>
      <c r="O24" s="5">
        <v>0.71735531200437552</v>
      </c>
      <c r="P24" s="5">
        <v>0.84220200035058512</v>
      </c>
      <c r="Q24" s="5">
        <v>0.93614399620929911</v>
      </c>
      <c r="R24" s="5">
        <v>0.99183602146205951</v>
      </c>
      <c r="S24" s="5">
        <v>1.0200869968009552</v>
      </c>
      <c r="T24" s="5">
        <v>1</v>
      </c>
      <c r="U24" s="5">
        <v>2.1940164630953043</v>
      </c>
      <c r="V24" s="5">
        <v>2.7425662809792795</v>
      </c>
      <c r="W24" s="5">
        <v>3.2491354760428668</v>
      </c>
      <c r="X24" s="5">
        <v>3.7365740215571392</v>
      </c>
      <c r="Y24" s="4">
        <v>4.2131104115995575</v>
      </c>
    </row>
    <row r="25" spans="1:25" hidden="1" x14ac:dyDescent="0.25">
      <c r="A25" s="22">
        <f t="array" aca="1" ref="A25:B25" ca="1">ODE_RK4(A24:B24,$C$10)</f>
        <v>0.89999999999999991</v>
      </c>
      <c r="B25" s="23">
        <f ca="1"/>
        <v>0.78332570947571734</v>
      </c>
      <c r="D25" s="3">
        <f t="shared" si="0"/>
        <v>0.89999999999999991</v>
      </c>
      <c r="E25" s="7">
        <v>-1.0882008941988923</v>
      </c>
      <c r="F25" s="5">
        <v>-1.0432198710814993</v>
      </c>
      <c r="G25" s="5">
        <v>-1.0108767415804356</v>
      </c>
      <c r="H25" s="5">
        <v>-0.99876513007870793</v>
      </c>
      <c r="I25" s="5">
        <v>-0.9443519767188393</v>
      </c>
      <c r="J25" s="5">
        <v>-1</v>
      </c>
      <c r="K25" s="5">
        <v>-2.7293788681454295E-2</v>
      </c>
      <c r="L25" s="5">
        <v>0.25369497670916236</v>
      </c>
      <c r="M25" s="5">
        <v>0.46928658868900597</v>
      </c>
      <c r="N25" s="5">
        <v>0.64317792946885377</v>
      </c>
      <c r="O25" s="5">
        <v>0.78332570947571734</v>
      </c>
      <c r="P25" s="5">
        <v>0.89181924560455395</v>
      </c>
      <c r="Q25" s="5">
        <v>0.96656081110200742</v>
      </c>
      <c r="R25" s="5">
        <v>1.0003944057788927</v>
      </c>
      <c r="S25" s="5">
        <v>1.0453541008801492</v>
      </c>
      <c r="T25" s="5">
        <v>1</v>
      </c>
      <c r="U25" s="5">
        <v>2.4006081733327536</v>
      </c>
      <c r="V25" s="5">
        <v>3.0120916447193777</v>
      </c>
      <c r="W25" s="5">
        <v>3.5750518900786625</v>
      </c>
      <c r="X25" s="5">
        <v>4.1158999978940036</v>
      </c>
      <c r="Y25" s="4">
        <v>4.6441468605645548</v>
      </c>
    </row>
    <row r="26" spans="1:25" hidden="1" x14ac:dyDescent="0.25">
      <c r="A26" s="22">
        <f t="array" aca="1" ref="A26:B26" ca="1">ODE_RK4(A25:B25,$C$10)</f>
        <v>0.99999999999999989</v>
      </c>
      <c r="B26" s="23">
        <f ca="1"/>
        <v>0.84146906460954785</v>
      </c>
      <c r="D26" s="3">
        <f t="shared" si="0"/>
        <v>0.99999999999999989</v>
      </c>
      <c r="E26" s="7">
        <v>-1.0506651487194667</v>
      </c>
      <c r="F26" s="5">
        <v>-1.0186974827026369</v>
      </c>
      <c r="G26" s="5">
        <v>-1.0011306538616536</v>
      </c>
      <c r="H26" s="5">
        <v>-0.98901285568979391</v>
      </c>
      <c r="I26" s="5">
        <v>-0.90679904814831735</v>
      </c>
      <c r="J26" s="5">
        <v>-1</v>
      </c>
      <c r="K26" s="5">
        <v>7.2638759427765112E-2</v>
      </c>
      <c r="L26" s="5">
        <v>0.34899480036319763</v>
      </c>
      <c r="M26" s="5">
        <v>0.55509948212421478</v>
      </c>
      <c r="N26" s="5">
        <v>0.71640853477782285</v>
      </c>
      <c r="O26" s="5">
        <v>0.84146906460954785</v>
      </c>
      <c r="P26" s="5">
        <v>0.9325242659780435</v>
      </c>
      <c r="Q26" s="5">
        <v>0.98729808318092638</v>
      </c>
      <c r="R26" s="5">
        <v>1.0078075368329806</v>
      </c>
      <c r="S26" s="5">
        <v>1.0810874796625971</v>
      </c>
      <c r="T26" s="5">
        <v>1</v>
      </c>
      <c r="U26" s="5">
        <v>2.6312259448781257</v>
      </c>
      <c r="V26" s="5">
        <v>3.3117629898379906</v>
      </c>
      <c r="W26" s="5">
        <v>3.9367485712851389</v>
      </c>
      <c r="X26" s="5">
        <v>4.536419222313949</v>
      </c>
      <c r="Y26" s="4">
        <v>5.1216634214156365</v>
      </c>
    </row>
    <row r="27" spans="1:25" hidden="1" x14ac:dyDescent="0.25">
      <c r="A27" s="22">
        <f t="array" aca="1" ref="A27:B27" ca="1">ODE_RK4(A26:B26,$C$10)</f>
        <v>1.0999999999999999</v>
      </c>
      <c r="B27" s="23">
        <f ca="1"/>
        <v>0.8912041137011516</v>
      </c>
      <c r="D27" s="3">
        <f t="shared" si="0"/>
        <v>1.0999999999999999</v>
      </c>
      <c r="E27" s="7">
        <v>-1.0236533480914201</v>
      </c>
      <c r="F27" s="5">
        <v>-1.004477720069769</v>
      </c>
      <c r="G27" s="5">
        <v>-0.99542468859793576</v>
      </c>
      <c r="H27" s="5">
        <v>-0.96934102582473791</v>
      </c>
      <c r="I27" s="5">
        <v>-0.8601845563029582</v>
      </c>
      <c r="J27" s="5">
        <v>-1</v>
      </c>
      <c r="K27" s="5">
        <v>0.17184552249850243</v>
      </c>
      <c r="L27" s="5">
        <v>0.44080756468601495</v>
      </c>
      <c r="M27" s="5">
        <v>0.63536594895502896</v>
      </c>
      <c r="N27" s="5">
        <v>0.78248085487061458</v>
      </c>
      <c r="O27" s="5">
        <v>0.8912041137011516</v>
      </c>
      <c r="P27" s="5">
        <v>0.96390759290404904</v>
      </c>
      <c r="Q27" s="5">
        <v>0.99770044873288566</v>
      </c>
      <c r="R27" s="5">
        <v>1.0253510972036584</v>
      </c>
      <c r="S27" s="5">
        <v>1.1276421282442024</v>
      </c>
      <c r="T27" s="5">
        <v>1</v>
      </c>
      <c r="U27" s="5">
        <v>2.8881778729943646</v>
      </c>
      <c r="V27" s="5">
        <v>3.6445795227020175</v>
      </c>
      <c r="W27" s="5">
        <v>4.3378454957476853</v>
      </c>
      <c r="X27" s="5">
        <v>5.0023403859010793</v>
      </c>
      <c r="Y27" s="4">
        <v>5.6504392329258151</v>
      </c>
    </row>
    <row r="28" spans="1:25" hidden="1" x14ac:dyDescent="0.25">
      <c r="A28" s="22">
        <f t="array" aca="1" ref="A28:B28" ca="1">ODE_RK4(A27:B27,$C$10)</f>
        <v>1.2</v>
      </c>
      <c r="B28" s="23">
        <f ca="1"/>
        <v>0.93203310243884618</v>
      </c>
      <c r="D28" s="3">
        <f t="shared" si="0"/>
        <v>1.2</v>
      </c>
      <c r="E28" s="7">
        <v>-1.0069418970232604</v>
      </c>
      <c r="F28" s="5">
        <v>-0.99798076705943994</v>
      </c>
      <c r="G28" s="5">
        <v>-0.98097942793326953</v>
      </c>
      <c r="H28" s="5">
        <v>-0.93997559524528385</v>
      </c>
      <c r="I28" s="5">
        <v>-0.80497486104669236</v>
      </c>
      <c r="J28" s="5">
        <v>-1</v>
      </c>
      <c r="K28" s="5">
        <v>0.26933525517440837</v>
      </c>
      <c r="L28" s="5">
        <v>0.52821589557596937</v>
      </c>
      <c r="M28" s="5">
        <v>0.70928395682512491</v>
      </c>
      <c r="N28" s="5">
        <v>0.84073457685209596</v>
      </c>
      <c r="O28" s="5">
        <v>0.93203310243884618</v>
      </c>
      <c r="P28" s="5">
        <v>0.98564163245679581</v>
      </c>
      <c r="Q28" s="5">
        <v>1.0015664060096621</v>
      </c>
      <c r="R28" s="5">
        <v>1.0531677525606349</v>
      </c>
      <c r="S28" s="5">
        <v>1.1854831786588107</v>
      </c>
      <c r="T28" s="5">
        <v>1</v>
      </c>
      <c r="U28" s="5">
        <v>3.1740356140442341</v>
      </c>
      <c r="V28" s="5">
        <v>4.0138721775134263</v>
      </c>
      <c r="W28" s="5">
        <v>4.782356969911441</v>
      </c>
      <c r="X28" s="5">
        <v>5.5183265769629175</v>
      </c>
      <c r="Y28" s="4">
        <v>6.2357664529257395</v>
      </c>
    </row>
    <row r="29" spans="1:25" hidden="1" x14ac:dyDescent="0.25">
      <c r="A29" s="22">
        <f t="array" aca="1" ref="A29:B29" ca="1">ODE_RK4(A28:B28,$C$10)</f>
        <v>1.3</v>
      </c>
      <c r="B29" s="23">
        <f ca="1"/>
        <v>0.96354537425127851</v>
      </c>
      <c r="D29" s="3">
        <f t="shared" si="0"/>
        <v>1.3</v>
      </c>
      <c r="E29" s="7">
        <v>-0.99900251932326045</v>
      </c>
      <c r="F29" s="5">
        <v>-0.98678979888102669</v>
      </c>
      <c r="G29" s="5">
        <v>-0.95671451073666836</v>
      </c>
      <c r="H29" s="5">
        <v>-0.90121570944941642</v>
      </c>
      <c r="I29" s="5">
        <v>-0.7417218491525307</v>
      </c>
      <c r="J29" s="5">
        <v>-1</v>
      </c>
      <c r="K29" s="5">
        <v>0.36413386677671439</v>
      </c>
      <c r="L29" s="5">
        <v>0.61034641978300186</v>
      </c>
      <c r="M29" s="5">
        <v>0.77611487533354251</v>
      </c>
      <c r="N29" s="5">
        <v>0.89058733794730871</v>
      </c>
      <c r="O29" s="5">
        <v>0.96354537425127851</v>
      </c>
      <c r="P29" s="5">
        <v>0.99727513118927202</v>
      </c>
      <c r="Q29" s="5">
        <v>1.01201946953389</v>
      </c>
      <c r="R29" s="5">
        <v>1.0915278814634715</v>
      </c>
      <c r="S29" s="5">
        <v>1.2551892177461579</v>
      </c>
      <c r="T29" s="5">
        <v>1</v>
      </c>
      <c r="U29" s="5">
        <v>3.4916601233190772</v>
      </c>
      <c r="V29" s="5">
        <v>4.4233369533179054</v>
      </c>
      <c r="W29" s="5">
        <v>5.2747318070226061</v>
      </c>
      <c r="X29" s="5">
        <v>6.0895419506988508</v>
      </c>
      <c r="Y29" s="4">
        <v>6.8835032239068958</v>
      </c>
    </row>
    <row r="30" spans="1:25" hidden="1" x14ac:dyDescent="0.25">
      <c r="A30" s="22">
        <f t="array" aca="1" ref="A30:B30" ca="1">ODE_RK4(A29:B29,$C$10)</f>
        <v>1.4000000000000001</v>
      </c>
      <c r="B30" s="23">
        <f ca="1"/>
        <v>0.98541241488350495</v>
      </c>
      <c r="D30" s="3">
        <f t="shared" si="0"/>
        <v>1.4000000000000001</v>
      </c>
      <c r="E30" s="7">
        <v>-0.98978271772532722</v>
      </c>
      <c r="F30" s="5">
        <v>-0.96570875611921214</v>
      </c>
      <c r="G30" s="5">
        <v>-0.92288587696647661</v>
      </c>
      <c r="H30" s="5">
        <v>-0.85345016326907663</v>
      </c>
      <c r="I30" s="5">
        <v>-0.6710576423122897</v>
      </c>
      <c r="J30" s="5">
        <v>-1</v>
      </c>
      <c r="K30" s="5">
        <v>0.45529415298780562</v>
      </c>
      <c r="L30" s="5">
        <v>0.68637848582312133</v>
      </c>
      <c r="M30" s="5">
        <v>0.83519082193911998</v>
      </c>
      <c r="N30" s="5">
        <v>0.93154021935412912</v>
      </c>
      <c r="O30" s="5">
        <v>0.98541241488350495</v>
      </c>
      <c r="P30" s="5">
        <v>1.0015944028971611</v>
      </c>
      <c r="Q30" s="5">
        <v>1.0326344706750115</v>
      </c>
      <c r="R30" s="5">
        <v>1.1408134887131494</v>
      </c>
      <c r="S30" s="5">
        <v>1.337457750901901</v>
      </c>
      <c r="T30" s="5">
        <v>1</v>
      </c>
      <c r="U30" s="5">
        <v>3.8442302883096127</v>
      </c>
      <c r="V30" s="5">
        <v>4.8770719047150619</v>
      </c>
      <c r="W30" s="5">
        <v>5.8198978522607323</v>
      </c>
      <c r="X30" s="5">
        <v>6.721703413711106</v>
      </c>
      <c r="Y30" s="4">
        <v>7.6001323031836225</v>
      </c>
    </row>
    <row r="31" spans="1:25" hidden="1" x14ac:dyDescent="0.25">
      <c r="A31" s="22">
        <f t="array" aca="1" ref="A31:B31" ca="1">ODE_RK4(A30:B30,$C$10)</f>
        <v>1.5000000000000002</v>
      </c>
      <c r="B31" s="23">
        <f ca="1"/>
        <v>0.99719660748326699</v>
      </c>
      <c r="D31" s="6">
        <f t="shared" si="0"/>
        <v>1.5000000000000002</v>
      </c>
      <c r="E31" s="5">
        <v>-0.97063297492055989</v>
      </c>
      <c r="F31" s="5">
        <v>-0.93497184872308303</v>
      </c>
      <c r="G31" s="5">
        <v>-0.87983447176426344</v>
      </c>
      <c r="H31" s="5">
        <v>-0.79715674676969306</v>
      </c>
      <c r="I31" s="5">
        <v>-0.59368835601471215</v>
      </c>
      <c r="J31" s="5">
        <v>-1</v>
      </c>
      <c r="K31" s="5">
        <v>0.54190525819590352</v>
      </c>
      <c r="L31" s="5">
        <v>0.75555235224373218</v>
      </c>
      <c r="M31" s="5">
        <v>0.8859212444065756</v>
      </c>
      <c r="N31" s="5">
        <v>0.96318137612762178</v>
      </c>
      <c r="O31" s="5">
        <v>0.99719660748326699</v>
      </c>
      <c r="P31" s="5">
        <v>1.0120997603548492</v>
      </c>
      <c r="Q31" s="5">
        <v>1.063591607467675</v>
      </c>
      <c r="R31" s="5">
        <v>1.2015172193211276</v>
      </c>
      <c r="S31" s="5">
        <v>1.4331120813519362</v>
      </c>
      <c r="T31" s="5">
        <v>1</v>
      </c>
      <c r="U31" s="5">
        <v>4.235274743973009</v>
      </c>
      <c r="V31" s="5">
        <v>5.3796181564798786</v>
      </c>
      <c r="W31" s="5">
        <v>6.4233113021814159</v>
      </c>
      <c r="X31" s="5">
        <v>7.4211378406321025</v>
      </c>
      <c r="Y31" s="4">
        <v>8.3928259444025866</v>
      </c>
    </row>
    <row r="32" spans="1:25" hidden="1" x14ac:dyDescent="0.25">
      <c r="A32" s="22">
        <f t="array" aca="1" ref="A32:B32" ca="1">ODE_RK4(A31:B31,$C$10)</f>
        <v>1.6000000000000003</v>
      </c>
      <c r="B32" s="23">
        <f ca="1"/>
        <v>1.0017302601745603</v>
      </c>
      <c r="D32" s="3">
        <f t="shared" si="0"/>
        <v>1.6000000000000003</v>
      </c>
      <c r="E32" s="5">
        <v>-0.94177609597638545</v>
      </c>
      <c r="F32" s="5">
        <v>-0.89489082429972377</v>
      </c>
      <c r="G32" s="5">
        <v>-0.82799135236569432</v>
      </c>
      <c r="H32" s="5">
        <v>-0.73289815020525761</v>
      </c>
      <c r="I32" s="5">
        <v>-0.51038707364733837</v>
      </c>
      <c r="J32" s="5">
        <v>-1</v>
      </c>
      <c r="K32" s="5">
        <v>0.62310177324426208</v>
      </c>
      <c r="L32" s="5">
        <v>0.81717675292256198</v>
      </c>
      <c r="M32" s="5">
        <v>0.9277985357014964</v>
      </c>
      <c r="N32" s="5">
        <v>0.98518136243899368</v>
      </c>
      <c r="O32" s="5">
        <v>1.0017302601745603</v>
      </c>
      <c r="P32" s="5">
        <v>1.0327676003897521</v>
      </c>
      <c r="Q32" s="5">
        <v>1.1051957002172688</v>
      </c>
      <c r="R32" s="5">
        <v>1.2742463691711625</v>
      </c>
      <c r="S32" s="5">
        <v>1.543109512633162</v>
      </c>
      <c r="T32" s="5">
        <v>1</v>
      </c>
      <c r="U32" s="5">
        <v>4.6687071884034657</v>
      </c>
      <c r="V32" s="5">
        <v>5.9360053525795875</v>
      </c>
      <c r="W32" s="5">
        <v>7.0910113120726166</v>
      </c>
      <c r="X32" s="5">
        <v>8.1948453955096312</v>
      </c>
      <c r="Y32" s="4">
        <v>9.269517679754113</v>
      </c>
    </row>
    <row r="33" spans="1:25" hidden="1" x14ac:dyDescent="0.25">
      <c r="A33" s="22">
        <f t="array" aca="1" ref="A33:B33" ca="1">ODE_RK4(A32:B32,$C$10)</f>
        <v>1.7000000000000004</v>
      </c>
      <c r="B33" s="23">
        <f ca="1"/>
        <v>1.0124825978334222</v>
      </c>
      <c r="D33" s="3">
        <f t="shared" si="0"/>
        <v>1.7000000000000004</v>
      </c>
      <c r="E33" s="5">
        <v>-0.90350662848379792</v>
      </c>
      <c r="F33" s="5">
        <v>-0.84586744668380809</v>
      </c>
      <c r="G33" s="5">
        <v>-0.76787486641021296</v>
      </c>
      <c r="H33" s="5">
        <v>-0.66131653259942025</v>
      </c>
      <c r="I33" s="5">
        <v>-0.42198613505991056</v>
      </c>
      <c r="J33" s="5">
        <v>-1</v>
      </c>
      <c r="K33" s="5">
        <v>0.69807237611795558</v>
      </c>
      <c r="L33" s="5">
        <v>0.8706357385444311</v>
      </c>
      <c r="M33" s="5">
        <v>0.96040195205011802</v>
      </c>
      <c r="N33" s="5">
        <v>0.99711473658808825</v>
      </c>
      <c r="O33" s="5">
        <v>1.0124825978334222</v>
      </c>
      <c r="P33" s="5">
        <v>1.0637788580158827</v>
      </c>
      <c r="Q33" s="5">
        <v>1.15786180694833</v>
      </c>
      <c r="R33" s="5">
        <v>1.3597287224564953</v>
      </c>
      <c r="S33" s="5">
        <v>1.6685509139792294</v>
      </c>
      <c r="T33" s="5">
        <v>1</v>
      </c>
      <c r="U33" s="5">
        <v>5.1488655523505278</v>
      </c>
      <c r="V33" s="5">
        <v>6.5518019944521102</v>
      </c>
      <c r="W33" s="5">
        <v>7.8296804377514633</v>
      </c>
      <c r="X33" s="5">
        <v>9.0505695916899889</v>
      </c>
      <c r="Y33" s="4">
        <v>10.238981721304361</v>
      </c>
    </row>
    <row r="34" spans="1:25" hidden="1" x14ac:dyDescent="0.25">
      <c r="A34" s="22">
        <f t="array" aca="1" ref="A34:B34" ca="1">ODE_RK4(A33:B33,$C$10)</f>
        <v>1.8000000000000005</v>
      </c>
      <c r="B34" s="23">
        <f ca="1"/>
        <v>1.0334000403284636</v>
      </c>
      <c r="D34" s="3">
        <f t="shared" si="0"/>
        <v>1.8000000000000005</v>
      </c>
      <c r="E34" s="5">
        <v>-0.8562085651706951</v>
      </c>
      <c r="F34" s="5">
        <v>-0.78839200712120294</v>
      </c>
      <c r="G34" s="5">
        <v>-0.70008583533587299</v>
      </c>
      <c r="H34" s="5">
        <v>-0.58312717121855195</v>
      </c>
      <c r="I34" s="5">
        <v>-0.32936882637249981</v>
      </c>
      <c r="J34" s="5">
        <v>-1</v>
      </c>
      <c r="K34" s="5">
        <v>0.76606792546857827</v>
      </c>
      <c r="L34" s="5">
        <v>0.91539463732701754</v>
      </c>
      <c r="M34" s="5">
        <v>0.9833947645450507</v>
      </c>
      <c r="N34" s="5">
        <v>1.0018365397491964</v>
      </c>
      <c r="O34" s="5">
        <v>1.0334000403284636</v>
      </c>
      <c r="P34" s="5">
        <v>1.1054389339140642</v>
      </c>
      <c r="Q34" s="5">
        <v>1.222116564927751</v>
      </c>
      <c r="R34" s="5">
        <v>1.4588197572261907</v>
      </c>
      <c r="S34" s="5">
        <v>1.8106917309913944</v>
      </c>
      <c r="T34" s="5">
        <v>1</v>
      </c>
      <c r="U34" s="5">
        <v>5.6805554146021864</v>
      </c>
      <c r="V34" s="5">
        <v>7.2331711723462364</v>
      </c>
      <c r="W34" s="5">
        <v>8.6467115167217035</v>
      </c>
      <c r="X34" s="5">
        <v>9.9968747913804012</v>
      </c>
      <c r="Y34" s="4">
        <v>11.310920776122066</v>
      </c>
    </row>
    <row r="35" spans="1:25" hidden="1" x14ac:dyDescent="0.25">
      <c r="A35" s="22">
        <f t="array" aca="1" ref="A35:B35" ca="1">ODE_RK4(A34:B34,$C$10)</f>
        <v>1.9000000000000006</v>
      </c>
      <c r="B35" s="23">
        <f ca="1"/>
        <v>1.0646669974752279</v>
      </c>
      <c r="D35" s="3">
        <f t="shared" si="0"/>
        <v>1.9000000000000006</v>
      </c>
      <c r="E35" s="5">
        <v>-0.80035505268575025</v>
      </c>
      <c r="F35" s="5">
        <v>-0.72303898237872799</v>
      </c>
      <c r="G35" s="5">
        <v>-0.62530166427647349</v>
      </c>
      <c r="H35" s="5">
        <v>-0.49911134099574905</v>
      </c>
      <c r="I35" s="5">
        <v>-0.23346055775988897</v>
      </c>
      <c r="J35" s="5">
        <v>-1</v>
      </c>
      <c r="K35" s="5">
        <v>0.82640891605959221</v>
      </c>
      <c r="L35" s="5">
        <v>0.95100468394745108</v>
      </c>
      <c r="M35" s="5">
        <v>0.99641219051774332</v>
      </c>
      <c r="N35" s="5">
        <v>1.0127748916918657</v>
      </c>
      <c r="O35" s="5">
        <v>1.0646669974752279</v>
      </c>
      <c r="P35" s="5">
        <v>1.1581634544276296</v>
      </c>
      <c r="Q35" s="5">
        <v>1.298602864166416</v>
      </c>
      <c r="R35" s="5">
        <v>1.572511177429079</v>
      </c>
      <c r="S35" s="5">
        <v>1.9709545469742067</v>
      </c>
      <c r="T35" s="5">
        <v>1</v>
      </c>
      <c r="U35" s="5">
        <v>6.2690980977452089</v>
      </c>
      <c r="V35" s="5">
        <v>7.9869322474996762</v>
      </c>
      <c r="W35" s="5">
        <v>9.5502816580593652</v>
      </c>
      <c r="X35" s="5">
        <v>11.043231920530914</v>
      </c>
      <c r="Y35" s="4">
        <v>12.496063154081609</v>
      </c>
    </row>
    <row r="36" spans="1:25" hidden="1" x14ac:dyDescent="0.25">
      <c r="A36" s="22">
        <f t="array" aca="1" ref="A36:B36" ca="1">ODE_RK4(A35:B35,$C$10)</f>
        <v>2.0000000000000004</v>
      </c>
      <c r="B36" s="23">
        <f ca="1"/>
        <v>1.1065916072330533</v>
      </c>
      <c r="D36" s="3">
        <f t="shared" si="0"/>
        <v>2.0000000000000004</v>
      </c>
      <c r="E36" s="5">
        <v>-0.73650439558826919</v>
      </c>
      <c r="F36" s="5">
        <v>-0.65046145666627442</v>
      </c>
      <c r="G36" s="5">
        <v>-0.54426961564146037</v>
      </c>
      <c r="H36" s="5">
        <v>-0.41010852001806153</v>
      </c>
      <c r="I36" s="5">
        <v>-0.13521961891603082</v>
      </c>
      <c r="J36" s="5">
        <v>-1</v>
      </c>
      <c r="K36" s="5">
        <v>0.87849219106568532</v>
      </c>
      <c r="L36" s="5">
        <v>0.97710379128314917</v>
      </c>
      <c r="M36" s="5">
        <v>1.0021694514295356</v>
      </c>
      <c r="N36" s="5">
        <v>1.0338803787611301</v>
      </c>
      <c r="O36" s="5">
        <v>1.1065916072330533</v>
      </c>
      <c r="P36" s="5">
        <v>1.2224796437210637</v>
      </c>
      <c r="Q36" s="5">
        <v>1.3880861133853628</v>
      </c>
      <c r="R36" s="5">
        <v>1.7019408254114388</v>
      </c>
      <c r="S36" s="5">
        <v>2.1509433187201092</v>
      </c>
      <c r="T36" s="5">
        <v>1</v>
      </c>
      <c r="U36" s="5">
        <v>6.9203839256587498</v>
      </c>
      <c r="V36" s="5">
        <v>8.8206291024893275</v>
      </c>
      <c r="W36" s="5">
        <v>10.549434081540767</v>
      </c>
      <c r="X36" s="5">
        <v>12.200113256897575</v>
      </c>
      <c r="Y36" s="4">
        <v>13.80627014022831</v>
      </c>
    </row>
    <row r="37" spans="1:25" hidden="1" x14ac:dyDescent="0.25">
      <c r="A37" s="22">
        <f t="array" aca="1" ref="A37:B37" ca="1">ODE_RK4(A36:B36,$C$10)</f>
        <v>2.1000000000000005</v>
      </c>
      <c r="B37" s="23">
        <f ca="1"/>
        <v>1.1595921805952996</v>
      </c>
      <c r="D37" s="3">
        <f t="shared" si="0"/>
        <v>2.1000000000000005</v>
      </c>
      <c r="E37" s="5">
        <v>-0.66529468090014388</v>
      </c>
      <c r="F37" s="5">
        <v>-0.57138465335643518</v>
      </c>
      <c r="G37" s="5">
        <v>-0.45779936045742203</v>
      </c>
      <c r="H37" s="5">
        <v>-0.31700800747923585</v>
      </c>
      <c r="I37" s="5">
        <v>-3.56276052806907E-2</v>
      </c>
      <c r="J37" s="5">
        <v>-1</v>
      </c>
      <c r="K37" s="5">
        <v>0.92179673348770541</v>
      </c>
      <c r="L37" s="5">
        <v>0.99338179724994768</v>
      </c>
      <c r="M37" s="5">
        <v>1.0136558489286738</v>
      </c>
      <c r="N37" s="5">
        <v>1.065340018746725</v>
      </c>
      <c r="O37" s="5">
        <v>1.1595921805952996</v>
      </c>
      <c r="P37" s="5">
        <v>1.2990310074290683</v>
      </c>
      <c r="Q37" s="5">
        <v>1.491461842708534</v>
      </c>
      <c r="R37" s="5">
        <v>1.8484040638024113</v>
      </c>
      <c r="S37" s="5">
        <v>2.3524594283739098</v>
      </c>
      <c r="T37" s="5">
        <v>1</v>
      </c>
      <c r="U37" s="5">
        <v>7.6409311757581406</v>
      </c>
      <c r="V37" s="5">
        <v>9.7426056428246834</v>
      </c>
      <c r="W37" s="5">
        <v>11.654168625084893</v>
      </c>
      <c r="X37" s="5">
        <v>13.479097239956076</v>
      </c>
      <c r="Y37" s="4">
        <v>15.254654706322901</v>
      </c>
    </row>
    <row r="38" spans="1:25" hidden="1" x14ac:dyDescent="0.25">
      <c r="A38" s="22">
        <f t="array" aca="1" ref="A38:B38" ca="1">ODE_RK4(A37:B37,$C$10)</f>
        <v>2.2000000000000006</v>
      </c>
      <c r="B38" s="23">
        <f ca="1"/>
        <v>1.2241987151109268</v>
      </c>
      <c r="D38" s="3">
        <f t="shared" si="0"/>
        <v>2.2000000000000006</v>
      </c>
      <c r="E38" s="5">
        <v>-0.5874374718112948</v>
      </c>
      <c r="F38" s="5">
        <v>-0.48659871201425314</v>
      </c>
      <c r="G38" s="5">
        <v>-0.36675489669629979</v>
      </c>
      <c r="H38" s="5">
        <v>-0.22074004113407991</v>
      </c>
      <c r="I38" s="5">
        <v>6.4320388955355717E-2</v>
      </c>
      <c r="J38" s="5">
        <v>-1</v>
      </c>
      <c r="K38" s="5">
        <v>0.95588796607742099</v>
      </c>
      <c r="L38" s="5">
        <v>1.0011256352291089</v>
      </c>
      <c r="M38" s="5">
        <v>1.0353156585434258</v>
      </c>
      <c r="N38" s="5">
        <v>1.1074640072573183</v>
      </c>
      <c r="O38" s="5">
        <v>1.2241987151109268</v>
      </c>
      <c r="P38" s="5">
        <v>1.3885836057862433</v>
      </c>
      <c r="Q38" s="5">
        <v>1.6097646435353863</v>
      </c>
      <c r="R38" s="5">
        <v>2.0133667368862964</v>
      </c>
      <c r="S38" s="5">
        <v>2.5775197116328772</v>
      </c>
      <c r="T38" s="5">
        <v>1</v>
      </c>
      <c r="U38" s="5">
        <v>8.4379513160010209</v>
      </c>
      <c r="V38" s="5">
        <v>10.762089305428203</v>
      </c>
      <c r="W38" s="5">
        <v>12.875541826337438</v>
      </c>
      <c r="X38" s="5">
        <v>14.892984351636992</v>
      </c>
      <c r="Y38" s="4">
        <v>16.855712749668342</v>
      </c>
    </row>
    <row r="39" spans="1:25" hidden="1" x14ac:dyDescent="0.25">
      <c r="A39" s="22">
        <f t="array" aca="1" ref="A39:B39" ca="1">ODE_RK4(A38:B38,$C$10)</f>
        <v>2.3000000000000007</v>
      </c>
      <c r="B39" s="23">
        <f ca="1"/>
        <v>1.3010576260054603</v>
      </c>
      <c r="D39" s="3">
        <f t="shared" si="0"/>
        <v>2.3000000000000007</v>
      </c>
      <c r="E39" s="5">
        <v>-0.50371072544095918</v>
      </c>
      <c r="F39" s="5">
        <v>-0.39695080411196998</v>
      </c>
      <c r="G39" s="5">
        <v>-0.27204592070879718</v>
      </c>
      <c r="H39" s="5">
        <v>-0.12226650440388342</v>
      </c>
      <c r="I39" s="5">
        <v>0.163625712874649</v>
      </c>
      <c r="J39" s="5">
        <v>-1</v>
      </c>
      <c r="K39" s="5">
        <v>0.98041700135312448</v>
      </c>
      <c r="L39" s="5">
        <v>1.0106766185072522</v>
      </c>
      <c r="M39" s="5">
        <v>1.0673435160637219</v>
      </c>
      <c r="N39" s="5">
        <v>1.1606726778603951</v>
      </c>
      <c r="O39" s="5">
        <v>1.3010576260054603</v>
      </c>
      <c r="P39" s="5">
        <v>1.4920336631351301</v>
      </c>
      <c r="Q39" s="5">
        <v>1.7441785129624034</v>
      </c>
      <c r="R39" s="5">
        <v>2.1984798396173288</v>
      </c>
      <c r="S39" s="5">
        <v>2.8283766425172421</v>
      </c>
      <c r="T39" s="5">
        <v>1</v>
      </c>
      <c r="U39" s="5">
        <v>9.3194211795681294</v>
      </c>
      <c r="V39" s="5">
        <v>11.889283409782072</v>
      </c>
      <c r="W39" s="5">
        <v>14.225777580045003</v>
      </c>
      <c r="X39" s="5">
        <v>16.455925227654095</v>
      </c>
      <c r="Y39" s="4">
        <v>18.625468172699172</v>
      </c>
    </row>
    <row r="40" spans="1:25" hidden="1" x14ac:dyDescent="0.25">
      <c r="A40" s="22">
        <f t="array" aca="1" ref="A40:B40" ca="1">ODE_RK4(A39:B39,$C$10)</f>
        <v>2.4000000000000008</v>
      </c>
      <c r="B40" s="23">
        <f ca="1"/>
        <v>1.3909380530721192</v>
      </c>
      <c r="D40" s="3">
        <f t="shared" si="0"/>
        <v>2.4000000000000008</v>
      </c>
      <c r="E40" s="5">
        <v>-0.41495103195856176</v>
      </c>
      <c r="F40" s="5">
        <v>-0.30333667358584376</v>
      </c>
      <c r="G40" s="5">
        <v>-0.1746187401498544</v>
      </c>
      <c r="H40" s="5">
        <v>-2.25713166332496E-2</v>
      </c>
      <c r="I40" s="5">
        <v>0.2612961364061222</v>
      </c>
      <c r="J40" s="5">
        <v>-1</v>
      </c>
      <c r="K40" s="5">
        <v>0.99505985095739435</v>
      </c>
      <c r="L40" s="5">
        <v>1.030380603793396</v>
      </c>
      <c r="M40" s="5">
        <v>1.1100556614654191</v>
      </c>
      <c r="N40" s="5">
        <v>1.2254981185699148</v>
      </c>
      <c r="O40" s="5">
        <v>1.3909380530721192</v>
      </c>
      <c r="P40" s="5">
        <v>1.6104165148490184</v>
      </c>
      <c r="Q40" s="5">
        <v>1.8960486987508083</v>
      </c>
      <c r="R40" s="5">
        <v>2.4055960403917758</v>
      </c>
      <c r="S40" s="5">
        <v>3.1075408766235895</v>
      </c>
      <c r="T40" s="5">
        <v>1</v>
      </c>
      <c r="U40" s="5">
        <v>10.294162799565727</v>
      </c>
      <c r="V40" s="5">
        <v>13.135469276021084</v>
      </c>
      <c r="W40" s="5">
        <v>15.718389478713842</v>
      </c>
      <c r="X40" s="5">
        <v>18.183562281604956</v>
      </c>
      <c r="Y40" s="4">
        <v>20.581633255336445</v>
      </c>
    </row>
    <row r="41" spans="1:25" hidden="1" x14ac:dyDescent="0.25">
      <c r="A41" s="22">
        <f t="array" aca="1" ref="A41:B41" ca="1">ODE_RK4(A40:B40,$C$10)</f>
        <v>2.5000000000000009</v>
      </c>
      <c r="B41" s="23">
        <f ca="1"/>
        <v>1.4947395023699299</v>
      </c>
      <c r="D41" s="3">
        <f t="shared" si="0"/>
        <v>2.5000000000000009</v>
      </c>
      <c r="E41" s="5">
        <v>-0.32204526160164559</v>
      </c>
      <c r="F41" s="5">
        <v>-0.20669168964813195</v>
      </c>
      <c r="G41" s="5">
        <v>-7.5446820155121247E-2</v>
      </c>
      <c r="H41" s="5">
        <v>7.7349397154151081E-2</v>
      </c>
      <c r="I41" s="5">
        <v>0.35635576361384463</v>
      </c>
      <c r="J41" s="5">
        <v>-1</v>
      </c>
      <c r="K41" s="5">
        <v>1.0017428288041041</v>
      </c>
      <c r="L41" s="5">
        <v>1.0604051101288117</v>
      </c>
      <c r="M41" s="5">
        <v>1.1638783908063588</v>
      </c>
      <c r="N41" s="5">
        <v>1.3025889382414801</v>
      </c>
      <c r="O41" s="5">
        <v>1.4947395023699299</v>
      </c>
      <c r="P41" s="5">
        <v>1.7449169592395755</v>
      </c>
      <c r="Q41" s="5">
        <v>2.0668951604989054</v>
      </c>
      <c r="R41" s="5">
        <v>2.6367882226104089</v>
      </c>
      <c r="S41" s="5">
        <v>3.4178063784248942</v>
      </c>
      <c r="T41" s="5">
        <v>1</v>
      </c>
      <c r="U41" s="5">
        <v>11.371931702760685</v>
      </c>
      <c r="V41" s="5">
        <v>14.513119132002139</v>
      </c>
      <c r="W41" s="5">
        <v>17.368316060977644</v>
      </c>
      <c r="X41" s="5">
        <v>20.093186259263213</v>
      </c>
      <c r="Y41" s="4">
        <v>22.743785925166183</v>
      </c>
    </row>
    <row r="42" spans="1:25" hidden="1" x14ac:dyDescent="0.25">
      <c r="A42" s="22">
        <f t="array" aca="1" ref="A42:B42" ca="1">ODE_RK4(A41:B41,$C$10)</f>
        <v>2.600000000000001</v>
      </c>
      <c r="B42" s="23">
        <f ca="1"/>
        <v>1.6135008264668178</v>
      </c>
      <c r="D42" s="3">
        <f t="shared" si="0"/>
        <v>2.600000000000001</v>
      </c>
      <c r="E42" s="5">
        <v>-0.22592170649820775</v>
      </c>
      <c r="F42" s="5">
        <v>-0.10798150249691651</v>
      </c>
      <c r="G42" s="5">
        <v>2.4478942305963564E-2</v>
      </c>
      <c r="H42" s="5">
        <v>0.17649725858866988</v>
      </c>
      <c r="I42" s="5">
        <v>0.44785478245736615</v>
      </c>
      <c r="J42" s="5">
        <v>-1</v>
      </c>
      <c r="K42" s="5">
        <v>1.0125174787720774</v>
      </c>
      <c r="L42" s="5">
        <v>1.1010448965110986</v>
      </c>
      <c r="M42" s="5">
        <v>1.2293499597471536</v>
      </c>
      <c r="N42" s="5">
        <v>1.392716598816035</v>
      </c>
      <c r="O42" s="5">
        <v>1.6135008264668178</v>
      </c>
      <c r="P42" s="5">
        <v>1.8968811105607981</v>
      </c>
      <c r="Q42" s="5">
        <v>2.2584277805248774</v>
      </c>
      <c r="R42" s="5">
        <v>2.8943702304338412</v>
      </c>
      <c r="S42" s="5">
        <v>3.7622783840673013</v>
      </c>
      <c r="T42" s="5">
        <v>1</v>
      </c>
      <c r="U42" s="5">
        <v>12.563514546020052</v>
      </c>
      <c r="V42" s="5">
        <v>16.036020939360458</v>
      </c>
      <c r="W42" s="5">
        <v>19.192070321283335</v>
      </c>
      <c r="X42" s="5">
        <v>22.203909289908033</v>
      </c>
      <c r="Y42" s="4">
        <v>25.133565699618103</v>
      </c>
    </row>
    <row r="43" spans="1:25" hidden="1" x14ac:dyDescent="0.25">
      <c r="A43" s="22">
        <f t="array" aca="1" ref="A43:B43" ca="1">ODE_RK4(A42:B42,$C$10)</f>
        <v>2.7000000000000011</v>
      </c>
      <c r="B43" s="23">
        <f ca="1"/>
        <v>1.7484106117357803</v>
      </c>
      <c r="D43" s="3">
        <f t="shared" si="0"/>
        <v>2.7000000000000011</v>
      </c>
      <c r="E43" s="5">
        <v>-0.12754080726109526</v>
      </c>
      <c r="F43" s="5">
        <v>-8.192395873997893E-3</v>
      </c>
      <c r="G43" s="5">
        <v>0.12416011847471971</v>
      </c>
      <c r="H43" s="5">
        <v>0.27388161079614526</v>
      </c>
      <c r="I43" s="5">
        <v>0.53487895327041868</v>
      </c>
      <c r="J43" s="5">
        <v>-1</v>
      </c>
      <c r="K43" s="5">
        <v>1.0334574745417291</v>
      </c>
      <c r="L43" s="5">
        <v>1.1527052218611882</v>
      </c>
      <c r="M43" s="5">
        <v>1.3071254516194166</v>
      </c>
      <c r="N43" s="5">
        <v>1.4967830812650269</v>
      </c>
      <c r="O43" s="5">
        <v>1.7484106117357803</v>
      </c>
      <c r="P43" s="5">
        <v>2.0678298688616663</v>
      </c>
      <c r="Q43" s="5">
        <v>2.4725634761412532</v>
      </c>
      <c r="R43" s="5">
        <v>3.1809200262723301</v>
      </c>
      <c r="S43" s="5">
        <v>4.1444044795055355</v>
      </c>
      <c r="T43" s="5">
        <v>1</v>
      </c>
      <c r="U43" s="5">
        <v>13.880837072631781</v>
      </c>
      <c r="V43" s="5">
        <v>17.719416387851634</v>
      </c>
      <c r="W43" s="5">
        <v>21.207904977235785</v>
      </c>
      <c r="X43" s="5">
        <v>24.536856166643993</v>
      </c>
      <c r="Y43" s="4">
        <v>27.77489026119683</v>
      </c>
    </row>
    <row r="44" spans="1:25" hidden="1" x14ac:dyDescent="0.25">
      <c r="A44" s="22">
        <f t="array" aca="1" ref="A44:B44" ca="1">ODE_RK4(A43:B43,$C$10)</f>
        <v>2.8000000000000012</v>
      </c>
      <c r="B44" s="23">
        <f ca="1"/>
        <v>1.9008190693522917</v>
      </c>
      <c r="D44" s="3">
        <f t="shared" si="0"/>
        <v>2.8000000000000012</v>
      </c>
      <c r="E44" s="5">
        <v>-2.7885557685650805E-2</v>
      </c>
      <c r="F44" s="5">
        <v>9.167856683273877E-2</v>
      </c>
      <c r="G44" s="5">
        <v>0.22260072316800139</v>
      </c>
      <c r="H44" s="5">
        <v>0.36852941593850141</v>
      </c>
      <c r="I44" s="5">
        <v>0.61655874048286685</v>
      </c>
      <c r="J44" s="5">
        <v>-1</v>
      </c>
      <c r="K44" s="5">
        <v>1.0647475392271772</v>
      </c>
      <c r="L44" s="5">
        <v>1.2159026158310959</v>
      </c>
      <c r="M44" s="5">
        <v>1.3979831840149259</v>
      </c>
      <c r="N44" s="5">
        <v>1.6158298909540474</v>
      </c>
      <c r="O44" s="5">
        <v>1.9008190693522917</v>
      </c>
      <c r="P44" s="5">
        <v>2.2594741402853624</v>
      </c>
      <c r="Q44" s="5">
        <v>2.7114453843174302</v>
      </c>
      <c r="R44" s="5">
        <v>3.4993054917287836</v>
      </c>
      <c r="S44" s="5">
        <v>4.5680091050055509</v>
      </c>
      <c r="T44" s="5">
        <v>1</v>
      </c>
      <c r="U44" s="5">
        <v>15.337083468967991</v>
      </c>
      <c r="V44" s="5">
        <v>19.580153439071132</v>
      </c>
      <c r="W44" s="5">
        <v>23.435995148649944</v>
      </c>
      <c r="X44" s="5">
        <v>27.115375770106127</v>
      </c>
      <c r="Y44" s="4">
        <v>30.694194833319916</v>
      </c>
    </row>
    <row r="45" spans="1:25" hidden="1" x14ac:dyDescent="0.25">
      <c r="A45" s="22">
        <f t="array" aca="1" ref="A45:B45" ca="1">ODE_RK4(A44:B44,$C$10)</f>
        <v>2.9000000000000012</v>
      </c>
      <c r="B45" s="23">
        <f ca="1"/>
        <v>2.072251546188451</v>
      </c>
      <c r="D45" s="3">
        <f t="shared" si="0"/>
        <v>2.9000000000000012</v>
      </c>
      <c r="E45" s="5">
        <v>7.2048316235033119E-2</v>
      </c>
      <c r="F45" s="5">
        <v>0.1906335043054912</v>
      </c>
      <c r="G45" s="5">
        <v>0.31881716565716928</v>
      </c>
      <c r="H45" s="5">
        <v>0.45949497635441305</v>
      </c>
      <c r="I45" s="5">
        <v>0.69207799488392274</v>
      </c>
      <c r="J45" s="5">
        <v>-1</v>
      </c>
      <c r="K45" s="5">
        <v>1.1066960577760097</v>
      </c>
      <c r="L45" s="5">
        <v>1.2912693715500803</v>
      </c>
      <c r="M45" s="5">
        <v>1.5028324461906049</v>
      </c>
      <c r="N45" s="5">
        <v>1.7510484716275045</v>
      </c>
      <c r="O45" s="5">
        <v>2.072251546188451</v>
      </c>
      <c r="P45" s="5">
        <v>2.4737319595926719</v>
      </c>
      <c r="Q45" s="5">
        <v>2.9774643105989504</v>
      </c>
      <c r="R45" s="5">
        <v>3.8527131301911162</v>
      </c>
      <c r="S45" s="5">
        <v>5.0373318313395306</v>
      </c>
      <c r="T45" s="5">
        <v>1</v>
      </c>
      <c r="U45" s="5">
        <v>16.946828316050457</v>
      </c>
      <c r="V45" s="5">
        <v>21.636854946257664</v>
      </c>
      <c r="W45" s="5">
        <v>25.898640276620995</v>
      </c>
      <c r="X45" s="5">
        <v>29.965274751546378</v>
      </c>
      <c r="Y45" s="4">
        <v>33.920696752512832</v>
      </c>
    </row>
    <row r="46" spans="1:25" hidden="1" x14ac:dyDescent="0.25">
      <c r="A46" s="22">
        <f t="array" aca="1" ref="A46:B46" ca="1">ODE_RK4(A45:B45,$C$10)</f>
        <v>3.0000000000000013</v>
      </c>
      <c r="B46" s="23">
        <f ca="1"/>
        <v>2.2644237896365653</v>
      </c>
      <c r="D46" s="3">
        <f t="shared" si="0"/>
        <v>3.0000000000000013</v>
      </c>
      <c r="E46" s="5">
        <v>0.17126230465283265</v>
      </c>
      <c r="F46" s="5">
        <v>0.28768368715962062</v>
      </c>
      <c r="G46" s="5">
        <v>0.41184807647079014</v>
      </c>
      <c r="H46" s="5">
        <v>0.54586938180342726</v>
      </c>
      <c r="I46" s="5">
        <v>0.76068209619012461</v>
      </c>
      <c r="J46" s="5">
        <v>-1</v>
      </c>
      <c r="K46" s="5">
        <v>1.1597215837591228</v>
      </c>
      <c r="L46" s="5">
        <v>1.3795596871094393</v>
      </c>
      <c r="M46" s="5">
        <v>1.6227225785732078</v>
      </c>
      <c r="N46" s="5">
        <v>1.9037921250637293</v>
      </c>
      <c r="O46" s="5">
        <v>2.2644237896365653</v>
      </c>
      <c r="P46" s="5">
        <v>2.7127476860094832</v>
      </c>
      <c r="Q46" s="5">
        <v>3.273282656877452</v>
      </c>
      <c r="R46" s="5">
        <v>4.2446799583221857</v>
      </c>
      <c r="S46" s="5">
        <v>5.5570697907491953</v>
      </c>
      <c r="T46" s="5">
        <v>1</v>
      </c>
      <c r="U46" s="5">
        <v>18.726182456631868</v>
      </c>
      <c r="V46" s="5">
        <v>23.910105037781491</v>
      </c>
      <c r="W46" s="5">
        <v>28.620487303483259</v>
      </c>
      <c r="X46" s="5">
        <v>33.115075814076754</v>
      </c>
      <c r="Y46" s="4">
        <v>37.486687884884361</v>
      </c>
    </row>
    <row r="47" spans="1:25" hidden="1" x14ac:dyDescent="0.25">
      <c r="A47" s="22">
        <f t="array" aca="1" ref="A47:B47" ca="1">ODE_RK4(A46:B46,$C$10)</f>
        <v>3.1000000000000014</v>
      </c>
      <c r="B47" s="23">
        <f ca="1"/>
        <v>2.4792591185954476</v>
      </c>
      <c r="D47" s="3">
        <f t="shared" si="0"/>
        <v>3.1000000000000014</v>
      </c>
      <c r="E47" s="5">
        <v>0.26876509002345095</v>
      </c>
      <c r="F47" s="5">
        <v>0.3818594161892428</v>
      </c>
      <c r="G47" s="5">
        <v>0.50076391167008871</v>
      </c>
      <c r="H47" s="5">
        <v>0.62678958768228688</v>
      </c>
      <c r="I47" s="5">
        <v>0.82168546534268505</v>
      </c>
      <c r="J47" s="5">
        <v>-1</v>
      </c>
      <c r="K47" s="5">
        <v>1.2243543653988267</v>
      </c>
      <c r="L47" s="5">
        <v>1.4816571506870353</v>
      </c>
      <c r="M47" s="5">
        <v>1.7588534655549335</v>
      </c>
      <c r="N47" s="5">
        <v>2.0755895529291859</v>
      </c>
      <c r="O47" s="5">
        <v>2.4792591185954476</v>
      </c>
      <c r="P47" s="5">
        <v>2.9789134643794877</v>
      </c>
      <c r="Q47" s="5">
        <v>3.6018610674469502</v>
      </c>
      <c r="R47" s="5">
        <v>4.6791289056175165</v>
      </c>
      <c r="S47" s="5">
        <v>6.132424687337231</v>
      </c>
      <c r="T47" s="5">
        <v>1</v>
      </c>
      <c r="U47" s="5">
        <v>20.692954237677359</v>
      </c>
      <c r="V47" s="5">
        <v>26.422655129703383</v>
      </c>
      <c r="W47" s="5">
        <v>31.628777347314518</v>
      </c>
      <c r="X47" s="5">
        <v>36.596303177030691</v>
      </c>
      <c r="Y47" s="4">
        <v>41.427857813480195</v>
      </c>
    </row>
    <row r="48" spans="1:25" hidden="1" x14ac:dyDescent="0.25">
      <c r="A48" s="22">
        <f t="array" aca="1" ref="A48:B48" ca="1">ODE_RK4(A47:B47,$C$10)</f>
        <v>3.2000000000000015</v>
      </c>
      <c r="B48" s="23">
        <f ca="1"/>
        <v>2.718907672208871</v>
      </c>
      <c r="D48" s="3">
        <f t="shared" si="0"/>
        <v>3.2000000000000015</v>
      </c>
      <c r="E48" s="5">
        <v>0.36358245126052902</v>
      </c>
      <c r="F48" s="5">
        <v>0.4722197100736229</v>
      </c>
      <c r="G48" s="5">
        <v>0.58467623813166347</v>
      </c>
      <c r="H48" s="5">
        <v>0.70144703187884017</v>
      </c>
      <c r="I48" s="5">
        <v>0.87447834377243683</v>
      </c>
      <c r="J48" s="5">
        <v>-1</v>
      </c>
      <c r="K48" s="5">
        <v>1.3012410809423083</v>
      </c>
      <c r="L48" s="5">
        <v>1.5985835590515824</v>
      </c>
      <c r="M48" s="5">
        <v>1.9125875397976231</v>
      </c>
      <c r="N48" s="5">
        <v>2.2681601551921222</v>
      </c>
      <c r="O48" s="5">
        <v>2.718907672208871</v>
      </c>
      <c r="P48" s="5">
        <v>3.27489316633867</v>
      </c>
      <c r="Q48" s="5">
        <v>3.9664880600049299</v>
      </c>
      <c r="R48" s="5">
        <v>5.1604080763146678</v>
      </c>
      <c r="S48" s="5">
        <v>6.7691548573799833</v>
      </c>
      <c r="T48" s="5">
        <v>1</v>
      </c>
      <c r="U48" s="5">
        <v>22.866827742012752</v>
      </c>
      <c r="V48" s="5">
        <v>29.199651629243977</v>
      </c>
      <c r="W48" s="5">
        <v>34.953618339783283</v>
      </c>
      <c r="X48" s="5">
        <v>40.443798080461512</v>
      </c>
      <c r="Y48" s="4">
        <v>45.783651031077468</v>
      </c>
    </row>
    <row r="49" spans="1:25" hidden="1" x14ac:dyDescent="0.25">
      <c r="A49" s="22">
        <f t="array" aca="1" ref="A49:B49" ca="1">ODE_RK4(A48:B48,$C$10)</f>
        <v>3.3000000000000016</v>
      </c>
      <c r="B49" s="23">
        <f ca="1"/>
        <v>2.9857679288687726</v>
      </c>
      <c r="D49" s="3">
        <f t="shared" si="0"/>
        <v>3.3000000000000016</v>
      </c>
      <c r="E49" s="5">
        <v>0.45476699672507059</v>
      </c>
      <c r="F49" s="5">
        <v>0.55786170534562896</v>
      </c>
      <c r="G49" s="5">
        <v>0.66274660600302038</v>
      </c>
      <c r="H49" s="5">
        <v>0.76909570023312757</v>
      </c>
      <c r="I49" s="5">
        <v>0.91853267328590527</v>
      </c>
      <c r="J49" s="5">
        <v>-1</v>
      </c>
      <c r="K49" s="5">
        <v>1.3911511485971242</v>
      </c>
      <c r="L49" s="5">
        <v>1.7315091332082404</v>
      </c>
      <c r="M49" s="5">
        <v>2.0854634155530642</v>
      </c>
      <c r="N49" s="5">
        <v>2.4834312376725394</v>
      </c>
      <c r="O49" s="5">
        <v>2.9857679288687726</v>
      </c>
      <c r="P49" s="5">
        <v>3.6036490510815122</v>
      </c>
      <c r="Q49" s="5">
        <v>4.3708129381406309</v>
      </c>
      <c r="R49" s="5">
        <v>5.6933342665960156</v>
      </c>
      <c r="S49" s="5">
        <v>7.4736329005964555</v>
      </c>
      <c r="T49" s="5">
        <v>1</v>
      </c>
      <c r="U49" s="5">
        <v>25.269559792938985</v>
      </c>
      <c r="V49" s="5">
        <v>32.268887608092882</v>
      </c>
      <c r="W49" s="5">
        <v>38.628286355986013</v>
      </c>
      <c r="X49" s="5">
        <v>44.696067487448182</v>
      </c>
      <c r="Y49" s="4">
        <v>50.597661713320313</v>
      </c>
    </row>
    <row r="50" spans="1:25" hidden="1" x14ac:dyDescent="0.25">
      <c r="A50" s="22">
        <f t="array" aca="1" ref="A50:B50" ca="1">ODE_RK4(A49:B49,$C$10)</f>
        <v>3.4000000000000017</v>
      </c>
      <c r="B50" s="23">
        <f ca="1"/>
        <v>3.2825107107798548</v>
      </c>
      <c r="D50" s="3">
        <f t="shared" si="0"/>
        <v>3.4000000000000017</v>
      </c>
      <c r="E50" s="5">
        <v>0.54140762844750423</v>
      </c>
      <c r="F50" s="5">
        <v>0.63792967387882493</v>
      </c>
      <c r="G50" s="5">
        <v>0.73419491724359498</v>
      </c>
      <c r="H50" s="5">
        <v>0.82905954946036342</v>
      </c>
      <c r="I50" s="5">
        <v>0.9534065720741246</v>
      </c>
      <c r="J50" s="5">
        <v>-1</v>
      </c>
      <c r="K50" s="5">
        <v>1.4949843711375796</v>
      </c>
      <c r="L50" s="5">
        <v>1.8817642251785847</v>
      </c>
      <c r="M50" s="5">
        <v>2.2792112863258356</v>
      </c>
      <c r="N50" s="5">
        <v>2.7235573006872054</v>
      </c>
      <c r="O50" s="5">
        <v>3.2825107107798548</v>
      </c>
      <c r="P50" s="5">
        <v>3.96847141252469</v>
      </c>
      <c r="Q50" s="5">
        <v>4.8188823147005637</v>
      </c>
      <c r="R50" s="5">
        <v>6.2832411726164761</v>
      </c>
      <c r="S50" s="5">
        <v>8.2529094591649503</v>
      </c>
      <c r="T50" s="5">
        <v>1</v>
      </c>
      <c r="U50" s="5">
        <v>27.9251977034981</v>
      </c>
      <c r="V50" s="5">
        <v>35.661080964384723</v>
      </c>
      <c r="W50" s="5">
        <v>42.689558652079967</v>
      </c>
      <c r="X50" s="5">
        <v>49.395669474132923</v>
      </c>
      <c r="Y50" s="4">
        <v>55.918070023212522</v>
      </c>
    </row>
    <row r="51" spans="1:25" hidden="1" x14ac:dyDescent="0.25">
      <c r="A51" s="22">
        <f t="array" aca="1" ref="A51:B51" ca="1">ODE_RK4(A50:B50,$C$10)</f>
        <v>3.5000000000000018</v>
      </c>
      <c r="B51" s="23">
        <f ca="1"/>
        <v>3.6121059142904972</v>
      </c>
      <c r="D51" s="3">
        <f t="shared" si="0"/>
        <v>3.5000000000000018</v>
      </c>
      <c r="E51" s="5">
        <v>0.62263864231015553</v>
      </c>
      <c r="F51" s="5">
        <v>0.71162356595578991</v>
      </c>
      <c r="G51" s="5">
        <v>0.79830720046567649</v>
      </c>
      <c r="H51" s="5">
        <v>0.88073918101909665</v>
      </c>
      <c r="I51" s="5">
        <v>0.97874443141075473</v>
      </c>
      <c r="J51" s="5">
        <v>-1</v>
      </c>
      <c r="K51" s="5">
        <v>1.613779919159863</v>
      </c>
      <c r="L51" s="5">
        <v>2.0508526299456502</v>
      </c>
      <c r="M51" s="5">
        <v>2.495770240470129</v>
      </c>
      <c r="N51" s="5">
        <v>2.990941601703283</v>
      </c>
      <c r="O51" s="5">
        <v>3.6121059142904972</v>
      </c>
      <c r="P51" s="5">
        <v>4.3730115095724305</v>
      </c>
      <c r="Q51" s="5">
        <v>5.3151806115633455</v>
      </c>
      <c r="R51" s="5">
        <v>6.9360327718358246</v>
      </c>
      <c r="S51" s="5">
        <v>9.1147837828076081</v>
      </c>
      <c r="T51" s="5">
        <v>1</v>
      </c>
      <c r="U51" s="5">
        <v>30.860319949695267</v>
      </c>
      <c r="V51" s="5">
        <v>39.410181857276427</v>
      </c>
      <c r="W51" s="5">
        <v>47.17808174385911</v>
      </c>
      <c r="X51" s="5">
        <v>54.589639164597727</v>
      </c>
      <c r="Y51" s="4">
        <v>61.798124313642703</v>
      </c>
    </row>
    <row r="52" spans="1:25" hidden="1" x14ac:dyDescent="0.25">
      <c r="A52" s="22">
        <f t="array" aca="1" ref="A52:B52" ca="1">ODE_RK4(A51:B51,$C$10)</f>
        <v>3.6000000000000019</v>
      </c>
      <c r="B52" s="23">
        <f ca="1"/>
        <v>3.9778522334922846</v>
      </c>
      <c r="D52" s="3">
        <f t="shared" si="0"/>
        <v>3.6000000000000019</v>
      </c>
      <c r="E52" s="5">
        <v>0.69764837170657801</v>
      </c>
      <c r="F52" s="5">
        <v>0.77820698905590413</v>
      </c>
      <c r="G52" s="5">
        <v>0.85444269684144714</v>
      </c>
      <c r="H52" s="5">
        <v>0.92361758100551028</v>
      </c>
      <c r="I52" s="5">
        <v>0.99423158681316892</v>
      </c>
      <c r="J52" s="5">
        <v>-1</v>
      </c>
      <c r="K52" s="5">
        <v>1.7487267215778726</v>
      </c>
      <c r="L52" s="5">
        <v>2.2404666344832118</v>
      </c>
      <c r="M52" s="5">
        <v>2.7373076677701822</v>
      </c>
      <c r="N52" s="5">
        <v>3.2882602077348864</v>
      </c>
      <c r="O52" s="5">
        <v>3.9778522334922846</v>
      </c>
      <c r="P52" s="5">
        <v>4.8213181090515178</v>
      </c>
      <c r="Q52" s="5">
        <v>5.86467494115508</v>
      </c>
      <c r="R52" s="5">
        <v>7.6582424119119539</v>
      </c>
      <c r="S52" s="5">
        <v>10.067881786180429</v>
      </c>
      <c r="T52" s="5">
        <v>1</v>
      </c>
      <c r="U52" s="5">
        <v>34.104302176411629</v>
      </c>
      <c r="V52" s="5">
        <v>43.553712491029543</v>
      </c>
      <c r="W52" s="5">
        <v>52.138778210121565</v>
      </c>
      <c r="X52" s="5">
        <v>60.329959473472726</v>
      </c>
      <c r="Y52" s="4">
        <v>68.296674053979388</v>
      </c>
    </row>
    <row r="53" spans="1:25" hidden="1" x14ac:dyDescent="0.25">
      <c r="A53" s="22">
        <f t="array" aca="1" ref="A53:B53" ca="1">ODE_RK4(A52:B52,$C$10)</f>
        <v>3.700000000000002</v>
      </c>
      <c r="B53" s="23">
        <f ca="1"/>
        <v>4.3834101745574969</v>
      </c>
      <c r="D53" s="3">
        <f t="shared" si="0"/>
        <v>3.700000000000002</v>
      </c>
      <c r="E53" s="5">
        <v>0.76568728456894442</v>
      </c>
      <c r="F53" s="5">
        <v>0.83701453034940909</v>
      </c>
      <c r="G53" s="5">
        <v>0.90204012824900448</v>
      </c>
      <c r="H53" s="5">
        <v>0.95726431301132531</v>
      </c>
      <c r="I53" s="5">
        <v>1.0014764417631932</v>
      </c>
      <c r="J53" s="5">
        <v>-1</v>
      </c>
      <c r="K53" s="5">
        <v>1.9011753600561503</v>
      </c>
      <c r="L53" s="5">
        <v>2.4525039538919815</v>
      </c>
      <c r="M53" s="5">
        <v>3.0062409511027846</v>
      </c>
      <c r="N53" s="5">
        <v>3.6184887781666091</v>
      </c>
      <c r="O53" s="5">
        <v>4.3834101745574969</v>
      </c>
      <c r="P53" s="5">
        <v>5.3178780070438973</v>
      </c>
      <c r="Q53" s="5">
        <v>6.4728648188915763</v>
      </c>
      <c r="R53" s="5">
        <v>8.4570981985348634</v>
      </c>
      <c r="S53" s="5">
        <v>11.121742379791854</v>
      </c>
      <c r="T53" s="5">
        <v>1</v>
      </c>
      <c r="U53" s="5">
        <v>37.689611198280488</v>
      </c>
      <c r="V53" s="5">
        <v>48.13314264926575</v>
      </c>
      <c r="W53" s="5">
        <v>57.621296292247131</v>
      </c>
      <c r="X53" s="5">
        <v>66.674081367619308</v>
      </c>
      <c r="Y53" s="4">
        <v>75.478758814436489</v>
      </c>
    </row>
    <row r="54" spans="1:25" x14ac:dyDescent="0.25">
      <c r="A54" s="22">
        <f t="array" aca="1" ref="A54:B54" ca="1">ODE_RK4(A53:B53,$C$10)</f>
        <v>3.800000000000002</v>
      </c>
      <c r="B54" s="23">
        <f ca="1"/>
        <v>4.8328386912240546</v>
      </c>
      <c r="D54" s="3">
        <f t="shared" si="0"/>
        <v>3.800000000000002</v>
      </c>
      <c r="E54" s="5">
        <v>0.82607544287299572</v>
      </c>
      <c r="F54" s="5">
        <v>0.88745831122817698</v>
      </c>
      <c r="G54" s="5">
        <v>0.94062284921556727</v>
      </c>
      <c r="H54" s="5">
        <v>0.98133421632599938</v>
      </c>
      <c r="I54" s="5">
        <v>1.0117579452994314</v>
      </c>
      <c r="J54" s="5">
        <v>-1</v>
      </c>
      <c r="K54" s="5">
        <v>2.0726515836154187</v>
      </c>
      <c r="L54" s="5">
        <v>2.6890867238590084</v>
      </c>
      <c r="M54" s="5">
        <v>3.3052616602096196</v>
      </c>
      <c r="N54" s="5">
        <v>3.984932346031929</v>
      </c>
      <c r="O54" s="5">
        <v>4.8328386912240546</v>
      </c>
      <c r="P54" s="5">
        <v>5.8676609341638768</v>
      </c>
      <c r="Q54" s="5">
        <v>7.1458372040839437</v>
      </c>
      <c r="R54" s="5">
        <v>9.3405953366232382</v>
      </c>
      <c r="S54" s="5">
        <v>12.286912938477252</v>
      </c>
      <c r="T54" s="5">
        <v>1</v>
      </c>
      <c r="U54" s="5">
        <v>41.65212993798184</v>
      </c>
      <c r="V54" s="5">
        <v>53.194304737862751</v>
      </c>
      <c r="W54" s="5">
        <v>63.680506789721711</v>
      </c>
      <c r="X54" s="5">
        <v>73.68549885383392</v>
      </c>
      <c r="Y54" s="4">
        <v>83.416259202953455</v>
      </c>
    </row>
    <row r="55" spans="1:25" x14ac:dyDescent="0.25">
      <c r="A55" s="22">
        <f t="array" aca="1" ref="A55:B55" ca="1">ODE_RK4(A54:B54,$C$10)</f>
        <v>3.9000000000000021</v>
      </c>
      <c r="B55" s="23">
        <f ca="1"/>
        <v>5.3306358080822136</v>
      </c>
      <c r="D55" s="3">
        <f t="shared" si="0"/>
        <v>3.9000000000000021</v>
      </c>
      <c r="E55" s="5">
        <v>0.87820921972798838</v>
      </c>
      <c r="F55" s="5">
        <v>0.92903356328833553</v>
      </c>
      <c r="G55" s="5">
        <v>0.9698015276478491</v>
      </c>
      <c r="H55" s="5">
        <v>0.99549507618445487</v>
      </c>
      <c r="I55" s="5">
        <v>1.0321996223808585</v>
      </c>
      <c r="J55" s="5">
        <v>-1</v>
      </c>
      <c r="K55" s="5">
        <v>2.2648715774827117</v>
      </c>
      <c r="L55" s="5">
        <v>2.9525827393771769</v>
      </c>
      <c r="M55" s="5">
        <v>3.6373624896796262</v>
      </c>
      <c r="N55" s="5">
        <v>4.3912583957932201</v>
      </c>
      <c r="O55" s="5">
        <v>5.3306358080822136</v>
      </c>
      <c r="P55" s="5">
        <v>6.4761692942040341</v>
      </c>
      <c r="Q55" s="5">
        <v>7.8903274201735556</v>
      </c>
      <c r="R55" s="5">
        <v>10.317576148897139</v>
      </c>
      <c r="S55" s="5">
        <v>13.575054862908241</v>
      </c>
      <c r="T55" s="5">
        <v>1</v>
      </c>
      <c r="U55" s="5">
        <v>46.031516554042021</v>
      </c>
      <c r="V55" s="5">
        <v>58.787852490373069</v>
      </c>
      <c r="W55" s="5">
        <v>70.377052224698389</v>
      </c>
      <c r="X55" s="5">
        <v>81.434384447233768</v>
      </c>
      <c r="Y55" s="4">
        <v>92.188616269375245</v>
      </c>
    </row>
    <row r="56" spans="1:25" ht="15.75" thickBot="1" x14ac:dyDescent="0.3">
      <c r="A56" s="24">
        <f t="array" aca="1" ref="A56:B56" ca="1">ODE_RK4(A55:B55,$C$10)</f>
        <v>4.0000000000000018</v>
      </c>
      <c r="B56" s="25">
        <f ca="1"/>
        <v>5.8817836382304236</v>
      </c>
      <c r="D56" s="3">
        <f t="shared" si="0"/>
        <v>4.0000000000000018</v>
      </c>
      <c r="E56" s="2">
        <v>0.9215670971743376</v>
      </c>
      <c r="F56" s="2">
        <v>0.96132245622174195</v>
      </c>
      <c r="G56" s="2">
        <v>0.989261941882841</v>
      </c>
      <c r="H56" s="2">
        <v>1.0019994119945113</v>
      </c>
      <c r="I56" s="2">
        <v>1.0629792516470502</v>
      </c>
      <c r="J56" s="2">
        <v>-1</v>
      </c>
      <c r="K56" s="2">
        <v>2.4797591384605675</v>
      </c>
      <c r="L56" s="2">
        <v>3.2456291522108982</v>
      </c>
      <c r="M56" s="2">
        <v>4.0058672107228066</v>
      </c>
      <c r="N56" s="2">
        <v>4.8415335686679022</v>
      </c>
      <c r="O56" s="2">
        <v>5.8817836382304236</v>
      </c>
      <c r="P56" s="2">
        <v>7.1494932339486255</v>
      </c>
      <c r="Q56" s="2">
        <v>8.7137865640049235</v>
      </c>
      <c r="R56" s="2">
        <v>11.397818572678061</v>
      </c>
      <c r="S56" s="2">
        <v>14.999060290630204</v>
      </c>
      <c r="T56" s="2">
        <v>1</v>
      </c>
      <c r="U56" s="2">
        <v>50.871601352404568</v>
      </c>
      <c r="V56" s="2">
        <v>64.969767926836639</v>
      </c>
      <c r="W56" s="2">
        <v>77.777953771810232</v>
      </c>
      <c r="X56" s="2">
        <v>89.998291480296018</v>
      </c>
      <c r="Y56" s="1">
        <v>101.88362657695995</v>
      </c>
    </row>
    <row r="57" spans="1:25" ht="15.75" thickTop="1" x14ac:dyDescent="0.25"/>
    <row r="58" spans="1:25" x14ac:dyDescent="0.25">
      <c r="D58" t="s">
        <v>41</v>
      </c>
    </row>
    <row r="59" spans="1:25" x14ac:dyDescent="0.25">
      <c r="E59" t="s">
        <v>42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Gráficos</vt:lpstr>
      </vt:variant>
      <vt:variant>
        <vt:i4>1</vt:i4>
      </vt:variant>
    </vt:vector>
  </HeadingPairs>
  <TitlesOfParts>
    <vt:vector size="2" baseType="lpstr">
      <vt:lpstr>edo - rk4 - família de soluções</vt:lpstr>
      <vt:lpstr>Gráf1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</dc:creator>
  <cp:lastModifiedBy>Gustavo Mirapalheta</cp:lastModifiedBy>
  <dcterms:created xsi:type="dcterms:W3CDTF">2011-02-13T18:04:38Z</dcterms:created>
  <dcterms:modified xsi:type="dcterms:W3CDTF">2021-12-02T11:02:13Z</dcterms:modified>
</cp:coreProperties>
</file>