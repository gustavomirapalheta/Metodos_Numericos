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Gustavo\Documents\Dropbox\Disciplinas\Métodos Numéricos\Planilhas\"/>
    </mc:Choice>
  </mc:AlternateContent>
  <bookViews>
    <workbookView xWindow="0" yWindow="120" windowWidth="19155" windowHeight="8475" firstSheet="7" activeTab="14"/>
  </bookViews>
  <sheets>
    <sheet name="matriz inversa" sheetId="10" r:id="rId1"/>
    <sheet name="Gauss Seidel explícito" sheetId="1" r:id="rId2"/>
    <sheet name="Gauss Seidel com iteração" sheetId="4" r:id="rId3"/>
    <sheet name="pivotamento via VBA" sheetId="5" r:id="rId4"/>
    <sheet name="treliça com solver" sheetId="6" r:id="rId5"/>
    <sheet name="treliça matriz inversa" sheetId="7" r:id="rId6"/>
    <sheet name="correntes com solver" sheetId="8" r:id="rId7"/>
    <sheet name="plano inclinado" sheetId="9" r:id="rId8"/>
    <sheet name="12.6" sheetId="11" r:id="rId9"/>
    <sheet name="12.14" sheetId="12" r:id="rId10"/>
    <sheet name="12.29" sheetId="13" r:id="rId11"/>
    <sheet name="12.36" sheetId="14" r:id="rId12"/>
    <sheet name="16.27" sheetId="15" r:id="rId13"/>
    <sheet name="16.4" sheetId="16" r:id="rId14"/>
    <sheet name="20.5" sheetId="17" r:id="rId15"/>
  </sheets>
  <functionGroups builtInGroupCount="18"/>
  <externalReferences>
    <externalReference r:id="rId16"/>
  </externalReferences>
  <definedNames>
    <definedName name="a_" localSheetId="7">'plano inclinado'!$B$1</definedName>
    <definedName name="a_">#REF!</definedName>
    <definedName name="b_">#REF!</definedName>
    <definedName name="Fa_">'treliça com solver'!$B$6</definedName>
    <definedName name="Fb_">'treliça com solver'!$B$7</definedName>
    <definedName name="Fc_">'treliça com solver'!$B$8</definedName>
    <definedName name="Fc1_">'plano inclinado'!$B$2</definedName>
    <definedName name="Fc2_">'plano inclinado'!$B$3</definedName>
    <definedName name="Fc3_">'plano inclinado'!$B$4</definedName>
    <definedName name="Fd_">'treliça com solver'!$B$9</definedName>
    <definedName name="Fe_">'treliça com solver'!$B$10</definedName>
    <definedName name="g_">'plano inclinado'!$B$6</definedName>
    <definedName name="h_">#REF!</definedName>
    <definedName name="i1_">'correntes com solver'!$B$1</definedName>
    <definedName name="i2_">'correntes com solver'!$B$2</definedName>
    <definedName name="i3_">'correntes com solver'!$B$3</definedName>
    <definedName name="i4_">'correntes com solver'!$B$4</definedName>
    <definedName name="Inicia_">#REF!</definedName>
    <definedName name="Inicio_">#REF!</definedName>
    <definedName name="L_">'[1]8_8'!$P$2</definedName>
    <definedName name="P_">#REF!</definedName>
    <definedName name="Pc_">#REF!</definedName>
    <definedName name="R_">#REF!</definedName>
    <definedName name="R_1x">'treliça com solver'!$B$2</definedName>
    <definedName name="R_1y">'treliça com solver'!$B$3</definedName>
    <definedName name="r_2">'[1]8_8'!$P$1</definedName>
    <definedName name="R_2x">'treliça com solver'!$B$4</definedName>
    <definedName name="R_2y">'treliça com solver'!$B$5</definedName>
    <definedName name="solver_adj" localSheetId="9" hidden="1">'12.14'!$C$15:$C$22</definedName>
    <definedName name="solver_adj" localSheetId="10" hidden="1">'12.29'!$C$8:$C$11</definedName>
    <definedName name="solver_adj" localSheetId="11" hidden="1">'12.36'!$I$6:$I$8</definedName>
    <definedName name="solver_adj" localSheetId="8" hidden="1">'12.6'!$I$6:$I$8</definedName>
    <definedName name="solver_adj" localSheetId="12" hidden="1">'16.27'!$B$6</definedName>
    <definedName name="solver_adj" localSheetId="13" hidden="1">'16.4'!$C$4:$E$4</definedName>
    <definedName name="solver_adj" localSheetId="14" hidden="1">'20.5'!$I$3:$I$5</definedName>
    <definedName name="solver_adj" localSheetId="6" hidden="1">'correntes com solver'!$B$1,'correntes com solver'!$B$3:$B$4</definedName>
    <definedName name="solver_adj" localSheetId="7" hidden="1">'plano inclinado'!$B$1:$B$4</definedName>
    <definedName name="solver_adj" localSheetId="4" hidden="1">'treliça com solver'!$B$3:$B$10</definedName>
    <definedName name="solver_adj" localSheetId="5" hidden="1">'treliça matriz inversa'!$E$11:$E$18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8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6" hidden="1">0.0001</definedName>
    <definedName name="solver_cvg" localSheetId="7" hidden="1">0.0001</definedName>
    <definedName name="solver_cvg" localSheetId="4" hidden="1">0.0001</definedName>
    <definedName name="solver_cvg" localSheetId="5" hidden="1">0.0001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8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6" hidden="1">1</definedName>
    <definedName name="solver_drv" localSheetId="7" hidden="1">1</definedName>
    <definedName name="solver_drv" localSheetId="4" hidden="1">1</definedName>
    <definedName name="solver_drv" localSheetId="5" hidden="1">1</definedName>
    <definedName name="solver_eng" localSheetId="7" hidden="1">2</definedName>
    <definedName name="solver_eng" localSheetId="5" hidden="1">2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8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6" hidden="1">1</definedName>
    <definedName name="solver_est" localSheetId="7" hidden="1">1</definedName>
    <definedName name="solver_est" localSheetId="4" hidden="1">1</definedName>
    <definedName name="solver_est" localSheetId="5" hidden="1">1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8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6" hidden="1">100</definedName>
    <definedName name="solver_itr" localSheetId="7" hidden="1">2147483647</definedName>
    <definedName name="solver_itr" localSheetId="4" hidden="1">100</definedName>
    <definedName name="solver_itr" localSheetId="5" hidden="1">2147483647</definedName>
    <definedName name="solver_lhs1" localSheetId="9" hidden="1">'12.14'!$H$5:$H$11</definedName>
    <definedName name="solver_lhs1" localSheetId="10" hidden="1">'12.29'!$F$3:$F$5</definedName>
    <definedName name="solver_lhs1" localSheetId="11" hidden="1">'12.36'!$H$13:$H$15</definedName>
    <definedName name="solver_lhs1" localSheetId="8" hidden="1">'12.6'!$B$9:$B$11</definedName>
    <definedName name="solver_lhs1" localSheetId="13" hidden="1">'16.4'!$F$4:$F$6</definedName>
    <definedName name="solver_lhs1" localSheetId="6" hidden="1">'correntes com solver'!$B$6</definedName>
    <definedName name="solver_lhs1" localSheetId="7" hidden="1">'plano inclinado'!$D$1:$D$4</definedName>
    <definedName name="solver_lhs1" localSheetId="4" hidden="1">'treliça com solver'!$D$3:$D$9</definedName>
    <definedName name="solver_lhs1" localSheetId="5" hidden="1">'treliça matriz inversa'!$G$11:$G$18</definedName>
    <definedName name="solver_lhs2" localSheetId="11" hidden="1">'12.36'!#REF!</definedName>
    <definedName name="solver_lhs2" localSheetId="6" hidden="1">'correntes com solver'!$B$7</definedName>
    <definedName name="solver_lhs3" localSheetId="6" hidden="1">'correntes com solver'!$B$8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8" hidden="1">1</definedName>
    <definedName name="solver_lin" localSheetId="12" hidden="1">2</definedName>
    <definedName name="solver_lin" localSheetId="13" hidden="1">1</definedName>
    <definedName name="solver_lin" localSheetId="14" hidden="1">2</definedName>
    <definedName name="solver_lin" localSheetId="6" hidden="1">1</definedName>
    <definedName name="solver_lin" localSheetId="4" hidden="1">1</definedName>
    <definedName name="solver_mip" localSheetId="7" hidden="1">2147483647</definedName>
    <definedName name="solver_mip" localSheetId="5" hidden="1">2147483647</definedName>
    <definedName name="solver_mni" localSheetId="7" hidden="1">30</definedName>
    <definedName name="solver_mni" localSheetId="5" hidden="1">30</definedName>
    <definedName name="solver_mrt" localSheetId="7" hidden="1">0.075</definedName>
    <definedName name="solver_mrt" localSheetId="5" hidden="1">0.075</definedName>
    <definedName name="solver_msl" localSheetId="7" hidden="1">2</definedName>
    <definedName name="solver_msl" localSheetId="5" hidden="1">2</definedName>
    <definedName name="solver_neg" localSheetId="9" hidden="1">2</definedName>
    <definedName name="solver_neg" localSheetId="10" hidden="1">2</definedName>
    <definedName name="solver_neg" localSheetId="11" hidden="1">2</definedName>
    <definedName name="solver_neg" localSheetId="8" hidden="1">1</definedName>
    <definedName name="solver_neg" localSheetId="12" hidden="1">2</definedName>
    <definedName name="solver_neg" localSheetId="13" hidden="1">1</definedName>
    <definedName name="solver_neg" localSheetId="14" hidden="1">2</definedName>
    <definedName name="solver_neg" localSheetId="6" hidden="1">2</definedName>
    <definedName name="solver_neg" localSheetId="7" hidden="1">2</definedName>
    <definedName name="solver_neg" localSheetId="4" hidden="1">2</definedName>
    <definedName name="solver_neg" localSheetId="5" hidden="1">2</definedName>
    <definedName name="solver_nod" localSheetId="7" hidden="1">2147483647</definedName>
    <definedName name="solver_nod" localSheetId="5" hidden="1">2147483647</definedName>
    <definedName name="solver_num" localSheetId="9" hidden="1">1</definedName>
    <definedName name="solver_num" localSheetId="10" hidden="1">1</definedName>
    <definedName name="solver_num" localSheetId="11" hidden="1">1</definedName>
    <definedName name="solver_num" localSheetId="8" hidden="1">1</definedName>
    <definedName name="solver_num" localSheetId="12" hidden="1">0</definedName>
    <definedName name="solver_num" localSheetId="13" hidden="1">1</definedName>
    <definedName name="solver_num" localSheetId="14" hidden="1">0</definedName>
    <definedName name="solver_num" localSheetId="6" hidden="1">3</definedName>
    <definedName name="solver_num" localSheetId="7" hidden="1">1</definedName>
    <definedName name="solver_num" localSheetId="4" hidden="1">1</definedName>
    <definedName name="solver_num" localSheetId="5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8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6" hidden="1">1</definedName>
    <definedName name="solver_nwt" localSheetId="7" hidden="1">1</definedName>
    <definedName name="solver_nwt" localSheetId="4" hidden="1">1</definedName>
    <definedName name="solver_nwt" localSheetId="5" hidden="1">1</definedName>
    <definedName name="solver_opt" localSheetId="9" hidden="1">'12.14'!$H$12</definedName>
    <definedName name="solver_opt" localSheetId="10" hidden="1">'12.29'!$F$6</definedName>
    <definedName name="solver_opt" localSheetId="11" hidden="1">'12.36'!$H$16</definedName>
    <definedName name="solver_opt" localSheetId="8" hidden="1">'12.6'!$D$11</definedName>
    <definedName name="solver_opt" localSheetId="12" hidden="1">'16.27'!$C$6</definedName>
    <definedName name="solver_opt" localSheetId="13" hidden="1">'16.4'!$F$7</definedName>
    <definedName name="solver_opt" localSheetId="14" hidden="1">'20.5'!$E$22</definedName>
    <definedName name="solver_opt" localSheetId="6" hidden="1">'correntes com solver'!$B$8</definedName>
    <definedName name="solver_opt" localSheetId="7" hidden="1">'plano inclinado'!$B$1</definedName>
    <definedName name="solver_opt" localSheetId="4" hidden="1">'treliça com solver'!$D$2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8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6" hidden="1">0.000001</definedName>
    <definedName name="solver_pre" localSheetId="7" hidden="1">0.000001</definedName>
    <definedName name="solver_pre" localSheetId="4" hidden="1">0.000001</definedName>
    <definedName name="solver_pre" localSheetId="5" hidden="1">0.000001</definedName>
    <definedName name="solver_rbv" localSheetId="7" hidden="1">1</definedName>
    <definedName name="solver_rbv" localSheetId="5" hidden="1">1</definedName>
    <definedName name="solver_rel1" localSheetId="9" hidden="1">2</definedName>
    <definedName name="solver_rel1" localSheetId="10" hidden="1">2</definedName>
    <definedName name="solver_rel1" localSheetId="11" hidden="1">2</definedName>
    <definedName name="solver_rel1" localSheetId="8" hidden="1">2</definedName>
    <definedName name="solver_rel1" localSheetId="13" hidden="1">1</definedName>
    <definedName name="solver_rel1" localSheetId="6" hidden="1">2</definedName>
    <definedName name="solver_rel1" localSheetId="7" hidden="1">2</definedName>
    <definedName name="solver_rel1" localSheetId="4" hidden="1">2</definedName>
    <definedName name="solver_rel1" localSheetId="5" hidden="1">2</definedName>
    <definedName name="solver_rel2" localSheetId="11" hidden="1">2</definedName>
    <definedName name="solver_rel2" localSheetId="6" hidden="1">2</definedName>
    <definedName name="solver_rel3" localSheetId="6" hidden="1">2</definedName>
    <definedName name="solver_rhs1" localSheetId="9" hidden="1">'12.14'!$J$5:$J$11</definedName>
    <definedName name="solver_rhs1" localSheetId="10" hidden="1">'12.29'!$H$3:$H$5</definedName>
    <definedName name="solver_rhs1" localSheetId="11" hidden="1">'12.36'!$J$13:$J$15</definedName>
    <definedName name="solver_rhs1" localSheetId="8" hidden="1">'12.6'!$D$9:$D$11</definedName>
    <definedName name="solver_rhs1" localSheetId="13" hidden="1">'16.4'!$H$4:$H$6</definedName>
    <definedName name="solver_rhs1" localSheetId="6" hidden="1">'correntes com solver'!$D$6</definedName>
    <definedName name="solver_rhs1" localSheetId="7" hidden="1">'plano inclinado'!$F$1:$F$4</definedName>
    <definedName name="solver_rhs1" localSheetId="4" hidden="1">'treliça com solver'!$F$3:$F$9</definedName>
    <definedName name="solver_rhs1" localSheetId="5" hidden="1">'treliça matriz inversa'!$J$11:$J$18</definedName>
    <definedName name="solver_rhs2" localSheetId="11" hidden="1">'12.36'!#REF!</definedName>
    <definedName name="solver_rhs2" localSheetId="6" hidden="1">'correntes com solver'!$D$7</definedName>
    <definedName name="solver_rhs3" localSheetId="6" hidden="1">'correntes com solver'!$D$8</definedName>
    <definedName name="solver_rlx" localSheetId="7" hidden="1">2</definedName>
    <definedName name="solver_rlx" localSheetId="5" hidden="1">2</definedName>
    <definedName name="solver_rsd" localSheetId="7" hidden="1">0</definedName>
    <definedName name="solver_rsd" localSheetId="5" hidden="1">0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8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6" hidden="1">2</definedName>
    <definedName name="solver_scl" localSheetId="7" hidden="1">1</definedName>
    <definedName name="solver_scl" localSheetId="4" hidden="1">2</definedName>
    <definedName name="solver_scl" localSheetId="5" hidden="1">1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8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6" hidden="1">2</definedName>
    <definedName name="solver_sho" localSheetId="7" hidden="1">2</definedName>
    <definedName name="solver_sho" localSheetId="4" hidden="1">2</definedName>
    <definedName name="solver_sho" localSheetId="5" hidden="1">2</definedName>
    <definedName name="solver_ssz" localSheetId="7" hidden="1">100</definedName>
    <definedName name="solver_ssz" localSheetId="5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8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6" hidden="1">100</definedName>
    <definedName name="solver_tim" localSheetId="7" hidden="1">2147483647</definedName>
    <definedName name="solver_tim" localSheetId="4" hidden="1">100</definedName>
    <definedName name="solver_tim" localSheetId="5" hidden="1">2147483647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8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6" hidden="1">0.05</definedName>
    <definedName name="solver_tol" localSheetId="7" hidden="1">0.01</definedName>
    <definedName name="solver_tol" localSheetId="4" hidden="1">0.05</definedName>
    <definedName name="solver_tol" localSheetId="5" hidden="1">0.01</definedName>
    <definedName name="solver_typ" localSheetId="9" hidden="1">3</definedName>
    <definedName name="solver_typ" localSheetId="10" hidden="1">3</definedName>
    <definedName name="solver_typ" localSheetId="11" hidden="1">3</definedName>
    <definedName name="solver_typ" localSheetId="8" hidden="1">2</definedName>
    <definedName name="solver_typ" localSheetId="12" hidden="1">2</definedName>
    <definedName name="solver_typ" localSheetId="13" hidden="1">1</definedName>
    <definedName name="solver_typ" localSheetId="14" hidden="1">2</definedName>
    <definedName name="solver_typ" localSheetId="6" hidden="1">1</definedName>
    <definedName name="solver_typ" localSheetId="7" hidden="1">1</definedName>
    <definedName name="solver_typ" localSheetId="4" hidden="1">3</definedName>
    <definedName name="solver_typ" localSheetId="5" hidden="1">1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8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6" hidden="1">0</definedName>
    <definedName name="solver_val" localSheetId="7" hidden="1">0</definedName>
    <definedName name="solver_val" localSheetId="4" hidden="1">0</definedName>
    <definedName name="solver_val" localSheetId="5" hidden="1">0</definedName>
    <definedName name="solver_ver" localSheetId="7" hidden="1">3</definedName>
    <definedName name="solver_ver" localSheetId="5" hidden="1">3</definedName>
    <definedName name="T_">#REF!</definedName>
    <definedName name="Tc_">#REF!</definedName>
    <definedName name="V_">'[1]8_8'!$P$3</definedName>
  </definedNames>
  <calcPr calcId="162913" iterate="1"/>
</workbook>
</file>

<file path=xl/calcChain.xml><?xml version="1.0" encoding="utf-8"?>
<calcChain xmlns="http://schemas.openxmlformats.org/spreadsheetml/2006/main">
  <c r="C14" i="17" l="1"/>
  <c r="D14" i="17"/>
  <c r="E14" i="17"/>
  <c r="I14" i="17"/>
  <c r="C15" i="17"/>
  <c r="D15" i="17"/>
  <c r="E15" i="17"/>
  <c r="C16" i="17"/>
  <c r="D16" i="17"/>
  <c r="E16" i="17"/>
  <c r="C17" i="17"/>
  <c r="D17" i="17"/>
  <c r="E17" i="17"/>
  <c r="C18" i="17"/>
  <c r="D18" i="17"/>
  <c r="E18" i="17"/>
  <c r="C19" i="17"/>
  <c r="D19" i="17"/>
  <c r="E19" i="17"/>
  <c r="C20" i="17"/>
  <c r="D20" i="17"/>
  <c r="E20" i="17"/>
  <c r="E22" i="17" a="1"/>
  <c r="E22" i="17" s="1"/>
  <c r="F4" i="16"/>
  <c r="F5" i="16"/>
  <c r="F6" i="16"/>
  <c r="F7" i="16"/>
  <c r="C6" i="15"/>
  <c r="J2" i="14"/>
  <c r="H13" i="14" s="1"/>
  <c r="D9" i="14"/>
  <c r="D10" i="14"/>
  <c r="H14" i="14"/>
  <c r="H15" i="14"/>
  <c r="H16" i="14"/>
  <c r="F3" i="13"/>
  <c r="F4" i="13"/>
  <c r="F5" i="13"/>
  <c r="F6" i="13"/>
  <c r="E17" i="13"/>
  <c r="K17" i="13"/>
  <c r="E18" i="13"/>
  <c r="E19" i="13"/>
  <c r="K19" i="13"/>
  <c r="E20" i="13"/>
  <c r="K20" i="13"/>
  <c r="E21" i="13"/>
  <c r="E22" i="13"/>
  <c r="F16" i="12"/>
  <c r="H8" i="12" s="1"/>
  <c r="F17" i="12"/>
  <c r="H12" i="12" s="1"/>
  <c r="B9" i="11"/>
  <c r="D9" i="11"/>
  <c r="B10" i="11"/>
  <c r="D10" i="11"/>
  <c r="B11" i="11"/>
  <c r="D11" i="11"/>
  <c r="B21" i="11"/>
  <c r="C21" i="11"/>
  <c r="I21" i="11" s="1" a="1"/>
  <c r="B22" i="11"/>
  <c r="C22" i="11"/>
  <c r="B23" i="11"/>
  <c r="C23" i="11"/>
  <c r="D23" i="11"/>
  <c r="I21" i="11" l="1"/>
  <c r="I22" i="11"/>
  <c r="I23" i="11"/>
  <c r="H10" i="12"/>
  <c r="H6" i="12"/>
  <c r="H11" i="12"/>
  <c r="H7" i="12"/>
  <c r="H9" i="12"/>
  <c r="H5" i="12"/>
  <c r="C6" i="10" a="1"/>
  <c r="C6" i="10"/>
  <c r="D6" i="10"/>
  <c r="C9" i="10" s="1" a="1"/>
  <c r="C7" i="10"/>
  <c r="D7" i="10"/>
  <c r="G9" i="10" a="1"/>
  <c r="G9" i="10" s="1"/>
  <c r="D1" i="9"/>
  <c r="F1" i="9"/>
  <c r="D2" i="9"/>
  <c r="F2" i="9"/>
  <c r="D3" i="9"/>
  <c r="F3" i="9"/>
  <c r="D4" i="9"/>
  <c r="F4" i="9"/>
  <c r="B6" i="8"/>
  <c r="B7" i="8"/>
  <c r="B8" i="8"/>
  <c r="E2" i="7"/>
  <c r="B11" i="7" s="1" a="1"/>
  <c r="F4" i="7"/>
  <c r="F5" i="7"/>
  <c r="E6" i="7"/>
  <c r="F6" i="7"/>
  <c r="H6" i="7"/>
  <c r="F7" i="7"/>
  <c r="H7" i="7"/>
  <c r="H8" i="7"/>
  <c r="H9" i="7"/>
  <c r="G11" i="7"/>
  <c r="J11" i="7"/>
  <c r="G12" i="7"/>
  <c r="J12" i="7"/>
  <c r="G13" i="7"/>
  <c r="J13" i="7"/>
  <c r="G14" i="7"/>
  <c r="J14" i="7"/>
  <c r="G15" i="7"/>
  <c r="J15" i="7"/>
  <c r="G16" i="7"/>
  <c r="J16" i="7"/>
  <c r="G17" i="7"/>
  <c r="J17" i="7"/>
  <c r="G18" i="7"/>
  <c r="J18" i="7"/>
  <c r="C10" i="10" l="1"/>
  <c r="C9" i="10"/>
  <c r="G10" i="10"/>
  <c r="B12" i="7"/>
  <c r="B16" i="7"/>
  <c r="B11" i="7"/>
  <c r="B15" i="7"/>
  <c r="B14" i="7"/>
  <c r="B18" i="7"/>
  <c r="B13" i="7"/>
  <c r="B17" i="7"/>
  <c r="D2" i="6"/>
  <c r="D3" i="6"/>
  <c r="D4" i="6"/>
  <c r="D5" i="6"/>
  <c r="D6" i="6"/>
  <c r="D7" i="6"/>
  <c r="D8" i="6"/>
  <c r="D9" i="6"/>
  <c r="G1" i="5" a="1"/>
  <c r="G1" i="5" l="1"/>
  <c r="G2" i="5"/>
  <c r="G3" i="5"/>
  <c r="G4" i="5"/>
  <c r="A6" i="5" a="1"/>
  <c r="B6" i="5" s="1"/>
  <c r="B11" i="5" a="1"/>
  <c r="E11" i="5" s="1"/>
  <c r="A9" i="5" l="1"/>
  <c r="A8" i="5"/>
  <c r="A7" i="5"/>
  <c r="A6" i="5"/>
  <c r="D14" i="5"/>
  <c r="D13" i="5"/>
  <c r="D12" i="5"/>
  <c r="D11" i="5"/>
  <c r="D9" i="5"/>
  <c r="D8" i="5"/>
  <c r="D7" i="5"/>
  <c r="D6" i="5"/>
  <c r="C14" i="5"/>
  <c r="C13" i="5"/>
  <c r="C12" i="5"/>
  <c r="C11" i="5"/>
  <c r="C9" i="5"/>
  <c r="C8" i="5"/>
  <c r="C7" i="5"/>
  <c r="C6" i="5"/>
  <c r="B14" i="5"/>
  <c r="B13" i="5"/>
  <c r="B12" i="5"/>
  <c r="B11" i="5"/>
  <c r="B9" i="5"/>
  <c r="B8" i="5"/>
  <c r="B7" i="5"/>
  <c r="E14" i="5"/>
  <c r="E13" i="5"/>
  <c r="E12" i="5"/>
  <c r="D9" i="4"/>
  <c r="D10" i="4" s="1"/>
  <c r="J8" i="1"/>
  <c r="K8" i="1" s="1"/>
  <c r="J9" i="1" s="1"/>
  <c r="K9" i="1" s="1"/>
  <c r="J10" i="1" s="1"/>
  <c r="K10" i="1" s="1"/>
  <c r="J11" i="1" s="1"/>
  <c r="K11" i="1" s="1"/>
  <c r="J12" i="1" s="1"/>
  <c r="K12" i="1" s="1"/>
  <c r="J13" i="1" s="1"/>
  <c r="K13" i="1" s="1"/>
  <c r="J14" i="1" s="1"/>
  <c r="K14" i="1" s="1"/>
  <c r="J15" i="1" s="1"/>
  <c r="K15" i="1" s="1"/>
  <c r="J16" i="1" s="1"/>
  <c r="K16" i="1" s="1"/>
  <c r="J17" i="1" s="1"/>
  <c r="K17" i="1" s="1"/>
  <c r="J18" i="1" s="1"/>
  <c r="K18" i="1" s="1"/>
  <c r="J19" i="1" s="1"/>
  <c r="K19" i="1" s="1"/>
  <c r="J20" i="1" s="1"/>
  <c r="K20" i="1" s="1"/>
  <c r="J21" i="1" s="1"/>
  <c r="K21" i="1" s="1"/>
  <c r="J22" i="1" s="1"/>
  <c r="K22" i="1" s="1"/>
  <c r="J23" i="1" s="1"/>
  <c r="K23" i="1" s="1"/>
  <c r="J24" i="1" s="1"/>
  <c r="K24" i="1" s="1"/>
  <c r="J25" i="1" s="1"/>
  <c r="K25" i="1" s="1"/>
  <c r="B8" i="1"/>
  <c r="C8" i="1" s="1"/>
  <c r="B9" i="1" s="1"/>
  <c r="C9" i="1" s="1"/>
  <c r="B10" i="1" s="1"/>
  <c r="C10" i="1" s="1"/>
  <c r="B11" i="1" s="1"/>
  <c r="C11" i="1" s="1"/>
  <c r="B12" i="1" s="1"/>
  <c r="C12" i="1" s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K7" i="1"/>
  <c r="C7" i="1"/>
  <c r="L9" i="4"/>
  <c r="L10" i="4"/>
</calcChain>
</file>

<file path=xl/sharedStrings.xml><?xml version="1.0" encoding="utf-8"?>
<sst xmlns="http://schemas.openxmlformats.org/spreadsheetml/2006/main" count="292" uniqueCount="191">
  <si>
    <t>11x1 + 13x2 = 286</t>
  </si>
  <si>
    <t>11x1 -    9x2 =   99</t>
  </si>
  <si>
    <t>x1</t>
  </si>
  <si>
    <t xml:space="preserve">       -&gt;</t>
  </si>
  <si>
    <t xml:space="preserve">   x1 = ( 286 - 13x2 )/11</t>
  </si>
  <si>
    <t xml:space="preserve">   x2 = (   99 - 11x1 )/(-9)</t>
  </si>
  <si>
    <t>x2</t>
  </si>
  <si>
    <t xml:space="preserve">   x2 = ( 286 - 11x1)/13</t>
  </si>
  <si>
    <t xml:space="preserve">   x1 = (   99 +   9x2)/11</t>
  </si>
  <si>
    <t>Iniciar (s/n)?</t>
  </si>
  <si>
    <t>n</t>
  </si>
  <si>
    <t>Inicial(x1):</t>
  </si>
  <si>
    <t>s</t>
  </si>
  <si>
    <t xml:space="preserve"> &lt;- =SE(D7="n";D8;(286-13*D10)/11)</t>
  </si>
  <si>
    <t xml:space="preserve"> &lt;- =(99-11*D9)/(-9)</t>
  </si>
  <si>
    <t>Ao digitar "s" o sistema irá divergir</t>
  </si>
  <si>
    <t>Inicial(x2):</t>
  </si>
  <si>
    <t>Ao digitar "s" o sistema irá convergir</t>
  </si>
  <si>
    <t>O cálculo efetuado equivale a 100 linhas de iteração</t>
  </si>
  <si>
    <t xml:space="preserve">    a cada vez que apertamos F9</t>
  </si>
  <si>
    <t xml:space="preserve"> &lt;- =SE(L7="n";L8;(286-11*L10)/13)</t>
  </si>
  <si>
    <t xml:space="preserve"> &lt;- =(99+9*L9)/11</t>
  </si>
  <si>
    <t>Fe=</t>
  </si>
  <si>
    <t>=</t>
  </si>
  <si>
    <t>Fd=</t>
  </si>
  <si>
    <t>4)</t>
  </si>
  <si>
    <t>Fc=</t>
  </si>
  <si>
    <t>Fb=</t>
  </si>
  <si>
    <t>3)</t>
  </si>
  <si>
    <t>Fa=</t>
  </si>
  <si>
    <t>R2y=</t>
  </si>
  <si>
    <t>2)</t>
  </si>
  <si>
    <t>R2x=</t>
  </si>
  <si>
    <t>R1y=</t>
  </si>
  <si>
    <t>1)</t>
  </si>
  <si>
    <t>R1x=</t>
  </si>
  <si>
    <t>F5</t>
  </si>
  <si>
    <t>F4</t>
  </si>
  <si>
    <t>F3</t>
  </si>
  <si>
    <t>F2</t>
  </si>
  <si>
    <t>F1</t>
  </si>
  <si>
    <t>Fc</t>
  </si>
  <si>
    <t>Fb</t>
  </si>
  <si>
    <t>Fa</t>
  </si>
  <si>
    <t>R</t>
  </si>
  <si>
    <t>i4=</t>
  </si>
  <si>
    <t>i3=</t>
  </si>
  <si>
    <t>i2=</t>
  </si>
  <si>
    <t>i1=</t>
  </si>
  <si>
    <t>g=</t>
  </si>
  <si>
    <t>Fc3=</t>
  </si>
  <si>
    <t>Fc2=</t>
  </si>
  <si>
    <t>Fc1=</t>
  </si>
  <si>
    <t>a=</t>
  </si>
  <si>
    <t>X=</t>
  </si>
  <si>
    <r>
      <t>A</t>
    </r>
    <r>
      <rPr>
        <vertAlign val="superscript"/>
        <sz val="11"/>
        <color indexed="8"/>
        <rFont val="Calibri"/>
        <family val="2"/>
      </rPr>
      <t>-1</t>
    </r>
    <r>
      <rPr>
        <sz val="11"/>
        <color theme="1"/>
        <rFont val="Calibri"/>
        <family val="2"/>
        <scheme val="minor"/>
      </rPr>
      <t>=</t>
    </r>
  </si>
  <si>
    <t>B=</t>
  </si>
  <si>
    <t>A=</t>
  </si>
  <si>
    <t>c3 =</t>
  </si>
  <si>
    <t>c2 =</t>
  </si>
  <si>
    <t>c1 =</t>
  </si>
  <si>
    <t>B</t>
  </si>
  <si>
    <t>A</t>
  </si>
  <si>
    <t>Q13.c1 + Q23.c2 - Q33.c3 = -200</t>
  </si>
  <si>
    <t>(3)</t>
  </si>
  <si>
    <t>Q12.c1 - (Q21+Q23).c2 + 0.c3 = 0</t>
  </si>
  <si>
    <t>(2)</t>
  </si>
  <si>
    <t xml:space="preserve"> - (Q13+Q12).c1 + Q21.c2 + 0.c3 = -500</t>
  </si>
  <si>
    <t>(1)</t>
  </si>
  <si>
    <t>VIA MATRIZES</t>
  </si>
  <si>
    <t xml:space="preserve">Q21 = </t>
  </si>
  <si>
    <t>Q13.c1 + Q23.c2 + 200 = Q33.c3</t>
  </si>
  <si>
    <t xml:space="preserve">Q23 = </t>
  </si>
  <si>
    <t>Q12.c1 = Q21.c2 + Q23.c2</t>
  </si>
  <si>
    <t xml:space="preserve">Q12 = </t>
  </si>
  <si>
    <t>500 + Q21.c2 = Q13.c1 + Q12.c1</t>
  </si>
  <si>
    <t>In(3) =</t>
  </si>
  <si>
    <t>Q13 =</t>
  </si>
  <si>
    <t>In(1) =</t>
  </si>
  <si>
    <t>Q33 =</t>
  </si>
  <si>
    <t>mg/s = m3/s . mg/m3</t>
  </si>
  <si>
    <t>R = Q.c</t>
  </si>
  <si>
    <t>VIA SOLVER</t>
  </si>
  <si>
    <t>V2 =</t>
  </si>
  <si>
    <t>V1 =</t>
  </si>
  <si>
    <t>H1 =</t>
  </si>
  <si>
    <t>F5 =</t>
  </si>
  <si>
    <t>F4 =</t>
  </si>
  <si>
    <t>F3 =</t>
  </si>
  <si>
    <t>F2 =</t>
  </si>
  <si>
    <t>rads</t>
  </si>
  <si>
    <t>graus</t>
  </si>
  <si>
    <t>F1 =</t>
  </si>
  <si>
    <t>F5.sen45 + V2 = 0</t>
  </si>
  <si>
    <t>Nó 5 y</t>
  </si>
  <si>
    <t xml:space="preserve"> -F5.cos45 +F4 = 0</t>
  </si>
  <si>
    <t>Nó 5 x</t>
  </si>
  <si>
    <t>F3.sen45 -500 = 0</t>
  </si>
  <si>
    <t>Nó 4 y</t>
  </si>
  <si>
    <t>F2 + F4 + F3.cos 45 = 0</t>
  </si>
  <si>
    <t>Nó 3 x</t>
  </si>
  <si>
    <t>F1.sen30 + V1 = 0</t>
  </si>
  <si>
    <t>Nó 2 y</t>
  </si>
  <si>
    <t>H1 + F1.cos30 + F2 = 0</t>
  </si>
  <si>
    <t>Nó 2 x</t>
  </si>
  <si>
    <t>F1.sen30 + F3.sen45 + F5.sen45 - 600 = 0</t>
  </si>
  <si>
    <t>Nó 1 y</t>
  </si>
  <si>
    <t>F1.cos30 + F3.cos45 + 1200 - F5.cos45 = 0</t>
  </si>
  <si>
    <t>Nó 1 x</t>
  </si>
  <si>
    <t>Nós começando no nó superior ( nó 1 e girando em sentido anti-horário )</t>
  </si>
  <si>
    <t>Forças orientadas para direita e para cima.</t>
  </si>
  <si>
    <t>if=</t>
  </si>
  <si>
    <t>ie=</t>
  </si>
  <si>
    <t>I4 =</t>
  </si>
  <si>
    <t>I4 = ie + I3</t>
  </si>
  <si>
    <t>id=</t>
  </si>
  <si>
    <t>I3 =</t>
  </si>
  <si>
    <t>I3 = if</t>
  </si>
  <si>
    <t>ic=</t>
  </si>
  <si>
    <t>I2 =</t>
  </si>
  <si>
    <t>I2 = -10</t>
  </si>
  <si>
    <t>ib=</t>
  </si>
  <si>
    <t>I1 =</t>
  </si>
  <si>
    <t>I1 = ia</t>
  </si>
  <si>
    <t>ia=</t>
  </si>
  <si>
    <t>Por correntes nos ramos individuais</t>
  </si>
  <si>
    <t>I4=</t>
  </si>
  <si>
    <t>I3=</t>
  </si>
  <si>
    <t>I2=</t>
  </si>
  <si>
    <t>I1=</t>
  </si>
  <si>
    <t xml:space="preserve"> 4.(I3-I4) + 25.(I3-I2) + 8.I3 = 0</t>
  </si>
  <si>
    <t xml:space="preserve"> -100 + 25.(I4-I1) + 4.(I4-I3)</t>
  </si>
  <si>
    <t>10.I1 + 20.(I1-I2) + 25.(I1-I4) = 0</t>
  </si>
  <si>
    <t>Por correntes nas malhas</t>
  </si>
  <si>
    <t>m4*g - Fc3 = 0</t>
  </si>
  <si>
    <t>Fc2 - m3*g - Fc3 = 0</t>
  </si>
  <si>
    <t>m2*g*sen(alpha) + Fc1 - m2*g*cos(alpha)*u2 - Fc2 = 0</t>
  </si>
  <si>
    <t>m1*g*sen(alpha) - m1*g*cos(alpha)*u1 -Fc1 = 0</t>
  </si>
  <si>
    <t>( Ou seja, as cargas tendem a descer )</t>
  </si>
  <si>
    <t>(subida)</t>
  </si>
  <si>
    <t>N</t>
  </si>
  <si>
    <t>13*g =</t>
  </si>
  <si>
    <t>(descida)</t>
  </si>
  <si>
    <t>25*g*sen(45o) =</t>
  </si>
  <si>
    <t>Fc3 =</t>
  </si>
  <si>
    <t>Considerando as cargas unidas :</t>
  </si>
  <si>
    <t>Fc2 =</t>
  </si>
  <si>
    <t>Para determinar o sentido da força de atrito :</t>
  </si>
  <si>
    <t>Fc1 =</t>
  </si>
  <si>
    <t>kg</t>
  </si>
  <si>
    <t>m4 =</t>
  </si>
  <si>
    <t>u2 =</t>
  </si>
  <si>
    <t>m3 =</t>
  </si>
  <si>
    <t>u1 =</t>
  </si>
  <si>
    <t xml:space="preserve">  o angulo da carga com a normal é 90-Alpha</t>
  </si>
  <si>
    <t>m2 =</t>
  </si>
  <si>
    <t>m/s2</t>
  </si>
  <si>
    <t>g =</t>
  </si>
  <si>
    <t>Se o angulo com o solo é Alpha</t>
  </si>
  <si>
    <t>m1 =</t>
  </si>
  <si>
    <t>alpha =</t>
  </si>
  <si>
    <t>radianos</t>
  </si>
  <si>
    <t>Dmin.</t>
  </si>
  <si>
    <t>V</t>
  </si>
  <si>
    <t>W</t>
  </si>
  <si>
    <t>D</t>
  </si>
  <si>
    <t>W=</t>
  </si>
  <si>
    <t>s=</t>
  </si>
  <si>
    <t>Lucro =</t>
  </si>
  <si>
    <t>Disponibilidade de Tempo</t>
  </si>
  <si>
    <t>&lt;=</t>
  </si>
  <si>
    <t>Tempo de Produção =</t>
  </si>
  <si>
    <t>Disponibilidade de Matéria Prima</t>
  </si>
  <si>
    <t>Mat.Pr.Necessária =</t>
  </si>
  <si>
    <t>Capac.Est.</t>
  </si>
  <si>
    <t>Soma</t>
  </si>
  <si>
    <t>Prod.3</t>
  </si>
  <si>
    <t>Prod.2</t>
  </si>
  <si>
    <t>Prod.1</t>
  </si>
  <si>
    <t>Soma Quadr.Dif =</t>
  </si>
  <si>
    <t>O2c =</t>
  </si>
  <si>
    <t>RESPOSTA =</t>
  </si>
  <si>
    <t>Clc =</t>
  </si>
  <si>
    <t>T</t>
  </si>
  <si>
    <t xml:space="preserve">T = </t>
  </si>
  <si>
    <t>Clc</t>
  </si>
  <si>
    <t>b0 + b1*T + b2*Clc</t>
  </si>
  <si>
    <t>Equação de Regressão :</t>
  </si>
  <si>
    <t>b2=</t>
  </si>
  <si>
    <t>b1=</t>
  </si>
  <si>
    <t>b0=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</si>
</sst>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&quot;$&quot;#,##0.0"/>
    <numFmt numFmtId="167" formatCode="&quot;$&quot;#,##0"/>
    <numFmt numFmtId="168" formatCode="#,##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indexed="8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164" fontId="0" fillId="2" borderId="0" xfId="0" applyNumberFormat="1" applyFill="1"/>
    <xf numFmtId="0" fontId="0" fillId="0" borderId="0" xfId="0" applyAlignment="1">
      <alignment horizontal="right"/>
    </xf>
    <xf numFmtId="164" fontId="0" fillId="3" borderId="0" xfId="0" applyNumberFormat="1" applyFill="1"/>
    <xf numFmtId="164" fontId="0" fillId="0" borderId="0" xfId="0" applyNumberFormat="1"/>
    <xf numFmtId="0" fontId="0" fillId="3" borderId="0" xfId="0" applyFill="1"/>
    <xf numFmtId="2" fontId="0" fillId="4" borderId="0" xfId="0" applyNumberFormat="1" applyFill="1"/>
    <xf numFmtId="0" fontId="1" fillId="0" borderId="0" xfId="0" applyFont="1"/>
    <xf numFmtId="0" fontId="0" fillId="5" borderId="0" xfId="0" applyFill="1"/>
    <xf numFmtId="0" fontId="0" fillId="0" borderId="0" xfId="0" applyFill="1"/>
    <xf numFmtId="164" fontId="0" fillId="4" borderId="0" xfId="0" applyNumberFormat="1" applyFill="1"/>
    <xf numFmtId="2" fontId="0" fillId="0" borderId="1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righ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right"/>
    </xf>
    <xf numFmtId="0" fontId="0" fillId="3" borderId="7" xfId="0" applyFill="1" applyBorder="1"/>
    <xf numFmtId="2" fontId="0" fillId="6" borderId="7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3" fontId="0" fillId="6" borderId="7" xfId="0" applyNumberFormat="1" applyFill="1" applyBorder="1"/>
    <xf numFmtId="165" fontId="0" fillId="0" borderId="0" xfId="0" applyNumberFormat="1"/>
    <xf numFmtId="3" fontId="0" fillId="0" borderId="0" xfId="0" applyNumberFormat="1" applyAlignment="1">
      <alignment horizontal="center"/>
    </xf>
    <xf numFmtId="3" fontId="0" fillId="7" borderId="8" xfId="0" applyNumberFormat="1" applyFill="1" applyBorder="1"/>
    <xf numFmtId="3" fontId="0" fillId="3" borderId="7" xfId="0" applyNumberFormat="1" applyFill="1" applyBorder="1" applyAlignment="1">
      <alignment horizontal="center"/>
    </xf>
    <xf numFmtId="3" fontId="0" fillId="3" borderId="7" xfId="0" applyNumberFormat="1" applyFill="1" applyBorder="1"/>
    <xf numFmtId="164" fontId="0" fillId="0" borderId="0" xfId="0" applyNumberFormat="1" applyAlignment="1">
      <alignment horizontal="center"/>
    </xf>
    <xf numFmtId="164" fontId="0" fillId="8" borderId="0" xfId="0" applyNumberFormat="1" applyFill="1" applyAlignment="1">
      <alignment horizontal="center"/>
    </xf>
    <xf numFmtId="2" fontId="0" fillId="6" borderId="7" xfId="0" applyNumberFormat="1" applyFill="1" applyBorder="1"/>
    <xf numFmtId="164" fontId="0" fillId="3" borderId="0" xfId="0" applyNumberFormat="1" applyFill="1" applyAlignment="1">
      <alignment horizontal="center"/>
    </xf>
    <xf numFmtId="2" fontId="0" fillId="4" borderId="7" xfId="0" applyNumberFormat="1" applyFill="1" applyBorder="1"/>
    <xf numFmtId="164" fontId="0" fillId="7" borderId="7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2" fontId="0" fillId="9" borderId="7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left"/>
    </xf>
    <xf numFmtId="3" fontId="0" fillId="0" borderId="0" xfId="0" applyNumberFormat="1"/>
    <xf numFmtId="3" fontId="0" fillId="7" borderId="0" xfId="0" applyNumberFormat="1" applyFill="1"/>
    <xf numFmtId="1" fontId="0" fillId="6" borderId="0" xfId="0" applyNumberFormat="1" applyFill="1"/>
    <xf numFmtId="3" fontId="0" fillId="0" borderId="0" xfId="0" applyNumberFormat="1" applyAlignment="1">
      <alignment horizontal="left"/>
    </xf>
    <xf numFmtId="166" fontId="0" fillId="7" borderId="7" xfId="0" applyNumberFormat="1" applyFill="1" applyBorder="1"/>
    <xf numFmtId="167" fontId="0" fillId="0" borderId="0" xfId="0" applyNumberFormat="1"/>
    <xf numFmtId="168" fontId="0" fillId="10" borderId="7" xfId="0" applyNumberFormat="1" applyFill="1" applyBorder="1"/>
    <xf numFmtId="168" fontId="0" fillId="10" borderId="7" xfId="0" applyNumberFormat="1" applyFill="1" applyBorder="1" applyAlignment="1">
      <alignment horizontal="right"/>
    </xf>
    <xf numFmtId="0" fontId="0" fillId="6" borderId="9" xfId="0" applyFill="1" applyBorder="1"/>
    <xf numFmtId="0" fontId="0" fillId="6" borderId="7" xfId="0" applyFill="1" applyBorder="1"/>
    <xf numFmtId="168" fontId="0" fillId="11" borderId="7" xfId="0" applyNumberFormat="1" applyFill="1" applyBorder="1"/>
    <xf numFmtId="2" fontId="0" fillId="0" borderId="10" xfId="0" applyNumberFormat="1" applyBorder="1"/>
    <xf numFmtId="0" fontId="0" fillId="0" borderId="11" xfId="0" applyBorder="1"/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0" xfId="0" applyFill="1" applyBorder="1"/>
    <xf numFmtId="0" fontId="0" fillId="0" borderId="0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Conc.O2</a:t>
            </a:r>
            <a:r>
              <a:rPr lang="pt-BR" baseline="0"/>
              <a:t> x Temp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Clc(0)</c:v>
          </c:tx>
          <c:marker>
            <c:symbol val="none"/>
          </c:marker>
          <c:xVal>
            <c:numRef>
              <c:f>'20.5'!$B$4:$B$10</c:f>
              <c:numCache>
                <c:formatCode>General</c:formatCode>
                <c:ptCount val="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</c:numCache>
            </c:numRef>
          </c:xVal>
          <c:yVal>
            <c:numRef>
              <c:f>'20.5'!$C$4:$C$10</c:f>
              <c:numCache>
                <c:formatCode>General</c:formatCode>
                <c:ptCount val="7"/>
                <c:pt idx="0">
                  <c:v>14.6</c:v>
                </c:pt>
                <c:pt idx="1">
                  <c:v>12.8</c:v>
                </c:pt>
                <c:pt idx="2">
                  <c:v>11.3</c:v>
                </c:pt>
                <c:pt idx="3">
                  <c:v>10.1</c:v>
                </c:pt>
                <c:pt idx="4">
                  <c:v>9.09</c:v>
                </c:pt>
                <c:pt idx="5">
                  <c:v>8.26</c:v>
                </c:pt>
                <c:pt idx="6">
                  <c:v>7.56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09-4B18-9F42-47C9E51D0579}"/>
            </c:ext>
          </c:extLst>
        </c:ser>
        <c:ser>
          <c:idx val="2"/>
          <c:order val="1"/>
          <c:tx>
            <c:v>Clc(10)</c:v>
          </c:tx>
          <c:marker>
            <c:symbol val="none"/>
          </c:marker>
          <c:xVal>
            <c:numRef>
              <c:f>'20.5'!$B$4:$B$10</c:f>
              <c:numCache>
                <c:formatCode>General</c:formatCode>
                <c:ptCount val="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</c:numCache>
            </c:numRef>
          </c:xVal>
          <c:yVal>
            <c:numRef>
              <c:f>'20.5'!$D$4:$D$10</c:f>
              <c:numCache>
                <c:formatCode>General</c:formatCode>
                <c:ptCount val="7"/>
                <c:pt idx="0">
                  <c:v>12.9</c:v>
                </c:pt>
                <c:pt idx="1">
                  <c:v>11.3</c:v>
                </c:pt>
                <c:pt idx="2">
                  <c:v>10.1</c:v>
                </c:pt>
                <c:pt idx="3">
                  <c:v>9.0299999999999994</c:v>
                </c:pt>
                <c:pt idx="4">
                  <c:v>8.17</c:v>
                </c:pt>
                <c:pt idx="5">
                  <c:v>7.46</c:v>
                </c:pt>
                <c:pt idx="6">
                  <c:v>6.85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09-4B18-9F42-47C9E51D0579}"/>
            </c:ext>
          </c:extLst>
        </c:ser>
        <c:ser>
          <c:idx val="3"/>
          <c:order val="2"/>
          <c:tx>
            <c:v>Clc(20)</c:v>
          </c:tx>
          <c:marker>
            <c:symbol val="none"/>
          </c:marker>
          <c:xVal>
            <c:numRef>
              <c:f>'20.5'!$B$4:$B$10</c:f>
              <c:numCache>
                <c:formatCode>General</c:formatCode>
                <c:ptCount val="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</c:numCache>
            </c:numRef>
          </c:xVal>
          <c:yVal>
            <c:numRef>
              <c:f>'20.5'!$E$4:$E$10</c:f>
              <c:numCache>
                <c:formatCode>General</c:formatCode>
                <c:ptCount val="7"/>
                <c:pt idx="0">
                  <c:v>11.4</c:v>
                </c:pt>
                <c:pt idx="1">
                  <c:v>10.3</c:v>
                </c:pt>
                <c:pt idx="2">
                  <c:v>8.9600000000000009</c:v>
                </c:pt>
                <c:pt idx="3">
                  <c:v>8.08</c:v>
                </c:pt>
                <c:pt idx="4">
                  <c:v>7.35</c:v>
                </c:pt>
                <c:pt idx="5">
                  <c:v>6.73</c:v>
                </c:pt>
                <c:pt idx="6" formatCode="0.00">
                  <c:v>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09-4B18-9F42-47C9E51D0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35936"/>
        <c:axId val="1"/>
      </c:scatterChart>
      <c:valAx>
        <c:axId val="316735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67359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Conc.O2</a:t>
            </a:r>
            <a:r>
              <a:rPr lang="pt-BR" baseline="0"/>
              <a:t> x Clc</a:t>
            </a:r>
            <a:endParaRPr lang="pt-BR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T(0)</c:v>
          </c:tx>
          <c:marker>
            <c:symbol val="none"/>
          </c:marker>
          <c:xVal>
            <c:numRef>
              <c:f>'20.5'!$C$3:$E$3</c:f>
              <c:numCache>
                <c:formatCode>General</c:formatCode>
                <c:ptCount val="3"/>
                <c:pt idx="0">
                  <c:v>0</c:v>
                </c:pt>
                <c:pt idx="1">
                  <c:v>10</c:v>
                </c:pt>
                <c:pt idx="2">
                  <c:v>20</c:v>
                </c:pt>
              </c:numCache>
            </c:numRef>
          </c:xVal>
          <c:yVal>
            <c:numRef>
              <c:f>'20.5'!$C$4:$E$4</c:f>
              <c:numCache>
                <c:formatCode>General</c:formatCode>
                <c:ptCount val="3"/>
                <c:pt idx="0">
                  <c:v>14.6</c:v>
                </c:pt>
                <c:pt idx="1">
                  <c:v>12.9</c:v>
                </c:pt>
                <c:pt idx="2">
                  <c:v>11.4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0D-4DF6-A14F-CF082349E2C1}"/>
            </c:ext>
          </c:extLst>
        </c:ser>
        <c:ser>
          <c:idx val="2"/>
          <c:order val="1"/>
          <c:tx>
            <c:v>T(5)</c:v>
          </c:tx>
          <c:marker>
            <c:symbol val="none"/>
          </c:marker>
          <c:xVal>
            <c:numRef>
              <c:f>'20.5'!$C$3:$E$3</c:f>
              <c:numCache>
                <c:formatCode>General</c:formatCode>
                <c:ptCount val="3"/>
                <c:pt idx="0">
                  <c:v>0</c:v>
                </c:pt>
                <c:pt idx="1">
                  <c:v>10</c:v>
                </c:pt>
                <c:pt idx="2">
                  <c:v>20</c:v>
                </c:pt>
              </c:numCache>
            </c:numRef>
          </c:xVal>
          <c:yVal>
            <c:numRef>
              <c:f>'20.5'!$C$5:$E$5</c:f>
              <c:numCache>
                <c:formatCode>General</c:formatCode>
                <c:ptCount val="3"/>
                <c:pt idx="0">
                  <c:v>12.8</c:v>
                </c:pt>
                <c:pt idx="1">
                  <c:v>11.3</c:v>
                </c:pt>
                <c:pt idx="2">
                  <c:v>10.3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0D-4DF6-A14F-CF082349E2C1}"/>
            </c:ext>
          </c:extLst>
        </c:ser>
        <c:ser>
          <c:idx val="3"/>
          <c:order val="2"/>
          <c:tx>
            <c:v>T(10)</c:v>
          </c:tx>
          <c:marker>
            <c:symbol val="none"/>
          </c:marker>
          <c:xVal>
            <c:numRef>
              <c:f>'20.5'!$C$3:$E$3</c:f>
              <c:numCache>
                <c:formatCode>General</c:formatCode>
                <c:ptCount val="3"/>
                <c:pt idx="0">
                  <c:v>0</c:v>
                </c:pt>
                <c:pt idx="1">
                  <c:v>10</c:v>
                </c:pt>
                <c:pt idx="2">
                  <c:v>20</c:v>
                </c:pt>
              </c:numCache>
            </c:numRef>
          </c:xVal>
          <c:yVal>
            <c:numRef>
              <c:f>'20.5'!$C$6:$E$6</c:f>
              <c:numCache>
                <c:formatCode>General</c:formatCode>
                <c:ptCount val="3"/>
                <c:pt idx="0">
                  <c:v>11.3</c:v>
                </c:pt>
                <c:pt idx="1">
                  <c:v>10.1</c:v>
                </c:pt>
                <c:pt idx="2">
                  <c:v>8.9600000000000009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0D-4DF6-A14F-CF082349E2C1}"/>
            </c:ext>
          </c:extLst>
        </c:ser>
        <c:ser>
          <c:idx val="4"/>
          <c:order val="3"/>
          <c:tx>
            <c:v>T(15)</c:v>
          </c:tx>
          <c:marker>
            <c:symbol val="none"/>
          </c:marker>
          <c:xVal>
            <c:numRef>
              <c:f>'20.5'!$C$3:$E$3</c:f>
              <c:numCache>
                <c:formatCode>General</c:formatCode>
                <c:ptCount val="3"/>
                <c:pt idx="0">
                  <c:v>0</c:v>
                </c:pt>
                <c:pt idx="1">
                  <c:v>10</c:v>
                </c:pt>
                <c:pt idx="2">
                  <c:v>20</c:v>
                </c:pt>
              </c:numCache>
            </c:numRef>
          </c:xVal>
          <c:yVal>
            <c:numRef>
              <c:f>'20.5'!$C$7:$E$7</c:f>
              <c:numCache>
                <c:formatCode>General</c:formatCode>
                <c:ptCount val="3"/>
                <c:pt idx="0">
                  <c:v>10.1</c:v>
                </c:pt>
                <c:pt idx="1">
                  <c:v>9.0299999999999994</c:v>
                </c:pt>
                <c:pt idx="2">
                  <c:v>8.08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0D-4DF6-A14F-CF082349E2C1}"/>
            </c:ext>
          </c:extLst>
        </c:ser>
        <c:ser>
          <c:idx val="5"/>
          <c:order val="4"/>
          <c:tx>
            <c:v>T(20)</c:v>
          </c:tx>
          <c:marker>
            <c:symbol val="none"/>
          </c:marker>
          <c:xVal>
            <c:numRef>
              <c:f>'20.5'!$C$3:$E$3</c:f>
              <c:numCache>
                <c:formatCode>General</c:formatCode>
                <c:ptCount val="3"/>
                <c:pt idx="0">
                  <c:v>0</c:v>
                </c:pt>
                <c:pt idx="1">
                  <c:v>10</c:v>
                </c:pt>
                <c:pt idx="2">
                  <c:v>20</c:v>
                </c:pt>
              </c:numCache>
            </c:numRef>
          </c:xVal>
          <c:yVal>
            <c:numRef>
              <c:f>'20.5'!$C$8:$E$8</c:f>
              <c:numCache>
                <c:formatCode>General</c:formatCode>
                <c:ptCount val="3"/>
                <c:pt idx="0">
                  <c:v>9.09</c:v>
                </c:pt>
                <c:pt idx="1">
                  <c:v>8.17</c:v>
                </c:pt>
                <c:pt idx="2">
                  <c:v>7.35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C0D-4DF6-A14F-CF082349E2C1}"/>
            </c:ext>
          </c:extLst>
        </c:ser>
        <c:ser>
          <c:idx val="6"/>
          <c:order val="5"/>
          <c:tx>
            <c:v>T(25)</c:v>
          </c:tx>
          <c:marker>
            <c:symbol val="none"/>
          </c:marker>
          <c:xVal>
            <c:numRef>
              <c:f>'20.5'!$C$3:$E$3</c:f>
              <c:numCache>
                <c:formatCode>General</c:formatCode>
                <c:ptCount val="3"/>
                <c:pt idx="0">
                  <c:v>0</c:v>
                </c:pt>
                <c:pt idx="1">
                  <c:v>10</c:v>
                </c:pt>
                <c:pt idx="2">
                  <c:v>20</c:v>
                </c:pt>
              </c:numCache>
            </c:numRef>
          </c:xVal>
          <c:yVal>
            <c:numRef>
              <c:f>'20.5'!$C$9:$E$9</c:f>
              <c:numCache>
                <c:formatCode>General</c:formatCode>
                <c:ptCount val="3"/>
                <c:pt idx="0">
                  <c:v>8.26</c:v>
                </c:pt>
                <c:pt idx="1">
                  <c:v>7.46</c:v>
                </c:pt>
                <c:pt idx="2">
                  <c:v>6.73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C0D-4DF6-A14F-CF082349E2C1}"/>
            </c:ext>
          </c:extLst>
        </c:ser>
        <c:ser>
          <c:idx val="7"/>
          <c:order val="6"/>
          <c:tx>
            <c:v>T(30)</c:v>
          </c:tx>
          <c:marker>
            <c:symbol val="none"/>
          </c:marker>
          <c:xVal>
            <c:numRef>
              <c:f>'20.5'!$C$3:$E$3</c:f>
              <c:numCache>
                <c:formatCode>General</c:formatCode>
                <c:ptCount val="3"/>
                <c:pt idx="0">
                  <c:v>0</c:v>
                </c:pt>
                <c:pt idx="1">
                  <c:v>10</c:v>
                </c:pt>
                <c:pt idx="2">
                  <c:v>20</c:v>
                </c:pt>
              </c:numCache>
            </c:numRef>
          </c:xVal>
          <c:yVal>
            <c:numRef>
              <c:f>'20.5'!$C$10:$E$10</c:f>
              <c:numCache>
                <c:formatCode>General</c:formatCode>
                <c:ptCount val="3"/>
                <c:pt idx="0">
                  <c:v>7.56</c:v>
                </c:pt>
                <c:pt idx="1">
                  <c:v>6.85</c:v>
                </c:pt>
                <c:pt idx="2" formatCode="0.00">
                  <c:v>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C0D-4DF6-A14F-CF082349E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37184"/>
        <c:axId val="1"/>
      </c:scatterChart>
      <c:valAx>
        <c:axId val="31673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67371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1</xdr:row>
      <xdr:rowOff>9525</xdr:rowOff>
    </xdr:from>
    <xdr:to>
      <xdr:col>11</xdr:col>
      <xdr:colOff>438150</xdr:colOff>
      <xdr:row>11</xdr:row>
      <xdr:rowOff>47625</xdr:rowOff>
    </xdr:to>
    <xdr:grpSp>
      <xdr:nvGrpSpPr>
        <xdr:cNvPr id="2" name="Grupo 6"/>
        <xdr:cNvGrpSpPr>
          <a:grpSpLocks/>
        </xdr:cNvGrpSpPr>
      </xdr:nvGrpSpPr>
      <xdr:grpSpPr bwMode="auto">
        <a:xfrm>
          <a:off x="3906715" y="200025"/>
          <a:ext cx="2832589" cy="1943100"/>
          <a:chOff x="2992336" y="1780437"/>
          <a:chExt cx="2831803" cy="2886042"/>
        </a:xfrm>
      </xdr:grpSpPr>
      <xdr:pic>
        <xdr:nvPicPr>
          <xdr:cNvPr id="3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5400000">
            <a:off x="2965217" y="1807556"/>
            <a:ext cx="2886042" cy="28318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4" name="CaixaDeTexto 4"/>
          <xdr:cNvSpPr txBox="1"/>
        </xdr:nvSpPr>
        <xdr:spPr>
          <a:xfrm>
            <a:off x="4740832" y="2784893"/>
            <a:ext cx="190054" cy="32538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9pPr>
          </a:lstStyle>
          <a:p>
            <a:r>
              <a:rPr lang="pt-BR" sz="1600" b="1"/>
              <a:t>1</a:t>
            </a:r>
          </a:p>
        </xdr:txBody>
      </xdr:sp>
      <xdr:sp macro="" textlink="">
        <xdr:nvSpPr>
          <xdr:cNvPr id="5" name="CaixaDeTexto 5"/>
          <xdr:cNvSpPr txBox="1"/>
        </xdr:nvSpPr>
        <xdr:spPr>
          <a:xfrm>
            <a:off x="3942605" y="3534698"/>
            <a:ext cx="180551" cy="32538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9pPr>
          </a:lstStyle>
          <a:p>
            <a:r>
              <a:rPr lang="pt-BR" sz="1600" b="1"/>
              <a:t>2</a:t>
            </a:r>
          </a:p>
        </xdr:txBody>
      </xdr:sp>
      <xdr:sp macro="" textlink="">
        <xdr:nvSpPr>
          <xdr:cNvPr id="6" name="CaixaDeTexto 6"/>
          <xdr:cNvSpPr txBox="1"/>
        </xdr:nvSpPr>
        <xdr:spPr>
          <a:xfrm>
            <a:off x="4389232" y="3647876"/>
            <a:ext cx="180551" cy="32538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9pPr>
          </a:lstStyle>
          <a:p>
            <a:r>
              <a:rPr lang="pt-BR" sz="1600" b="1"/>
              <a:t>3</a:t>
            </a:r>
          </a:p>
        </xdr:txBody>
      </xdr:sp>
      <xdr:sp macro="" textlink="">
        <xdr:nvSpPr>
          <xdr:cNvPr id="7" name="CaixaDeTexto 7"/>
          <xdr:cNvSpPr txBox="1"/>
        </xdr:nvSpPr>
        <xdr:spPr>
          <a:xfrm>
            <a:off x="5139945" y="3520551"/>
            <a:ext cx="180551" cy="32538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3200" kern="1200">
                <a:solidFill>
                  <a:schemeClr val="tx1"/>
                </a:solidFill>
                <a:latin typeface="Times New Roman" pitchFamily="18" charset="0"/>
                <a:ea typeface="+mn-ea"/>
                <a:cs typeface="Arial" charset="0"/>
              </a:defRPr>
            </a:lvl9pPr>
          </a:lstStyle>
          <a:p>
            <a:r>
              <a:rPr lang="pt-BR" sz="1600" b="1"/>
              <a:t>4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2</xdr:row>
      <xdr:rowOff>47625</xdr:rowOff>
    </xdr:from>
    <xdr:ext cx="2981827" cy="1990725"/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428625"/>
          <a:ext cx="2981827" cy="1990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495300</xdr:colOff>
      <xdr:row>1</xdr:row>
      <xdr:rowOff>38100</xdr:rowOff>
    </xdr:from>
    <xdr:ext cx="5410200" cy="4314825"/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8600"/>
          <a:ext cx="5410200" cy="431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8</xdr:row>
      <xdr:rowOff>152400</xdr:rowOff>
    </xdr:from>
    <xdr:to>
      <xdr:col>19</xdr:col>
      <xdr:colOff>38100</xdr:colOff>
      <xdr:row>25</xdr:row>
      <xdr:rowOff>47625</xdr:rowOff>
    </xdr:to>
    <xdr:grpSp>
      <xdr:nvGrpSpPr>
        <xdr:cNvPr id="2" name="Grupo 32"/>
        <xdr:cNvGrpSpPr>
          <a:grpSpLocks/>
        </xdr:cNvGrpSpPr>
      </xdr:nvGrpSpPr>
      <xdr:grpSpPr bwMode="auto">
        <a:xfrm>
          <a:off x="6572250" y="1676400"/>
          <a:ext cx="5048250" cy="3133725"/>
          <a:chOff x="6315081" y="1809750"/>
          <a:chExt cx="5048250" cy="3133727"/>
        </a:xfrm>
      </xdr:grpSpPr>
      <xdr:grpSp>
        <xdr:nvGrpSpPr>
          <xdr:cNvPr id="3" name="Grupo 31"/>
          <xdr:cNvGrpSpPr>
            <a:grpSpLocks/>
          </xdr:cNvGrpSpPr>
        </xdr:nvGrpSpPr>
        <xdr:grpSpPr bwMode="auto">
          <a:xfrm>
            <a:off x="6315081" y="1809750"/>
            <a:ext cx="5048250" cy="3133727"/>
            <a:chOff x="6315081" y="1809750"/>
            <a:chExt cx="5048250" cy="3133727"/>
          </a:xfrm>
        </xdr:grpSpPr>
        <xdr:grpSp>
          <xdr:nvGrpSpPr>
            <xdr:cNvPr id="5" name="Grupo 12"/>
            <xdr:cNvGrpSpPr>
              <a:grpSpLocks/>
            </xdr:cNvGrpSpPr>
          </xdr:nvGrpSpPr>
          <xdr:grpSpPr bwMode="auto">
            <a:xfrm>
              <a:off x="6315081" y="1809750"/>
              <a:ext cx="5048250" cy="3133727"/>
              <a:chOff x="6515106" y="1809745"/>
              <a:chExt cx="5048250" cy="3133727"/>
            </a:xfrm>
          </xdr:grpSpPr>
          <xdr:grpSp>
            <xdr:nvGrpSpPr>
              <xdr:cNvPr id="13" name="Grupo 11"/>
              <xdr:cNvGrpSpPr>
                <a:grpSpLocks/>
              </xdr:cNvGrpSpPr>
            </xdr:nvGrpSpPr>
            <xdr:grpSpPr bwMode="auto">
              <a:xfrm>
                <a:off x="6515106" y="1809745"/>
                <a:ext cx="5048250" cy="3133727"/>
                <a:chOff x="6515106" y="1809745"/>
                <a:chExt cx="5048250" cy="3133727"/>
              </a:xfrm>
            </xdr:grpSpPr>
            <xdr:grpSp>
              <xdr:nvGrpSpPr>
                <xdr:cNvPr id="15" name="Grupo 10"/>
                <xdr:cNvGrpSpPr>
                  <a:grpSpLocks/>
                </xdr:cNvGrpSpPr>
              </xdr:nvGrpSpPr>
              <xdr:grpSpPr bwMode="auto">
                <a:xfrm>
                  <a:off x="6515106" y="1809745"/>
                  <a:ext cx="5048250" cy="3133727"/>
                  <a:chOff x="6515106" y="1809745"/>
                  <a:chExt cx="5048250" cy="3133727"/>
                </a:xfrm>
              </xdr:grpSpPr>
              <xdr:pic>
                <xdr:nvPicPr>
                  <xdr:cNvPr id="17" name="Picture 2"/>
                  <xdr:cNvPicPr>
                    <a:picLocks noChangeAspect="1" noChangeArrowheads="1"/>
                  </xdr:cNvPicPr>
                </xdr:nvPicPr>
                <xdr:blipFill>
                  <a:blip xmlns:r="http://schemas.openxmlformats.org/officeDocument/2006/relationships" r:embed="rId1">
                    <a:extLst>
                      <a:ext uri="{28A0092B-C50C-407E-A947-70E740481C1C}">
                        <a14:useLocalDpi xmlns:a14="http://schemas.microsoft.com/office/drawing/2010/main" val="0"/>
                      </a:ext>
                    </a:extLst>
                  </a:blip>
                  <a:srcRect/>
                  <a:stretch>
                    <a:fillRect/>
                  </a:stretch>
                </xdr:blipFill>
                <xdr:spPr bwMode="auto">
                  <a:xfrm rot="-5400000">
                    <a:off x="7472367" y="852484"/>
                    <a:ext cx="3133727" cy="50482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 xmlns:a14="http://schemas.microsoft.com/office/drawing/2010/main">
                        <a:solidFill>
                          <a:srgbClr val="FFFFFF"/>
                        </a:solidFill>
                      </a14:hiddenFill>
                    </a:ext>
                    <a:ext uri="{91240B29-F687-4F45-9708-019B960494DF}">
                      <a14:hiddenLine xmlns:a14="http://schemas.microsoft.com/office/drawing/2010/main" w="9525">
                        <a:solidFill>
                          <a:srgbClr val="000000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</xdr:pic>
              <xdr:sp macro="" textlink="">
                <xdr:nvSpPr>
                  <xdr:cNvPr id="18" name="CaixaDeTexto 17"/>
                  <xdr:cNvSpPr txBox="1"/>
                </xdr:nvSpPr>
                <xdr:spPr>
                  <a:xfrm>
                    <a:off x="8477256" y="3524246"/>
                    <a:ext cx="295275" cy="30480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wrap="none" rtlCol="0" anchor="t">
                    <a:spAutoFit/>
                  </a:bodyPr>
                  <a:lstStyle/>
                  <a:p>
                    <a:r>
                      <a:rPr lang="pt-BR" sz="1600" b="1"/>
                      <a:t>F1</a:t>
                    </a:r>
                  </a:p>
                </xdr:txBody>
              </xdr:sp>
              <xdr:sp macro="" textlink="">
                <xdr:nvSpPr>
                  <xdr:cNvPr id="19" name="CaixaDeTexto 18"/>
                  <xdr:cNvSpPr txBox="1"/>
                </xdr:nvSpPr>
                <xdr:spPr>
                  <a:xfrm>
                    <a:off x="8686806" y="3838571"/>
                    <a:ext cx="295275" cy="30480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wrap="none" rtlCol="0" anchor="t">
                    <a:spAutoFit/>
                  </a:bodyPr>
                  <a:lstStyle/>
                  <a:p>
                    <a:r>
                      <a:rPr lang="pt-BR" sz="1600" b="1"/>
                      <a:t>F2</a:t>
                    </a:r>
                  </a:p>
                </xdr:txBody>
              </xdr:sp>
              <xdr:sp macro="" textlink="">
                <xdr:nvSpPr>
                  <xdr:cNvPr id="20" name="CaixaDeTexto 19"/>
                  <xdr:cNvSpPr txBox="1"/>
                </xdr:nvSpPr>
                <xdr:spPr>
                  <a:xfrm>
                    <a:off x="9001131" y="3486146"/>
                    <a:ext cx="295275" cy="30480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wrap="none" rtlCol="0" anchor="t">
                    <a:spAutoFit/>
                  </a:bodyPr>
                  <a:lstStyle/>
                  <a:p>
                    <a:r>
                      <a:rPr lang="pt-BR" sz="1600" b="1"/>
                      <a:t>F3</a:t>
                    </a:r>
                  </a:p>
                </xdr:txBody>
              </xdr:sp>
              <xdr:sp macro="" textlink="">
                <xdr:nvSpPr>
                  <xdr:cNvPr id="21" name="CaixaDeTexto 20"/>
                  <xdr:cNvSpPr txBox="1"/>
                </xdr:nvSpPr>
                <xdr:spPr>
                  <a:xfrm>
                    <a:off x="9353556" y="3838571"/>
                    <a:ext cx="295275" cy="30480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wrap="none" rtlCol="0" anchor="t">
                    <a:spAutoFit/>
                  </a:bodyPr>
                  <a:lstStyle/>
                  <a:p>
                    <a:r>
                      <a:rPr lang="pt-BR" sz="1600" b="1"/>
                      <a:t>F4</a:t>
                    </a:r>
                  </a:p>
                </xdr:txBody>
              </xdr:sp>
              <xdr:sp macro="" textlink="">
                <xdr:nvSpPr>
                  <xdr:cNvPr id="22" name="CaixaDeTexto 21"/>
                  <xdr:cNvSpPr txBox="1"/>
                </xdr:nvSpPr>
                <xdr:spPr>
                  <a:xfrm>
                    <a:off x="7981956" y="3648071"/>
                    <a:ext cx="323850" cy="30480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wrap="none" rtlCol="0" anchor="t">
                    <a:spAutoFit/>
                  </a:bodyPr>
                  <a:lstStyle/>
                  <a:p>
                    <a:r>
                      <a:rPr lang="pt-BR" sz="1600" b="1"/>
                      <a:t>H1</a:t>
                    </a:r>
                  </a:p>
                </xdr:txBody>
              </xdr:sp>
              <xdr:sp macro="" textlink="">
                <xdr:nvSpPr>
                  <xdr:cNvPr id="23" name="CaixaDeTexto 22"/>
                  <xdr:cNvSpPr txBox="1"/>
                </xdr:nvSpPr>
                <xdr:spPr>
                  <a:xfrm>
                    <a:off x="8439156" y="4238622"/>
                    <a:ext cx="314325" cy="30480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wrap="none" rtlCol="0" anchor="t">
                    <a:spAutoFit/>
                  </a:bodyPr>
                  <a:lstStyle/>
                  <a:p>
                    <a:r>
                      <a:rPr lang="pt-BR" sz="1600" b="1"/>
                      <a:t>V1</a:t>
                    </a:r>
                  </a:p>
                </xdr:txBody>
              </xdr:sp>
            </xdr:grpSp>
            <xdr:sp macro="" textlink="">
              <xdr:nvSpPr>
                <xdr:cNvPr id="16" name="CaixaDeTexto 15"/>
                <xdr:cNvSpPr txBox="1"/>
              </xdr:nvSpPr>
              <xdr:spPr>
                <a:xfrm>
                  <a:off x="10229856" y="4248147"/>
                  <a:ext cx="314325" cy="30480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wrap="none" rtlCol="0" anchor="t">
                  <a:spAutoFit/>
                </a:bodyPr>
                <a:lstStyle/>
                <a:p>
                  <a:r>
                    <a:rPr lang="pt-BR" sz="1600" b="1"/>
                    <a:t>V2</a:t>
                  </a:r>
                </a:p>
              </xdr:txBody>
            </xdr:sp>
          </xdr:grpSp>
          <xdr:sp macro="" textlink="">
            <xdr:nvSpPr>
              <xdr:cNvPr id="14" name="CaixaDeTexto 13"/>
              <xdr:cNvSpPr txBox="1"/>
            </xdr:nvSpPr>
            <xdr:spPr>
              <a:xfrm>
                <a:off x="10125081" y="3428996"/>
                <a:ext cx="295275" cy="3048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wrap="none" rtlCol="0" anchor="t">
                <a:spAutoFit/>
              </a:bodyPr>
              <a:lstStyle/>
              <a:p>
                <a:r>
                  <a:rPr lang="pt-BR" sz="1600" b="1"/>
                  <a:t>F5</a:t>
                </a:r>
              </a:p>
            </xdr:txBody>
          </xdr:sp>
        </xdr:grpSp>
        <xdr:cxnSp macro="">
          <xdr:nvCxnSpPr>
            <xdr:cNvPr id="6" name="Conector de seta reta 14"/>
            <xdr:cNvCxnSpPr/>
          </xdr:nvCxnSpPr>
          <xdr:spPr>
            <a:xfrm flipV="1">
              <a:off x="8801106" y="3228976"/>
              <a:ext cx="628650" cy="361950"/>
            </a:xfrm>
            <a:prstGeom prst="straightConnector1">
              <a:avLst/>
            </a:prstGeom>
            <a:ln w="38100">
              <a:solidFill>
                <a:schemeClr val="tx1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Conector de seta reta 18"/>
            <xdr:cNvCxnSpPr/>
          </xdr:nvCxnSpPr>
          <xdr:spPr>
            <a:xfrm rot="5400000" flipH="1" flipV="1">
              <a:off x="9120193" y="3348039"/>
              <a:ext cx="409575" cy="400050"/>
            </a:xfrm>
            <a:prstGeom prst="straightConnector1">
              <a:avLst/>
            </a:prstGeom>
            <a:ln w="38100">
              <a:solidFill>
                <a:schemeClr val="tx1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Conector de seta reta 20"/>
            <xdr:cNvCxnSpPr/>
          </xdr:nvCxnSpPr>
          <xdr:spPr>
            <a:xfrm rot="16200000" flipV="1">
              <a:off x="9767893" y="3367089"/>
              <a:ext cx="390525" cy="361950"/>
            </a:xfrm>
            <a:prstGeom prst="straightConnector1">
              <a:avLst/>
            </a:prstGeom>
            <a:ln w="38100">
              <a:solidFill>
                <a:schemeClr val="tx1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Conector de seta reta 22"/>
            <xdr:cNvCxnSpPr/>
          </xdr:nvCxnSpPr>
          <xdr:spPr>
            <a:xfrm flipV="1">
              <a:off x="9515481" y="3981451"/>
              <a:ext cx="695325" cy="19050"/>
            </a:xfrm>
            <a:prstGeom prst="straightConnector1">
              <a:avLst/>
            </a:prstGeom>
            <a:ln w="38100">
              <a:solidFill>
                <a:schemeClr val="tx1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Conector de seta reta 24"/>
            <xdr:cNvCxnSpPr/>
          </xdr:nvCxnSpPr>
          <xdr:spPr>
            <a:xfrm flipV="1">
              <a:off x="8591556" y="3829051"/>
              <a:ext cx="342900" cy="19050"/>
            </a:xfrm>
            <a:prstGeom prst="straightConnector1">
              <a:avLst/>
            </a:prstGeom>
            <a:ln w="38100">
              <a:solidFill>
                <a:schemeClr val="tx1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" name="Conector de seta reta 26"/>
            <xdr:cNvCxnSpPr/>
          </xdr:nvCxnSpPr>
          <xdr:spPr>
            <a:xfrm flipV="1">
              <a:off x="7686681" y="3924301"/>
              <a:ext cx="695325" cy="19050"/>
            </a:xfrm>
            <a:prstGeom prst="straightConnector1">
              <a:avLst/>
            </a:prstGeom>
            <a:ln w="38100">
              <a:solidFill>
                <a:schemeClr val="tx1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" name="Conector de seta reta 27"/>
            <xdr:cNvCxnSpPr/>
          </xdr:nvCxnSpPr>
          <xdr:spPr>
            <a:xfrm rot="5400000" flipH="1" flipV="1">
              <a:off x="8186743" y="4271965"/>
              <a:ext cx="447675" cy="0"/>
            </a:xfrm>
            <a:prstGeom prst="straightConnector1">
              <a:avLst/>
            </a:prstGeom>
            <a:ln w="38100">
              <a:solidFill>
                <a:schemeClr val="tx1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" name="Conector de seta reta 30"/>
          <xdr:cNvCxnSpPr/>
        </xdr:nvCxnSpPr>
        <xdr:spPr>
          <a:xfrm rot="5400000" flipH="1" flipV="1">
            <a:off x="10006018" y="4167190"/>
            <a:ext cx="447675" cy="0"/>
          </a:xfrm>
          <a:prstGeom prst="straightConnector1">
            <a:avLst/>
          </a:prstGeom>
          <a:ln w="38100"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419100</xdr:colOff>
      <xdr:row>2</xdr:row>
      <xdr:rowOff>76200</xdr:rowOff>
    </xdr:from>
    <xdr:ext cx="4152900" cy="2771775"/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4700" y="457200"/>
          <a:ext cx="4152900" cy="2771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419100</xdr:colOff>
      <xdr:row>9</xdr:row>
      <xdr:rowOff>0</xdr:rowOff>
    </xdr:from>
    <xdr:ext cx="4457700" cy="2990850"/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4700" y="1714500"/>
          <a:ext cx="4457700" cy="2990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361950</xdr:colOff>
          <xdr:row>3</xdr:row>
          <xdr:rowOff>28575</xdr:rowOff>
        </xdr:from>
        <xdr:ext cx="908886" cy="304800"/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0</xdr:row>
      <xdr:rowOff>180975</xdr:rowOff>
    </xdr:from>
    <xdr:to>
      <xdr:col>18</xdr:col>
      <xdr:colOff>0</xdr:colOff>
      <xdr:row>15</xdr:row>
      <xdr:rowOff>66675</xdr:rowOff>
    </xdr:to>
    <xdr:graphicFrame macro="">
      <xdr:nvGraphicFramePr>
        <xdr:cNvPr id="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285750</xdr:colOff>
      <xdr:row>15</xdr:row>
      <xdr:rowOff>142875</xdr:rowOff>
    </xdr:from>
    <xdr:to>
      <xdr:col>17</xdr:col>
      <xdr:colOff>590550</xdr:colOff>
      <xdr:row>30</xdr:row>
      <xdr:rowOff>28575</xdr:rowOff>
    </xdr:to>
    <xdr:graphicFrame macro="">
      <xdr:nvGraphicFramePr>
        <xdr:cNvPr id="3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25;lculo%20Num&#233;rico%20-%2003.raizes%20de%20equa&#231;&#245;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ton raphson multivariado"/>
      <sheetName val="Bissecção via Excel"/>
      <sheetName val="Bissecção via VBA"/>
      <sheetName val="bissecção via VBA v.2"/>
      <sheetName val="secante via VBA"/>
      <sheetName val="gases ideais - sem iteração"/>
      <sheetName val="gases ideais - com iteração"/>
      <sheetName val="gases ideais - sem iteração v.2"/>
      <sheetName val="bissecção x secante"/>
      <sheetName val="bissecção com iteração"/>
      <sheetName val="tridente de newton"/>
      <sheetName val="inversa de x"/>
      <sheetName val="Redlich-Kwong com e sem iteraçã"/>
      <sheetName val="8_7"/>
      <sheetName val="8_8"/>
      <sheetName val="8_15"/>
      <sheetName val="8.32"/>
      <sheetName val="8.36"/>
      <sheetName val="8.4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23">
          <cell r="C23" t="str">
            <v>f(t)</v>
          </cell>
        </row>
      </sheetData>
      <sheetData sheetId="14"/>
      <sheetData sheetId="15">
        <row r="9">
          <cell r="B9" t="str">
            <v>f(t)</v>
          </cell>
        </row>
      </sheetData>
      <sheetData sheetId="16">
        <row r="3">
          <cell r="L3" t="str">
            <v>f(w)</v>
          </cell>
        </row>
      </sheetData>
      <sheetData sheetId="17">
        <row r="2">
          <cell r="N2" t="str">
            <v>f(Tt)</v>
          </cell>
        </row>
      </sheetData>
      <sheetData sheetId="18">
        <row r="4">
          <cell r="L4" t="str">
            <v>f(n)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0"/>
  <sheetViews>
    <sheetView workbookViewId="0">
      <selection activeCell="B27" sqref="B27"/>
    </sheetView>
  </sheetViews>
  <sheetFormatPr defaultRowHeight="15" x14ac:dyDescent="0.25"/>
  <sheetData>
    <row r="2" spans="2:7" x14ac:dyDescent="0.25">
      <c r="B2" s="5" t="s">
        <v>57</v>
      </c>
      <c r="C2" s="19">
        <v>11</v>
      </c>
      <c r="D2" s="18">
        <v>13</v>
      </c>
      <c r="F2" s="5" t="s">
        <v>56</v>
      </c>
      <c r="G2" s="17">
        <v>286</v>
      </c>
    </row>
    <row r="3" spans="2:7" x14ac:dyDescent="0.25">
      <c r="C3" s="19">
        <v>11</v>
      </c>
      <c r="D3" s="18">
        <v>-9</v>
      </c>
      <c r="G3" s="17">
        <v>99</v>
      </c>
    </row>
    <row r="6" spans="2:7" ht="17.25" x14ac:dyDescent="0.25">
      <c r="B6" s="5" t="s">
        <v>55</v>
      </c>
      <c r="C6" s="16">
        <f t="array" ref="C6:D7">MINVERSE(C2:D3)</f>
        <v>3.7190082644628093E-2</v>
      </c>
      <c r="D6" s="15">
        <v>5.3719008264462811E-2</v>
      </c>
    </row>
    <row r="7" spans="2:7" x14ac:dyDescent="0.25">
      <c r="C7" s="16">
        <v>4.5454545454545456E-2</v>
      </c>
      <c r="D7" s="15">
        <v>-4.5454545454545456E-2</v>
      </c>
    </row>
    <row r="9" spans="2:7" x14ac:dyDescent="0.25">
      <c r="B9" s="5" t="s">
        <v>54</v>
      </c>
      <c r="C9" s="14">
        <f t="array" ref="C9:C10">MMULT(C6:D7,G2:G3)</f>
        <v>15.954545454545453</v>
      </c>
      <c r="F9" s="5" t="s">
        <v>54</v>
      </c>
      <c r="G9" s="14">
        <f t="array" ref="G9:G10">MMULT(MINVERSE(C2:D3),G2:G3)</f>
        <v>15.954545454545453</v>
      </c>
    </row>
    <row r="10" spans="2:7" x14ac:dyDescent="0.25">
      <c r="C10" s="14">
        <v>8.5</v>
      </c>
      <c r="G10" s="14">
        <v>8.5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3:M25"/>
  <sheetViews>
    <sheetView workbookViewId="0">
      <selection activeCell="G12" sqref="G12"/>
    </sheetView>
  </sheetViews>
  <sheetFormatPr defaultRowHeight="15" x14ac:dyDescent="0.25"/>
  <sheetData>
    <row r="3" spans="2:13" x14ac:dyDescent="0.25">
      <c r="B3" t="s">
        <v>0</v>
      </c>
      <c r="D3" t="s">
        <v>3</v>
      </c>
      <c r="E3" t="s">
        <v>4</v>
      </c>
      <c r="J3" t="s">
        <v>0</v>
      </c>
      <c r="L3" t="s">
        <v>3</v>
      </c>
      <c r="M3" t="s">
        <v>7</v>
      </c>
    </row>
    <row r="4" spans="2:13" x14ac:dyDescent="0.25">
      <c r="B4" t="s">
        <v>1</v>
      </c>
      <c r="E4" t="s">
        <v>5</v>
      </c>
      <c r="J4" t="s">
        <v>1</v>
      </c>
      <c r="M4" t="s">
        <v>8</v>
      </c>
    </row>
    <row r="6" spans="2:13" x14ac:dyDescent="0.25">
      <c r="B6" t="s">
        <v>6</v>
      </c>
      <c r="C6" t="s">
        <v>2</v>
      </c>
      <c r="J6" t="s">
        <v>2</v>
      </c>
      <c r="K6" t="s">
        <v>6</v>
      </c>
    </row>
    <row r="7" spans="2:13" x14ac:dyDescent="0.25">
      <c r="B7" s="1">
        <v>0</v>
      </c>
      <c r="C7" s="1">
        <f>(286-13*B7)/11</f>
        <v>26</v>
      </c>
      <c r="J7" s="1">
        <v>-1</v>
      </c>
      <c r="K7" s="1">
        <f>(286-11*J7)/13</f>
        <v>22.846153846153847</v>
      </c>
    </row>
    <row r="8" spans="2:13" x14ac:dyDescent="0.25">
      <c r="B8" s="1">
        <f>(99-11*C7)/(-9)</f>
        <v>20.777777777777779</v>
      </c>
      <c r="C8" s="1">
        <f>(286-13*B8)/11</f>
        <v>1.4444444444444415</v>
      </c>
      <c r="J8" s="1">
        <f>(99+9*K7)/11</f>
        <v>27.692307692307693</v>
      </c>
      <c r="K8" s="1">
        <f t="shared" ref="K8:K25" si="0">(286-11*J8)/13</f>
        <v>-1.4319526627218955</v>
      </c>
    </row>
    <row r="9" spans="2:13" x14ac:dyDescent="0.25">
      <c r="B9" s="1">
        <f t="shared" ref="B9:B19" si="1">(99-11*C8)/(-9)</f>
        <v>-9.2345679012345716</v>
      </c>
      <c r="C9" s="1">
        <f t="shared" ref="C9:C19" si="2">(286-13*B9)/11</f>
        <v>36.913580246913583</v>
      </c>
      <c r="J9" s="1">
        <f t="shared" ref="J9:J25" si="3">(99+9*K8)/11</f>
        <v>7.8284023668639033</v>
      </c>
      <c r="K9" s="1">
        <f t="shared" si="0"/>
        <v>15.375967228038235</v>
      </c>
    </row>
    <row r="10" spans="2:13" x14ac:dyDescent="0.25">
      <c r="B10" s="1">
        <f t="shared" si="1"/>
        <v>34.116598079561044</v>
      </c>
      <c r="C10" s="1">
        <f t="shared" si="2"/>
        <v>-14.319615912208508</v>
      </c>
      <c r="J10" s="1">
        <f t="shared" si="3"/>
        <v>21.580336822940374</v>
      </c>
      <c r="K10" s="1">
        <f t="shared" si="0"/>
        <v>3.7397149959735296</v>
      </c>
    </row>
    <row r="11" spans="2:13" x14ac:dyDescent="0.25">
      <c r="B11" s="1">
        <f t="shared" si="1"/>
        <v>-28.501752781588177</v>
      </c>
      <c r="C11" s="1">
        <f t="shared" si="2"/>
        <v>59.683889650967849</v>
      </c>
      <c r="J11" s="1">
        <f t="shared" si="3"/>
        <v>12.059766814887434</v>
      </c>
      <c r="K11" s="1">
        <f t="shared" si="0"/>
        <v>11.795581925864479</v>
      </c>
    </row>
    <row r="12" spans="2:13" x14ac:dyDescent="0.25">
      <c r="B12" s="1">
        <f t="shared" si="1"/>
        <v>61.946976240071812</v>
      </c>
      <c r="C12" s="1">
        <f t="shared" si="2"/>
        <v>-47.210062829175783</v>
      </c>
      <c r="J12" s="1">
        <f t="shared" si="3"/>
        <v>18.650930666616389</v>
      </c>
      <c r="K12" s="1">
        <f t="shared" si="0"/>
        <v>6.2184432820938236</v>
      </c>
    </row>
    <row r="13" spans="2:13" x14ac:dyDescent="0.25">
      <c r="B13" s="1">
        <f t="shared" si="1"/>
        <v>-68.701187902325955</v>
      </c>
      <c r="C13" s="1">
        <f t="shared" si="2"/>
        <v>107.19231297547613</v>
      </c>
      <c r="J13" s="1">
        <f t="shared" si="3"/>
        <v>14.087817230804037</v>
      </c>
      <c r="K13" s="1">
        <f t="shared" si="0"/>
        <v>10.079539266242737</v>
      </c>
    </row>
    <row r="14" spans="2:13" x14ac:dyDescent="0.25">
      <c r="B14" s="1">
        <f t="shared" si="1"/>
        <v>120.01282697002638</v>
      </c>
      <c r="C14" s="1">
        <f t="shared" si="2"/>
        <v>-115.83334096457662</v>
      </c>
      <c r="J14" s="1">
        <f t="shared" si="3"/>
        <v>17.246895763289512</v>
      </c>
      <c r="K14" s="1">
        <f t="shared" si="0"/>
        <v>7.4064728156781054</v>
      </c>
    </row>
    <row r="15" spans="2:13" x14ac:dyDescent="0.25">
      <c r="B15" s="1">
        <f t="shared" si="1"/>
        <v>-152.57408340114921</v>
      </c>
      <c r="C15" s="1">
        <f t="shared" si="2"/>
        <v>206.31482583772183</v>
      </c>
      <c r="J15" s="1">
        <f t="shared" si="3"/>
        <v>15.059841394645723</v>
      </c>
      <c r="K15" s="1">
        <f t="shared" si="0"/>
        <v>9.2570572814536192</v>
      </c>
    </row>
    <row r="16" spans="2:13" x14ac:dyDescent="0.25">
      <c r="B16" s="1">
        <f t="shared" si="1"/>
        <v>241.1625649127711</v>
      </c>
      <c r="C16" s="1">
        <f t="shared" si="2"/>
        <v>-259.01030398782041</v>
      </c>
      <c r="J16" s="1">
        <f t="shared" si="3"/>
        <v>16.573955957552961</v>
      </c>
      <c r="K16" s="1">
        <f t="shared" si="0"/>
        <v>7.9758834205321092</v>
      </c>
    </row>
    <row r="17" spans="2:11" x14ac:dyDescent="0.25">
      <c r="B17" s="1">
        <f t="shared" si="1"/>
        <v>-327.56814931844718</v>
      </c>
      <c r="C17" s="1">
        <f t="shared" si="2"/>
        <v>413.12599464907396</v>
      </c>
      <c r="J17" s="1">
        <f t="shared" si="3"/>
        <v>15.52572279861718</v>
      </c>
      <c r="K17" s="1">
        <f t="shared" si="0"/>
        <v>8.8628499396316176</v>
      </c>
    </row>
    <row r="18" spans="2:11" x14ac:dyDescent="0.25">
      <c r="B18" s="1">
        <f t="shared" si="1"/>
        <v>493.93177123775706</v>
      </c>
      <c r="C18" s="1">
        <f t="shared" si="2"/>
        <v>-557.73754782644016</v>
      </c>
      <c r="J18" s="1">
        <f t="shared" si="3"/>
        <v>16.251422677880417</v>
      </c>
      <c r="K18" s="1">
        <f t="shared" si="0"/>
        <v>8.2487961956396489</v>
      </c>
    </row>
    <row r="19" spans="2:11" x14ac:dyDescent="0.25">
      <c r="B19" s="1">
        <f t="shared" si="1"/>
        <v>-692.67922512120469</v>
      </c>
      <c r="C19" s="1">
        <f t="shared" si="2"/>
        <v>844.62090241596923</v>
      </c>
      <c r="J19" s="1">
        <f t="shared" si="3"/>
        <v>15.749015069159713</v>
      </c>
      <c r="K19" s="1">
        <f t="shared" si="0"/>
        <v>8.6739103260956281</v>
      </c>
    </row>
    <row r="20" spans="2:11" x14ac:dyDescent="0.25">
      <c r="J20" s="1">
        <f t="shared" si="3"/>
        <v>16.096835721350967</v>
      </c>
      <c r="K20" s="1">
        <f>(286-11*J20)/13</f>
        <v>8.3796005434722574</v>
      </c>
    </row>
    <row r="21" spans="2:11" x14ac:dyDescent="0.25">
      <c r="J21" s="1">
        <f t="shared" si="3"/>
        <v>15.856036808295483</v>
      </c>
      <c r="K21" s="1">
        <f t="shared" si="0"/>
        <v>8.5833534699038214</v>
      </c>
    </row>
    <row r="22" spans="2:11" x14ac:dyDescent="0.25">
      <c r="J22" s="1">
        <f t="shared" si="3"/>
        <v>16.022743748103128</v>
      </c>
      <c r="K22" s="1">
        <f t="shared" si="0"/>
        <v>8.442293751605046</v>
      </c>
    </row>
    <row r="23" spans="2:11" x14ac:dyDescent="0.25">
      <c r="J23" s="1">
        <f t="shared" si="3"/>
        <v>15.907331251313218</v>
      </c>
      <c r="K23" s="1">
        <f t="shared" si="0"/>
        <v>8.5399504796580459</v>
      </c>
    </row>
    <row r="24" spans="2:11" x14ac:dyDescent="0.25">
      <c r="J24" s="1">
        <f t="shared" si="3"/>
        <v>15.98723221062931</v>
      </c>
      <c r="K24" s="1">
        <f t="shared" si="0"/>
        <v>8.4723419756213527</v>
      </c>
    </row>
    <row r="25" spans="2:11" x14ac:dyDescent="0.25">
      <c r="J25" s="1">
        <f t="shared" si="3"/>
        <v>15.931916161872016</v>
      </c>
      <c r="K25" s="1">
        <f t="shared" si="0"/>
        <v>8.5191478630313711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3:M25"/>
  <sheetViews>
    <sheetView workbookViewId="0">
      <selection activeCell="D27" sqref="D27"/>
    </sheetView>
  </sheetViews>
  <sheetFormatPr defaultRowHeight="15" x14ac:dyDescent="0.25"/>
  <sheetData>
    <row r="3" spans="2:13" x14ac:dyDescent="0.25">
      <c r="B3" t="s">
        <v>0</v>
      </c>
      <c r="D3" t="s">
        <v>3</v>
      </c>
      <c r="E3" t="s">
        <v>4</v>
      </c>
      <c r="J3" t="s">
        <v>0</v>
      </c>
      <c r="L3" t="s">
        <v>3</v>
      </c>
      <c r="M3" t="s">
        <v>7</v>
      </c>
    </row>
    <row r="4" spans="2:13" x14ac:dyDescent="0.25">
      <c r="B4" t="s">
        <v>1</v>
      </c>
      <c r="E4" t="s">
        <v>5</v>
      </c>
      <c r="J4" t="s">
        <v>1</v>
      </c>
      <c r="M4" t="s">
        <v>8</v>
      </c>
    </row>
    <row r="7" spans="2:13" x14ac:dyDescent="0.25">
      <c r="C7" s="2" t="s">
        <v>9</v>
      </c>
      <c r="D7" s="3" t="s">
        <v>10</v>
      </c>
      <c r="K7" s="2" t="s">
        <v>9</v>
      </c>
      <c r="L7" s="3" t="s">
        <v>12</v>
      </c>
    </row>
    <row r="8" spans="2:13" x14ac:dyDescent="0.25">
      <c r="B8" s="1"/>
      <c r="C8" s="2" t="s">
        <v>11</v>
      </c>
      <c r="D8">
        <v>0</v>
      </c>
      <c r="J8" s="1"/>
      <c r="K8" s="2" t="s">
        <v>16</v>
      </c>
      <c r="L8">
        <v>0</v>
      </c>
    </row>
    <row r="9" spans="2:13" x14ac:dyDescent="0.25">
      <c r="B9" s="1"/>
      <c r="C9" s="1" t="s">
        <v>2</v>
      </c>
      <c r="D9">
        <f>IF(D7="n",D8,(286-13*D10)/11)</f>
        <v>0</v>
      </c>
      <c r="E9" t="s">
        <v>13</v>
      </c>
      <c r="J9" s="1"/>
      <c r="K9" s="1" t="s">
        <v>6</v>
      </c>
      <c r="L9">
        <f ca="1">IF(L7="n",L8,(286-11*L10)/13)</f>
        <v>8.5</v>
      </c>
      <c r="M9" t="s">
        <v>20</v>
      </c>
    </row>
    <row r="10" spans="2:13" x14ac:dyDescent="0.25">
      <c r="B10" s="1"/>
      <c r="C10" s="1" t="s">
        <v>6</v>
      </c>
      <c r="D10">
        <f>(99-11*D9)/(-9)</f>
        <v>-11</v>
      </c>
      <c r="E10" t="s">
        <v>14</v>
      </c>
      <c r="J10" s="1"/>
      <c r="K10" s="1" t="s">
        <v>2</v>
      </c>
      <c r="L10">
        <f ca="1">(99+9*L9)/11</f>
        <v>15.954545454545455</v>
      </c>
      <c r="M10" t="s">
        <v>21</v>
      </c>
    </row>
    <row r="11" spans="2:13" x14ac:dyDescent="0.25">
      <c r="B11" s="1"/>
      <c r="C11" s="1"/>
      <c r="J11" s="1"/>
      <c r="K11" s="1"/>
    </row>
    <row r="12" spans="2:13" x14ac:dyDescent="0.25">
      <c r="B12" s="1"/>
      <c r="C12" s="1" t="s">
        <v>15</v>
      </c>
      <c r="J12" s="1"/>
      <c r="K12" s="1" t="s">
        <v>17</v>
      </c>
    </row>
    <row r="13" spans="2:13" x14ac:dyDescent="0.25">
      <c r="B13" s="1"/>
      <c r="C13" s="1"/>
      <c r="J13" s="1"/>
      <c r="K13" s="1" t="s">
        <v>18</v>
      </c>
    </row>
    <row r="14" spans="2:13" x14ac:dyDescent="0.25">
      <c r="B14" s="1"/>
      <c r="C14" s="1"/>
      <c r="J14" s="1"/>
      <c r="K14" s="1" t="s">
        <v>19</v>
      </c>
    </row>
    <row r="15" spans="2:13" x14ac:dyDescent="0.25">
      <c r="B15" s="1"/>
      <c r="C15" s="1"/>
      <c r="J15" s="1"/>
      <c r="K15" s="1"/>
    </row>
    <row r="16" spans="2:13" x14ac:dyDescent="0.25">
      <c r="B16" s="1"/>
      <c r="C16" s="1"/>
      <c r="J16" s="1"/>
      <c r="K16" s="1"/>
    </row>
    <row r="17" spans="2:11" x14ac:dyDescent="0.25">
      <c r="B17" s="1"/>
      <c r="C17" s="1"/>
      <c r="J17" s="1"/>
      <c r="K17" s="1"/>
    </row>
    <row r="18" spans="2:11" x14ac:dyDescent="0.25">
      <c r="B18" s="1"/>
      <c r="C18" s="1"/>
      <c r="J18" s="1"/>
      <c r="K18" s="1"/>
    </row>
    <row r="19" spans="2:11" x14ac:dyDescent="0.25">
      <c r="B19" s="1"/>
      <c r="C19" s="1"/>
      <c r="J19" s="1"/>
      <c r="K19" s="1"/>
    </row>
    <row r="20" spans="2:11" x14ac:dyDescent="0.25">
      <c r="J20" s="1"/>
      <c r="K20" s="1"/>
    </row>
    <row r="21" spans="2:11" x14ac:dyDescent="0.25">
      <c r="J21" s="1"/>
      <c r="K21" s="1"/>
    </row>
    <row r="22" spans="2:11" x14ac:dyDescent="0.25">
      <c r="J22" s="1"/>
      <c r="K22" s="1"/>
    </row>
    <row r="23" spans="2:11" x14ac:dyDescent="0.25">
      <c r="J23" s="1"/>
      <c r="K23" s="1"/>
    </row>
    <row r="24" spans="2:11" x14ac:dyDescent="0.25">
      <c r="J24" s="1"/>
      <c r="K24" s="1"/>
    </row>
    <row r="25" spans="2:11" x14ac:dyDescent="0.25">
      <c r="J25" s="1"/>
      <c r="K25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14"/>
  <sheetViews>
    <sheetView workbookViewId="0">
      <selection activeCell="B27" sqref="B27"/>
    </sheetView>
  </sheetViews>
  <sheetFormatPr defaultRowHeight="15" x14ac:dyDescent="0.25"/>
  <sheetData>
    <row r="1" spans="1:7" x14ac:dyDescent="0.25">
      <c r="A1">
        <v>1</v>
      </c>
      <c r="B1">
        <v>2</v>
      </c>
      <c r="C1">
        <v>3</v>
      </c>
      <c r="D1">
        <v>4</v>
      </c>
      <c r="E1">
        <v>30</v>
      </c>
      <c r="G1">
        <f t="array" ref="G1:G4">resolvesys(A1:E4)</f>
        <v>0.99999999999999933</v>
      </c>
    </row>
    <row r="2" spans="1:7" x14ac:dyDescent="0.25">
      <c r="A2">
        <v>-1</v>
      </c>
      <c r="B2">
        <v>2</v>
      </c>
      <c r="C2">
        <v>-3</v>
      </c>
      <c r="D2">
        <v>5</v>
      </c>
      <c r="E2">
        <v>14</v>
      </c>
      <c r="G2">
        <v>2</v>
      </c>
    </row>
    <row r="3" spans="1:7" x14ac:dyDescent="0.25">
      <c r="A3">
        <v>4</v>
      </c>
      <c r="B3">
        <v>1</v>
      </c>
      <c r="C3">
        <v>-7</v>
      </c>
      <c r="D3">
        <v>1</v>
      </c>
      <c r="E3">
        <v>-11</v>
      </c>
      <c r="G3">
        <v>3</v>
      </c>
    </row>
    <row r="4" spans="1:7" x14ac:dyDescent="0.25">
      <c r="A4">
        <v>3</v>
      </c>
      <c r="B4">
        <v>-8</v>
      </c>
      <c r="C4">
        <v>9</v>
      </c>
      <c r="D4">
        <v>6</v>
      </c>
      <c r="E4">
        <v>38</v>
      </c>
      <c r="G4">
        <v>4</v>
      </c>
    </row>
    <row r="6" spans="1:7" x14ac:dyDescent="0.25">
      <c r="A6">
        <f t="array" ref="A6:D9">MINVERSE(A1:D4)</f>
        <v>0.15221878224974197</v>
      </c>
      <c r="B6">
        <v>-0.1713106295149639</v>
      </c>
      <c r="C6">
        <v>0.15789473684210525</v>
      </c>
      <c r="D6">
        <v>1.496388028895769E-2</v>
      </c>
    </row>
    <row r="7" spans="1:7" x14ac:dyDescent="0.25">
      <c r="A7">
        <v>0.20588235294117649</v>
      </c>
      <c r="B7">
        <v>-5.8823529411764698E-2</v>
      </c>
      <c r="C7">
        <v>-1.3831139781569702E-17</v>
      </c>
      <c r="D7">
        <v>-8.8235294117647051E-2</v>
      </c>
    </row>
    <row r="8" spans="1:7" x14ac:dyDescent="0.25">
      <c r="A8">
        <v>0.11919504643962849</v>
      </c>
      <c r="B8">
        <v>-8.6687306501547989E-2</v>
      </c>
      <c r="C8">
        <v>-5.2631578947368425E-2</v>
      </c>
      <c r="D8">
        <v>1.547987616099073E-3</v>
      </c>
    </row>
    <row r="9" spans="1:7" x14ac:dyDescent="0.25">
      <c r="A9">
        <v>1.9607843137254912E-2</v>
      </c>
      <c r="B9">
        <v>0.13725490196078433</v>
      </c>
      <c r="C9">
        <v>-1.9047944049941413E-18</v>
      </c>
      <c r="D9">
        <v>3.9215686274509803E-2</v>
      </c>
    </row>
    <row r="11" spans="1:7" x14ac:dyDescent="0.25">
      <c r="B11">
        <f t="array" ref="B11:E14">MINVERSE(B1:E4)</f>
        <v>-9.8555211558307598E-2</v>
      </c>
      <c r="C11">
        <v>0.28379772961816307</v>
      </c>
      <c r="D11">
        <v>-0.3157894736842104</v>
      </c>
      <c r="E11">
        <v>-0.11816305469556242</v>
      </c>
    </row>
    <row r="12" spans="1:7" x14ac:dyDescent="0.25">
      <c r="B12">
        <v>-0.33746130030959748</v>
      </c>
      <c r="C12">
        <v>0.42724458204334365</v>
      </c>
      <c r="D12">
        <v>-0.52631578947368407</v>
      </c>
      <c r="E12">
        <v>-4.3343653250773953E-2</v>
      </c>
    </row>
    <row r="13" spans="1:7" x14ac:dyDescent="0.25">
      <c r="B13">
        <v>-0.58926728586171306</v>
      </c>
      <c r="C13">
        <v>0.82249742002063986</v>
      </c>
      <c r="D13">
        <v>-0.63157894736842091</v>
      </c>
      <c r="E13">
        <v>-2.063983488132088E-2</v>
      </c>
    </row>
    <row r="14" spans="1:7" x14ac:dyDescent="0.25">
      <c r="B14">
        <v>0.15221878224974197</v>
      </c>
      <c r="C14">
        <v>-0.17131062951496387</v>
      </c>
      <c r="D14">
        <v>0.15789473684210523</v>
      </c>
      <c r="E14">
        <v>1.4963880288957673E-2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0"/>
  <sheetViews>
    <sheetView zoomScale="130" zoomScaleNormal="130" workbookViewId="0">
      <selection activeCell="B20" sqref="B20:B21"/>
    </sheetView>
  </sheetViews>
  <sheetFormatPr defaultRowHeight="15" x14ac:dyDescent="0.25"/>
  <cols>
    <col min="2" max="2" width="9.5703125" customWidth="1"/>
    <col min="4" max="4" width="9.5703125" bestFit="1" customWidth="1"/>
    <col min="5" max="5" width="2.140625" customWidth="1"/>
    <col min="6" max="6" width="9.28515625" bestFit="1" customWidth="1"/>
  </cols>
  <sheetData>
    <row r="2" spans="1:6" x14ac:dyDescent="0.25">
      <c r="A2" s="5" t="s">
        <v>35</v>
      </c>
      <c r="B2" s="7">
        <v>0</v>
      </c>
      <c r="C2" s="5" t="s">
        <v>34</v>
      </c>
      <c r="D2" s="6">
        <f>-Fa_*COS(RADIANS(30))-Fb_*COS(RADIANS(45))+Fd_*COS(RADIANS(45))+1200</f>
        <v>8.8291471911361441E-8</v>
      </c>
      <c r="E2" s="7" t="s">
        <v>23</v>
      </c>
      <c r="F2" s="6">
        <v>0</v>
      </c>
    </row>
    <row r="3" spans="1:6" x14ac:dyDescent="0.25">
      <c r="A3" s="5" t="s">
        <v>33</v>
      </c>
      <c r="B3" s="4">
        <v>953.58983850558047</v>
      </c>
      <c r="D3" s="6">
        <f>-Fa_*SIN(RADIANS(30))-Fb_*SIN(RADIANS(45))-Fd_*SIN(RADIANS(45))-600</f>
        <v>8.4270595834823325E-8</v>
      </c>
      <c r="E3" s="7" t="s">
        <v>23</v>
      </c>
      <c r="F3" s="6">
        <v>0</v>
      </c>
    </row>
    <row r="4" spans="1:6" x14ac:dyDescent="0.25">
      <c r="A4" s="5" t="s">
        <v>32</v>
      </c>
      <c r="B4" s="4">
        <v>1199.9999999046918</v>
      </c>
      <c r="C4" s="5" t="s">
        <v>31</v>
      </c>
      <c r="D4" s="6">
        <f>-R_2x+Fc_+Fa_*COS(RADIANS(30))</f>
        <v>6.5461733811389422E-9</v>
      </c>
      <c r="E4" s="7" t="s">
        <v>23</v>
      </c>
      <c r="F4" s="6">
        <v>0</v>
      </c>
    </row>
    <row r="5" spans="1:6" x14ac:dyDescent="0.25">
      <c r="A5" s="5" t="s">
        <v>30</v>
      </c>
      <c r="B5" s="4">
        <v>146.41016156433554</v>
      </c>
      <c r="D5" s="6">
        <f>R_2y+Fa_*SIN(RADIANS(30))</f>
        <v>-1.5120349416974932E-11</v>
      </c>
      <c r="E5" s="7" t="s">
        <v>23</v>
      </c>
      <c r="F5" s="6">
        <v>0</v>
      </c>
    </row>
    <row r="6" spans="1:6" x14ac:dyDescent="0.25">
      <c r="A6" s="5" t="s">
        <v>29</v>
      </c>
      <c r="B6" s="4">
        <v>-292.82032312870138</v>
      </c>
      <c r="C6" s="5" t="s">
        <v>28</v>
      </c>
      <c r="D6" s="6">
        <f>-Fc_+Fb_*COS(RADIANS(45))+Fe_</f>
        <v>1.0865051081054844E-9</v>
      </c>
      <c r="E6" s="7" t="s">
        <v>23</v>
      </c>
      <c r="F6" s="6">
        <v>0</v>
      </c>
    </row>
    <row r="7" spans="1:6" x14ac:dyDescent="0.25">
      <c r="A7" s="5" t="s">
        <v>27</v>
      </c>
      <c r="B7" s="4">
        <v>707.10678116223153</v>
      </c>
      <c r="D7" s="6">
        <f>-500+Fb_*SIN(RADIANS(45))</f>
        <v>-1.7194054180436069E-8</v>
      </c>
      <c r="E7" s="7" t="s">
        <v>23</v>
      </c>
      <c r="F7" s="6">
        <v>0</v>
      </c>
    </row>
    <row r="8" spans="1:6" x14ac:dyDescent="0.25">
      <c r="A8" s="5" t="s">
        <v>26</v>
      </c>
      <c r="B8" s="4">
        <v>1453.5898384850614</v>
      </c>
      <c r="C8" s="5" t="s">
        <v>25</v>
      </c>
      <c r="D8" s="6">
        <f>-Fe_-Fd_*COS(RADIANS(45))+R_1x</f>
        <v>-6.1584159993799403E-10</v>
      </c>
      <c r="E8" s="7" t="s">
        <v>23</v>
      </c>
      <c r="F8" s="6">
        <v>0</v>
      </c>
    </row>
    <row r="9" spans="1:6" x14ac:dyDescent="0.25">
      <c r="A9" s="5" t="s">
        <v>24</v>
      </c>
      <c r="B9" s="4">
        <v>-1348.5796825517245</v>
      </c>
      <c r="D9" s="6">
        <f>R_1y+Fd_*SIN(RADIANS(45))</f>
        <v>2.8545628083520569E-9</v>
      </c>
      <c r="E9" s="7" t="s">
        <v>23</v>
      </c>
      <c r="F9" s="6">
        <v>0</v>
      </c>
    </row>
    <row r="10" spans="1:6" x14ac:dyDescent="0.25">
      <c r="A10" s="5" t="s">
        <v>22</v>
      </c>
      <c r="B10" s="4">
        <v>953.58983850334187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zoomScale="150" zoomScaleNormal="150" workbookViewId="0">
      <selection activeCell="A18" sqref="A18"/>
    </sheetView>
  </sheetViews>
  <sheetFormatPr defaultColWidth="8.85546875" defaultRowHeight="15" x14ac:dyDescent="0.25"/>
  <sheetData>
    <row r="1" spans="1:10" x14ac:dyDescent="0.25">
      <c r="A1" t="s">
        <v>43</v>
      </c>
      <c r="B1" t="s">
        <v>42</v>
      </c>
      <c r="C1" t="s">
        <v>41</v>
      </c>
      <c r="D1" t="s">
        <v>40</v>
      </c>
      <c r="E1" t="s">
        <v>39</v>
      </c>
      <c r="F1" t="s">
        <v>38</v>
      </c>
      <c r="G1" t="s">
        <v>37</v>
      </c>
      <c r="H1" t="s">
        <v>36</v>
      </c>
      <c r="J1" t="s">
        <v>44</v>
      </c>
    </row>
    <row r="2" spans="1:10" x14ac:dyDescent="0.25">
      <c r="A2" s="10">
        <v>0</v>
      </c>
      <c r="B2" s="10">
        <v>-1</v>
      </c>
      <c r="C2" s="10">
        <v>0</v>
      </c>
      <c r="D2" s="10">
        <v>1</v>
      </c>
      <c r="E2" s="10">
        <f>SQRT(3)/2</f>
        <v>0.8660254037844386</v>
      </c>
      <c r="F2" s="10">
        <v>0</v>
      </c>
      <c r="G2" s="10">
        <v>0</v>
      </c>
      <c r="H2" s="10">
        <v>0</v>
      </c>
      <c r="J2">
        <v>0</v>
      </c>
    </row>
    <row r="3" spans="1:10" x14ac:dyDescent="0.25">
      <c r="A3" s="10">
        <v>1</v>
      </c>
      <c r="B3" s="10">
        <v>0</v>
      </c>
      <c r="C3" s="10">
        <v>0</v>
      </c>
      <c r="D3" s="10">
        <v>0</v>
      </c>
      <c r="E3" s="10">
        <v>0.5</v>
      </c>
      <c r="F3" s="10">
        <v>0</v>
      </c>
      <c r="G3" s="10">
        <v>0</v>
      </c>
      <c r="H3" s="10">
        <v>0</v>
      </c>
      <c r="J3">
        <v>0</v>
      </c>
    </row>
    <row r="4" spans="1:10" x14ac:dyDescent="0.25">
      <c r="A4" s="10">
        <v>0</v>
      </c>
      <c r="B4" s="10">
        <v>0</v>
      </c>
      <c r="C4" s="10">
        <v>0</v>
      </c>
      <c r="D4" s="10">
        <v>-1</v>
      </c>
      <c r="E4" s="10">
        <v>0</v>
      </c>
      <c r="F4" s="10">
        <f>SQRT(2)/2</f>
        <v>0.70710678118654757</v>
      </c>
      <c r="G4" s="10">
        <v>1</v>
      </c>
      <c r="H4" s="10">
        <v>0</v>
      </c>
      <c r="J4">
        <v>0</v>
      </c>
    </row>
    <row r="5" spans="1:10" x14ac:dyDescent="0.25">
      <c r="A5" s="10">
        <v>0</v>
      </c>
      <c r="B5" s="10">
        <v>0</v>
      </c>
      <c r="C5" s="10">
        <v>0</v>
      </c>
      <c r="D5" s="10">
        <v>0</v>
      </c>
      <c r="E5" s="10">
        <v>0</v>
      </c>
      <c r="F5" s="10">
        <f>SQRT(2)/2</f>
        <v>0.70710678118654757</v>
      </c>
      <c r="G5" s="10">
        <v>0</v>
      </c>
      <c r="H5" s="10">
        <v>0</v>
      </c>
      <c r="J5">
        <v>500</v>
      </c>
    </row>
    <row r="6" spans="1:10" x14ac:dyDescent="0.25">
      <c r="A6" s="10">
        <v>0</v>
      </c>
      <c r="B6" s="10">
        <v>0</v>
      </c>
      <c r="C6" s="10">
        <v>0</v>
      </c>
      <c r="D6" s="10">
        <v>0</v>
      </c>
      <c r="E6" s="10">
        <f>-SQRT(3)/2</f>
        <v>-0.8660254037844386</v>
      </c>
      <c r="F6" s="10">
        <f>-SQRT(2)/2</f>
        <v>-0.70710678118654757</v>
      </c>
      <c r="G6" s="10">
        <v>0</v>
      </c>
      <c r="H6" s="10">
        <f>SQRT(2)/2</f>
        <v>0.70710678118654757</v>
      </c>
      <c r="J6">
        <v>-1200</v>
      </c>
    </row>
    <row r="7" spans="1:10" x14ac:dyDescent="0.25">
      <c r="A7" s="10">
        <v>0</v>
      </c>
      <c r="B7" s="10">
        <v>0</v>
      </c>
      <c r="C7" s="10">
        <v>0</v>
      </c>
      <c r="D7" s="10">
        <v>0</v>
      </c>
      <c r="E7" s="10">
        <v>-0.5</v>
      </c>
      <c r="F7" s="10">
        <f>-SQRT(2)/2</f>
        <v>-0.70710678118654757</v>
      </c>
      <c r="G7" s="10">
        <v>0</v>
      </c>
      <c r="H7" s="10">
        <f>-SQRT(2)/2</f>
        <v>-0.70710678118654757</v>
      </c>
      <c r="J7">
        <v>600</v>
      </c>
    </row>
    <row r="8" spans="1:10" x14ac:dyDescent="0.25">
      <c r="A8" s="10">
        <v>0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-1</v>
      </c>
      <c r="H8" s="10">
        <f>-SQRT(2)/2</f>
        <v>-0.70710678118654757</v>
      </c>
      <c r="J8">
        <v>0</v>
      </c>
    </row>
    <row r="9" spans="1:10" x14ac:dyDescent="0.25">
      <c r="A9" s="10">
        <v>0</v>
      </c>
      <c r="B9" s="10">
        <v>0</v>
      </c>
      <c r="C9" s="10">
        <v>1</v>
      </c>
      <c r="D9" s="10">
        <v>0</v>
      </c>
      <c r="E9" s="10">
        <v>0</v>
      </c>
      <c r="F9" s="10">
        <v>0</v>
      </c>
      <c r="G9" s="10">
        <v>0</v>
      </c>
      <c r="H9" s="10">
        <f>SQRT(2)/2</f>
        <v>0.70710678118654757</v>
      </c>
      <c r="J9">
        <v>0</v>
      </c>
    </row>
    <row r="11" spans="1:10" x14ac:dyDescent="0.25">
      <c r="A11" t="s">
        <v>43</v>
      </c>
      <c r="B11" s="1">
        <f t="array" ref="B11:B18">MMULT(MINVERSE(A2:H9),J2:J9)</f>
        <v>146.41016151377551</v>
      </c>
      <c r="D11" t="s">
        <v>43</v>
      </c>
      <c r="E11" s="9">
        <v>146.41016151377551</v>
      </c>
      <c r="G11" s="8">
        <f>-E12+E14+SQRT(3)/2*E15</f>
        <v>-2.2737367544323206E-13</v>
      </c>
      <c r="J11" s="8">
        <f t="shared" ref="J11:J18" si="0">J2</f>
        <v>0</v>
      </c>
    </row>
    <row r="12" spans="1:10" x14ac:dyDescent="0.25">
      <c r="A12" t="s">
        <v>42</v>
      </c>
      <c r="B12" s="1">
        <v>1200</v>
      </c>
      <c r="D12" t="s">
        <v>42</v>
      </c>
      <c r="E12" s="9">
        <v>1200</v>
      </c>
      <c r="G12" s="8">
        <f>E11+E15/2</f>
        <v>0</v>
      </c>
      <c r="J12" s="8">
        <f t="shared" si="0"/>
        <v>0</v>
      </c>
    </row>
    <row r="13" spans="1:10" x14ac:dyDescent="0.25">
      <c r="A13" t="s">
        <v>41</v>
      </c>
      <c r="B13" s="1">
        <v>953.58983848622461</v>
      </c>
      <c r="D13" t="s">
        <v>41</v>
      </c>
      <c r="E13" s="9">
        <v>953.58983848622438</v>
      </c>
      <c r="G13" s="8">
        <f>-E14+E17+E16*SQRT(2)/2</f>
        <v>0</v>
      </c>
      <c r="J13" s="8">
        <f t="shared" si="0"/>
        <v>0</v>
      </c>
    </row>
    <row r="14" spans="1:10" x14ac:dyDescent="0.25">
      <c r="A14" t="s">
        <v>40</v>
      </c>
      <c r="B14" s="1">
        <v>1453.5898384862246</v>
      </c>
      <c r="D14" t="s">
        <v>40</v>
      </c>
      <c r="E14" s="9">
        <v>1453.5898384862244</v>
      </c>
      <c r="G14" s="8">
        <f>E16*SQRT(2)/2</f>
        <v>500</v>
      </c>
      <c r="J14" s="8">
        <f t="shared" si="0"/>
        <v>500</v>
      </c>
    </row>
    <row r="15" spans="1:10" x14ac:dyDescent="0.25">
      <c r="A15" t="s">
        <v>39</v>
      </c>
      <c r="B15" s="1">
        <v>-292.82032302755101</v>
      </c>
      <c r="D15" t="s">
        <v>39</v>
      </c>
      <c r="E15" s="9">
        <v>-292.82032302755101</v>
      </c>
      <c r="G15" s="8">
        <f>-E15*SQRT(3)/2-E16*SQRT(2)/2+E18*SQRT(2)/2</f>
        <v>-1200</v>
      </c>
      <c r="J15" s="8">
        <f t="shared" si="0"/>
        <v>-1200</v>
      </c>
    </row>
    <row r="16" spans="1:10" x14ac:dyDescent="0.25">
      <c r="A16" t="s">
        <v>38</v>
      </c>
      <c r="B16" s="1">
        <v>707.10678118654744</v>
      </c>
      <c r="D16" t="s">
        <v>38</v>
      </c>
      <c r="E16" s="9">
        <v>707.10678118654744</v>
      </c>
      <c r="G16" s="8">
        <f>-E15/2-E16*SQRT(2)/2-E18*SQRT(2)/2</f>
        <v>600</v>
      </c>
      <c r="J16" s="8">
        <f t="shared" si="0"/>
        <v>600</v>
      </c>
    </row>
    <row r="17" spans="1:10" x14ac:dyDescent="0.25">
      <c r="A17" t="s">
        <v>37</v>
      </c>
      <c r="B17" s="1">
        <v>953.58983848622461</v>
      </c>
      <c r="D17" t="s">
        <v>37</v>
      </c>
      <c r="E17" s="9">
        <v>953.58983848622438</v>
      </c>
      <c r="G17" s="8">
        <f>-E17-E18*SQRT(2)/2</f>
        <v>0</v>
      </c>
      <c r="J17" s="8">
        <f t="shared" si="0"/>
        <v>0</v>
      </c>
    </row>
    <row r="18" spans="1:10" x14ac:dyDescent="0.25">
      <c r="A18" t="s">
        <v>36</v>
      </c>
      <c r="B18" s="1">
        <v>-1348.5796825283878</v>
      </c>
      <c r="D18" t="s">
        <v>36</v>
      </c>
      <c r="E18" s="9">
        <v>-1348.5796825283878</v>
      </c>
      <c r="G18" s="8">
        <f>E13+E18*SQRT(2)/2</f>
        <v>0</v>
      </c>
      <c r="J18" s="8">
        <f t="shared" si="0"/>
        <v>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zoomScale="190" zoomScaleNormal="190" workbookViewId="0">
      <selection activeCell="A14" sqref="A14"/>
    </sheetView>
  </sheetViews>
  <sheetFormatPr defaultRowHeight="15" x14ac:dyDescent="0.25"/>
  <cols>
    <col min="3" max="3" width="1.7109375" customWidth="1"/>
  </cols>
  <sheetData>
    <row r="1" spans="1:4" x14ac:dyDescent="0.25">
      <c r="A1" t="s">
        <v>48</v>
      </c>
      <c r="B1" s="11">
        <v>-4.1102542130822712</v>
      </c>
    </row>
    <row r="2" spans="1:4" x14ac:dyDescent="0.25">
      <c r="A2" t="s">
        <v>47</v>
      </c>
      <c r="B2" s="11">
        <v>-10</v>
      </c>
      <c r="C2" t="s">
        <v>23</v>
      </c>
      <c r="D2" s="8">
        <v>-10</v>
      </c>
    </row>
    <row r="3" spans="1:4" x14ac:dyDescent="0.25">
      <c r="A3" t="s">
        <v>46</v>
      </c>
      <c r="B3" s="11">
        <v>-6.869465866895144</v>
      </c>
    </row>
    <row r="4" spans="1:4" x14ac:dyDescent="0.25">
      <c r="A4" t="s">
        <v>45</v>
      </c>
      <c r="B4" s="11">
        <v>-1.0425592687804612</v>
      </c>
    </row>
    <row r="6" spans="1:4" x14ac:dyDescent="0.25">
      <c r="B6" s="8">
        <f>25*(i4_-i1_)+25*(i3_-i2_)+8*i3_</f>
        <v>100.00000000000549</v>
      </c>
      <c r="C6" t="s">
        <v>23</v>
      </c>
      <c r="D6" s="8">
        <v>100</v>
      </c>
    </row>
    <row r="7" spans="1:4" x14ac:dyDescent="0.25">
      <c r="B7" s="8">
        <f>25*(i4_-i1_)+4*(i4_-i3_)</f>
        <v>100.00000000000398</v>
      </c>
      <c r="C7" t="s">
        <v>23</v>
      </c>
      <c r="D7" s="8">
        <v>100</v>
      </c>
    </row>
    <row r="8" spans="1:4" x14ac:dyDescent="0.25">
      <c r="B8" s="8">
        <f>10*i1_+20*(i1_-i2_)+25*(i1_-i4_)</f>
        <v>-1.3386625141720288E-11</v>
      </c>
      <c r="C8" t="s">
        <v>23</v>
      </c>
      <c r="D8" s="8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zoomScale="220" zoomScaleNormal="220" workbookViewId="0">
      <selection activeCell="A12" sqref="A12"/>
    </sheetView>
  </sheetViews>
  <sheetFormatPr defaultRowHeight="15" x14ac:dyDescent="0.25"/>
  <cols>
    <col min="5" max="5" width="1.85546875" customWidth="1"/>
  </cols>
  <sheetData>
    <row r="1" spans="1:6" x14ac:dyDescent="0.25">
      <c r="A1" s="5" t="s">
        <v>53</v>
      </c>
      <c r="B1" s="13">
        <v>10.616666666666671</v>
      </c>
      <c r="D1" s="6">
        <f>8*a_</f>
        <v>84.933333333333366</v>
      </c>
      <c r="E1" s="7" t="s">
        <v>23</v>
      </c>
      <c r="F1" s="6">
        <f>-Fc3_-8*g_+Fc2_</f>
        <v>84.933333333333394</v>
      </c>
    </row>
    <row r="2" spans="1:6" x14ac:dyDescent="0.25">
      <c r="A2" s="5" t="s">
        <v>52</v>
      </c>
      <c r="B2" s="13">
        <v>159.25000000000006</v>
      </c>
      <c r="D2" s="6">
        <f>5*a_</f>
        <v>53.083333333333357</v>
      </c>
      <c r="E2" s="7" t="s">
        <v>23</v>
      </c>
      <c r="F2" s="6">
        <f>-5*g_+Fc3_</f>
        <v>53.083333333333343</v>
      </c>
    </row>
    <row r="3" spans="1:6" x14ac:dyDescent="0.25">
      <c r="A3" s="5" t="s">
        <v>51</v>
      </c>
      <c r="B3" s="13">
        <v>265.41666666666674</v>
      </c>
      <c r="D3" s="6">
        <f>10*a_</f>
        <v>106.16666666666671</v>
      </c>
      <c r="E3" s="7" t="s">
        <v>23</v>
      </c>
      <c r="F3" s="6">
        <f>-10*g_*SQRT(2)/2-Fc1_+Fc2_+10*SQRT(2)/2*g_</f>
        <v>106.1666666666667</v>
      </c>
    </row>
    <row r="4" spans="1:6" x14ac:dyDescent="0.25">
      <c r="A4" s="5" t="s">
        <v>50</v>
      </c>
      <c r="B4" s="13">
        <v>102.08333333333334</v>
      </c>
      <c r="D4" s="6">
        <f>15*a_</f>
        <v>159.25000000000006</v>
      </c>
      <c r="E4" s="7" t="s">
        <v>23</v>
      </c>
      <c r="F4" s="6">
        <f>-15*g_*SQRT(2)/2+15*g_*SQRT(2)/2+Fc1_</f>
        <v>159.25000000000006</v>
      </c>
    </row>
    <row r="6" spans="1:6" x14ac:dyDescent="0.25">
      <c r="A6" s="5" t="s">
        <v>49</v>
      </c>
      <c r="B6" s="12">
        <v>9.8000000000000007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I23"/>
  <sheetViews>
    <sheetView workbookViewId="0">
      <selection activeCell="J16" sqref="J16"/>
    </sheetView>
  </sheetViews>
  <sheetFormatPr defaultRowHeight="15" x14ac:dyDescent="0.25"/>
  <sheetData>
    <row r="1" spans="1:9" x14ac:dyDescent="0.25">
      <c r="B1" s="10" t="s">
        <v>82</v>
      </c>
    </row>
    <row r="2" spans="1:9" x14ac:dyDescent="0.25">
      <c r="C2" s="5" t="s">
        <v>81</v>
      </c>
    </row>
    <row r="3" spans="1:9" x14ac:dyDescent="0.25">
      <c r="C3" t="s">
        <v>80</v>
      </c>
      <c r="F3" s="5" t="s">
        <v>79</v>
      </c>
      <c r="G3" s="30">
        <v>120</v>
      </c>
      <c r="H3" s="5" t="s">
        <v>78</v>
      </c>
      <c r="I3" s="30">
        <v>500</v>
      </c>
    </row>
    <row r="4" spans="1:9" x14ac:dyDescent="0.25">
      <c r="F4" s="5" t="s">
        <v>77</v>
      </c>
      <c r="G4" s="30">
        <v>40</v>
      </c>
      <c r="H4" s="5" t="s">
        <v>76</v>
      </c>
      <c r="I4" s="30">
        <v>200</v>
      </c>
    </row>
    <row r="5" spans="1:9" x14ac:dyDescent="0.25">
      <c r="A5" s="27" t="s">
        <v>68</v>
      </c>
      <c r="B5" t="s">
        <v>75</v>
      </c>
      <c r="F5" s="5" t="s">
        <v>74</v>
      </c>
      <c r="G5" s="30">
        <v>90</v>
      </c>
    </row>
    <row r="6" spans="1:9" x14ac:dyDescent="0.25">
      <c r="A6" s="27" t="s">
        <v>66</v>
      </c>
      <c r="B6" t="s">
        <v>73</v>
      </c>
      <c r="F6" s="5" t="s">
        <v>72</v>
      </c>
      <c r="G6" s="30">
        <v>60</v>
      </c>
      <c r="H6" s="21" t="s">
        <v>60</v>
      </c>
      <c r="I6" s="29">
        <v>4.9999999999954525</v>
      </c>
    </row>
    <row r="7" spans="1:9" x14ac:dyDescent="0.25">
      <c r="A7" s="27" t="s">
        <v>64</v>
      </c>
      <c r="B7" t="s">
        <v>71</v>
      </c>
      <c r="F7" s="5" t="s">
        <v>70</v>
      </c>
      <c r="G7" s="30">
        <v>30</v>
      </c>
      <c r="H7" s="21" t="s">
        <v>59</v>
      </c>
      <c r="I7" s="29">
        <v>4.9999999999863576</v>
      </c>
    </row>
    <row r="8" spans="1:9" x14ac:dyDescent="0.25">
      <c r="A8" s="30"/>
      <c r="C8" s="30"/>
      <c r="H8" s="21" t="s">
        <v>58</v>
      </c>
      <c r="I8" s="29">
        <v>5.8333333333418835</v>
      </c>
    </row>
    <row r="9" spans="1:9" x14ac:dyDescent="0.25">
      <c r="A9" s="27" t="s">
        <v>68</v>
      </c>
      <c r="B9" s="28">
        <f>I3+G7*I7</f>
        <v>649.99999999959073</v>
      </c>
      <c r="C9" s="3" t="s">
        <v>23</v>
      </c>
      <c r="D9" s="28">
        <f>G4*I6+G5*I6</f>
        <v>649.99999999940883</v>
      </c>
    </row>
    <row r="10" spans="1:9" x14ac:dyDescent="0.25">
      <c r="A10" s="27" t="s">
        <v>66</v>
      </c>
      <c r="B10" s="28">
        <f>G5*I6</f>
        <v>449.99999999959073</v>
      </c>
      <c r="C10" s="3" t="s">
        <v>23</v>
      </c>
      <c r="D10" s="28">
        <f>G7*I7+G6*I7</f>
        <v>449.99999999877218</v>
      </c>
    </row>
    <row r="11" spans="1:9" x14ac:dyDescent="0.25">
      <c r="A11" s="27" t="s">
        <v>64</v>
      </c>
      <c r="B11" s="28">
        <f>G4*I6+G6*I7+I4</f>
        <v>699.99999999899956</v>
      </c>
      <c r="C11" s="3" t="s">
        <v>23</v>
      </c>
      <c r="D11" s="28">
        <f>G3*I8</f>
        <v>700.00000000102602</v>
      </c>
    </row>
    <row r="14" spans="1:9" x14ac:dyDescent="0.25">
      <c r="B14" s="10" t="s">
        <v>69</v>
      </c>
    </row>
    <row r="16" spans="1:9" x14ac:dyDescent="0.25">
      <c r="A16" s="27" t="s">
        <v>68</v>
      </c>
      <c r="B16" t="s">
        <v>67</v>
      </c>
    </row>
    <row r="17" spans="1:9" x14ac:dyDescent="0.25">
      <c r="A17" s="27" t="s">
        <v>66</v>
      </c>
      <c r="B17" t="s">
        <v>65</v>
      </c>
    </row>
    <row r="18" spans="1:9" x14ac:dyDescent="0.25">
      <c r="A18" s="27" t="s">
        <v>64</v>
      </c>
      <c r="B18" t="s">
        <v>63</v>
      </c>
    </row>
    <row r="20" spans="1:9" x14ac:dyDescent="0.25">
      <c r="C20" s="26" t="s">
        <v>62</v>
      </c>
      <c r="D20" s="3"/>
      <c r="E20" s="3"/>
      <c r="F20" s="3" t="s">
        <v>61</v>
      </c>
    </row>
    <row r="21" spans="1:9" x14ac:dyDescent="0.25">
      <c r="B21" s="25">
        <f>-(G4+G5)</f>
        <v>-130</v>
      </c>
      <c r="C21" s="24">
        <f>G7</f>
        <v>30</v>
      </c>
      <c r="D21" s="23">
        <v>0</v>
      </c>
      <c r="F21" s="22">
        <v>-500</v>
      </c>
      <c r="H21" s="21" t="s">
        <v>60</v>
      </c>
      <c r="I21" s="20">
        <f t="array" ref="I21:I23">MMULT(MINVERSE(B21:D23),F21:F23)</f>
        <v>5</v>
      </c>
    </row>
    <row r="22" spans="1:9" x14ac:dyDescent="0.25">
      <c r="B22" s="25">
        <f>G5</f>
        <v>90</v>
      </c>
      <c r="C22" s="24">
        <f>-(G7+G6)</f>
        <v>-90</v>
      </c>
      <c r="D22" s="23">
        <v>0</v>
      </c>
      <c r="F22" s="22">
        <v>0</v>
      </c>
      <c r="H22" s="21" t="s">
        <v>59</v>
      </c>
      <c r="I22" s="20">
        <v>5</v>
      </c>
    </row>
    <row r="23" spans="1:9" x14ac:dyDescent="0.25">
      <c r="B23" s="25">
        <f>G4</f>
        <v>40</v>
      </c>
      <c r="C23" s="24">
        <f>G6</f>
        <v>60</v>
      </c>
      <c r="D23" s="23">
        <f>-G3</f>
        <v>-120</v>
      </c>
      <c r="F23" s="22">
        <v>-200</v>
      </c>
      <c r="H23" s="21" t="s">
        <v>58</v>
      </c>
      <c r="I23" s="20">
        <v>5.8333333333333339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2:J22"/>
  <sheetViews>
    <sheetView workbookViewId="0">
      <selection activeCell="J16" sqref="J16"/>
    </sheetView>
  </sheetViews>
  <sheetFormatPr defaultRowHeight="15" x14ac:dyDescent="0.25"/>
  <sheetData>
    <row r="2" spans="2:10" x14ac:dyDescent="0.25">
      <c r="B2" t="s">
        <v>110</v>
      </c>
    </row>
    <row r="3" spans="2:10" x14ac:dyDescent="0.25">
      <c r="B3" t="s">
        <v>109</v>
      </c>
    </row>
    <row r="5" spans="2:10" x14ac:dyDescent="0.25">
      <c r="B5" t="s">
        <v>108</v>
      </c>
      <c r="C5" t="s">
        <v>107</v>
      </c>
      <c r="H5" s="36">
        <f>C15*COS(F16)+C17*COS(F17)+1200-C19*COS(F17)</f>
        <v>-3.8824055081931874E-10</v>
      </c>
      <c r="I5" s="33" t="s">
        <v>23</v>
      </c>
      <c r="J5" s="35">
        <v>0</v>
      </c>
    </row>
    <row r="6" spans="2:10" x14ac:dyDescent="0.25">
      <c r="B6" t="s">
        <v>106</v>
      </c>
      <c r="C6" t="s">
        <v>105</v>
      </c>
      <c r="H6" s="36">
        <f>C15*SIN(F16)+C17*SIN(F17)+C19*SIN(F17)-600</f>
        <v>-1.8856098904507235E-9</v>
      </c>
      <c r="I6" s="33" t="s">
        <v>23</v>
      </c>
      <c r="J6" s="35">
        <v>0</v>
      </c>
    </row>
    <row r="7" spans="2:10" x14ac:dyDescent="0.25">
      <c r="B7" t="s">
        <v>104</v>
      </c>
      <c r="C7" t="s">
        <v>103</v>
      </c>
      <c r="H7" s="36">
        <f>C20+C15*COS(F16)+C16</f>
        <v>1.3618773664347827E-8</v>
      </c>
      <c r="I7" s="33" t="s">
        <v>23</v>
      </c>
      <c r="J7" s="35">
        <v>0</v>
      </c>
    </row>
    <row r="8" spans="2:10" x14ac:dyDescent="0.25">
      <c r="B8" t="s">
        <v>102</v>
      </c>
      <c r="C8" t="s">
        <v>101</v>
      </c>
      <c r="H8" s="36">
        <f>C15*SIN(F16)+C21</f>
        <v>0</v>
      </c>
      <c r="I8" s="33" t="s">
        <v>23</v>
      </c>
      <c r="J8" s="35">
        <v>0</v>
      </c>
    </row>
    <row r="9" spans="2:10" x14ac:dyDescent="0.25">
      <c r="B9" t="s">
        <v>100</v>
      </c>
      <c r="C9" t="s">
        <v>99</v>
      </c>
      <c r="H9" s="36">
        <f>C16+C18+C17*COS(F17)</f>
        <v>-2.1753976398031227E-10</v>
      </c>
      <c r="I9" s="33" t="s">
        <v>23</v>
      </c>
      <c r="J9" s="35">
        <v>0</v>
      </c>
    </row>
    <row r="10" spans="2:10" x14ac:dyDescent="0.25">
      <c r="B10" t="s">
        <v>98</v>
      </c>
      <c r="C10" t="s">
        <v>97</v>
      </c>
      <c r="H10" s="36">
        <f>C17*SIN(F17)-500</f>
        <v>0</v>
      </c>
      <c r="I10" s="33" t="s">
        <v>23</v>
      </c>
      <c r="J10" s="35">
        <v>0</v>
      </c>
    </row>
    <row r="11" spans="2:10" x14ac:dyDescent="0.25">
      <c r="B11" t="s">
        <v>96</v>
      </c>
      <c r="C11" t="s">
        <v>95</v>
      </c>
      <c r="H11" s="36">
        <f>-C19*COS(F17)+C18</f>
        <v>1.4414354154723696E-9</v>
      </c>
      <c r="I11" s="33" t="s">
        <v>23</v>
      </c>
      <c r="J11" s="35">
        <v>0</v>
      </c>
    </row>
    <row r="12" spans="2:10" x14ac:dyDescent="0.25">
      <c r="B12" t="s">
        <v>94</v>
      </c>
      <c r="C12" t="s">
        <v>93</v>
      </c>
      <c r="H12" s="34">
        <f>C19*SIN(F17)+C22</f>
        <v>0</v>
      </c>
      <c r="I12" s="33" t="s">
        <v>23</v>
      </c>
      <c r="J12" s="33">
        <v>0</v>
      </c>
    </row>
    <row r="15" spans="2:10" x14ac:dyDescent="0.25">
      <c r="B15" s="5" t="s">
        <v>92</v>
      </c>
      <c r="C15" s="31">
        <v>-1171.2812921118682</v>
      </c>
      <c r="E15" t="s">
        <v>91</v>
      </c>
      <c r="F15" t="s">
        <v>90</v>
      </c>
    </row>
    <row r="16" spans="2:10" x14ac:dyDescent="0.25">
      <c r="B16" s="5" t="s">
        <v>89</v>
      </c>
      <c r="C16" s="31">
        <v>-1185.6406460557075</v>
      </c>
      <c r="E16">
        <v>30</v>
      </c>
      <c r="F16" s="32">
        <f>E16*PI()/180</f>
        <v>0.52359877559829882</v>
      </c>
    </row>
    <row r="17" spans="2:6" x14ac:dyDescent="0.25">
      <c r="B17" s="5" t="s">
        <v>88</v>
      </c>
      <c r="C17" s="31">
        <v>707.10678118654755</v>
      </c>
      <c r="E17">
        <v>45</v>
      </c>
      <c r="F17" s="32">
        <f>E17*PI()/180</f>
        <v>0.78539816339744828</v>
      </c>
    </row>
    <row r="18" spans="2:6" x14ac:dyDescent="0.25">
      <c r="B18" s="5" t="s">
        <v>87</v>
      </c>
      <c r="C18" s="31">
        <v>685.64064605548992</v>
      </c>
    </row>
    <row r="19" spans="2:6" x14ac:dyDescent="0.25">
      <c r="B19" s="5" t="s">
        <v>86</v>
      </c>
      <c r="C19" s="31">
        <v>969.64230056388624</v>
      </c>
    </row>
    <row r="20" spans="2:6" x14ac:dyDescent="0.25">
      <c r="B20" s="5" t="s">
        <v>85</v>
      </c>
      <c r="C20" s="31">
        <v>2200.000000015666</v>
      </c>
    </row>
    <row r="21" spans="2:6" x14ac:dyDescent="0.25">
      <c r="B21" s="5" t="s">
        <v>84</v>
      </c>
      <c r="C21" s="31">
        <v>585.6406460559341</v>
      </c>
    </row>
    <row r="22" spans="2:6" x14ac:dyDescent="0.25">
      <c r="B22" s="5" t="s">
        <v>83</v>
      </c>
      <c r="C22" s="31">
        <v>-685.64064605404815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B2:K22"/>
  <sheetViews>
    <sheetView workbookViewId="0">
      <selection activeCell="J16" sqref="J16"/>
    </sheetView>
  </sheetViews>
  <sheetFormatPr defaultRowHeight="15" x14ac:dyDescent="0.25"/>
  <sheetData>
    <row r="2" spans="2:8" x14ac:dyDescent="0.25">
      <c r="B2" s="10" t="s">
        <v>133</v>
      </c>
    </row>
    <row r="3" spans="2:8" x14ac:dyDescent="0.25">
      <c r="B3" t="s">
        <v>132</v>
      </c>
      <c r="F3" s="43">
        <f>10*C8+20*(C8-C9)+25*(C8-C11)</f>
        <v>-3.836930773104541E-13</v>
      </c>
      <c r="G3" s="3" t="s">
        <v>23</v>
      </c>
      <c r="H3" s="43">
        <v>0</v>
      </c>
    </row>
    <row r="4" spans="2:8" x14ac:dyDescent="0.25">
      <c r="B4" t="s">
        <v>131</v>
      </c>
      <c r="F4" s="43">
        <f>-100+25*(C11-C8)+4*(C11-C10)</f>
        <v>4.2277292777725961E-13</v>
      </c>
      <c r="G4" s="3" t="s">
        <v>23</v>
      </c>
      <c r="H4" s="43">
        <v>0</v>
      </c>
    </row>
    <row r="5" spans="2:8" x14ac:dyDescent="0.25">
      <c r="B5" t="s">
        <v>120</v>
      </c>
      <c r="F5" s="43">
        <f>C9</f>
        <v>-10</v>
      </c>
      <c r="G5" s="3" t="s">
        <v>23</v>
      </c>
      <c r="H5" s="43">
        <v>-10</v>
      </c>
    </row>
    <row r="6" spans="2:8" x14ac:dyDescent="0.25">
      <c r="B6" t="s">
        <v>130</v>
      </c>
      <c r="F6" s="42">
        <f>4*(C10-C11)+25*(C10-C9)+8*C10</f>
        <v>0</v>
      </c>
      <c r="G6" s="3" t="s">
        <v>23</v>
      </c>
      <c r="H6" s="37">
        <v>0</v>
      </c>
    </row>
    <row r="8" spans="2:8" x14ac:dyDescent="0.25">
      <c r="B8" s="5" t="s">
        <v>129</v>
      </c>
      <c r="C8" s="41">
        <v>-4.1102542130819772</v>
      </c>
    </row>
    <row r="9" spans="2:8" x14ac:dyDescent="0.25">
      <c r="B9" s="5" t="s">
        <v>128</v>
      </c>
      <c r="C9" s="41">
        <v>-10</v>
      </c>
    </row>
    <row r="10" spans="2:8" x14ac:dyDescent="0.25">
      <c r="B10" s="5" t="s">
        <v>127</v>
      </c>
      <c r="C10" s="41">
        <v>-6.8694658668951725</v>
      </c>
    </row>
    <row r="11" spans="2:8" x14ac:dyDescent="0.25">
      <c r="B11" s="5" t="s">
        <v>126</v>
      </c>
      <c r="C11" s="41">
        <v>-1.0425592687803344</v>
      </c>
    </row>
    <row r="16" spans="2:8" x14ac:dyDescent="0.25">
      <c r="B16" s="10" t="s">
        <v>125</v>
      </c>
    </row>
    <row r="17" spans="2:11" x14ac:dyDescent="0.25">
      <c r="B17" s="5" t="s">
        <v>124</v>
      </c>
      <c r="C17" s="39">
        <v>-4.11025421326638</v>
      </c>
      <c r="E17" s="40">
        <f>10*C17+20*C18+25*C19</f>
        <v>0</v>
      </c>
      <c r="F17" s="3" t="s">
        <v>23</v>
      </c>
      <c r="G17" s="40">
        <v>0</v>
      </c>
      <c r="I17" t="s">
        <v>123</v>
      </c>
      <c r="J17" s="5" t="s">
        <v>122</v>
      </c>
      <c r="K17" s="1">
        <f>C17</f>
        <v>-4.11025421326638</v>
      </c>
    </row>
    <row r="18" spans="2:11" x14ac:dyDescent="0.25">
      <c r="B18" s="5" t="s">
        <v>121</v>
      </c>
      <c r="C18" s="39">
        <v>5.8897457871122025</v>
      </c>
      <c r="E18" s="40">
        <f>-100-25*C19+4*C21</f>
        <v>2.6959376953072933E-9</v>
      </c>
      <c r="F18" s="3" t="s">
        <v>23</v>
      </c>
      <c r="G18" s="40">
        <v>0</v>
      </c>
      <c r="I18" t="s">
        <v>120</v>
      </c>
      <c r="J18" s="5" t="s">
        <v>119</v>
      </c>
      <c r="K18" s="1">
        <v>-10</v>
      </c>
    </row>
    <row r="19" spans="2:11" x14ac:dyDescent="0.25">
      <c r="B19" s="5" t="s">
        <v>118</v>
      </c>
      <c r="C19" s="39">
        <v>-3.0676949443832102</v>
      </c>
      <c r="E19" s="40">
        <f>-4*C21+25*C20+8*C22</f>
        <v>0</v>
      </c>
      <c r="F19" s="3" t="s">
        <v>23</v>
      </c>
      <c r="G19" s="40">
        <v>0</v>
      </c>
      <c r="I19" t="s">
        <v>117</v>
      </c>
      <c r="J19" s="5" t="s">
        <v>116</v>
      </c>
      <c r="K19" s="1">
        <f>C22</f>
        <v>-6.8694658671620861</v>
      </c>
    </row>
    <row r="20" spans="2:11" x14ac:dyDescent="0.25">
      <c r="B20" s="5" t="s">
        <v>115</v>
      </c>
      <c r="C20" s="39">
        <v>3.1305341332164942</v>
      </c>
      <c r="E20" s="40">
        <f>C17+10-C18</f>
        <v>-3.7858249868349958E-10</v>
      </c>
      <c r="F20" s="3" t="s">
        <v>23</v>
      </c>
      <c r="G20" s="40">
        <v>0</v>
      </c>
      <c r="I20" t="s">
        <v>114</v>
      </c>
      <c r="J20" s="5" t="s">
        <v>113</v>
      </c>
      <c r="K20" s="1">
        <f>C21+K19</f>
        <v>-1.0425592688831662</v>
      </c>
    </row>
    <row r="21" spans="2:11" x14ac:dyDescent="0.25">
      <c r="B21" s="5" t="s">
        <v>112</v>
      </c>
      <c r="C21" s="39">
        <v>5.8269065982789199</v>
      </c>
      <c r="E21" s="40">
        <f>C18-C19-C20-C21</f>
        <v>0</v>
      </c>
      <c r="F21" s="3" t="s">
        <v>23</v>
      </c>
      <c r="G21" s="40">
        <v>0</v>
      </c>
    </row>
    <row r="22" spans="2:11" x14ac:dyDescent="0.25">
      <c r="B22" s="5" t="s">
        <v>111</v>
      </c>
      <c r="C22" s="39">
        <v>-6.8694658671620861</v>
      </c>
      <c r="E22" s="38">
        <f>C20-10-C22</f>
        <v>3.7858072232666018E-10</v>
      </c>
      <c r="F22" s="3" t="s">
        <v>23</v>
      </c>
      <c r="G22" s="3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B1:N16"/>
  <sheetViews>
    <sheetView workbookViewId="0">
      <selection activeCell="J16" sqref="J16"/>
    </sheetView>
  </sheetViews>
  <sheetFormatPr defaultRowHeight="15" x14ac:dyDescent="0.25"/>
  <sheetData>
    <row r="1" spans="2:14" x14ac:dyDescent="0.25">
      <c r="H1" s="3"/>
      <c r="I1" s="30" t="s">
        <v>91</v>
      </c>
      <c r="J1" s="30" t="s">
        <v>161</v>
      </c>
    </row>
    <row r="2" spans="2:14" x14ac:dyDescent="0.25">
      <c r="H2" s="5" t="s">
        <v>160</v>
      </c>
      <c r="I2" s="30">
        <v>45</v>
      </c>
      <c r="J2" s="48">
        <f>RADIANS(I2)</f>
        <v>0.78539816339744828</v>
      </c>
      <c r="L2" s="5" t="s">
        <v>159</v>
      </c>
      <c r="M2" s="30">
        <v>15</v>
      </c>
      <c r="N2" t="s">
        <v>149</v>
      </c>
    </row>
    <row r="3" spans="2:14" x14ac:dyDescent="0.25">
      <c r="B3" t="s">
        <v>158</v>
      </c>
      <c r="H3" s="5" t="s">
        <v>157</v>
      </c>
      <c r="I3" s="30">
        <v>9.8000000000000007</v>
      </c>
      <c r="J3" t="s">
        <v>156</v>
      </c>
      <c r="L3" s="5" t="s">
        <v>155</v>
      </c>
      <c r="M3" s="30">
        <v>10</v>
      </c>
      <c r="N3" t="s">
        <v>149</v>
      </c>
    </row>
    <row r="4" spans="2:14" x14ac:dyDescent="0.25">
      <c r="B4" t="s">
        <v>154</v>
      </c>
      <c r="H4" s="5" t="s">
        <v>153</v>
      </c>
      <c r="I4" s="30">
        <v>0.8</v>
      </c>
      <c r="L4" s="5" t="s">
        <v>152</v>
      </c>
      <c r="M4" s="30">
        <v>8</v>
      </c>
      <c r="N4" t="s">
        <v>149</v>
      </c>
    </row>
    <row r="5" spans="2:14" x14ac:dyDescent="0.25">
      <c r="H5" s="5" t="s">
        <v>151</v>
      </c>
      <c r="I5" s="30">
        <v>0.2</v>
      </c>
      <c r="L5" s="5" t="s">
        <v>150</v>
      </c>
      <c r="M5" s="30">
        <v>5</v>
      </c>
      <c r="N5" t="s">
        <v>149</v>
      </c>
    </row>
    <row r="6" spans="2:14" x14ac:dyDescent="0.25">
      <c r="H6" s="3" t="s">
        <v>148</v>
      </c>
      <c r="I6" s="47">
        <v>20.788939366884478</v>
      </c>
      <c r="J6" t="s">
        <v>140</v>
      </c>
    </row>
    <row r="7" spans="2:14" x14ac:dyDescent="0.25">
      <c r="B7" t="s">
        <v>147</v>
      </c>
      <c r="H7" s="3" t="s">
        <v>146</v>
      </c>
      <c r="I7" s="47">
        <v>34.648232278140796</v>
      </c>
      <c r="J7" t="s">
        <v>140</v>
      </c>
    </row>
    <row r="8" spans="2:14" x14ac:dyDescent="0.25">
      <c r="B8" t="s">
        <v>145</v>
      </c>
      <c r="H8" s="3" t="s">
        <v>144</v>
      </c>
      <c r="I8" s="47">
        <v>-43.75176772185921</v>
      </c>
      <c r="J8" t="s">
        <v>140</v>
      </c>
    </row>
    <row r="9" spans="2:14" x14ac:dyDescent="0.25">
      <c r="B9" t="s">
        <v>143</v>
      </c>
      <c r="D9" s="7">
        <f>25*I3*SIN(45*PI()/180)</f>
        <v>173.24116139070415</v>
      </c>
      <c r="E9" t="s">
        <v>140</v>
      </c>
      <c r="F9" t="s">
        <v>142</v>
      </c>
    </row>
    <row r="10" spans="2:14" x14ac:dyDescent="0.25">
      <c r="B10" t="s">
        <v>141</v>
      </c>
      <c r="D10">
        <f>13*I3</f>
        <v>127.4</v>
      </c>
      <c r="E10" t="s">
        <v>140</v>
      </c>
      <c r="F10" t="s">
        <v>139</v>
      </c>
    </row>
    <row r="11" spans="2:14" x14ac:dyDescent="0.25">
      <c r="B11" t="s">
        <v>138</v>
      </c>
    </row>
    <row r="13" spans="2:14" x14ac:dyDescent="0.25">
      <c r="B13" t="s">
        <v>137</v>
      </c>
      <c r="H13" s="40">
        <f>M2*I3*SIN(J2)-M2*I3*COS(J2)*I4-I6</f>
        <v>0</v>
      </c>
      <c r="I13" s="3" t="s">
        <v>23</v>
      </c>
      <c r="J13" s="46">
        <v>0</v>
      </c>
    </row>
    <row r="14" spans="2:14" x14ac:dyDescent="0.25">
      <c r="B14" t="s">
        <v>136</v>
      </c>
      <c r="H14" s="40">
        <f>M3*I3*SIN(J2)+I6-M3*I3*COS(J2)*I4-I7</f>
        <v>0</v>
      </c>
      <c r="I14" s="3" t="s">
        <v>23</v>
      </c>
      <c r="J14" s="46">
        <v>0</v>
      </c>
    </row>
    <row r="15" spans="2:14" x14ac:dyDescent="0.25">
      <c r="B15" t="s">
        <v>135</v>
      </c>
      <c r="H15" s="40">
        <f>I7-M4*I3-I8</f>
        <v>0</v>
      </c>
      <c r="I15" s="3" t="s">
        <v>23</v>
      </c>
      <c r="J15" s="46">
        <v>0</v>
      </c>
    </row>
    <row r="16" spans="2:14" x14ac:dyDescent="0.25">
      <c r="B16" t="s">
        <v>134</v>
      </c>
      <c r="H16" s="45">
        <f>M5*I3-I8</f>
        <v>92.75176772185921</v>
      </c>
      <c r="I16" s="3" t="s">
        <v>23</v>
      </c>
      <c r="J16" s="44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2:C17"/>
  <sheetViews>
    <sheetView topLeftCell="A6" zoomScale="190" zoomScaleNormal="190" workbookViewId="0">
      <selection activeCell="J16" sqref="J16"/>
    </sheetView>
  </sheetViews>
  <sheetFormatPr defaultRowHeight="15" x14ac:dyDescent="0.25"/>
  <cols>
    <col min="3" max="3" width="11.42578125" bestFit="1" customWidth="1"/>
  </cols>
  <sheetData>
    <row r="2" spans="1:3" x14ac:dyDescent="0.25">
      <c r="B2" s="5" t="s">
        <v>167</v>
      </c>
      <c r="C2" s="30">
        <v>0.6</v>
      </c>
    </row>
    <row r="3" spans="1:3" x14ac:dyDescent="0.25">
      <c r="B3" s="5" t="s">
        <v>166</v>
      </c>
      <c r="C3" s="52">
        <v>20000</v>
      </c>
    </row>
    <row r="5" spans="1:3" x14ac:dyDescent="0.25">
      <c r="B5" s="3" t="s">
        <v>163</v>
      </c>
      <c r="C5" s="3" t="s">
        <v>165</v>
      </c>
    </row>
    <row r="6" spans="1:3" x14ac:dyDescent="0.25">
      <c r="B6" s="51">
        <v>569.99398309120534</v>
      </c>
      <c r="C6" s="50">
        <f>0.01*$C$2*B6^2+0.95/$C$2*($C$3/B6)^2</f>
        <v>3898.7177379235854</v>
      </c>
    </row>
    <row r="8" spans="1:3" x14ac:dyDescent="0.25">
      <c r="A8" s="3" t="s">
        <v>164</v>
      </c>
      <c r="B8" s="3" t="s">
        <v>163</v>
      </c>
      <c r="C8" s="3" t="s">
        <v>162</v>
      </c>
    </row>
    <row r="9" spans="1:3" x14ac:dyDescent="0.25">
      <c r="A9" s="49">
        <v>12000</v>
      </c>
      <c r="B9" s="49">
        <v>441.51544028824259</v>
      </c>
      <c r="C9" s="49">
        <v>2339.2306427541512</v>
      </c>
    </row>
    <row r="10" spans="1:3" x14ac:dyDescent="0.25">
      <c r="A10" s="49">
        <v>13000</v>
      </c>
      <c r="B10" s="49">
        <v>459.54384017217359</v>
      </c>
      <c r="C10" s="49">
        <v>2534.1665296503306</v>
      </c>
    </row>
    <row r="11" spans="1:3" x14ac:dyDescent="0.25">
      <c r="A11" s="49">
        <v>14000</v>
      </c>
      <c r="B11" s="49">
        <v>476.89118123227394</v>
      </c>
      <c r="C11" s="49">
        <v>2729.1024165465096</v>
      </c>
    </row>
    <row r="12" spans="1:3" x14ac:dyDescent="0.25">
      <c r="A12" s="49">
        <v>15000</v>
      </c>
      <c r="B12" s="49">
        <v>493.62927002775444</v>
      </c>
      <c r="C12" s="49">
        <v>2924.0383034426891</v>
      </c>
    </row>
    <row r="13" spans="1:3" x14ac:dyDescent="0.25">
      <c r="A13" s="49">
        <v>16000</v>
      </c>
      <c r="B13" s="49">
        <v>509.81811700920224</v>
      </c>
      <c r="C13" s="49">
        <v>3118.9741903388685</v>
      </c>
    </row>
    <row r="14" spans="1:3" x14ac:dyDescent="0.25">
      <c r="A14" s="49">
        <v>17000</v>
      </c>
      <c r="B14" s="49">
        <v>525.50848514244183</v>
      </c>
      <c r="C14" s="49">
        <v>3313.9100772350475</v>
      </c>
    </row>
    <row r="15" spans="1:3" x14ac:dyDescent="0.25">
      <c r="A15" s="49">
        <v>18000</v>
      </c>
      <c r="B15" s="49">
        <v>540.74377286229719</v>
      </c>
      <c r="C15" s="49">
        <v>3508.845964131227</v>
      </c>
    </row>
    <row r="16" spans="1:3" x14ac:dyDescent="0.25">
      <c r="A16" s="49">
        <v>19000</v>
      </c>
      <c r="B16" s="49">
        <v>555.56141411673559</v>
      </c>
      <c r="C16" s="49">
        <v>3703.7818510274055</v>
      </c>
    </row>
    <row r="17" spans="1:3" x14ac:dyDescent="0.25">
      <c r="A17" s="49">
        <v>20000</v>
      </c>
      <c r="B17" s="49">
        <v>569.99398309120534</v>
      </c>
      <c r="C17" s="49">
        <v>3898.7177379235854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autoLine="0" r:id="rId4">
            <anchor moveWithCells="1">
              <from>
                <xdr:col>5</xdr:col>
                <xdr:colOff>361950</xdr:colOff>
                <xdr:row>3</xdr:row>
                <xdr:rowOff>28575</xdr:rowOff>
              </from>
              <to>
                <xdr:col>7</xdr:col>
                <xdr:colOff>47625</xdr:colOff>
                <xdr:row>4</xdr:row>
                <xdr:rowOff>142875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3:I7"/>
  <sheetViews>
    <sheetView zoomScale="130" zoomScaleNormal="130" workbookViewId="0">
      <selection activeCell="J16" sqref="J16"/>
    </sheetView>
  </sheetViews>
  <sheetFormatPr defaultRowHeight="15" x14ac:dyDescent="0.25"/>
  <cols>
    <col min="6" max="6" width="9.85546875" bestFit="1" customWidth="1"/>
  </cols>
  <sheetData>
    <row r="3" spans="2:9" x14ac:dyDescent="0.25">
      <c r="C3" t="s">
        <v>178</v>
      </c>
      <c r="D3" t="s">
        <v>177</v>
      </c>
      <c r="E3" t="s">
        <v>176</v>
      </c>
      <c r="F3" t="s">
        <v>175</v>
      </c>
    </row>
    <row r="4" spans="2:9" x14ac:dyDescent="0.25">
      <c r="C4" s="58">
        <v>0</v>
      </c>
      <c r="D4" s="58">
        <v>362.50000000007958</v>
      </c>
      <c r="E4" s="57">
        <v>87.499999999920419</v>
      </c>
      <c r="F4" s="56">
        <f>SUM(C4:E4)</f>
        <v>450</v>
      </c>
      <c r="G4" s="44" t="s">
        <v>170</v>
      </c>
      <c r="H4" s="56">
        <v>450</v>
      </c>
      <c r="I4" t="s">
        <v>174</v>
      </c>
    </row>
    <row r="5" spans="2:9" x14ac:dyDescent="0.25">
      <c r="B5" s="5" t="s">
        <v>173</v>
      </c>
      <c r="C5">
        <v>6</v>
      </c>
      <c r="D5">
        <v>4</v>
      </c>
      <c r="E5">
        <v>12</v>
      </c>
      <c r="F5" s="55">
        <f>SUMPRODUCT($C$4:$E$4,C5:E5)</f>
        <v>2499.9999999993634</v>
      </c>
      <c r="G5" s="3" t="s">
        <v>170</v>
      </c>
      <c r="H5" s="55">
        <v>2500</v>
      </c>
      <c r="I5" t="s">
        <v>172</v>
      </c>
    </row>
    <row r="6" spans="2:9" x14ac:dyDescent="0.25">
      <c r="B6" s="5" t="s">
        <v>171</v>
      </c>
      <c r="C6">
        <v>0.05</v>
      </c>
      <c r="D6">
        <v>0.1</v>
      </c>
      <c r="E6">
        <v>0.2</v>
      </c>
      <c r="F6" s="55">
        <f>SUMPRODUCT($C$4:$E$4,C6:E6)</f>
        <v>53.749999999992042</v>
      </c>
      <c r="G6" s="3" t="s">
        <v>170</v>
      </c>
      <c r="H6" s="55">
        <v>55</v>
      </c>
      <c r="I6" t="s">
        <v>169</v>
      </c>
    </row>
    <row r="7" spans="2:9" x14ac:dyDescent="0.25">
      <c r="B7" s="5" t="s">
        <v>168</v>
      </c>
      <c r="C7" s="54">
        <v>30</v>
      </c>
      <c r="D7" s="54">
        <v>30</v>
      </c>
      <c r="E7" s="54">
        <v>35</v>
      </c>
      <c r="F7" s="53">
        <f>SUMPRODUCT($C$4:$E$4,C7:E7)</f>
        <v>13937.499999999602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22"/>
  <sheetViews>
    <sheetView tabSelected="1" workbookViewId="0">
      <selection activeCell="J16" sqref="J16"/>
    </sheetView>
  </sheetViews>
  <sheetFormatPr defaultRowHeight="15" x14ac:dyDescent="0.25"/>
  <sheetData>
    <row r="2" spans="2:9" x14ac:dyDescent="0.25">
      <c r="B2" s="71"/>
      <c r="C2" s="70" t="s">
        <v>185</v>
      </c>
      <c r="D2" s="70"/>
      <c r="E2" s="69"/>
    </row>
    <row r="3" spans="2:9" x14ac:dyDescent="0.25">
      <c r="B3" s="68" t="s">
        <v>183</v>
      </c>
      <c r="C3" s="67">
        <v>0</v>
      </c>
      <c r="D3" s="67">
        <v>10</v>
      </c>
      <c r="E3" s="66">
        <v>20</v>
      </c>
      <c r="H3" s="5" t="s">
        <v>190</v>
      </c>
      <c r="I3" s="39">
        <v>13.522138788420966</v>
      </c>
    </row>
    <row r="4" spans="2:9" x14ac:dyDescent="0.25">
      <c r="B4" s="22">
        <v>0</v>
      </c>
      <c r="C4" s="65">
        <v>14.6</v>
      </c>
      <c r="D4" s="65">
        <v>12.9</v>
      </c>
      <c r="E4" s="63">
        <v>11.4</v>
      </c>
      <c r="H4" s="5" t="s">
        <v>189</v>
      </c>
      <c r="I4" s="39">
        <v>-0.20123814466608439</v>
      </c>
    </row>
    <row r="5" spans="2:9" x14ac:dyDescent="0.25">
      <c r="B5" s="22">
        <v>5</v>
      </c>
      <c r="C5" s="65">
        <v>12.8</v>
      </c>
      <c r="D5" s="65">
        <v>11.3</v>
      </c>
      <c r="E5" s="63">
        <v>10.3</v>
      </c>
      <c r="H5" s="5" t="s">
        <v>188</v>
      </c>
      <c r="I5" s="39">
        <v>-0.10492798892099443</v>
      </c>
    </row>
    <row r="6" spans="2:9" x14ac:dyDescent="0.25">
      <c r="B6" s="22">
        <v>10</v>
      </c>
      <c r="C6" s="64">
        <v>11.3</v>
      </c>
      <c r="D6" s="64">
        <v>10.1</v>
      </c>
      <c r="E6" s="63">
        <v>8.9600000000000009</v>
      </c>
    </row>
    <row r="7" spans="2:9" x14ac:dyDescent="0.25">
      <c r="B7" s="22">
        <v>15</v>
      </c>
      <c r="C7" s="64">
        <v>10.1</v>
      </c>
      <c r="D7" s="64">
        <v>9.0299999999999994</v>
      </c>
      <c r="E7" s="63">
        <v>8.08</v>
      </c>
    </row>
    <row r="8" spans="2:9" x14ac:dyDescent="0.25">
      <c r="B8" s="22">
        <v>20</v>
      </c>
      <c r="C8" s="64">
        <v>9.09</v>
      </c>
      <c r="D8" s="64">
        <v>8.17</v>
      </c>
      <c r="E8" s="63">
        <v>7.35</v>
      </c>
      <c r="I8" t="s">
        <v>187</v>
      </c>
    </row>
    <row r="9" spans="2:9" x14ac:dyDescent="0.25">
      <c r="B9" s="22">
        <v>25</v>
      </c>
      <c r="C9" s="64">
        <v>8.26</v>
      </c>
      <c r="D9" s="64">
        <v>7.46</v>
      </c>
      <c r="E9" s="63">
        <v>6.73</v>
      </c>
      <c r="H9" t="s">
        <v>180</v>
      </c>
      <c r="I9" t="s">
        <v>186</v>
      </c>
    </row>
    <row r="10" spans="2:9" x14ac:dyDescent="0.25">
      <c r="B10" s="62">
        <v>30</v>
      </c>
      <c r="C10" s="61">
        <v>7.56</v>
      </c>
      <c r="D10" s="61">
        <v>6.85</v>
      </c>
      <c r="E10" s="60">
        <v>6.2</v>
      </c>
    </row>
    <row r="11" spans="2:9" x14ac:dyDescent="0.25">
      <c r="I11" s="1">
        <v>1</v>
      </c>
    </row>
    <row r="12" spans="2:9" x14ac:dyDescent="0.25">
      <c r="B12" s="71"/>
      <c r="C12" s="70" t="s">
        <v>185</v>
      </c>
      <c r="D12" s="70"/>
      <c r="E12" s="69"/>
      <c r="H12" s="5" t="s">
        <v>184</v>
      </c>
      <c r="I12" s="1">
        <v>17</v>
      </c>
    </row>
    <row r="13" spans="2:9" x14ac:dyDescent="0.25">
      <c r="B13" s="68" t="s">
        <v>183</v>
      </c>
      <c r="C13" s="67">
        <v>0</v>
      </c>
      <c r="D13" s="67">
        <v>10</v>
      </c>
      <c r="E13" s="66">
        <v>20</v>
      </c>
      <c r="H13" s="5" t="s">
        <v>182</v>
      </c>
      <c r="I13" s="1">
        <v>5</v>
      </c>
    </row>
    <row r="14" spans="2:9" x14ac:dyDescent="0.25">
      <c r="B14" s="22">
        <v>0</v>
      </c>
      <c r="C14" s="65">
        <f>$I$3+$I$4*$B14+$I$5*C$13</f>
        <v>13.522138788420966</v>
      </c>
      <c r="D14" s="65">
        <f>$I$3+$I$4*$B14+$I$5*D$13</f>
        <v>12.472858899211021</v>
      </c>
      <c r="E14" s="63">
        <f>$I$3+$I$4*$B14+$I$5*E$13</f>
        <v>11.423579010001077</v>
      </c>
      <c r="G14" s="5" t="s">
        <v>181</v>
      </c>
      <c r="H14" s="5" t="s">
        <v>180</v>
      </c>
      <c r="I14" s="1">
        <f>SUMPRODUCT(I3:I5,I11:I13)</f>
        <v>9.5764503844925581</v>
      </c>
    </row>
    <row r="15" spans="2:9" x14ac:dyDescent="0.25">
      <c r="B15" s="22">
        <v>5</v>
      </c>
      <c r="C15" s="65">
        <f>$I$3+$I$4*$B15+$I$5*C$13</f>
        <v>12.515948065090544</v>
      </c>
      <c r="D15" s="65">
        <f>$I$3+$I$4*$B15+$I$5*D$13</f>
        <v>11.466668175880599</v>
      </c>
      <c r="E15" s="63">
        <f>$I$3+$I$4*$B15+$I$5*E$13</f>
        <v>10.417388286670656</v>
      </c>
    </row>
    <row r="16" spans="2:9" x14ac:dyDescent="0.25">
      <c r="B16" s="22">
        <v>10</v>
      </c>
      <c r="C16" s="64">
        <f>$I$3+$I$4*$B16+$I$5*C$13</f>
        <v>11.509757341760121</v>
      </c>
      <c r="D16" s="64">
        <f>$I$3+$I$4*$B16+$I$5*D$13</f>
        <v>10.460477452550176</v>
      </c>
      <c r="E16" s="63">
        <f>$I$3+$I$4*$B16+$I$5*E$13</f>
        <v>9.4111975633402327</v>
      </c>
    </row>
    <row r="17" spans="2:5" x14ac:dyDescent="0.25">
      <c r="B17" s="22">
        <v>15</v>
      </c>
      <c r="C17" s="64">
        <f>$I$3+$I$4*$B17+$I$5*C$13</f>
        <v>10.5035666184297</v>
      </c>
      <c r="D17" s="64">
        <f>$I$3+$I$4*$B17+$I$5*D$13</f>
        <v>9.4542867292197545</v>
      </c>
      <c r="E17" s="63">
        <f>$I$3+$I$4*$B17+$I$5*E$13</f>
        <v>8.4050068400098112</v>
      </c>
    </row>
    <row r="18" spans="2:5" x14ac:dyDescent="0.25">
      <c r="B18" s="22">
        <v>20</v>
      </c>
      <c r="C18" s="64">
        <f>$I$3+$I$4*$B18+$I$5*C$13</f>
        <v>9.4973758950992782</v>
      </c>
      <c r="D18" s="64">
        <f>$I$3+$I$4*$B18+$I$5*D$13</f>
        <v>8.4480960058893331</v>
      </c>
      <c r="E18" s="63">
        <f>$I$3+$I$4*$B18+$I$5*E$13</f>
        <v>7.3988161166793898</v>
      </c>
    </row>
    <row r="19" spans="2:5" x14ac:dyDescent="0.25">
      <c r="B19" s="22">
        <v>25</v>
      </c>
      <c r="C19" s="64">
        <f>$I$3+$I$4*$B19+$I$5*C$13</f>
        <v>8.4911851717688549</v>
      </c>
      <c r="D19" s="64">
        <f>$I$3+$I$4*$B19+$I$5*D$13</f>
        <v>7.4419052825589107</v>
      </c>
      <c r="E19" s="63">
        <f>$I$3+$I$4*$B19+$I$5*E$13</f>
        <v>6.3926253933489665</v>
      </c>
    </row>
    <row r="20" spans="2:5" x14ac:dyDescent="0.25">
      <c r="B20" s="62">
        <v>30</v>
      </c>
      <c r="C20" s="61">
        <f>$I$3+$I$4*$B20+$I$5*C$13</f>
        <v>7.4849944484384343</v>
      </c>
      <c r="D20" s="61">
        <f>$I$3+$I$4*$B20+$I$5*D$13</f>
        <v>6.4357145592284901</v>
      </c>
      <c r="E20" s="60">
        <f>$I$3+$I$4*$B20+$I$5*E$13</f>
        <v>5.386434670018545</v>
      </c>
    </row>
    <row r="22" spans="2:5" x14ac:dyDescent="0.25">
      <c r="D22" s="5" t="s">
        <v>179</v>
      </c>
      <c r="E22" s="59">
        <f t="array" ref="E22">SUM((C14:E20-C4:E10)^2)</f>
        <v>3.5454880957398958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18</vt:i4>
      </vt:variant>
    </vt:vector>
  </HeadingPairs>
  <TitlesOfParts>
    <vt:vector size="33" baseType="lpstr">
      <vt:lpstr>matriz inversa</vt:lpstr>
      <vt:lpstr>Gauss Seidel explícito</vt:lpstr>
      <vt:lpstr>Gauss Seidel com iteração</vt:lpstr>
      <vt:lpstr>pivotamento via VBA</vt:lpstr>
      <vt:lpstr>treliça com solver</vt:lpstr>
      <vt:lpstr>treliça matriz inversa</vt:lpstr>
      <vt:lpstr>correntes com solver</vt:lpstr>
      <vt:lpstr>plano inclinado</vt:lpstr>
      <vt:lpstr>12.6</vt:lpstr>
      <vt:lpstr>12.14</vt:lpstr>
      <vt:lpstr>12.29</vt:lpstr>
      <vt:lpstr>12.36</vt:lpstr>
      <vt:lpstr>16.27</vt:lpstr>
      <vt:lpstr>16.4</vt:lpstr>
      <vt:lpstr>20.5</vt:lpstr>
      <vt:lpstr>'plano inclinado'!a_</vt:lpstr>
      <vt:lpstr>Fa_</vt:lpstr>
      <vt:lpstr>Fb_</vt:lpstr>
      <vt:lpstr>Fc_</vt:lpstr>
      <vt:lpstr>Fc1_</vt:lpstr>
      <vt:lpstr>Fc2_</vt:lpstr>
      <vt:lpstr>Fc3_</vt:lpstr>
      <vt:lpstr>Fd_</vt:lpstr>
      <vt:lpstr>Fe_</vt:lpstr>
      <vt:lpstr>g_</vt:lpstr>
      <vt:lpstr>i1_</vt:lpstr>
      <vt:lpstr>i2_</vt:lpstr>
      <vt:lpstr>i3_</vt:lpstr>
      <vt:lpstr>i4_</vt:lpstr>
      <vt:lpstr>R_1x</vt:lpstr>
      <vt:lpstr>R_1y</vt:lpstr>
      <vt:lpstr>R_2x</vt:lpstr>
      <vt:lpstr>R_2y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2009-12-08T12:09:08Z</dcterms:created>
  <dcterms:modified xsi:type="dcterms:W3CDTF">2017-09-25T23:34:15Z</dcterms:modified>
</cp:coreProperties>
</file>