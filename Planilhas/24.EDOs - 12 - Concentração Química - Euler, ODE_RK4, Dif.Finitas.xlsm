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13_ncr:40009_{6672E176-5A65-4D62-957E-DA8B027DA822}" xr6:coauthVersionLast="47" xr6:coauthVersionMax="47" xr10:uidLastSave="{00000000-0000-0000-0000-000000000000}"/>
  <bookViews>
    <workbookView xWindow="-120" yWindow="-120" windowWidth="27960" windowHeight="14220"/>
  </bookViews>
  <sheets>
    <sheet name="edo - chapra - 28.3 - conc.quím" sheetId="1" r:id="rId1"/>
    <sheet name="Gráf1" sheetId="5" r:id="rId2"/>
  </sheets>
  <functionGroups builtInGroupCount="19"/>
  <definedNames>
    <definedName name="Equação">'edo - chapra - 28.3 - conc.quím'!$I$7</definedName>
    <definedName name="F_">'edo - chapra - 28.3 - conc.quím'!$E$3</definedName>
    <definedName name="h_">'edo - chapra - 28.3 - conc.quím'!$A$3</definedName>
    <definedName name="k_">'edo - chapra - 28.3 - conc.quím'!$G$3</definedName>
    <definedName name="Q_">'edo - chapra - 28.3 - conc.quím'!$F$3</definedName>
    <definedName name="V_">'edo - chapra - 28.3 - conc.quím'!$D$3</definedName>
  </definedNames>
  <calcPr calcId="181029" calcMode="autoNoTable" iterate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1" l="1"/>
  <c r="E10" i="1"/>
  <c r="J10" i="1"/>
  <c r="F10" i="1"/>
  <c r="G10" i="1"/>
  <c r="F11" i="1"/>
  <c r="G11" i="1"/>
  <c r="F12" i="1"/>
  <c r="G12" i="1"/>
  <c r="B10" i="1"/>
  <c r="C10" i="1"/>
  <c r="A11" i="1"/>
  <c r="A12" i="1"/>
  <c r="A13" i="1"/>
  <c r="A14" i="1"/>
  <c r="A15" i="1"/>
  <c r="A16" i="1"/>
  <c r="A17" i="1"/>
  <c r="A18" i="1"/>
  <c r="A19" i="1"/>
  <c r="A20" i="1"/>
  <c r="A21" i="1"/>
  <c r="A22" i="1"/>
  <c r="E11" i="1"/>
  <c r="E12" i="1"/>
  <c r="E13" i="1"/>
  <c r="E14" i="1"/>
  <c r="E15" i="1"/>
  <c r="E16" i="1"/>
  <c r="E17" i="1"/>
  <c r="E18" i="1"/>
  <c r="E19" i="1"/>
  <c r="E20" i="1"/>
  <c r="E21" i="1"/>
  <c r="E2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I12" i="1" a="1"/>
  <c r="I11" i="1" a="1"/>
  <c r="J12" i="1" l="1"/>
  <c r="I12" i="1"/>
  <c r="I11" i="1"/>
  <c r="J11" i="1"/>
  <c r="I13" i="1" a="1"/>
  <c r="J13" i="1" l="1"/>
  <c r="I13" i="1"/>
  <c r="I14" i="1" a="1"/>
  <c r="J14" i="1" l="1"/>
  <c r="I14" i="1"/>
  <c r="I15" i="1" a="1"/>
  <c r="J15" i="1" l="1"/>
  <c r="I15" i="1"/>
  <c r="I16" i="1" a="1"/>
  <c r="J16" i="1" l="1"/>
  <c r="I16" i="1"/>
  <c r="I17" i="1" a="1"/>
  <c r="J17" i="1" l="1"/>
  <c r="I17" i="1"/>
  <c r="I18" i="1" a="1"/>
  <c r="J18" i="1" l="1"/>
  <c r="I18" i="1"/>
  <c r="I19" i="1" a="1"/>
  <c r="J19" i="1" l="1"/>
  <c r="I19" i="1"/>
  <c r="I20" i="1" a="1"/>
  <c r="J20" i="1" l="1"/>
  <c r="I20" i="1"/>
  <c r="I21" i="1" a="1"/>
  <c r="J21" i="1" l="1"/>
  <c r="I21" i="1"/>
  <c r="I22" i="1" a="1"/>
  <c r="J22" i="1" l="1"/>
  <c r="I22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</calcChain>
</file>

<file path=xl/comments1.xml><?xml version="1.0" encoding="utf-8"?>
<comments xmlns="http://schemas.openxmlformats.org/spreadsheetml/2006/main">
  <authors>
    <author xml:space="preserve"> </author>
  </authors>
  <commentList>
    <comment ref="C10" authorId="0" shapeId="0">
      <text>
        <r>
          <rPr>
            <b/>
            <sz val="10"/>
            <color indexed="81"/>
            <rFont val="Tahoma"/>
            <family val="2"/>
          </rPr>
          <t>=F_/V_-Q_/V_*B10-k_*B10^2</t>
        </r>
      </text>
    </comment>
    <comment ref="G10" authorId="0" shapeId="0">
      <text>
        <r>
          <rPr>
            <b/>
            <sz val="10"/>
            <color indexed="81"/>
            <rFont val="Tahoma"/>
            <family val="2"/>
          </rPr>
          <t>=F_/V_-Q_/V_*F9-k_*F9^2</t>
        </r>
      </text>
    </comment>
    <comment ref="B11" authorId="0" shapeId="0">
      <text>
        <r>
          <rPr>
            <b/>
            <sz val="10"/>
            <color indexed="81"/>
            <rFont val="Tahoma"/>
            <family val="2"/>
          </rPr>
          <t>=SE($B$6="n";$B$8;$A$3/2*(C11+C10)+B10)</t>
        </r>
      </text>
    </comment>
    <comment ref="J11" authorId="0" shapeId="0">
      <text>
        <r>
          <rPr>
            <b/>
            <sz val="10"/>
            <color indexed="81"/>
            <rFont val="Tahoma"/>
            <family val="2"/>
          </rPr>
          <t>=ODE_RK4(Equação;I9:J9;h_;V_;F_;Q_;k_)</t>
        </r>
      </text>
    </comment>
  </commentList>
</comments>
</file>

<file path=xl/sharedStrings.xml><?xml version="1.0" encoding="utf-8"?>
<sst xmlns="http://schemas.openxmlformats.org/spreadsheetml/2006/main" count="30" uniqueCount="27">
  <si>
    <t xml:space="preserve">     irá requerer iteração. A mesma deve ser habilitada na planilha</t>
  </si>
  <si>
    <t xml:space="preserve">  Perceba que a implementação do método de diferenças finitas</t>
  </si>
  <si>
    <t xml:space="preserve">  --&gt;  y(t+h) = h/2*[ y'(t+h) + y'(t) ] + y(t)</t>
  </si>
  <si>
    <r>
      <t xml:space="preserve">[ </t>
    </r>
    <r>
      <rPr>
        <sz val="11"/>
        <color theme="1"/>
        <rFont val="Calibri"/>
        <family val="2"/>
        <scheme val="minor"/>
      </rPr>
      <t xml:space="preserve">y(t+h) </t>
    </r>
    <r>
      <rPr>
        <b/>
        <sz val="11"/>
        <color indexed="8"/>
        <rFont val="Calibri"/>
        <family val="2"/>
      </rPr>
      <t>-</t>
    </r>
    <r>
      <rPr>
        <sz val="11"/>
        <color theme="1"/>
        <rFont val="Calibri"/>
        <family val="2"/>
        <scheme val="minor"/>
      </rPr>
      <t xml:space="preserve"> y(t)</t>
    </r>
    <r>
      <rPr>
        <b/>
        <sz val="11"/>
        <color indexed="8"/>
        <rFont val="Calibri"/>
        <family val="2"/>
      </rPr>
      <t xml:space="preserve"> ]/h </t>
    </r>
    <r>
      <rPr>
        <sz val="11"/>
        <color theme="1"/>
        <rFont val="Calibri"/>
        <family val="2"/>
        <scheme val="minor"/>
      </rPr>
      <t>=</t>
    </r>
    <r>
      <rPr>
        <b/>
        <sz val="11"/>
        <color indexed="8"/>
        <rFont val="Calibri"/>
        <family val="2"/>
      </rPr>
      <t xml:space="preserve"> [ </t>
    </r>
    <r>
      <rPr>
        <sz val="11"/>
        <color theme="1"/>
        <rFont val="Calibri"/>
        <family val="2"/>
        <scheme val="minor"/>
      </rPr>
      <t xml:space="preserve">y'(t+h) </t>
    </r>
    <r>
      <rPr>
        <b/>
        <sz val="11"/>
        <color indexed="8"/>
        <rFont val="Calibri"/>
        <family val="2"/>
      </rPr>
      <t>+</t>
    </r>
    <r>
      <rPr>
        <sz val="11"/>
        <color theme="1"/>
        <rFont val="Calibri"/>
        <family val="2"/>
        <scheme val="minor"/>
      </rPr>
      <t xml:space="preserve"> y'(t)</t>
    </r>
    <r>
      <rPr>
        <b/>
        <sz val="11"/>
        <color indexed="8"/>
        <rFont val="Calibri"/>
        <family val="2"/>
      </rPr>
      <t xml:space="preserve"> ]/2</t>
    </r>
  </si>
  <si>
    <t>a</t>
  </si>
  <si>
    <t>Trajetórias distintas=</t>
  </si>
  <si>
    <t>c</t>
  </si>
  <si>
    <t>t</t>
  </si>
  <si>
    <t>c'</t>
  </si>
  <si>
    <t>c(RK4)</t>
  </si>
  <si>
    <t>c(0)=</t>
  </si>
  <si>
    <t>c' = (F/V) -(Q/V)*c -K*c^2</t>
  </si>
  <si>
    <t>s</t>
  </si>
  <si>
    <t>Inicia?</t>
  </si>
  <si>
    <t>m3/g/min</t>
  </si>
  <si>
    <t>m3/min</t>
  </si>
  <si>
    <t>g/min</t>
  </si>
  <si>
    <t>m3</t>
  </si>
  <si>
    <t>k</t>
  </si>
  <si>
    <t>Q</t>
  </si>
  <si>
    <t>F</t>
  </si>
  <si>
    <t>V</t>
  </si>
  <si>
    <t>h</t>
  </si>
  <si>
    <t>Comparação dos Métodos de Euler, Runge-Kutta 4a ordem e Diferenças Finitas</t>
  </si>
  <si>
    <t>c(Dif.Fin.)</t>
  </si>
  <si>
    <t>c(Euler)</t>
  </si>
  <si>
    <t>Equação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</si>
</sst>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indexed="8"/>
      <name val="Calibri"/>
      <family val="2"/>
    </font>
    <font>
      <b/>
      <sz val="10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43" fontId="5" fillId="0" borderId="0" applyFont="0" applyFill="0" applyBorder="0" applyAlignment="0" applyProtection="0"/>
  </cellStyleXfs>
  <cellXfs count="34">
    <xf numFmtId="0" fontId="0" fillId="0" borderId="0" xfId="0"/>
    <xf numFmtId="2" fontId="0" fillId="0" borderId="0" xfId="0" applyNumberFormat="1"/>
    <xf numFmtId="2" fontId="6" fillId="0" borderId="0" xfId="0" applyNumberFormat="1" applyFont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2" fontId="0" fillId="0" borderId="4" xfId="0" applyNumberFormat="1" applyBorder="1"/>
    <xf numFmtId="2" fontId="0" fillId="0" borderId="0" xfId="0" applyNumberFormat="1" applyBorder="1"/>
    <xf numFmtId="2" fontId="0" fillId="0" borderId="3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7" xfId="0" applyNumberFormat="1" applyBorder="1"/>
    <xf numFmtId="0" fontId="6" fillId="0" borderId="8" xfId="0" applyFont="1" applyBorder="1"/>
    <xf numFmtId="0" fontId="6" fillId="0" borderId="4" xfId="0" applyFont="1" applyBorder="1" applyAlignment="1">
      <alignment horizontal="right"/>
    </xf>
    <xf numFmtId="0" fontId="6" fillId="0" borderId="1" xfId="0" applyFont="1" applyBorder="1"/>
    <xf numFmtId="0" fontId="6" fillId="0" borderId="2" xfId="0" applyFont="1" applyBorder="1"/>
    <xf numFmtId="0" fontId="6" fillId="0" borderId="3" xfId="0" applyFont="1" applyBorder="1" applyAlignment="1">
      <alignment horizontal="center"/>
    </xf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0" fontId="6" fillId="0" borderId="12" xfId="0" applyFont="1" applyBorder="1"/>
    <xf numFmtId="0" fontId="6" fillId="0" borderId="13" xfId="0" applyFont="1" applyBorder="1"/>
    <xf numFmtId="0" fontId="6" fillId="0" borderId="14" xfId="0" applyFont="1" applyBorder="1"/>
    <xf numFmtId="0" fontId="6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left"/>
    </xf>
    <xf numFmtId="2" fontId="0" fillId="2" borderId="9" xfId="0" applyNumberFormat="1" applyFill="1" applyBorder="1"/>
    <xf numFmtId="0" fontId="0" fillId="2" borderId="15" xfId="0" applyFill="1" applyBorder="1" applyAlignment="1">
      <alignment horizontal="center"/>
    </xf>
  </cellXfs>
  <cellStyles count="3">
    <cellStyle name="Normal" xfId="0" builtinId="0"/>
    <cellStyle name="Normal 2" xfId="1"/>
    <cellStyle name="Separador de milhares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74999999999998"/>
          <c:y val="3.1963470319634701E-2"/>
          <c:w val="0.82500000000000051"/>
          <c:h val="0.847439189528060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'edo - chapra - 28.3 - conc.quím'!$B$9</c:f>
              <c:strCache>
                <c:ptCount val="1"/>
                <c:pt idx="0">
                  <c:v>c(Dif.Fin.)</c:v>
                </c:pt>
              </c:strCache>
            </c:strRef>
          </c:tx>
          <c:xVal>
            <c:numRef>
              <c:f>'edo - chapra - 28.3 - conc.quím'!$A$10:$A$20</c:f>
              <c:numCache>
                <c:formatCode>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xVal>
          <c:yVal>
            <c:numRef>
              <c:f>'edo - chapra - 28.3 - conc.quím'!$B$10:$B$20</c:f>
              <c:numCache>
                <c:formatCode>0.00</c:formatCode>
                <c:ptCount val="11"/>
                <c:pt idx="0">
                  <c:v>-8</c:v>
                </c:pt>
                <c:pt idx="1">
                  <c:v>-3.2758365025403311</c:v>
                </c:pt>
                <c:pt idx="2">
                  <c:v>3.2245639401726045</c:v>
                </c:pt>
                <c:pt idx="3">
                  <c:v>7.6845674375034996</c:v>
                </c:pt>
                <c:pt idx="4">
                  <c:v>9.2210330637884077</c:v>
                </c:pt>
                <c:pt idx="5">
                  <c:v>9.5286978390031134</c:v>
                </c:pt>
                <c:pt idx="6">
                  <c:v>9.5775843165072558</c:v>
                </c:pt>
                <c:pt idx="7">
                  <c:v>9.5849669420427741</c:v>
                </c:pt>
                <c:pt idx="8">
                  <c:v>9.5860726762241555</c:v>
                </c:pt>
                <c:pt idx="9">
                  <c:v>9.586238080934109</c:v>
                </c:pt>
                <c:pt idx="10">
                  <c:v>9.5862628188823678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33-46AF-9167-D4098357FE4C}"/>
            </c:ext>
          </c:extLst>
        </c:ser>
        <c:ser>
          <c:idx val="1"/>
          <c:order val="1"/>
          <c:tx>
            <c:strRef>
              <c:f>'edo - chapra - 28.3 - conc.quím'!$F$9</c:f>
              <c:strCache>
                <c:ptCount val="1"/>
                <c:pt idx="0">
                  <c:v>c(Euler)</c:v>
                </c:pt>
              </c:strCache>
            </c:strRef>
          </c:tx>
          <c:xVal>
            <c:numRef>
              <c:f>'edo - chapra - 28.3 - conc.quím'!$E$10:$E$20</c:f>
              <c:numCache>
                <c:formatCode>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xVal>
          <c:yVal>
            <c:numRef>
              <c:f>'edo - chapra - 28.3 - conc.quím'!$F$10:$F$20</c:f>
              <c:numCache>
                <c:formatCode>0.00</c:formatCode>
                <c:ptCount val="11"/>
                <c:pt idx="0">
                  <c:v>-8</c:v>
                </c:pt>
                <c:pt idx="1">
                  <c:v>-5.1749999999999998</c:v>
                </c:pt>
                <c:pt idx="2">
                  <c:v>0.32374479166666781</c:v>
                </c:pt>
                <c:pt idx="3">
                  <c:v>7.594061290254043</c:v>
                </c:pt>
                <c:pt idx="4">
                  <c:v>10.24407622048334</c:v>
                </c:pt>
                <c:pt idx="5">
                  <c:v>9.238324057132786</c:v>
                </c:pt>
                <c:pt idx="6">
                  <c:v>9.7440632009073767</c:v>
                </c:pt>
                <c:pt idx="7">
                  <c:v>9.5087196594571051</c:v>
                </c:pt>
                <c:pt idx="8">
                  <c:v>9.6230084564854401</c:v>
                </c:pt>
                <c:pt idx="9">
                  <c:v>9.568544555945941</c:v>
                </c:pt>
                <c:pt idx="10">
                  <c:v>9.5947434971806587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33-46AF-9167-D4098357FE4C}"/>
            </c:ext>
          </c:extLst>
        </c:ser>
        <c:ser>
          <c:idx val="2"/>
          <c:order val="2"/>
          <c:tx>
            <c:strRef>
              <c:f>'edo - chapra - 28.3 - conc.quím'!$J$8</c:f>
              <c:strCache>
                <c:ptCount val="1"/>
                <c:pt idx="0">
                  <c:v>c(RK4)</c:v>
                </c:pt>
              </c:strCache>
            </c:strRef>
          </c:tx>
          <c:xVal>
            <c:numRef>
              <c:f>'edo - chapra - 28.3 - conc.quím'!$I$10:$I$22</c:f>
              <c:numCache>
                <c:formatCode>0.00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</c:numCache>
            </c:numRef>
          </c:xVal>
          <c:yVal>
            <c:numRef>
              <c:f>'edo - chapra - 28.3 - conc.quím'!$J$10:$J$22</c:f>
              <c:numCache>
                <c:formatCode>0.00</c:formatCode>
                <c:ptCount val="13"/>
                <c:pt idx="0">
                  <c:v>-8</c:v>
                </c:pt>
                <c:pt idx="1">
                  <c:v>-3.3123500792399252</c:v>
                </c:pt>
                <c:pt idx="2">
                  <c:v>3.6346688619133367</c:v>
                </c:pt>
                <c:pt idx="3">
                  <c:v>7.742941825482152</c:v>
                </c:pt>
                <c:pt idx="4">
                  <c:v>9.0674783242131376</c:v>
                </c:pt>
                <c:pt idx="5">
                  <c:v>9.4427305755724564</c:v>
                </c:pt>
                <c:pt idx="6">
                  <c:v>9.5467430193636389</c:v>
                </c:pt>
                <c:pt idx="7">
                  <c:v>9.5753986179211026</c:v>
                </c:pt>
                <c:pt idx="8">
                  <c:v>9.5832796114452208</c:v>
                </c:pt>
                <c:pt idx="9">
                  <c:v>9.5854460322653505</c:v>
                </c:pt>
                <c:pt idx="10">
                  <c:v>9.5860414843644808</c:v>
                </c:pt>
                <c:pt idx="11">
                  <c:v>9.5862051414927887</c:v>
                </c:pt>
                <c:pt idx="12">
                  <c:v>9.5862501214095008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33-46AF-9167-D4098357F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446784"/>
        <c:axId val="1"/>
      </c:scatterChart>
      <c:valAx>
        <c:axId val="52044678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20446784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1200" b="1" i="0" baseline="0"/>
          </a:pPr>
          <a:endParaRPr lang="pt-BR"/>
        </a:p>
      </c:txPr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101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86D71-F349-45E1-A404-FC699079E0C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5"/>
  <dimension ref="A1:J30"/>
  <sheetViews>
    <sheetView tabSelected="1" zoomScale="138" zoomScaleNormal="138" workbookViewId="0">
      <selection activeCell="L15" sqref="L15"/>
    </sheetView>
  </sheetViews>
  <sheetFormatPr defaultRowHeight="15" x14ac:dyDescent="0.25"/>
  <cols>
    <col min="5" max="5" width="9.28515625" bestFit="1" customWidth="1"/>
  </cols>
  <sheetData>
    <row r="1" spans="1:10" x14ac:dyDescent="0.25">
      <c r="A1" s="6" t="s">
        <v>23</v>
      </c>
    </row>
    <row r="2" spans="1:10" x14ac:dyDescent="0.25">
      <c r="A2" s="28" t="s">
        <v>22</v>
      </c>
      <c r="D2" s="28" t="s">
        <v>21</v>
      </c>
      <c r="E2" s="28" t="s">
        <v>20</v>
      </c>
      <c r="F2" s="28" t="s">
        <v>19</v>
      </c>
      <c r="G2" s="28" t="s">
        <v>18</v>
      </c>
    </row>
    <row r="3" spans="1:10" x14ac:dyDescent="0.25">
      <c r="A3" s="33">
        <v>0.5</v>
      </c>
      <c r="D3" s="33">
        <v>12</v>
      </c>
      <c r="E3" s="33">
        <v>175</v>
      </c>
      <c r="F3" s="33">
        <v>1</v>
      </c>
      <c r="G3" s="33">
        <v>0.15</v>
      </c>
    </row>
    <row r="4" spans="1:10" x14ac:dyDescent="0.25">
      <c r="A4" s="5"/>
      <c r="D4" s="29" t="s">
        <v>17</v>
      </c>
      <c r="E4" s="29" t="s">
        <v>16</v>
      </c>
      <c r="F4" s="29" t="s">
        <v>15</v>
      </c>
      <c r="G4" s="29" t="s">
        <v>14</v>
      </c>
    </row>
    <row r="5" spans="1:10" x14ac:dyDescent="0.25">
      <c r="A5" s="5"/>
      <c r="D5" s="30"/>
      <c r="E5" s="30"/>
      <c r="F5" s="30"/>
      <c r="G5" s="30"/>
    </row>
    <row r="6" spans="1:10" ht="15.75" thickBot="1" x14ac:dyDescent="0.3">
      <c r="I6" s="6" t="s">
        <v>26</v>
      </c>
    </row>
    <row r="7" spans="1:10" x14ac:dyDescent="0.25">
      <c r="A7" s="17" t="s">
        <v>13</v>
      </c>
      <c r="B7" s="7" t="s">
        <v>12</v>
      </c>
      <c r="C7" s="8"/>
      <c r="I7" s="17" t="s">
        <v>11</v>
      </c>
      <c r="J7" s="8"/>
    </row>
    <row r="8" spans="1:10" ht="15.75" thickBot="1" x14ac:dyDescent="0.3">
      <c r="A8" s="18" t="s">
        <v>10</v>
      </c>
      <c r="B8" s="31">
        <v>-8</v>
      </c>
      <c r="C8" s="9"/>
      <c r="I8" s="10"/>
      <c r="J8" s="21" t="s">
        <v>9</v>
      </c>
    </row>
    <row r="9" spans="1:10" x14ac:dyDescent="0.25">
      <c r="A9" s="25" t="s">
        <v>7</v>
      </c>
      <c r="B9" s="27" t="s">
        <v>24</v>
      </c>
      <c r="C9" s="26" t="s">
        <v>8</v>
      </c>
      <c r="E9" s="17" t="s">
        <v>7</v>
      </c>
      <c r="F9" s="19" t="s">
        <v>25</v>
      </c>
      <c r="G9" s="20" t="s">
        <v>8</v>
      </c>
      <c r="I9" s="25" t="s">
        <v>7</v>
      </c>
      <c r="J9" s="26" t="s">
        <v>6</v>
      </c>
    </row>
    <row r="10" spans="1:10" x14ac:dyDescent="0.25">
      <c r="A10" s="32">
        <v>0</v>
      </c>
      <c r="B10" s="23">
        <f>B8</f>
        <v>-8</v>
      </c>
      <c r="C10" s="24">
        <f t="shared" ref="C10:C22" si="0">F_/V_-Q_/V_*B10-k_*B10^2</f>
        <v>5.65</v>
      </c>
      <c r="E10" s="22">
        <f>A10</f>
        <v>0</v>
      </c>
      <c r="F10" s="23">
        <f>B8</f>
        <v>-8</v>
      </c>
      <c r="G10" s="24">
        <f t="shared" ref="G10:G22" si="1">F_/V_-Q_/V_*F10-k_*F10^2</f>
        <v>5.65</v>
      </c>
      <c r="I10" s="22">
        <f>A10</f>
        <v>0</v>
      </c>
      <c r="J10" s="24">
        <f>B8</f>
        <v>-8</v>
      </c>
    </row>
    <row r="11" spans="1:10" x14ac:dyDescent="0.25">
      <c r="A11" s="11">
        <f t="shared" ref="A11:A22" si="2">A10+$A$3</f>
        <v>0.5</v>
      </c>
      <c r="B11" s="12">
        <f t="shared" ref="B11:B22" ca="1" si="3">IF($B$7="n",$B$8,$A$3/2*(C11+C10)+B10)</f>
        <v>-3.2758365025403311</v>
      </c>
      <c r="C11" s="13">
        <f t="shared" ca="1" si="0"/>
        <v>13.246653989838677</v>
      </c>
      <c r="E11" s="11">
        <f t="shared" ref="E11:E22" si="4">E10+$A$3</f>
        <v>0.5</v>
      </c>
      <c r="F11" s="12">
        <f t="shared" ref="F11:F22" si="5">F10+$A$3*G10</f>
        <v>-5.1749999999999998</v>
      </c>
      <c r="G11" s="13">
        <f t="shared" si="1"/>
        <v>10.997489583333335</v>
      </c>
      <c r="I11" s="11">
        <f t="array" ref="I11:J11">ODE_RK4(I10:J10,h_,V_,F_,Q_,k_)</f>
        <v>0.5</v>
      </c>
      <c r="J11" s="13">
        <v>-3.3123500792399252</v>
      </c>
    </row>
    <row r="12" spans="1:10" x14ac:dyDescent="0.25">
      <c r="A12" s="11">
        <f t="shared" si="2"/>
        <v>1</v>
      </c>
      <c r="B12" s="12">
        <f t="shared" ca="1" si="3"/>
        <v>3.2245639401726045</v>
      </c>
      <c r="C12" s="13">
        <f t="shared" ca="1" si="0"/>
        <v>12.754947781013064</v>
      </c>
      <c r="E12" s="11">
        <f t="shared" si="4"/>
        <v>1</v>
      </c>
      <c r="F12" s="12">
        <f t="shared" si="5"/>
        <v>0.32374479166666781</v>
      </c>
      <c r="G12" s="13">
        <f t="shared" si="1"/>
        <v>14.54063299717475</v>
      </c>
      <c r="I12" s="11">
        <f t="array" ref="I12:J12">ODE_RK4(I11:J11,h_,V_,F_,Q_,k_)</f>
        <v>1</v>
      </c>
      <c r="J12" s="13">
        <v>3.6346688619133367</v>
      </c>
    </row>
    <row r="13" spans="1:10" x14ac:dyDescent="0.25">
      <c r="A13" s="11">
        <f t="shared" si="2"/>
        <v>1.5</v>
      </c>
      <c r="B13" s="12">
        <f t="shared" ca="1" si="3"/>
        <v>7.6845674375034996</v>
      </c>
      <c r="C13" s="13">
        <f t="shared" ca="1" si="0"/>
        <v>5.0850662083105096</v>
      </c>
      <c r="E13" s="11">
        <f t="shared" si="4"/>
        <v>1.5</v>
      </c>
      <c r="F13" s="12">
        <f t="shared" si="5"/>
        <v>7.594061290254043</v>
      </c>
      <c r="G13" s="13">
        <f t="shared" si="1"/>
        <v>5.3000298604585954</v>
      </c>
      <c r="I13" s="11">
        <f t="array" ref="I13:J13">ODE_RK4(I12:J12,h_,V_,F_,Q_,k_)</f>
        <v>1.5</v>
      </c>
      <c r="J13" s="13">
        <v>7.742941825482152</v>
      </c>
    </row>
    <row r="14" spans="1:10" x14ac:dyDescent="0.25">
      <c r="A14" s="11">
        <f t="shared" si="2"/>
        <v>2</v>
      </c>
      <c r="B14" s="12">
        <f t="shared" ca="1" si="3"/>
        <v>9.2210330637884077</v>
      </c>
      <c r="C14" s="13">
        <f t="shared" ca="1" si="0"/>
        <v>1.060796296829114</v>
      </c>
      <c r="E14" s="11">
        <f t="shared" si="4"/>
        <v>2</v>
      </c>
      <c r="F14" s="12">
        <f t="shared" si="5"/>
        <v>10.24407622048334</v>
      </c>
      <c r="G14" s="13">
        <f t="shared" si="1"/>
        <v>-2.0115043267011092</v>
      </c>
      <c r="I14" s="11">
        <f t="array" ref="I14:J14">ODE_RK4(I13:J13,h_,V_,F_,Q_,k_)</f>
        <v>2</v>
      </c>
      <c r="J14" s="13">
        <v>9.0674783242131376</v>
      </c>
    </row>
    <row r="15" spans="1:10" x14ac:dyDescent="0.25">
      <c r="A15" s="11">
        <f t="shared" si="2"/>
        <v>2.5</v>
      </c>
      <c r="B15" s="12">
        <f t="shared" ca="1" si="3"/>
        <v>9.5286978390031134</v>
      </c>
      <c r="C15" s="13">
        <f t="shared" ca="1" si="0"/>
        <v>0.1698628040296839</v>
      </c>
      <c r="E15" s="11">
        <f t="shared" si="4"/>
        <v>2.5</v>
      </c>
      <c r="F15" s="12">
        <f t="shared" si="5"/>
        <v>9.238324057132786</v>
      </c>
      <c r="G15" s="13">
        <f t="shared" si="1"/>
        <v>1.0114782875491795</v>
      </c>
      <c r="I15" s="11">
        <f t="array" ref="I15:J15">ODE_RK4(I14:J14,h_,V_,F_,Q_,k_)</f>
        <v>2.5</v>
      </c>
      <c r="J15" s="13">
        <v>9.4427305755724564</v>
      </c>
    </row>
    <row r="16" spans="1:10" x14ac:dyDescent="0.25">
      <c r="A16" s="11">
        <f t="shared" si="2"/>
        <v>3</v>
      </c>
      <c r="B16" s="12">
        <f t="shared" ca="1" si="3"/>
        <v>9.5775843165072558</v>
      </c>
      <c r="C16" s="13">
        <f t="shared" ca="1" si="0"/>
        <v>2.5683105986864518E-2</v>
      </c>
      <c r="E16" s="11">
        <f t="shared" si="4"/>
        <v>3</v>
      </c>
      <c r="F16" s="12">
        <f t="shared" si="5"/>
        <v>9.7440632009073767</v>
      </c>
      <c r="G16" s="13">
        <f t="shared" si="1"/>
        <v>-0.47068708290054317</v>
      </c>
      <c r="I16" s="11">
        <f t="array" ref="I16:J16">ODE_RK4(I15:J15,h_,V_,F_,Q_,k_)</f>
        <v>3</v>
      </c>
      <c r="J16" s="13">
        <v>9.5467430193636389</v>
      </c>
    </row>
    <row r="17" spans="1:10" x14ac:dyDescent="0.25">
      <c r="A17" s="11">
        <f t="shared" si="2"/>
        <v>3.5</v>
      </c>
      <c r="B17" s="12">
        <f t="shared" ca="1" si="3"/>
        <v>9.5849669420427741</v>
      </c>
      <c r="C17" s="13">
        <f t="shared" ca="1" si="0"/>
        <v>3.8473961551819258E-3</v>
      </c>
      <c r="E17" s="11">
        <f t="shared" si="4"/>
        <v>3.5</v>
      </c>
      <c r="F17" s="12">
        <f t="shared" si="5"/>
        <v>9.5087196594571051</v>
      </c>
      <c r="G17" s="13">
        <f t="shared" si="1"/>
        <v>0.22857759405666833</v>
      </c>
      <c r="I17" s="11">
        <f t="array" ref="I17:J17">ODE_RK4(I16:J16,h_,V_,F_,Q_,k_)</f>
        <v>3.5</v>
      </c>
      <c r="J17" s="13">
        <v>9.5753986179211026</v>
      </c>
    </row>
    <row r="18" spans="1:10" x14ac:dyDescent="0.25">
      <c r="A18" s="11">
        <f t="shared" si="2"/>
        <v>4</v>
      </c>
      <c r="B18" s="12">
        <f t="shared" ca="1" si="3"/>
        <v>9.5860726762241555</v>
      </c>
      <c r="C18" s="13">
        <f t="shared" ca="1" si="0"/>
        <v>5.7554057028674777E-4</v>
      </c>
      <c r="E18" s="11">
        <f t="shared" si="4"/>
        <v>4</v>
      </c>
      <c r="F18" s="12">
        <f t="shared" si="5"/>
        <v>9.6230084564854401</v>
      </c>
      <c r="G18" s="13">
        <f t="shared" si="1"/>
        <v>-0.10892780107899647</v>
      </c>
      <c r="I18" s="11">
        <f t="array" ref="I18:J18">ODE_RK4(I17:J17,h_,V_,F_,Q_,k_)</f>
        <v>4</v>
      </c>
      <c r="J18" s="13">
        <v>9.5832796114452208</v>
      </c>
    </row>
    <row r="19" spans="1:10" x14ac:dyDescent="0.25">
      <c r="A19" s="11">
        <f t="shared" si="2"/>
        <v>4.5</v>
      </c>
      <c r="B19" s="12">
        <f t="shared" ca="1" si="3"/>
        <v>9.586238080934109</v>
      </c>
      <c r="C19" s="13">
        <f t="shared" ca="1" si="0"/>
        <v>8.6078269466938195E-5</v>
      </c>
      <c r="E19" s="11">
        <f t="shared" si="4"/>
        <v>4.5</v>
      </c>
      <c r="F19" s="12">
        <f t="shared" si="5"/>
        <v>9.568544555945941</v>
      </c>
      <c r="G19" s="13">
        <f t="shared" si="1"/>
        <v>5.2397882469433554E-2</v>
      </c>
      <c r="I19" s="11">
        <f t="array" ref="I19:J19">ODE_RK4(I18:J18,h_,V_,F_,Q_,k_)</f>
        <v>4.5</v>
      </c>
      <c r="J19" s="13">
        <v>9.5854460322653505</v>
      </c>
    </row>
    <row r="20" spans="1:10" x14ac:dyDescent="0.25">
      <c r="A20" s="11">
        <f t="shared" si="2"/>
        <v>5</v>
      </c>
      <c r="B20" s="12">
        <f t="shared" ca="1" si="3"/>
        <v>9.5862628188823678</v>
      </c>
      <c r="C20" s="13">
        <f t="shared" ca="1" si="0"/>
        <v>1.2873523491663263E-5</v>
      </c>
      <c r="E20" s="11">
        <f t="shared" si="4"/>
        <v>5</v>
      </c>
      <c r="F20" s="12">
        <f t="shared" si="5"/>
        <v>9.5947434971806587</v>
      </c>
      <c r="G20" s="13">
        <f t="shared" si="1"/>
        <v>-2.5094041268635792E-2</v>
      </c>
      <c r="I20" s="11">
        <f t="array" ref="I20:J20">ODE_RK4(I19:J19,h_,V_,F_,Q_,k_)</f>
        <v>5</v>
      </c>
      <c r="J20" s="13">
        <v>9.5860414843644808</v>
      </c>
    </row>
    <row r="21" spans="1:10" x14ac:dyDescent="0.25">
      <c r="A21" s="11">
        <f t="shared" si="2"/>
        <v>5.5</v>
      </c>
      <c r="B21" s="12">
        <f t="shared" ca="1" si="3"/>
        <v>9.5862665185892233</v>
      </c>
      <c r="C21" s="13">
        <f t="shared" ca="1" si="0"/>
        <v>1.9253038523459054E-6</v>
      </c>
      <c r="E21" s="11">
        <f t="shared" si="4"/>
        <v>5.5</v>
      </c>
      <c r="F21" s="12">
        <f t="shared" si="5"/>
        <v>9.5821964765463399</v>
      </c>
      <c r="G21" s="13">
        <f t="shared" si="1"/>
        <v>1.2043563017243741E-2</v>
      </c>
      <c r="I21" s="11">
        <f t="array" ref="I21:J21">ODE_RK4(I20:J20,h_,V_,F_,Q_,k_)</f>
        <v>5.5</v>
      </c>
      <c r="J21" s="13">
        <v>9.5862051414927887</v>
      </c>
    </row>
    <row r="22" spans="1:10" ht="15.75" thickBot="1" x14ac:dyDescent="0.3">
      <c r="A22" s="14">
        <f t="shared" si="2"/>
        <v>6</v>
      </c>
      <c r="B22" s="15">
        <f t="shared" ca="1" si="3"/>
        <v>9.5862670719000036</v>
      </c>
      <c r="C22" s="16">
        <f t="shared" ca="1" si="0"/>
        <v>2.8793919248926159E-7</v>
      </c>
      <c r="E22" s="14">
        <f t="shared" si="4"/>
        <v>6</v>
      </c>
      <c r="F22" s="15">
        <f t="shared" si="5"/>
        <v>9.5882182580549618</v>
      </c>
      <c r="G22" s="16">
        <f t="shared" si="1"/>
        <v>-5.7742594526928315E-3</v>
      </c>
      <c r="I22" s="14">
        <f t="array" ref="I22:J22">ODE_RK4(I21:J21,h_,V_,F_,Q_,k_)</f>
        <v>6</v>
      </c>
      <c r="J22" s="16">
        <v>9.5862501214095008</v>
      </c>
    </row>
    <row r="23" spans="1:10" x14ac:dyDescent="0.25">
      <c r="A23" s="1"/>
      <c r="B23" s="1"/>
      <c r="C23" s="1"/>
      <c r="E23" s="1"/>
      <c r="F23" s="1"/>
      <c r="G23" s="1"/>
    </row>
    <row r="24" spans="1:10" x14ac:dyDescent="0.25">
      <c r="A24" s="1" t="s">
        <v>5</v>
      </c>
      <c r="B24" s="1"/>
      <c r="C24" s="3">
        <v>-5</v>
      </c>
      <c r="F24" s="1"/>
      <c r="G24" s="1"/>
    </row>
    <row r="25" spans="1:10" x14ac:dyDescent="0.25">
      <c r="A25" s="1"/>
      <c r="B25" s="4" t="s">
        <v>4</v>
      </c>
      <c r="C25" s="3">
        <v>-10.1418</v>
      </c>
      <c r="E25" s="1"/>
      <c r="F25" s="1"/>
      <c r="G25" s="1"/>
    </row>
    <row r="26" spans="1:10" x14ac:dyDescent="0.25">
      <c r="A26" s="1"/>
      <c r="B26" s="1"/>
      <c r="C26" s="1"/>
      <c r="E26" s="1"/>
      <c r="F26" s="1"/>
      <c r="G26" s="1"/>
    </row>
    <row r="27" spans="1:10" x14ac:dyDescent="0.25">
      <c r="A27" s="2" t="s">
        <v>3</v>
      </c>
      <c r="B27" s="1"/>
      <c r="C27" s="1"/>
      <c r="E27" s="1"/>
      <c r="F27" s="1"/>
      <c r="G27" s="1"/>
    </row>
    <row r="28" spans="1:10" x14ac:dyDescent="0.25">
      <c r="A28" s="1" t="s">
        <v>2</v>
      </c>
      <c r="B28" s="1"/>
      <c r="C28" s="1"/>
      <c r="E28" s="1"/>
      <c r="F28" s="1"/>
      <c r="G28" s="1"/>
    </row>
    <row r="29" spans="1:10" x14ac:dyDescent="0.25">
      <c r="A29" s="1" t="s">
        <v>1</v>
      </c>
      <c r="B29" s="1"/>
      <c r="C29" s="1"/>
      <c r="E29" s="1"/>
      <c r="F29" s="1"/>
      <c r="G29" s="1"/>
    </row>
    <row r="30" spans="1:10" x14ac:dyDescent="0.25">
      <c r="A30" s="1" t="s">
        <v>0</v>
      </c>
      <c r="B30" s="1"/>
      <c r="C30" s="1"/>
      <c r="E30" s="1"/>
      <c r="F30" s="1"/>
      <c r="G30" s="1"/>
    </row>
  </sheetData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edo - chapra - 28.3 - conc.quím</vt:lpstr>
      <vt:lpstr>Gráf1</vt:lpstr>
      <vt:lpstr>Equação</vt:lpstr>
      <vt:lpstr>F_</vt:lpstr>
      <vt:lpstr>h_</vt:lpstr>
      <vt:lpstr>k_</vt:lpstr>
      <vt:lpstr>Q_</vt:lpstr>
      <vt:lpstr>V_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2011-02-13T18:01:24Z</dcterms:created>
  <dcterms:modified xsi:type="dcterms:W3CDTF">2021-12-02T08:56:18Z</dcterms:modified>
</cp:coreProperties>
</file>