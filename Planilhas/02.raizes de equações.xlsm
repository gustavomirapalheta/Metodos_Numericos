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120" yWindow="135" windowWidth="19020" windowHeight="11895" firstSheet="11" activeTab="18"/>
  </bookViews>
  <sheets>
    <sheet name="newton raphson multivariado" sheetId="16" r:id="rId1"/>
    <sheet name="Bissecção via Excel" sheetId="1" r:id="rId2"/>
    <sheet name="Bissecção via VBA" sheetId="5" r:id="rId3"/>
    <sheet name="bissecção via VBA v.2" sheetId="7" r:id="rId4"/>
    <sheet name="secante via VBA" sheetId="6" r:id="rId5"/>
    <sheet name="gases ideais - sem iteração" sheetId="8" r:id="rId6"/>
    <sheet name="gases ideais - com iteração" sheetId="9" r:id="rId7"/>
    <sheet name="gases ideais - sem iteração v.2" sheetId="10" r:id="rId8"/>
    <sheet name="bissecção x secante" sheetId="11" r:id="rId9"/>
    <sheet name="bissecção com iteração" sheetId="12" r:id="rId10"/>
    <sheet name="tridente de newton" sheetId="13" r:id="rId11"/>
    <sheet name="inversa de x" sheetId="14" r:id="rId12"/>
    <sheet name="Redlich-Kwong com e sem iteraçã" sheetId="15" r:id="rId13"/>
    <sheet name="8_7" sheetId="17" r:id="rId14"/>
    <sheet name="8_8" sheetId="18" r:id="rId15"/>
    <sheet name="8_15" sheetId="19" r:id="rId16"/>
    <sheet name="8.32" sheetId="20" r:id="rId17"/>
    <sheet name="8.36" sheetId="21" r:id="rId18"/>
    <sheet name="8.40" sheetId="22" r:id="rId19"/>
  </sheets>
  <functionGroups builtInGroupCount="18"/>
  <externalReferences>
    <externalReference r:id="rId20"/>
  </externalReferences>
  <definedNames>
    <definedName name="a_" localSheetId="0">[1]Plan2!#REF!</definedName>
    <definedName name="a_" localSheetId="12">'Redlich-Kwong com e sem iteraçã'!$E$1</definedName>
    <definedName name="a_">'gases ideais - sem iteração v.2'!$H$4</definedName>
    <definedName name="b_" localSheetId="0">[1]Plan2!#REF!</definedName>
    <definedName name="b_" localSheetId="12">'Redlich-Kwong com e sem iteraçã'!$E$2</definedName>
    <definedName name="b_">'gases ideais - sem iteração v.2'!$H$5</definedName>
    <definedName name="h_" localSheetId="12">'Redlich-Kwong com e sem iteraçã'!$E$4</definedName>
    <definedName name="h_">'gases ideais - sem iteração v.2'!$H$1</definedName>
    <definedName name="i1_">#REF!</definedName>
    <definedName name="i2_">#REF!</definedName>
    <definedName name="i3_">#REF!</definedName>
    <definedName name="i4_">#REF!</definedName>
    <definedName name="Inicia_">'Redlich-Kwong com e sem iteraçã'!$B$8</definedName>
    <definedName name="Inicio_">'Redlich-Kwong com e sem iteraçã'!$B$9</definedName>
    <definedName name="L_" localSheetId="14">'8_8'!$I$2</definedName>
    <definedName name="L_">'8_8'!$P$2</definedName>
    <definedName name="P_" localSheetId="12">'Redlich-Kwong com e sem iteraçã'!$B$6</definedName>
    <definedName name="P_">'gases ideais - sem iteração v.2'!$B$2</definedName>
    <definedName name="Pc_">'Redlich-Kwong com e sem iteraçã'!$B$1</definedName>
    <definedName name="r_" localSheetId="14">'8_8'!$I$1</definedName>
    <definedName name="R_" localSheetId="12">'Redlich-Kwong com e sem iteraçã'!$B$3</definedName>
    <definedName name="R_">'gases ideais - sem iteração v.2'!$B$1</definedName>
    <definedName name="r_2">'8_8'!$P$1</definedName>
    <definedName name="T_" localSheetId="12">'Redlich-Kwong com e sem iteraçã'!$B$5</definedName>
    <definedName name="T_">'gases ideais - sem iteração v.2'!$B$3</definedName>
    <definedName name="Tc_">'Redlich-Kwong com e sem iteraçã'!$B$2</definedName>
    <definedName name="V_" localSheetId="14">'8_8'!$I$3</definedName>
    <definedName name="V_">'8_8'!$P$3</definedName>
  </definedNames>
  <calcPr calcId="162913" iterate="1"/>
</workbook>
</file>

<file path=xl/calcChain.xml><?xml version="1.0" encoding="utf-8"?>
<calcChain xmlns="http://schemas.openxmlformats.org/spreadsheetml/2006/main">
  <c r="L5" i="22" l="1"/>
  <c r="K6" i="22"/>
  <c r="B11" i="22"/>
  <c r="D11" i="22"/>
  <c r="E11" i="22" s="1"/>
  <c r="M3" i="21"/>
  <c r="N3" i="21"/>
  <c r="L4" i="21"/>
  <c r="M4" i="21"/>
  <c r="N4" i="21" s="1"/>
  <c r="L5" i="21"/>
  <c r="C14" i="21"/>
  <c r="E14" i="21" s="1"/>
  <c r="F14" i="21" s="1"/>
  <c r="I14" i="21" s="1"/>
  <c r="D14" i="21"/>
  <c r="C15" i="21" s="1"/>
  <c r="G14" i="21"/>
  <c r="H14" i="21"/>
  <c r="C25" i="21"/>
  <c r="D25" i="21" s="1"/>
  <c r="F25" i="21"/>
  <c r="G25" i="21" s="1"/>
  <c r="L4" i="20"/>
  <c r="K5" i="20"/>
  <c r="C10" i="20"/>
  <c r="D10" i="20"/>
  <c r="E10" i="20"/>
  <c r="F10" i="20"/>
  <c r="G10" i="20"/>
  <c r="C30" i="20"/>
  <c r="E30" i="20"/>
  <c r="G30" i="20" s="1"/>
  <c r="F30" i="20"/>
  <c r="L35" i="20"/>
  <c r="B10" i="19"/>
  <c r="C10" i="19"/>
  <c r="A11" i="19"/>
  <c r="G14" i="19"/>
  <c r="I14" i="19"/>
  <c r="J14" i="19"/>
  <c r="K14" i="19" s="1"/>
  <c r="G35" i="19"/>
  <c r="H35" i="19"/>
  <c r="I35" i="19" s="1"/>
  <c r="J35" i="19"/>
  <c r="K35" i="19" s="1"/>
  <c r="L35" i="19"/>
  <c r="F36" i="19"/>
  <c r="C8" i="18"/>
  <c r="F9" i="18" s="1"/>
  <c r="G9" i="18" s="1"/>
  <c r="D8" i="18"/>
  <c r="E8" i="18"/>
  <c r="G8" i="18"/>
  <c r="J8" i="18"/>
  <c r="K8" i="18" s="1"/>
  <c r="M8" i="18"/>
  <c r="N8" i="18"/>
  <c r="O8" i="18"/>
  <c r="B9" i="18"/>
  <c r="K5" i="17"/>
  <c r="B6" i="17" s="1"/>
  <c r="C6" i="17"/>
  <c r="A6" i="17" s="1"/>
  <c r="E6" i="17"/>
  <c r="N10" i="17"/>
  <c r="N13" i="17"/>
  <c r="A24" i="17"/>
  <c r="A25" i="17"/>
  <c r="B25" i="17"/>
  <c r="C25" i="17"/>
  <c r="B26" i="17"/>
  <c r="A26" i="17" l="1"/>
  <c r="B27" i="17"/>
  <c r="F6" i="17"/>
  <c r="G6" i="17" s="1"/>
  <c r="C24" i="17"/>
  <c r="C26" i="17"/>
  <c r="C9" i="18"/>
  <c r="D9" i="18"/>
  <c r="C27" i="17"/>
  <c r="D6" i="17"/>
  <c r="C7" i="17" s="1"/>
  <c r="F15" i="19"/>
  <c r="H15" i="19"/>
  <c r="I15" i="19" s="1"/>
  <c r="L5" i="20"/>
  <c r="K6" i="20"/>
  <c r="P8" i="18"/>
  <c r="B15" i="21"/>
  <c r="J15" i="21"/>
  <c r="D15" i="21"/>
  <c r="E15" i="21"/>
  <c r="F15" i="21" s="1"/>
  <c r="G15" i="21"/>
  <c r="H15" i="21" s="1"/>
  <c r="L6" i="22"/>
  <c r="K7" i="22"/>
  <c r="L9" i="18"/>
  <c r="G36" i="19"/>
  <c r="H36" i="19"/>
  <c r="I36" i="19" s="1"/>
  <c r="J36" i="19"/>
  <c r="A12" i="19"/>
  <c r="B11" i="19"/>
  <c r="C11" i="19"/>
  <c r="B31" i="20"/>
  <c r="B11" i="20"/>
  <c r="D31" i="20"/>
  <c r="E31" i="20" s="1"/>
  <c r="H11" i="22"/>
  <c r="H10" i="20"/>
  <c r="H25" i="21"/>
  <c r="I25" i="21" s="1"/>
  <c r="C26" i="21" s="1"/>
  <c r="C11" i="22"/>
  <c r="I11" i="22"/>
  <c r="M5" i="21"/>
  <c r="N5" i="21" s="1"/>
  <c r="L6" i="21"/>
  <c r="F11" i="22"/>
  <c r="G11" i="22" s="1"/>
  <c r="E1" i="15"/>
  <c r="E2" i="15"/>
  <c r="B11" i="15"/>
  <c r="B7" i="14"/>
  <c r="C7" i="14"/>
  <c r="A8" i="14"/>
  <c r="B8" i="14"/>
  <c r="C8" i="14"/>
  <c r="A9" i="14"/>
  <c r="B9" i="14" s="1"/>
  <c r="C9" i="14"/>
  <c r="A10" i="14"/>
  <c r="A11" i="14" s="1"/>
  <c r="B7" i="13"/>
  <c r="F7" i="13"/>
  <c r="G7" i="13"/>
  <c r="H7" i="13" s="1"/>
  <c r="K7" i="13" s="1"/>
  <c r="E8" i="13" s="1"/>
  <c r="I7" i="13"/>
  <c r="J7" i="13" s="1"/>
  <c r="A8" i="13"/>
  <c r="B8" i="13"/>
  <c r="A9" i="13"/>
  <c r="B9" i="13" s="1"/>
  <c r="A10" i="13"/>
  <c r="B10" i="13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A18" i="13" s="1"/>
  <c r="B4" i="12"/>
  <c r="B10" i="12" s="1"/>
  <c r="C10" i="12" s="1"/>
  <c r="C4" i="12"/>
  <c r="E4" i="12" s="1"/>
  <c r="B7" i="12"/>
  <c r="C7" i="12" s="1"/>
  <c r="F6" i="11"/>
  <c r="C11" i="11"/>
  <c r="E11" i="11"/>
  <c r="F11" i="11"/>
  <c r="G11" i="11"/>
  <c r="H11" i="11" s="1"/>
  <c r="B12" i="11" s="1"/>
  <c r="C22" i="11"/>
  <c r="E22" i="11"/>
  <c r="B23" i="11" s="1"/>
  <c r="F22" i="11"/>
  <c r="B4" i="10"/>
  <c r="B7" i="10" s="1"/>
  <c r="H8" i="10"/>
  <c r="I8" i="10"/>
  <c r="J8" i="10" s="1"/>
  <c r="K8" i="10"/>
  <c r="L8" i="10" s="1"/>
  <c r="C22" i="10"/>
  <c r="D22" i="10"/>
  <c r="E22" i="10"/>
  <c r="C23" i="10"/>
  <c r="D23" i="10"/>
  <c r="E23" i="10"/>
  <c r="C24" i="10"/>
  <c r="D24" i="10"/>
  <c r="E24" i="10"/>
  <c r="C8" i="9"/>
  <c r="B11" i="9"/>
  <c r="C8" i="8"/>
  <c r="B11" i="8" s="1"/>
  <c r="S13" i="8"/>
  <c r="R14" i="8" s="1"/>
  <c r="T13" i="8"/>
  <c r="H15" i="8"/>
  <c r="G16" i="8" s="1"/>
  <c r="I15" i="8"/>
  <c r="A5" i="7" a="1"/>
  <c r="C11" i="15"/>
  <c r="D11" i="15"/>
  <c r="M6" i="21" l="1"/>
  <c r="N6" i="21" s="1"/>
  <c r="L7" i="21"/>
  <c r="B26" i="21"/>
  <c r="D26" i="21"/>
  <c r="C11" i="20"/>
  <c r="B12" i="20" s="1"/>
  <c r="F11" i="20"/>
  <c r="G11" i="20" s="1"/>
  <c r="D11" i="20"/>
  <c r="E11" i="20" s="1"/>
  <c r="H11" i="20" s="1"/>
  <c r="I11" i="20" s="1"/>
  <c r="C12" i="19"/>
  <c r="A13" i="19"/>
  <c r="B12" i="19"/>
  <c r="L6" i="20"/>
  <c r="K7" i="20"/>
  <c r="H7" i="17"/>
  <c r="E7" i="17"/>
  <c r="F7" i="17" s="1"/>
  <c r="A7" i="17"/>
  <c r="B7" i="17" s="1"/>
  <c r="F10" i="18"/>
  <c r="G10" i="18" s="1"/>
  <c r="F31" i="20"/>
  <c r="H31" i="20" s="1"/>
  <c r="C31" i="20"/>
  <c r="M36" i="19"/>
  <c r="K36" i="19"/>
  <c r="L36" i="19" s="1"/>
  <c r="F37" i="19" s="1"/>
  <c r="J9" i="18"/>
  <c r="K9" i="18" s="1"/>
  <c r="N9" i="18"/>
  <c r="O9" i="18" s="1"/>
  <c r="P9" i="18" s="1"/>
  <c r="L10" i="18" s="1"/>
  <c r="M9" i="18"/>
  <c r="Q9" i="18"/>
  <c r="I15" i="21"/>
  <c r="C16" i="21" s="1"/>
  <c r="D7" i="17"/>
  <c r="A27" i="17"/>
  <c r="B28" i="17"/>
  <c r="L7" i="22"/>
  <c r="K8" i="22"/>
  <c r="B12" i="22"/>
  <c r="F26" i="21"/>
  <c r="J15" i="19"/>
  <c r="G15" i="19"/>
  <c r="E9" i="18"/>
  <c r="B10" i="18" s="1"/>
  <c r="H9" i="18"/>
  <c r="E11" i="15"/>
  <c r="B12" i="15" s="1"/>
  <c r="B18" i="13"/>
  <c r="A19" i="13"/>
  <c r="B17" i="13"/>
  <c r="G8" i="13"/>
  <c r="H8" i="13" s="1"/>
  <c r="D8" i="13"/>
  <c r="I8" i="13"/>
  <c r="J8" i="13" s="1"/>
  <c r="F8" i="13"/>
  <c r="B11" i="14"/>
  <c r="C11" i="14"/>
  <c r="A12" i="14"/>
  <c r="C10" i="14"/>
  <c r="B10" i="14"/>
  <c r="E7" i="12"/>
  <c r="E23" i="11"/>
  <c r="I12" i="11"/>
  <c r="C12" i="11"/>
  <c r="D12" i="11"/>
  <c r="E12" i="11" s="1"/>
  <c r="D23" i="11"/>
  <c r="C23" i="11" s="1"/>
  <c r="H16" i="8"/>
  <c r="G17" i="8" s="1"/>
  <c r="H17" i="8" s="1"/>
  <c r="I16" i="8"/>
  <c r="T14" i="8"/>
  <c r="S14" i="8"/>
  <c r="R15" i="8" s="1"/>
  <c r="M8" i="10"/>
  <c r="G9" i="10" s="1"/>
  <c r="A5" i="7"/>
  <c r="B5" i="7"/>
  <c r="C5" i="7"/>
  <c r="D10" i="18" l="1"/>
  <c r="C10" i="18"/>
  <c r="M10" i="18"/>
  <c r="N10" i="18"/>
  <c r="O10" i="18" s="1"/>
  <c r="J10" i="18"/>
  <c r="K10" i="18" s="1"/>
  <c r="Q10" i="18"/>
  <c r="C12" i="20"/>
  <c r="B13" i="20" s="1"/>
  <c r="D12" i="20"/>
  <c r="E12" i="20" s="1"/>
  <c r="H12" i="20" s="1"/>
  <c r="I12" i="20" s="1"/>
  <c r="F12" i="20"/>
  <c r="G12" i="20" s="1"/>
  <c r="C12" i="22"/>
  <c r="B13" i="22" s="1"/>
  <c r="D12" i="22"/>
  <c r="E12" i="22" s="1"/>
  <c r="H12" i="22" s="1"/>
  <c r="F12" i="22"/>
  <c r="G12" i="22" s="1"/>
  <c r="J37" i="19"/>
  <c r="H37" i="19"/>
  <c r="I37" i="19" s="1"/>
  <c r="G37" i="19"/>
  <c r="L15" i="19"/>
  <c r="K15" i="19"/>
  <c r="F16" i="19" s="1"/>
  <c r="L8" i="22"/>
  <c r="K9" i="22"/>
  <c r="B13" i="19"/>
  <c r="A14" i="19"/>
  <c r="C13" i="19"/>
  <c r="E26" i="21"/>
  <c r="G26" i="21"/>
  <c r="B16" i="21"/>
  <c r="J16" i="21"/>
  <c r="E16" i="21"/>
  <c r="F16" i="21" s="1"/>
  <c r="I16" i="21" s="1"/>
  <c r="G16" i="21"/>
  <c r="H16" i="21" s="1"/>
  <c r="C17" i="21"/>
  <c r="D16" i="21"/>
  <c r="G31" i="20"/>
  <c r="D32" i="20" s="1"/>
  <c r="E32" i="20" s="1"/>
  <c r="L7" i="20"/>
  <c r="K8" i="20"/>
  <c r="L8" i="21"/>
  <c r="M7" i="21"/>
  <c r="N7" i="21" s="1"/>
  <c r="A28" i="17"/>
  <c r="B29" i="17"/>
  <c r="C28" i="17"/>
  <c r="G7" i="17"/>
  <c r="C8" i="17" s="1"/>
  <c r="H26" i="21"/>
  <c r="E9" i="13"/>
  <c r="K8" i="13"/>
  <c r="B12" i="14"/>
  <c r="C12" i="14"/>
  <c r="A13" i="14"/>
  <c r="A20" i="13"/>
  <c r="B19" i="13"/>
  <c r="F23" i="11"/>
  <c r="B24" i="11" s="1"/>
  <c r="G23" i="11"/>
  <c r="F12" i="11"/>
  <c r="G12" i="11" s="1"/>
  <c r="H12" i="11" s="1"/>
  <c r="B13" i="11" s="1"/>
  <c r="I17" i="8"/>
  <c r="G18" i="8" s="1"/>
  <c r="S15" i="8"/>
  <c r="T15" i="8"/>
  <c r="K9" i="10"/>
  <c r="L9" i="10" s="1"/>
  <c r="I9" i="10"/>
  <c r="J9" i="10" s="1"/>
  <c r="H9" i="10"/>
  <c r="N9" i="10"/>
  <c r="E4" i="7"/>
  <c r="D4" i="7"/>
  <c r="B5" i="6"/>
  <c r="C5" i="6"/>
  <c r="C4" i="7"/>
  <c r="F4" i="7"/>
  <c r="F13" i="20" l="1"/>
  <c r="G13" i="20" s="1"/>
  <c r="D13" i="20"/>
  <c r="E13" i="20" s="1"/>
  <c r="H13" i="20" s="1"/>
  <c r="I13" i="20" s="1"/>
  <c r="C13" i="20"/>
  <c r="B14" i="20" s="1"/>
  <c r="D13" i="22"/>
  <c r="E13" i="22" s="1"/>
  <c r="H13" i="22" s="1"/>
  <c r="F13" i="22"/>
  <c r="G13" i="22" s="1"/>
  <c r="C13" i="22"/>
  <c r="B14" i="22" s="1"/>
  <c r="G16" i="19"/>
  <c r="B17" i="21"/>
  <c r="J17" i="21"/>
  <c r="G17" i="21"/>
  <c r="H17" i="21" s="1"/>
  <c r="D17" i="21"/>
  <c r="E17" i="21"/>
  <c r="F17" i="21" s="1"/>
  <c r="H8" i="17"/>
  <c r="E8" i="17"/>
  <c r="F8" i="17" s="1"/>
  <c r="G8" i="17" s="1"/>
  <c r="A8" i="17"/>
  <c r="B8" i="17" s="1"/>
  <c r="D8" i="17"/>
  <c r="C9" i="17" s="1"/>
  <c r="B32" i="20"/>
  <c r="C14" i="19"/>
  <c r="B14" i="19"/>
  <c r="A15" i="19"/>
  <c r="L9" i="21"/>
  <c r="M8" i="21"/>
  <c r="N8" i="21" s="1"/>
  <c r="L9" i="22"/>
  <c r="K10" i="22"/>
  <c r="M37" i="19"/>
  <c r="K37" i="19"/>
  <c r="L37" i="19" s="1"/>
  <c r="F38" i="19" s="1"/>
  <c r="J26" i="21"/>
  <c r="I26" i="21"/>
  <c r="C27" i="21" s="1"/>
  <c r="H16" i="19"/>
  <c r="I16" i="19" s="1"/>
  <c r="B30" i="17"/>
  <c r="A29" i="17"/>
  <c r="C29" i="17"/>
  <c r="L8" i="20"/>
  <c r="K9" i="20"/>
  <c r="P10" i="18"/>
  <c r="L11" i="18" s="1"/>
  <c r="H10" i="18"/>
  <c r="E10" i="18"/>
  <c r="F11" i="18" s="1"/>
  <c r="G11" i="18" s="1"/>
  <c r="C13" i="14"/>
  <c r="A14" i="14"/>
  <c r="B13" i="14"/>
  <c r="I9" i="13"/>
  <c r="J9" i="13" s="1"/>
  <c r="F9" i="13"/>
  <c r="E10" i="13" s="1"/>
  <c r="G9" i="13"/>
  <c r="H9" i="13" s="1"/>
  <c r="K9" i="13" s="1"/>
  <c r="D9" i="13"/>
  <c r="B20" i="13"/>
  <c r="A21" i="13"/>
  <c r="E24" i="11"/>
  <c r="I13" i="11"/>
  <c r="C13" i="11"/>
  <c r="D13" i="11"/>
  <c r="E13" i="11" s="1"/>
  <c r="D24" i="11"/>
  <c r="C24" i="11" s="1"/>
  <c r="M9" i="10"/>
  <c r="G10" i="10" s="1"/>
  <c r="I18" i="8"/>
  <c r="H18" i="8"/>
  <c r="G19" i="8" s="1"/>
  <c r="H19" i="8" s="1"/>
  <c r="G20" i="8" s="1"/>
  <c r="R16" i="8"/>
  <c r="I19" i="8"/>
  <c r="S16" i="8"/>
  <c r="R17" i="8" s="1"/>
  <c r="T16" i="8"/>
  <c r="A6" i="6"/>
  <c r="C3" i="5"/>
  <c r="E3" i="1"/>
  <c r="F3" i="1"/>
  <c r="D5" i="7"/>
  <c r="B3" i="1"/>
  <c r="B6" i="6"/>
  <c r="D3" i="1"/>
  <c r="A6" i="7" a="1"/>
  <c r="C6" i="6"/>
  <c r="D3" i="5"/>
  <c r="A4" i="5" a="1"/>
  <c r="H9" i="17" l="1"/>
  <c r="E9" i="17"/>
  <c r="F9" i="17" s="1"/>
  <c r="G9" i="17" s="1"/>
  <c r="A9" i="17"/>
  <c r="B9" i="17" s="1"/>
  <c r="D9" i="17"/>
  <c r="C10" i="17" s="1"/>
  <c r="J11" i="18"/>
  <c r="K11" i="18" s="1"/>
  <c r="M11" i="18"/>
  <c r="L12" i="18" s="1"/>
  <c r="N11" i="18"/>
  <c r="O11" i="18" s="1"/>
  <c r="P11" i="18" s="1"/>
  <c r="Q11" i="18"/>
  <c r="D14" i="20"/>
  <c r="E14" i="20" s="1"/>
  <c r="F14" i="20"/>
  <c r="G14" i="20" s="1"/>
  <c r="C14" i="20"/>
  <c r="C14" i="22"/>
  <c r="B15" i="22" s="1"/>
  <c r="F14" i="22"/>
  <c r="G14" i="22" s="1"/>
  <c r="D14" i="22"/>
  <c r="E14" i="22" s="1"/>
  <c r="H14" i="22" s="1"/>
  <c r="L9" i="20"/>
  <c r="K10" i="20"/>
  <c r="A30" i="17"/>
  <c r="B31" i="17"/>
  <c r="C30" i="17"/>
  <c r="B11" i="18"/>
  <c r="L10" i="22"/>
  <c r="K11" i="22"/>
  <c r="M9" i="21"/>
  <c r="N9" i="21" s="1"/>
  <c r="L10" i="21"/>
  <c r="F27" i="21"/>
  <c r="B15" i="19"/>
  <c r="C15" i="19"/>
  <c r="A16" i="19"/>
  <c r="C32" i="20"/>
  <c r="F32" i="20"/>
  <c r="H32" i="20" s="1"/>
  <c r="D27" i="21"/>
  <c r="H27" i="21"/>
  <c r="B27" i="21"/>
  <c r="G38" i="19"/>
  <c r="J38" i="19"/>
  <c r="H38" i="19"/>
  <c r="I38" i="19" s="1"/>
  <c r="J16" i="19"/>
  <c r="I17" i="21"/>
  <c r="C18" i="21" s="1"/>
  <c r="G10" i="13"/>
  <c r="H10" i="13" s="1"/>
  <c r="K10" i="13" s="1"/>
  <c r="D10" i="13"/>
  <c r="I10" i="13"/>
  <c r="J10" i="13" s="1"/>
  <c r="F10" i="13"/>
  <c r="E11" i="13" s="1"/>
  <c r="A22" i="13"/>
  <c r="B21" i="13"/>
  <c r="A15" i="14"/>
  <c r="B14" i="14"/>
  <c r="C14" i="14"/>
  <c r="F24" i="11"/>
  <c r="D25" i="11" s="1"/>
  <c r="G24" i="11"/>
  <c r="F13" i="11"/>
  <c r="G13" i="11" s="1"/>
  <c r="H13" i="11" s="1"/>
  <c r="B14" i="11" s="1"/>
  <c r="H10" i="10"/>
  <c r="K10" i="10"/>
  <c r="L10" i="10" s="1"/>
  <c r="I10" i="10"/>
  <c r="J10" i="10" s="1"/>
  <c r="N10" i="10"/>
  <c r="S17" i="8"/>
  <c r="T17" i="8"/>
  <c r="I20" i="8"/>
  <c r="H20" i="8"/>
  <c r="G21" i="8" s="1"/>
  <c r="A6" i="7"/>
  <c r="B6" i="7"/>
  <c r="E5" i="7"/>
  <c r="D6" i="6"/>
  <c r="A7" i="6"/>
  <c r="C4" i="1"/>
  <c r="A4" i="1"/>
  <c r="A4" i="5"/>
  <c r="B4" i="5"/>
  <c r="D6" i="7"/>
  <c r="A5" i="5" a="1"/>
  <c r="B4" i="1"/>
  <c r="C6" i="7"/>
  <c r="B7" i="6"/>
  <c r="D4" i="1"/>
  <c r="A7" i="7" a="1"/>
  <c r="C7" i="6"/>
  <c r="F5" i="7"/>
  <c r="F15" i="22" l="1"/>
  <c r="G15" i="22" s="1"/>
  <c r="D15" i="22"/>
  <c r="E15" i="22" s="1"/>
  <c r="H15" i="22" s="1"/>
  <c r="C15" i="22"/>
  <c r="B16" i="22" s="1"/>
  <c r="H10" i="17"/>
  <c r="E10" i="17"/>
  <c r="F10" i="17" s="1"/>
  <c r="A10" i="17"/>
  <c r="B10" i="17" s="1"/>
  <c r="D10" i="17"/>
  <c r="J12" i="18"/>
  <c r="K12" i="18" s="1"/>
  <c r="N12" i="18"/>
  <c r="O12" i="18" s="1"/>
  <c r="Q12" i="18"/>
  <c r="M12" i="18"/>
  <c r="B15" i="20"/>
  <c r="K38" i="19"/>
  <c r="L38" i="19" s="1"/>
  <c r="M38" i="19"/>
  <c r="G32" i="20"/>
  <c r="D33" i="20" s="1"/>
  <c r="E33" i="20" s="1"/>
  <c r="B18" i="21"/>
  <c r="J18" i="21"/>
  <c r="E18" i="21"/>
  <c r="F18" i="21" s="1"/>
  <c r="I18" i="21" s="1"/>
  <c r="D18" i="21"/>
  <c r="C19" i="21" s="1"/>
  <c r="G18" i="21"/>
  <c r="H18" i="21" s="1"/>
  <c r="B16" i="19"/>
  <c r="C16" i="19"/>
  <c r="A17" i="19"/>
  <c r="M10" i="21"/>
  <c r="N10" i="21" s="1"/>
  <c r="L11" i="21"/>
  <c r="C11" i="18"/>
  <c r="D11" i="18"/>
  <c r="L10" i="20"/>
  <c r="K11" i="20"/>
  <c r="L16" i="19"/>
  <c r="K16" i="19"/>
  <c r="H14" i="20"/>
  <c r="I14" i="20" s="1"/>
  <c r="I27" i="21"/>
  <c r="C28" i="21" s="1"/>
  <c r="J27" i="21"/>
  <c r="L11" i="22"/>
  <c r="K12" i="22"/>
  <c r="B32" i="17"/>
  <c r="A31" i="17"/>
  <c r="C31" i="17"/>
  <c r="E27" i="21"/>
  <c r="G27" i="21"/>
  <c r="F28" i="21" s="1"/>
  <c r="I11" i="13"/>
  <c r="J11" i="13" s="1"/>
  <c r="F11" i="13"/>
  <c r="E12" i="13" s="1"/>
  <c r="G11" i="13"/>
  <c r="H11" i="13" s="1"/>
  <c r="K11" i="13" s="1"/>
  <c r="D11" i="13"/>
  <c r="B15" i="14"/>
  <c r="C15" i="14"/>
  <c r="A16" i="14"/>
  <c r="B22" i="13"/>
  <c r="A23" i="13"/>
  <c r="I14" i="11"/>
  <c r="C14" i="11"/>
  <c r="D14" i="11"/>
  <c r="E14" i="11" s="1"/>
  <c r="B25" i="11"/>
  <c r="M10" i="10"/>
  <c r="G11" i="10" s="1"/>
  <c r="K11" i="10" s="1"/>
  <c r="L11" i="10" s="1"/>
  <c r="R18" i="8"/>
  <c r="I21" i="8"/>
  <c r="H21" i="8"/>
  <c r="G22" i="8" s="1"/>
  <c r="S18" i="8"/>
  <c r="R19" i="8" s="1"/>
  <c r="T18" i="8"/>
  <c r="B7" i="7"/>
  <c r="A7" i="7"/>
  <c r="G5" i="7"/>
  <c r="E6" i="7"/>
  <c r="C4" i="5"/>
  <c r="D7" i="6"/>
  <c r="A8" i="6"/>
  <c r="B5" i="5"/>
  <c r="A5" i="5"/>
  <c r="E4" i="1"/>
  <c r="C8" i="6"/>
  <c r="F6" i="7"/>
  <c r="C7" i="7"/>
  <c r="F4" i="1"/>
  <c r="D4" i="5"/>
  <c r="B8" i="6"/>
  <c r="A8" i="7" a="1"/>
  <c r="A6" i="5" a="1"/>
  <c r="D7" i="7"/>
  <c r="D28" i="21" l="1"/>
  <c r="H28" i="21"/>
  <c r="B28" i="21"/>
  <c r="B19" i="21"/>
  <c r="D19" i="21"/>
  <c r="C20" i="21" s="1"/>
  <c r="J19" i="21"/>
  <c r="G19" i="21"/>
  <c r="H19" i="21" s="1"/>
  <c r="E19" i="21"/>
  <c r="F19" i="21" s="1"/>
  <c r="I19" i="21" s="1"/>
  <c r="C16" i="22"/>
  <c r="B17" i="22" s="1"/>
  <c r="D16" i="22"/>
  <c r="E16" i="22" s="1"/>
  <c r="H16" i="22" s="1"/>
  <c r="F16" i="22"/>
  <c r="G16" i="22" s="1"/>
  <c r="L12" i="21"/>
  <c r="M11" i="21"/>
  <c r="N11" i="21" s="1"/>
  <c r="L12" i="22"/>
  <c r="K13" i="22"/>
  <c r="A32" i="17"/>
  <c r="B33" i="17"/>
  <c r="C32" i="17"/>
  <c r="F17" i="19"/>
  <c r="H17" i="19"/>
  <c r="I17" i="19" s="1"/>
  <c r="E11" i="18"/>
  <c r="H11" i="18"/>
  <c r="B17" i="19"/>
  <c r="C17" i="19"/>
  <c r="A18" i="19"/>
  <c r="P12" i="18"/>
  <c r="G10" i="17"/>
  <c r="C11" i="17" s="1"/>
  <c r="G28" i="21"/>
  <c r="E28" i="21"/>
  <c r="B12" i="18"/>
  <c r="F12" i="18"/>
  <c r="G12" i="18" s="1"/>
  <c r="B33" i="20"/>
  <c r="F15" i="20"/>
  <c r="G15" i="20" s="1"/>
  <c r="D15" i="20"/>
  <c r="E15" i="20" s="1"/>
  <c r="H15" i="20" s="1"/>
  <c r="I15" i="20" s="1"/>
  <c r="B16" i="20"/>
  <c r="C15" i="20"/>
  <c r="L11" i="20"/>
  <c r="K12" i="20"/>
  <c r="G12" i="13"/>
  <c r="H12" i="13" s="1"/>
  <c r="K12" i="13" s="1"/>
  <c r="E13" i="13"/>
  <c r="D12" i="13"/>
  <c r="I12" i="13"/>
  <c r="J12" i="13" s="1"/>
  <c r="F12" i="13"/>
  <c r="B16" i="14"/>
  <c r="C16" i="14"/>
  <c r="A17" i="14"/>
  <c r="A24" i="13"/>
  <c r="B23" i="13"/>
  <c r="C25" i="11"/>
  <c r="E25" i="11"/>
  <c r="F14" i="11"/>
  <c r="G14" i="11"/>
  <c r="H14" i="11" s="1"/>
  <c r="B15" i="11" s="1"/>
  <c r="N11" i="10"/>
  <c r="I11" i="10"/>
  <c r="J11" i="10" s="1"/>
  <c r="M11" i="10" s="1"/>
  <c r="H11" i="10"/>
  <c r="I22" i="8"/>
  <c r="H22" i="8"/>
  <c r="S19" i="8"/>
  <c r="R20" i="8" s="1"/>
  <c r="T19" i="8"/>
  <c r="A8" i="7"/>
  <c r="B8" i="7"/>
  <c r="E7" i="7"/>
  <c r="G6" i="7"/>
  <c r="C5" i="5"/>
  <c r="D8" i="6"/>
  <c r="A9" i="6"/>
  <c r="B6" i="5"/>
  <c r="A6" i="5"/>
  <c r="C5" i="1"/>
  <c r="A5" i="1"/>
  <c r="G4" i="1"/>
  <c r="C9" i="6"/>
  <c r="C8" i="7"/>
  <c r="A9" i="7" a="1"/>
  <c r="D8" i="7"/>
  <c r="A7" i="5" a="1"/>
  <c r="D5" i="5"/>
  <c r="B9" i="6"/>
  <c r="D5" i="1"/>
  <c r="B5" i="1"/>
  <c r="F7" i="7"/>
  <c r="D17" i="22" l="1"/>
  <c r="E17" i="22" s="1"/>
  <c r="H17" i="22" s="1"/>
  <c r="F17" i="22"/>
  <c r="G17" i="22" s="1"/>
  <c r="C17" i="22"/>
  <c r="B18" i="22" s="1"/>
  <c r="D20" i="21"/>
  <c r="B20" i="21"/>
  <c r="J20" i="21"/>
  <c r="G20" i="21"/>
  <c r="H20" i="21" s="1"/>
  <c r="E20" i="21"/>
  <c r="F20" i="21" s="1"/>
  <c r="I20" i="21" s="1"/>
  <c r="C21" i="21" s="1"/>
  <c r="A11" i="17"/>
  <c r="B11" i="17" s="1"/>
  <c r="E11" i="17"/>
  <c r="F11" i="17" s="1"/>
  <c r="G11" i="17" s="1"/>
  <c r="D11" i="17"/>
  <c r="C12" i="17" s="1"/>
  <c r="H11" i="17"/>
  <c r="B18" i="19"/>
  <c r="C18" i="19"/>
  <c r="A19" i="19"/>
  <c r="A33" i="17"/>
  <c r="B34" i="17"/>
  <c r="C33" i="17"/>
  <c r="K13" i="20"/>
  <c r="L12" i="20"/>
  <c r="F33" i="20"/>
  <c r="H33" i="20" s="1"/>
  <c r="C33" i="20"/>
  <c r="L13" i="21"/>
  <c r="M12" i="21"/>
  <c r="N12" i="21" s="1"/>
  <c r="D16" i="20"/>
  <c r="E16" i="20" s="1"/>
  <c r="H16" i="20" s="1"/>
  <c r="I16" i="20" s="1"/>
  <c r="F16" i="20"/>
  <c r="G16" i="20" s="1"/>
  <c r="C16" i="20"/>
  <c r="J17" i="19"/>
  <c r="G17" i="19"/>
  <c r="L13" i="22"/>
  <c r="K14" i="22"/>
  <c r="J28" i="21"/>
  <c r="I28" i="21"/>
  <c r="C29" i="21" s="1"/>
  <c r="D12" i="18"/>
  <c r="C12" i="18"/>
  <c r="I13" i="13"/>
  <c r="J13" i="13" s="1"/>
  <c r="F13" i="13"/>
  <c r="G13" i="13"/>
  <c r="H13" i="13" s="1"/>
  <c r="D13" i="13"/>
  <c r="B24" i="13"/>
  <c r="A25" i="13"/>
  <c r="C17" i="14"/>
  <c r="A18" i="14"/>
  <c r="B17" i="14"/>
  <c r="G12" i="10"/>
  <c r="N12" i="10" s="1"/>
  <c r="I15" i="11"/>
  <c r="C15" i="11"/>
  <c r="D15" i="11"/>
  <c r="E15" i="11" s="1"/>
  <c r="F25" i="11"/>
  <c r="D26" i="11" s="1"/>
  <c r="G25" i="11"/>
  <c r="G23" i="8"/>
  <c r="I23" i="8" s="1"/>
  <c r="S20" i="8"/>
  <c r="T20" i="8"/>
  <c r="H23" i="8"/>
  <c r="A9" i="7"/>
  <c r="B9" i="7"/>
  <c r="G7" i="7"/>
  <c r="E8" i="7"/>
  <c r="C6" i="5"/>
  <c r="D9" i="6"/>
  <c r="A10" i="6"/>
  <c r="B7" i="5"/>
  <c r="A7" i="5"/>
  <c r="E5" i="1"/>
  <c r="D9" i="7"/>
  <c r="F8" i="7"/>
  <c r="A8" i="5" a="1"/>
  <c r="D6" i="5"/>
  <c r="B10" i="6"/>
  <c r="C9" i="7"/>
  <c r="A10" i="7" a="1"/>
  <c r="F5" i="1"/>
  <c r="C10" i="6"/>
  <c r="B29" i="21" l="1"/>
  <c r="D29" i="21"/>
  <c r="D21" i="21"/>
  <c r="B21" i="21"/>
  <c r="J21" i="21"/>
  <c r="G21" i="21"/>
  <c r="H21" i="21" s="1"/>
  <c r="E21" i="21"/>
  <c r="F21" i="21" s="1"/>
  <c r="I21" i="21" s="1"/>
  <c r="A12" i="17"/>
  <c r="B12" i="17" s="1"/>
  <c r="E12" i="17"/>
  <c r="F12" i="17" s="1"/>
  <c r="G12" i="17" s="1"/>
  <c r="D12" i="17"/>
  <c r="C13" i="17" s="1"/>
  <c r="H12" i="17"/>
  <c r="C18" i="22"/>
  <c r="B19" i="22" s="1"/>
  <c r="F18" i="22"/>
  <c r="G18" i="22" s="1"/>
  <c r="D18" i="22"/>
  <c r="E18" i="22" s="1"/>
  <c r="H18" i="22" s="1"/>
  <c r="B13" i="18"/>
  <c r="L14" i="22"/>
  <c r="K15" i="22"/>
  <c r="A34" i="17"/>
  <c r="B35" i="17"/>
  <c r="C34" i="17"/>
  <c r="G33" i="20"/>
  <c r="D34" i="20" s="1"/>
  <c r="E34" i="20" s="1"/>
  <c r="E12" i="18"/>
  <c r="F13" i="18" s="1"/>
  <c r="G13" i="18" s="1"/>
  <c r="H12" i="18"/>
  <c r="M13" i="21"/>
  <c r="N13" i="21" s="1"/>
  <c r="L14" i="21"/>
  <c r="B17" i="20"/>
  <c r="F29" i="21"/>
  <c r="H29" i="21" s="1"/>
  <c r="K14" i="20"/>
  <c r="L13" i="20"/>
  <c r="B19" i="19"/>
  <c r="A20" i="19"/>
  <c r="C19" i="19"/>
  <c r="L17" i="19"/>
  <c r="K17" i="19"/>
  <c r="H18" i="19" s="1"/>
  <c r="I18" i="19" s="1"/>
  <c r="E14" i="13"/>
  <c r="A19" i="14"/>
  <c r="B18" i="14"/>
  <c r="C18" i="14"/>
  <c r="A26" i="13"/>
  <c r="B25" i="13"/>
  <c r="K13" i="13"/>
  <c r="I12" i="10"/>
  <c r="J12" i="10" s="1"/>
  <c r="H12" i="10"/>
  <c r="K12" i="10"/>
  <c r="L12" i="10" s="1"/>
  <c r="B26" i="11"/>
  <c r="F15" i="11"/>
  <c r="G15" i="11" s="1"/>
  <c r="H15" i="11" s="1"/>
  <c r="B16" i="11" s="1"/>
  <c r="G24" i="8"/>
  <c r="R21" i="8"/>
  <c r="I24" i="8"/>
  <c r="H24" i="8"/>
  <c r="G25" i="8" s="1"/>
  <c r="S21" i="8"/>
  <c r="R22" i="8" s="1"/>
  <c r="T21" i="8"/>
  <c r="A10" i="7"/>
  <c r="B10" i="7"/>
  <c r="G8" i="7"/>
  <c r="E9" i="7"/>
  <c r="D10" i="6"/>
  <c r="A11" i="6"/>
  <c r="B8" i="5"/>
  <c r="A8" i="5"/>
  <c r="A6" i="1"/>
  <c r="C6" i="1"/>
  <c r="C7" i="5"/>
  <c r="G5" i="1"/>
  <c r="D7" i="5"/>
  <c r="A11" i="7" a="1"/>
  <c r="C11" i="6"/>
  <c r="D6" i="1"/>
  <c r="B11" i="6"/>
  <c r="F9" i="7"/>
  <c r="A9" i="5" a="1"/>
  <c r="D10" i="7"/>
  <c r="C10" i="7"/>
  <c r="B6" i="1"/>
  <c r="F19" i="22" l="1"/>
  <c r="G19" i="22" s="1"/>
  <c r="D19" i="22"/>
  <c r="E19" i="22" s="1"/>
  <c r="H19" i="22" s="1"/>
  <c r="C19" i="22"/>
  <c r="B20" i="22" s="1"/>
  <c r="A13" i="17"/>
  <c r="B13" i="17" s="1"/>
  <c r="E13" i="17"/>
  <c r="F13" i="17" s="1"/>
  <c r="G13" i="17" s="1"/>
  <c r="D13" i="17"/>
  <c r="C14" i="17" s="1"/>
  <c r="H13" i="17"/>
  <c r="I29" i="21"/>
  <c r="C30" i="21" s="1"/>
  <c r="J29" i="21"/>
  <c r="F18" i="19"/>
  <c r="K15" i="20"/>
  <c r="L14" i="20"/>
  <c r="A35" i="17"/>
  <c r="C35" i="17"/>
  <c r="B20" i="19"/>
  <c r="C20" i="19"/>
  <c r="A21" i="19"/>
  <c r="G29" i="21"/>
  <c r="E29" i="21"/>
  <c r="M14" i="21"/>
  <c r="N14" i="21" s="1"/>
  <c r="L15" i="21"/>
  <c r="D13" i="18"/>
  <c r="C13" i="18"/>
  <c r="F17" i="20"/>
  <c r="G17" i="20" s="1"/>
  <c r="D17" i="20"/>
  <c r="E17" i="20" s="1"/>
  <c r="H17" i="20" s="1"/>
  <c r="I17" i="20" s="1"/>
  <c r="B18" i="20"/>
  <c r="C17" i="20"/>
  <c r="B34" i="20"/>
  <c r="L15" i="22"/>
  <c r="K16" i="22"/>
  <c r="G14" i="13"/>
  <c r="H14" i="13" s="1"/>
  <c r="D14" i="13"/>
  <c r="I14" i="13"/>
  <c r="J14" i="13" s="1"/>
  <c r="F14" i="13"/>
  <c r="B26" i="13"/>
  <c r="A27" i="13"/>
  <c r="B19" i="14"/>
  <c r="C19" i="14"/>
  <c r="A20" i="14"/>
  <c r="M12" i="10"/>
  <c r="G13" i="10" s="1"/>
  <c r="H13" i="10" s="1"/>
  <c r="I16" i="11"/>
  <c r="C16" i="11"/>
  <c r="D16" i="11"/>
  <c r="E16" i="11" s="1"/>
  <c r="E26" i="11"/>
  <c r="C26" i="11"/>
  <c r="S22" i="8"/>
  <c r="T22" i="8"/>
  <c r="L11" i="8"/>
  <c r="H25" i="8"/>
  <c r="I25" i="8"/>
  <c r="A11" i="7"/>
  <c r="B11" i="7"/>
  <c r="G9" i="7"/>
  <c r="E10" i="7"/>
  <c r="C8" i="5"/>
  <c r="D11" i="6"/>
  <c r="A9" i="5"/>
  <c r="B9" i="5"/>
  <c r="E6" i="1"/>
  <c r="D8" i="5"/>
  <c r="C11" i="7"/>
  <c r="D11" i="7"/>
  <c r="A10" i="5" a="1"/>
  <c r="A12" i="7" a="1"/>
  <c r="F10" i="7"/>
  <c r="F6" i="1"/>
  <c r="B30" i="21" l="1"/>
  <c r="D30" i="21"/>
  <c r="H14" i="17"/>
  <c r="A14" i="17"/>
  <c r="B14" i="17" s="1"/>
  <c r="E14" i="17"/>
  <c r="F14" i="17" s="1"/>
  <c r="D14" i="17"/>
  <c r="C20" i="22"/>
  <c r="B21" i="22" s="1"/>
  <c r="D20" i="22"/>
  <c r="E20" i="22" s="1"/>
  <c r="H20" i="22" s="1"/>
  <c r="F20" i="22"/>
  <c r="G20" i="22" s="1"/>
  <c r="H13" i="18"/>
  <c r="E13" i="18"/>
  <c r="B14" i="18" s="1"/>
  <c r="C34" i="20"/>
  <c r="F34" i="20"/>
  <c r="H34" i="20" s="1"/>
  <c r="F30" i="21"/>
  <c r="J18" i="19"/>
  <c r="G18" i="19"/>
  <c r="K17" i="22"/>
  <c r="L16" i="22"/>
  <c r="D18" i="20"/>
  <c r="E18" i="20" s="1"/>
  <c r="H18" i="20" s="1"/>
  <c r="I18" i="20" s="1"/>
  <c r="F18" i="20"/>
  <c r="G18" i="20" s="1"/>
  <c r="C18" i="20"/>
  <c r="B19" i="20" s="1"/>
  <c r="K16" i="20"/>
  <c r="L15" i="20"/>
  <c r="M15" i="21"/>
  <c r="N15" i="21" s="1"/>
  <c r="L16" i="21"/>
  <c r="B21" i="19"/>
  <c r="C21" i="19"/>
  <c r="A22" i="19"/>
  <c r="F14" i="18"/>
  <c r="G14" i="18" s="1"/>
  <c r="A28" i="13"/>
  <c r="B27" i="13"/>
  <c r="B20" i="14"/>
  <c r="C20" i="14"/>
  <c r="A21" i="14"/>
  <c r="K14" i="13"/>
  <c r="E15" i="13" s="1"/>
  <c r="N13" i="10"/>
  <c r="I13" i="10"/>
  <c r="J13" i="10" s="1"/>
  <c r="K13" i="10"/>
  <c r="L13" i="10" s="1"/>
  <c r="F16" i="11"/>
  <c r="G16" i="11" s="1"/>
  <c r="H16" i="11" s="1"/>
  <c r="B17" i="11" s="1"/>
  <c r="F26" i="11"/>
  <c r="D27" i="11" s="1"/>
  <c r="G26" i="11"/>
  <c r="R23" i="8"/>
  <c r="S23" i="8" s="1"/>
  <c r="V11" i="8"/>
  <c r="T23" i="8"/>
  <c r="A12" i="7"/>
  <c r="B12" i="7"/>
  <c r="G10" i="7"/>
  <c r="E11" i="7"/>
  <c r="A10" i="5"/>
  <c r="B10" i="5"/>
  <c r="A7" i="1"/>
  <c r="C7" i="1"/>
  <c r="C9" i="5"/>
  <c r="G6" i="1"/>
  <c r="A11" i="5" a="1"/>
  <c r="B7" i="1"/>
  <c r="D7" i="1"/>
  <c r="A13" i="7" a="1"/>
  <c r="C12" i="7"/>
  <c r="D9" i="5"/>
  <c r="F11" i="7"/>
  <c r="D12" i="7"/>
  <c r="F19" i="20" l="1"/>
  <c r="G19" i="20" s="1"/>
  <c r="D19" i="20"/>
  <c r="E19" i="20" s="1"/>
  <c r="H19" i="20" s="1"/>
  <c r="I19" i="20" s="1"/>
  <c r="C19" i="20"/>
  <c r="B20" i="20" s="1"/>
  <c r="C14" i="18"/>
  <c r="D14" i="18"/>
  <c r="D21" i="22"/>
  <c r="E21" i="22" s="1"/>
  <c r="F21" i="22"/>
  <c r="G21" i="22" s="1"/>
  <c r="C21" i="22"/>
  <c r="K17" i="20"/>
  <c r="L16" i="20"/>
  <c r="B22" i="19"/>
  <c r="C22" i="19"/>
  <c r="A23" i="19"/>
  <c r="L17" i="22"/>
  <c r="K18" i="22"/>
  <c r="M16" i="21"/>
  <c r="N16" i="21" s="1"/>
  <c r="L17" i="21"/>
  <c r="E30" i="21"/>
  <c r="G30" i="21"/>
  <c r="G34" i="20"/>
  <c r="D35" i="20" s="1"/>
  <c r="E35" i="20" s="1"/>
  <c r="G14" i="17"/>
  <c r="C15" i="17" s="1"/>
  <c r="H30" i="21"/>
  <c r="L18" i="19"/>
  <c r="K18" i="19"/>
  <c r="F19" i="19" s="1"/>
  <c r="I15" i="13"/>
  <c r="J15" i="13" s="1"/>
  <c r="G15" i="13"/>
  <c r="H15" i="13" s="1"/>
  <c r="K15" i="13" s="1"/>
  <c r="E16" i="13" s="1"/>
  <c r="D15" i="13"/>
  <c r="F15" i="13"/>
  <c r="B28" i="13"/>
  <c r="A29" i="13"/>
  <c r="C21" i="14"/>
  <c r="A22" i="14"/>
  <c r="B21" i="14"/>
  <c r="M13" i="10"/>
  <c r="G14" i="10" s="1"/>
  <c r="I14" i="10" s="1"/>
  <c r="J14" i="10" s="1"/>
  <c r="I17" i="11"/>
  <c r="C17" i="11"/>
  <c r="D17" i="11"/>
  <c r="E17" i="11" s="1"/>
  <c r="B27" i="11"/>
  <c r="A13" i="7"/>
  <c r="B13" i="7"/>
  <c r="G11" i="7"/>
  <c r="E12" i="7"/>
  <c r="C10" i="5"/>
  <c r="B11" i="5"/>
  <c r="A11" i="5"/>
  <c r="E7" i="1"/>
  <c r="D13" i="7"/>
  <c r="A14" i="7" a="1"/>
  <c r="F7" i="1"/>
  <c r="D10" i="5"/>
  <c r="C13" i="7"/>
  <c r="A12" i="5" a="1"/>
  <c r="F12" i="7"/>
  <c r="J19" i="19" l="1"/>
  <c r="G19" i="19"/>
  <c r="D20" i="20"/>
  <c r="E20" i="20" s="1"/>
  <c r="F20" i="20"/>
  <c r="G20" i="20" s="1"/>
  <c r="C20" i="20"/>
  <c r="B35" i="20"/>
  <c r="L18" i="22"/>
  <c r="K19" i="22"/>
  <c r="J30" i="21"/>
  <c r="I30" i="21"/>
  <c r="C31" i="21" s="1"/>
  <c r="H19" i="19"/>
  <c r="I19" i="19" s="1"/>
  <c r="M17" i="21"/>
  <c r="N17" i="21" s="1"/>
  <c r="L18" i="21"/>
  <c r="B23" i="19"/>
  <c r="C23" i="19"/>
  <c r="A24" i="19"/>
  <c r="K18" i="20"/>
  <c r="L17" i="20"/>
  <c r="H21" i="22"/>
  <c r="B22" i="22" s="1"/>
  <c r="H15" i="17"/>
  <c r="A15" i="17"/>
  <c r="B15" i="17" s="1"/>
  <c r="E15" i="17"/>
  <c r="F15" i="17" s="1"/>
  <c r="D15" i="17"/>
  <c r="E14" i="18"/>
  <c r="B15" i="18" s="1"/>
  <c r="H14" i="18"/>
  <c r="N14" i="10"/>
  <c r="H14" i="10"/>
  <c r="F16" i="13"/>
  <c r="G16" i="13"/>
  <c r="H16" i="13" s="1"/>
  <c r="D16" i="13"/>
  <c r="I16" i="13"/>
  <c r="J16" i="13" s="1"/>
  <c r="A30" i="13"/>
  <c r="B29" i="13"/>
  <c r="K14" i="10"/>
  <c r="L14" i="10" s="1"/>
  <c r="M14" i="10" s="1"/>
  <c r="A23" i="14"/>
  <c r="B22" i="14"/>
  <c r="C22" i="14"/>
  <c r="C27" i="11"/>
  <c r="E27" i="11"/>
  <c r="F17" i="11"/>
  <c r="G17" i="11"/>
  <c r="H17" i="11" s="1"/>
  <c r="B18" i="11" s="1"/>
  <c r="A14" i="7"/>
  <c r="B14" i="7"/>
  <c r="G12" i="7"/>
  <c r="E13" i="7"/>
  <c r="A12" i="5"/>
  <c r="B12" i="5"/>
  <c r="A8" i="1"/>
  <c r="C8" i="1"/>
  <c r="C11" i="5"/>
  <c r="G7" i="1"/>
  <c r="D14" i="7"/>
  <c r="F13" i="7"/>
  <c r="D8" i="1"/>
  <c r="A13" i="5" a="1"/>
  <c r="B8" i="1"/>
  <c r="C14" i="7"/>
  <c r="D11" i="5"/>
  <c r="D15" i="18" l="1"/>
  <c r="C15" i="18"/>
  <c r="C22" i="22"/>
  <c r="F22" i="22"/>
  <c r="G22" i="22" s="1"/>
  <c r="D22" i="22"/>
  <c r="E22" i="22" s="1"/>
  <c r="H22" i="22" s="1"/>
  <c r="B23" i="22" s="1"/>
  <c r="L19" i="21"/>
  <c r="M18" i="21"/>
  <c r="N18" i="21" s="1"/>
  <c r="L19" i="19"/>
  <c r="K19" i="19"/>
  <c r="H20" i="19" s="1"/>
  <c r="I20" i="19" s="1"/>
  <c r="F15" i="18"/>
  <c r="G15" i="18" s="1"/>
  <c r="B24" i="19"/>
  <c r="C24" i="19"/>
  <c r="A25" i="19"/>
  <c r="L19" i="22"/>
  <c r="K20" i="22"/>
  <c r="H20" i="20"/>
  <c r="K19" i="20"/>
  <c r="L18" i="20"/>
  <c r="G15" i="17"/>
  <c r="C16" i="17" s="1"/>
  <c r="H31" i="21"/>
  <c r="D31" i="21"/>
  <c r="B31" i="21"/>
  <c r="F31" i="21"/>
  <c r="F20" i="19"/>
  <c r="F35" i="20"/>
  <c r="H35" i="20" s="1"/>
  <c r="C35" i="20"/>
  <c r="G15" i="10"/>
  <c r="B14" i="10" s="1"/>
  <c r="B30" i="13"/>
  <c r="A31" i="13"/>
  <c r="K16" i="13"/>
  <c r="E17" i="13" s="1"/>
  <c r="B23" i="14"/>
  <c r="C23" i="14"/>
  <c r="A24" i="14"/>
  <c r="I18" i="11"/>
  <c r="C18" i="11"/>
  <c r="D18" i="11"/>
  <c r="E18" i="11" s="1"/>
  <c r="F27" i="11"/>
  <c r="D28" i="11" s="1"/>
  <c r="G27" i="11"/>
  <c r="G13" i="7"/>
  <c r="E14" i="7"/>
  <c r="C12" i="5"/>
  <c r="A13" i="5"/>
  <c r="B13" i="5"/>
  <c r="E8" i="1"/>
  <c r="F8" i="1"/>
  <c r="A14" i="5" a="1"/>
  <c r="F14" i="7"/>
  <c r="D12" i="5"/>
  <c r="F23" i="22" l="1"/>
  <c r="G23" i="22" s="1"/>
  <c r="D23" i="22"/>
  <c r="E23" i="22" s="1"/>
  <c r="C23" i="22"/>
  <c r="J20" i="19"/>
  <c r="G20" i="19"/>
  <c r="K20" i="20"/>
  <c r="L19" i="20"/>
  <c r="B25" i="19"/>
  <c r="C25" i="19"/>
  <c r="A26" i="19"/>
  <c r="B16" i="18"/>
  <c r="I31" i="21"/>
  <c r="C32" i="21" s="1"/>
  <c r="J31" i="21"/>
  <c r="I20" i="20"/>
  <c r="B21" i="20"/>
  <c r="H15" i="18"/>
  <c r="E15" i="18"/>
  <c r="F16" i="18" s="1"/>
  <c r="G16" i="18" s="1"/>
  <c r="B36" i="20"/>
  <c r="G35" i="20"/>
  <c r="D36" i="20" s="1"/>
  <c r="E36" i="20" s="1"/>
  <c r="E31" i="21"/>
  <c r="G31" i="21"/>
  <c r="F32" i="21" s="1"/>
  <c r="H16" i="17"/>
  <c r="A16" i="17"/>
  <c r="B16" i="17" s="1"/>
  <c r="E16" i="17"/>
  <c r="F16" i="17" s="1"/>
  <c r="G16" i="17" s="1"/>
  <c r="D16" i="17"/>
  <c r="C17" i="17" s="1"/>
  <c r="K21" i="22"/>
  <c r="L20" i="22"/>
  <c r="M19" i="21"/>
  <c r="N19" i="21" s="1"/>
  <c r="L20" i="21"/>
  <c r="I15" i="10"/>
  <c r="J15" i="10" s="1"/>
  <c r="H15" i="10"/>
  <c r="K15" i="10"/>
  <c r="L15" i="10" s="1"/>
  <c r="N15" i="10"/>
  <c r="D17" i="13"/>
  <c r="I17" i="13"/>
  <c r="J17" i="13" s="1"/>
  <c r="F17" i="13"/>
  <c r="E18" i="13" s="1"/>
  <c r="G17" i="13"/>
  <c r="H17" i="13" s="1"/>
  <c r="K17" i="13" s="1"/>
  <c r="B24" i="14"/>
  <c r="C24" i="14"/>
  <c r="A25" i="14"/>
  <c r="A32" i="13"/>
  <c r="B31" i="13"/>
  <c r="B28" i="11"/>
  <c r="F18" i="11"/>
  <c r="G18" i="11" s="1"/>
  <c r="H18" i="11" s="1"/>
  <c r="G14" i="7"/>
  <c r="C13" i="5"/>
  <c r="A9" i="1"/>
  <c r="C9" i="1"/>
  <c r="B14" i="5"/>
  <c r="A14" i="5"/>
  <c r="G8" i="1"/>
  <c r="D9" i="1"/>
  <c r="D13" i="5"/>
  <c r="A15" i="5" a="1"/>
  <c r="B9" i="1"/>
  <c r="A17" i="17" l="1"/>
  <c r="B17" i="17" s="1"/>
  <c r="E17" i="17"/>
  <c r="F17" i="17" s="1"/>
  <c r="G17" i="17" s="1"/>
  <c r="L16" i="17"/>
  <c r="L17" i="17" s="1"/>
  <c r="H17" i="17"/>
  <c r="D17" i="17"/>
  <c r="D32" i="21"/>
  <c r="H32" i="21"/>
  <c r="B32" i="21"/>
  <c r="M20" i="21"/>
  <c r="N20" i="21" s="1"/>
  <c r="L21" i="21"/>
  <c r="F36" i="20"/>
  <c r="H36" i="20" s="1"/>
  <c r="C36" i="20"/>
  <c r="C16" i="18"/>
  <c r="D16" i="18"/>
  <c r="L20" i="19"/>
  <c r="K20" i="19"/>
  <c r="G32" i="21"/>
  <c r="E32" i="21"/>
  <c r="B26" i="19"/>
  <c r="C26" i="19"/>
  <c r="A27" i="19"/>
  <c r="K21" i="20"/>
  <c r="L20" i="20"/>
  <c r="L21" i="22"/>
  <c r="K22" i="22"/>
  <c r="F21" i="20"/>
  <c r="G21" i="20" s="1"/>
  <c r="D21" i="20"/>
  <c r="E21" i="20" s="1"/>
  <c r="H21" i="20" s="1"/>
  <c r="I21" i="20" s="1"/>
  <c r="C21" i="20"/>
  <c r="B22" i="20" s="1"/>
  <c r="F21" i="19"/>
  <c r="H21" i="19"/>
  <c r="I21" i="19" s="1"/>
  <c r="H23" i="22"/>
  <c r="B24" i="22" s="1"/>
  <c r="M15" i="10"/>
  <c r="F18" i="13"/>
  <c r="E19" i="13" s="1"/>
  <c r="G18" i="13"/>
  <c r="H18" i="13" s="1"/>
  <c r="K18" i="13" s="1"/>
  <c r="D18" i="13"/>
  <c r="I18" i="13"/>
  <c r="J18" i="13" s="1"/>
  <c r="C25" i="14"/>
  <c r="A26" i="14"/>
  <c r="B25" i="14"/>
  <c r="B32" i="13"/>
  <c r="A33" i="13"/>
  <c r="E28" i="11"/>
  <c r="C28" i="11"/>
  <c r="C14" i="5"/>
  <c r="A15" i="5"/>
  <c r="B15" i="5"/>
  <c r="E9" i="1"/>
  <c r="F9" i="1"/>
  <c r="A16" i="5" a="1"/>
  <c r="D14" i="5"/>
  <c r="D22" i="20" l="1"/>
  <c r="E22" i="20" s="1"/>
  <c r="H22" i="20" s="1"/>
  <c r="I22" i="20" s="1"/>
  <c r="F22" i="20"/>
  <c r="G22" i="20" s="1"/>
  <c r="C22" i="20"/>
  <c r="C24" i="22"/>
  <c r="B25" i="22" s="1"/>
  <c r="D24" i="22"/>
  <c r="E24" i="22" s="1"/>
  <c r="H24" i="22" s="1"/>
  <c r="F24" i="22"/>
  <c r="G24" i="22" s="1"/>
  <c r="L22" i="22"/>
  <c r="K23" i="22"/>
  <c r="A28" i="19"/>
  <c r="B27" i="19"/>
  <c r="C27" i="19"/>
  <c r="G36" i="20"/>
  <c r="D37" i="20" s="1"/>
  <c r="E37" i="20" s="1"/>
  <c r="J21" i="19"/>
  <c r="G21" i="19"/>
  <c r="J32" i="21"/>
  <c r="I32" i="21"/>
  <c r="F33" i="21" s="1"/>
  <c r="K22" i="20"/>
  <c r="L21" i="20"/>
  <c r="E16" i="18"/>
  <c r="B17" i="18" s="1"/>
  <c r="H16" i="18"/>
  <c r="M21" i="21"/>
  <c r="N21" i="21" s="1"/>
  <c r="L22" i="21"/>
  <c r="C33" i="21"/>
  <c r="F17" i="18"/>
  <c r="G17" i="18" s="1"/>
  <c r="D19" i="13"/>
  <c r="I19" i="13"/>
  <c r="J19" i="13" s="1"/>
  <c r="F19" i="13"/>
  <c r="G19" i="13"/>
  <c r="H19" i="13" s="1"/>
  <c r="A34" i="13"/>
  <c r="B33" i="13"/>
  <c r="A27" i="14"/>
  <c r="B26" i="14"/>
  <c r="C26" i="14"/>
  <c r="B29" i="11"/>
  <c r="F28" i="11"/>
  <c r="D29" i="11" s="1"/>
  <c r="G28" i="11"/>
  <c r="C15" i="5"/>
  <c r="A10" i="1"/>
  <c r="C10" i="1"/>
  <c r="A16" i="5"/>
  <c r="B16" i="5"/>
  <c r="G9" i="1"/>
  <c r="B10" i="1"/>
  <c r="D10" i="1"/>
  <c r="D15" i="5"/>
  <c r="A17" i="5" a="1"/>
  <c r="G33" i="21" l="1"/>
  <c r="E33" i="21"/>
  <c r="D25" i="22"/>
  <c r="E25" i="22" s="1"/>
  <c r="H25" i="22" s="1"/>
  <c r="F25" i="22"/>
  <c r="G25" i="22" s="1"/>
  <c r="C25" i="22"/>
  <c r="B26" i="22"/>
  <c r="D17" i="18"/>
  <c r="C17" i="18"/>
  <c r="L21" i="19"/>
  <c r="K21" i="19"/>
  <c r="H22" i="19" s="1"/>
  <c r="I22" i="19" s="1"/>
  <c r="K23" i="20"/>
  <c r="L22" i="20"/>
  <c r="B33" i="21"/>
  <c r="H33" i="21"/>
  <c r="D33" i="21"/>
  <c r="B37" i="20"/>
  <c r="C28" i="19"/>
  <c r="B28" i="19"/>
  <c r="A29" i="19"/>
  <c r="L23" i="22"/>
  <c r="K24" i="22"/>
  <c r="B23" i="20"/>
  <c r="M22" i="21"/>
  <c r="N22" i="21" s="1"/>
  <c r="L23" i="21"/>
  <c r="B27" i="14"/>
  <c r="C27" i="14"/>
  <c r="A28" i="14"/>
  <c r="K19" i="13"/>
  <c r="E20" i="13" s="1"/>
  <c r="B34" i="13"/>
  <c r="A35" i="13"/>
  <c r="C29" i="11"/>
  <c r="E29" i="11"/>
  <c r="A17" i="5"/>
  <c r="B17" i="5"/>
  <c r="C16" i="5"/>
  <c r="E10" i="1"/>
  <c r="F10" i="1"/>
  <c r="D16" i="5"/>
  <c r="F22" i="19" l="1"/>
  <c r="L24" i="22"/>
  <c r="K25" i="22"/>
  <c r="C37" i="20"/>
  <c r="F37" i="20"/>
  <c r="H37" i="20" s="1"/>
  <c r="F18" i="18"/>
  <c r="G18" i="18" s="1"/>
  <c r="I33" i="21"/>
  <c r="J33" i="21"/>
  <c r="C26" i="22"/>
  <c r="B27" i="22" s="1"/>
  <c r="F26" i="22"/>
  <c r="G26" i="22" s="1"/>
  <c r="D26" i="22"/>
  <c r="E26" i="22" s="1"/>
  <c r="H26" i="22" s="1"/>
  <c r="F34" i="21"/>
  <c r="L24" i="21"/>
  <c r="M23" i="21"/>
  <c r="N23" i="21" s="1"/>
  <c r="B29" i="19"/>
  <c r="A30" i="19"/>
  <c r="C29" i="19"/>
  <c r="C34" i="21"/>
  <c r="K24" i="20"/>
  <c r="L23" i="20"/>
  <c r="H17" i="18"/>
  <c r="E17" i="18"/>
  <c r="B18" i="18" s="1"/>
  <c r="F23" i="20"/>
  <c r="G23" i="20" s="1"/>
  <c r="D23" i="20"/>
  <c r="E23" i="20" s="1"/>
  <c r="H23" i="20" s="1"/>
  <c r="I23" i="20" s="1"/>
  <c r="C23" i="20"/>
  <c r="F20" i="13"/>
  <c r="G20" i="13"/>
  <c r="H20" i="13" s="1"/>
  <c r="D20" i="13"/>
  <c r="I20" i="13"/>
  <c r="J20" i="13" s="1"/>
  <c r="B28" i="14"/>
  <c r="C28" i="14"/>
  <c r="A29" i="14"/>
  <c r="A36" i="13"/>
  <c r="B35" i="13"/>
  <c r="F29" i="11"/>
  <c r="D30" i="11" s="1"/>
  <c r="G29" i="11"/>
  <c r="C17" i="5"/>
  <c r="C11" i="1"/>
  <c r="A11" i="1"/>
  <c r="G10" i="1"/>
  <c r="D17" i="5"/>
  <c r="B11" i="1"/>
  <c r="D11" i="1"/>
  <c r="C18" i="18" l="1"/>
  <c r="D18" i="18"/>
  <c r="F27" i="22"/>
  <c r="G27" i="22" s="1"/>
  <c r="D27" i="22"/>
  <c r="E27" i="22" s="1"/>
  <c r="H27" i="22" s="1"/>
  <c r="C27" i="22"/>
  <c r="B28" i="22"/>
  <c r="B34" i="21"/>
  <c r="D34" i="21"/>
  <c r="H34" i="21"/>
  <c r="G37" i="20"/>
  <c r="D38" i="20" s="1"/>
  <c r="E38" i="20" s="1"/>
  <c r="C30" i="19"/>
  <c r="A31" i="19"/>
  <c r="B30" i="19"/>
  <c r="E34" i="21"/>
  <c r="G34" i="21"/>
  <c r="J22" i="19"/>
  <c r="G22" i="19"/>
  <c r="L25" i="21"/>
  <c r="M25" i="21" s="1"/>
  <c r="N25" i="21" s="1"/>
  <c r="M24" i="21"/>
  <c r="N24" i="21" s="1"/>
  <c r="L25" i="22"/>
  <c r="K26" i="22"/>
  <c r="K25" i="20"/>
  <c r="L24" i="20"/>
  <c r="C29" i="14"/>
  <c r="A30" i="14"/>
  <c r="B29" i="14"/>
  <c r="K20" i="13"/>
  <c r="E21" i="13" s="1"/>
  <c r="B36" i="13"/>
  <c r="A37" i="13"/>
  <c r="B30" i="11"/>
  <c r="E11" i="1"/>
  <c r="F11" i="1"/>
  <c r="L22" i="19" l="1"/>
  <c r="K22" i="19"/>
  <c r="H23" i="19" s="1"/>
  <c r="I23" i="19" s="1"/>
  <c r="A32" i="19"/>
  <c r="B31" i="19"/>
  <c r="C31" i="19"/>
  <c r="J34" i="21"/>
  <c r="I34" i="21"/>
  <c r="F35" i="21" s="1"/>
  <c r="C35" i="21"/>
  <c r="C28" i="22"/>
  <c r="D28" i="22"/>
  <c r="E28" i="22" s="1"/>
  <c r="F28" i="22"/>
  <c r="G28" i="22" s="1"/>
  <c r="E18" i="18"/>
  <c r="H18" i="18"/>
  <c r="B19" i="18"/>
  <c r="F19" i="18"/>
  <c r="G19" i="18" s="1"/>
  <c r="K26" i="20"/>
  <c r="L25" i="20"/>
  <c r="B38" i="20"/>
  <c r="L26" i="22"/>
  <c r="K27" i="22"/>
  <c r="D21" i="13"/>
  <c r="I21" i="13"/>
  <c r="J21" i="13" s="1"/>
  <c r="F21" i="13"/>
  <c r="E22" i="13" s="1"/>
  <c r="G21" i="13"/>
  <c r="H21" i="13" s="1"/>
  <c r="K21" i="13" s="1"/>
  <c r="A38" i="13"/>
  <c r="B37" i="13"/>
  <c r="A31" i="14"/>
  <c r="B30" i="14"/>
  <c r="C30" i="14"/>
  <c r="E30" i="11"/>
  <c r="C30" i="11"/>
  <c r="A12" i="1"/>
  <c r="C12" i="1"/>
  <c r="G11" i="1"/>
  <c r="B12" i="1"/>
  <c r="D12" i="1"/>
  <c r="E35" i="21" l="1"/>
  <c r="G35" i="21"/>
  <c r="F38" i="20"/>
  <c r="H38" i="20" s="1"/>
  <c r="C38" i="20"/>
  <c r="D19" i="18"/>
  <c r="C19" i="18"/>
  <c r="D35" i="21"/>
  <c r="H35" i="21"/>
  <c r="B35" i="21"/>
  <c r="L27" i="22"/>
  <c r="K28" i="22"/>
  <c r="F23" i="19"/>
  <c r="H28" i="22"/>
  <c r="K27" i="20"/>
  <c r="L26" i="20"/>
  <c r="C32" i="19"/>
  <c r="B32" i="19"/>
  <c r="A33" i="19"/>
  <c r="F22" i="13"/>
  <c r="G22" i="13"/>
  <c r="H22" i="13" s="1"/>
  <c r="D22" i="13"/>
  <c r="I22" i="13"/>
  <c r="J22" i="13" s="1"/>
  <c r="B31" i="14"/>
  <c r="C31" i="14"/>
  <c r="A32" i="14"/>
  <c r="B38" i="13"/>
  <c r="A39" i="13"/>
  <c r="B31" i="11"/>
  <c r="F30" i="11"/>
  <c r="D31" i="11" s="1"/>
  <c r="G30" i="11"/>
  <c r="E12" i="1"/>
  <c r="F12" i="1"/>
  <c r="J23" i="19" l="1"/>
  <c r="G23" i="19"/>
  <c r="I35" i="21"/>
  <c r="J35" i="21"/>
  <c r="B39" i="20"/>
  <c r="G38" i="20"/>
  <c r="D39" i="20" s="1"/>
  <c r="E39" i="20" s="1"/>
  <c r="K29" i="22"/>
  <c r="L28" i="22"/>
  <c r="H19" i="18"/>
  <c r="E19" i="18"/>
  <c r="F20" i="18" s="1"/>
  <c r="G20" i="18" s="1"/>
  <c r="B33" i="19"/>
  <c r="A34" i="19"/>
  <c r="C33" i="19"/>
  <c r="K28" i="20"/>
  <c r="L27" i="20"/>
  <c r="B20" i="18"/>
  <c r="B32" i="14"/>
  <c r="C32" i="14"/>
  <c r="A33" i="14"/>
  <c r="K22" i="13"/>
  <c r="E23" i="13" s="1"/>
  <c r="A40" i="13"/>
  <c r="B39" i="13"/>
  <c r="C31" i="11"/>
  <c r="E31" i="11"/>
  <c r="A13" i="1"/>
  <c r="C13" i="1"/>
  <c r="G12" i="1"/>
  <c r="D13" i="1"/>
  <c r="B13" i="1"/>
  <c r="C20" i="18" l="1"/>
  <c r="D20" i="18"/>
  <c r="C39" i="20"/>
  <c r="F39" i="20"/>
  <c r="H39" i="20" s="1"/>
  <c r="L23" i="19"/>
  <c r="K23" i="19"/>
  <c r="C34" i="19"/>
  <c r="A35" i="19"/>
  <c r="B34" i="19"/>
  <c r="K30" i="22"/>
  <c r="L29" i="22"/>
  <c r="K29" i="20"/>
  <c r="L28" i="20"/>
  <c r="H24" i="19"/>
  <c r="I24" i="19" s="1"/>
  <c r="F24" i="19"/>
  <c r="B40" i="13"/>
  <c r="A41" i="13"/>
  <c r="D23" i="13"/>
  <c r="I23" i="13"/>
  <c r="J23" i="13" s="1"/>
  <c r="F23" i="13"/>
  <c r="E24" i="13" s="1"/>
  <c r="G23" i="13"/>
  <c r="H23" i="13" s="1"/>
  <c r="K23" i="13" s="1"/>
  <c r="C33" i="14"/>
  <c r="A34" i="14"/>
  <c r="B33" i="14"/>
  <c r="F31" i="11"/>
  <c r="D32" i="11" s="1"/>
  <c r="G31" i="11"/>
  <c r="E13" i="1"/>
  <c r="F13" i="1"/>
  <c r="J24" i="19" l="1"/>
  <c r="G24" i="19"/>
  <c r="K30" i="20"/>
  <c r="L30" i="20" s="1"/>
  <c r="L29" i="20"/>
  <c r="B35" i="19"/>
  <c r="A36" i="19"/>
  <c r="C35" i="19"/>
  <c r="B40" i="20"/>
  <c r="G39" i="20"/>
  <c r="D40" i="20" s="1"/>
  <c r="E40" i="20" s="1"/>
  <c r="K31" i="22"/>
  <c r="L30" i="22"/>
  <c r="E20" i="18"/>
  <c r="B21" i="18" s="1"/>
  <c r="H20" i="18"/>
  <c r="F24" i="13"/>
  <c r="E25" i="13" s="1"/>
  <c r="G24" i="13"/>
  <c r="H24" i="13" s="1"/>
  <c r="K24" i="13" s="1"/>
  <c r="D24" i="13"/>
  <c r="I24" i="13"/>
  <c r="J24" i="13" s="1"/>
  <c r="A42" i="13"/>
  <c r="B41" i="13"/>
  <c r="A35" i="14"/>
  <c r="B34" i="14"/>
  <c r="C34" i="14"/>
  <c r="B32" i="11"/>
  <c r="A14" i="1"/>
  <c r="C14" i="1"/>
  <c r="G13" i="1"/>
  <c r="D14" i="1"/>
  <c r="B14" i="1"/>
  <c r="C21" i="18" l="1"/>
  <c r="F40" i="20"/>
  <c r="H40" i="20" s="1"/>
  <c r="C40" i="20"/>
  <c r="F21" i="18"/>
  <c r="G21" i="18" s="1"/>
  <c r="K32" i="22"/>
  <c r="L31" i="22"/>
  <c r="C36" i="19"/>
  <c r="B36" i="19"/>
  <c r="A37" i="19"/>
  <c r="L24" i="19"/>
  <c r="K24" i="19"/>
  <c r="F25" i="19" s="1"/>
  <c r="D25" i="13"/>
  <c r="I25" i="13"/>
  <c r="J25" i="13" s="1"/>
  <c r="F25" i="13"/>
  <c r="E26" i="13" s="1"/>
  <c r="G25" i="13"/>
  <c r="H25" i="13" s="1"/>
  <c r="K25" i="13" s="1"/>
  <c r="B35" i="14"/>
  <c r="C35" i="14"/>
  <c r="A36" i="14"/>
  <c r="B42" i="13"/>
  <c r="A43" i="13"/>
  <c r="E32" i="11"/>
  <c r="C32" i="11"/>
  <c r="E14" i="1"/>
  <c r="F14" i="1"/>
  <c r="G25" i="19" l="1"/>
  <c r="H25" i="19"/>
  <c r="I25" i="19" s="1"/>
  <c r="G40" i="20"/>
  <c r="D41" i="20" s="1"/>
  <c r="E41" i="20" s="1"/>
  <c r="B41" i="20"/>
  <c r="A38" i="19"/>
  <c r="B37" i="19"/>
  <c r="C37" i="19"/>
  <c r="K33" i="22"/>
  <c r="L32" i="22"/>
  <c r="D21" i="18"/>
  <c r="F26" i="13"/>
  <c r="G26" i="13"/>
  <c r="H26" i="13" s="1"/>
  <c r="D26" i="13"/>
  <c r="I26" i="13"/>
  <c r="J26" i="13" s="1"/>
  <c r="B36" i="14"/>
  <c r="C36" i="14"/>
  <c r="A37" i="14"/>
  <c r="A44" i="13"/>
  <c r="B43" i="13"/>
  <c r="B33" i="11"/>
  <c r="F32" i="11"/>
  <c r="D33" i="11" s="1"/>
  <c r="G32" i="11"/>
  <c r="A15" i="1"/>
  <c r="C15" i="1"/>
  <c r="G14" i="1"/>
  <c r="B15" i="1"/>
  <c r="D15" i="1"/>
  <c r="H21" i="18" l="1"/>
  <c r="E21" i="18"/>
  <c r="C38" i="19"/>
  <c r="A39" i="19"/>
  <c r="B38" i="19"/>
  <c r="K34" i="22"/>
  <c r="L33" i="22"/>
  <c r="C41" i="20"/>
  <c r="F41" i="20"/>
  <c r="H41" i="20" s="1"/>
  <c r="J25" i="19"/>
  <c r="C37" i="14"/>
  <c r="A38" i="14"/>
  <c r="B37" i="14"/>
  <c r="K26" i="13"/>
  <c r="E27" i="13" s="1"/>
  <c r="B44" i="13"/>
  <c r="A45" i="13"/>
  <c r="C33" i="11"/>
  <c r="E33" i="11"/>
  <c r="E15" i="1"/>
  <c r="F15" i="1"/>
  <c r="G41" i="20" l="1"/>
  <c r="D42" i="20" s="1"/>
  <c r="E42" i="20" s="1"/>
  <c r="L25" i="19"/>
  <c r="K25" i="19"/>
  <c r="K35" i="22"/>
  <c r="L34" i="22"/>
  <c r="B39" i="19"/>
  <c r="A40" i="19"/>
  <c r="C39" i="19"/>
  <c r="A46" i="13"/>
  <c r="B45" i="13"/>
  <c r="D27" i="13"/>
  <c r="I27" i="13"/>
  <c r="J27" i="13" s="1"/>
  <c r="F27" i="13"/>
  <c r="E28" i="13" s="1"/>
  <c r="G27" i="13"/>
  <c r="H27" i="13" s="1"/>
  <c r="K27" i="13" s="1"/>
  <c r="A39" i="14"/>
  <c r="B38" i="14"/>
  <c r="C38" i="14"/>
  <c r="F33" i="11"/>
  <c r="D34" i="11" s="1"/>
  <c r="G33" i="11"/>
  <c r="C16" i="1"/>
  <c r="A16" i="1"/>
  <c r="G15" i="1"/>
  <c r="B16" i="1"/>
  <c r="D16" i="1"/>
  <c r="C40" i="19" l="1"/>
  <c r="B40" i="19"/>
  <c r="A41" i="19"/>
  <c r="F26" i="19"/>
  <c r="H26" i="19"/>
  <c r="I26" i="19" s="1"/>
  <c r="K36" i="22"/>
  <c r="L35" i="22"/>
  <c r="B42" i="20"/>
  <c r="F28" i="13"/>
  <c r="G28" i="13"/>
  <c r="H28" i="13" s="1"/>
  <c r="D28" i="13"/>
  <c r="I28" i="13"/>
  <c r="J28" i="13" s="1"/>
  <c r="B46" i="13"/>
  <c r="A47" i="13"/>
  <c r="B39" i="14"/>
  <c r="C39" i="14"/>
  <c r="A40" i="14"/>
  <c r="B34" i="11"/>
  <c r="E16" i="1"/>
  <c r="F16" i="1"/>
  <c r="F42" i="20" l="1"/>
  <c r="H42" i="20" s="1"/>
  <c r="C42" i="20"/>
  <c r="J26" i="19"/>
  <c r="G26" i="19"/>
  <c r="A42" i="19"/>
  <c r="B41" i="19"/>
  <c r="C41" i="19"/>
  <c r="K37" i="22"/>
  <c r="L36" i="22"/>
  <c r="A48" i="13"/>
  <c r="B47" i="13"/>
  <c r="B40" i="14"/>
  <c r="C40" i="14"/>
  <c r="A41" i="14"/>
  <c r="K28" i="13"/>
  <c r="E29" i="13" s="1"/>
  <c r="E34" i="11"/>
  <c r="C34" i="11"/>
  <c r="A17" i="1"/>
  <c r="C17" i="1"/>
  <c r="G16" i="1"/>
  <c r="D17" i="1"/>
  <c r="B17" i="1"/>
  <c r="C42" i="19" l="1"/>
  <c r="A43" i="19"/>
  <c r="B42" i="19"/>
  <c r="K38" i="22"/>
  <c r="L37" i="22"/>
  <c r="L26" i="19"/>
  <c r="K26" i="19"/>
  <c r="G42" i="20"/>
  <c r="D43" i="20" s="1"/>
  <c r="E43" i="20" s="1"/>
  <c r="D29" i="13"/>
  <c r="I29" i="13"/>
  <c r="J29" i="13" s="1"/>
  <c r="F29" i="13"/>
  <c r="G29" i="13"/>
  <c r="H29" i="13" s="1"/>
  <c r="C41" i="14"/>
  <c r="A42" i="14"/>
  <c r="B41" i="14"/>
  <c r="B48" i="13"/>
  <c r="A49" i="13"/>
  <c r="B35" i="11"/>
  <c r="F34" i="11"/>
  <c r="D35" i="11" s="1"/>
  <c r="G34" i="11"/>
  <c r="E17" i="1"/>
  <c r="F17" i="1"/>
  <c r="B43" i="20" l="1"/>
  <c r="K39" i="22"/>
  <c r="L38" i="22"/>
  <c r="B43" i="19"/>
  <c r="A44" i="19"/>
  <c r="C43" i="19"/>
  <c r="B49" i="13"/>
  <c r="A50" i="13"/>
  <c r="K29" i="13"/>
  <c r="E30" i="13" s="1"/>
  <c r="A43" i="14"/>
  <c r="B42" i="14"/>
  <c r="C42" i="14"/>
  <c r="C35" i="11"/>
  <c r="E35" i="11"/>
  <c r="C18" i="1"/>
  <c r="A18" i="1"/>
  <c r="G17" i="1"/>
  <c r="D18" i="1"/>
  <c r="B18" i="1"/>
  <c r="K40" i="22" l="1"/>
  <c r="L39" i="22"/>
  <c r="C44" i="19"/>
  <c r="B44" i="19"/>
  <c r="A45" i="19"/>
  <c r="C43" i="20"/>
  <c r="F43" i="20"/>
  <c r="H43" i="20" s="1"/>
  <c r="B43" i="14"/>
  <c r="C43" i="14"/>
  <c r="A44" i="14"/>
  <c r="B50" i="13"/>
  <c r="A51" i="13"/>
  <c r="F30" i="13"/>
  <c r="G30" i="13"/>
  <c r="H30" i="13" s="1"/>
  <c r="D30" i="13"/>
  <c r="I30" i="13"/>
  <c r="J30" i="13" s="1"/>
  <c r="F35" i="11"/>
  <c r="D36" i="11" s="1"/>
  <c r="G35" i="11"/>
  <c r="E18" i="1"/>
  <c r="F18" i="1"/>
  <c r="A46" i="19" l="1"/>
  <c r="B45" i="19"/>
  <c r="C45" i="19"/>
  <c r="K41" i="22"/>
  <c r="L40" i="22"/>
  <c r="G43" i="20"/>
  <c r="D44" i="20" s="1"/>
  <c r="E44" i="20" s="1"/>
  <c r="A52" i="13"/>
  <c r="B51" i="13"/>
  <c r="K30" i="13"/>
  <c r="E31" i="13" s="1"/>
  <c r="B44" i="14"/>
  <c r="C44" i="14"/>
  <c r="A45" i="14"/>
  <c r="B36" i="11"/>
  <c r="C19" i="1"/>
  <c r="A19" i="1"/>
  <c r="G18" i="1"/>
  <c r="B19" i="1"/>
  <c r="D19" i="1"/>
  <c r="C46" i="19" l="1"/>
  <c r="A47" i="19"/>
  <c r="B46" i="19"/>
  <c r="K42" i="22"/>
  <c r="L41" i="22"/>
  <c r="B44" i="20"/>
  <c r="D31" i="13"/>
  <c r="I31" i="13"/>
  <c r="J31" i="13" s="1"/>
  <c r="F31" i="13"/>
  <c r="G31" i="13"/>
  <c r="H31" i="13" s="1"/>
  <c r="C45" i="14"/>
  <c r="A46" i="14"/>
  <c r="B45" i="14"/>
  <c r="B52" i="13"/>
  <c r="A53" i="13"/>
  <c r="E36" i="11"/>
  <c r="C36" i="11"/>
  <c r="E19" i="1"/>
  <c r="F19" i="1"/>
  <c r="K43" i="22" l="1"/>
  <c r="L42" i="22"/>
  <c r="F44" i="20"/>
  <c r="H44" i="20" s="1"/>
  <c r="C44" i="20"/>
  <c r="G44" i="20" s="1"/>
  <c r="B47" i="19"/>
  <c r="A48" i="19"/>
  <c r="C47" i="19"/>
  <c r="K31" i="13"/>
  <c r="E32" i="13" s="1"/>
  <c r="A54" i="13"/>
  <c r="B53" i="13"/>
  <c r="A47" i="14"/>
  <c r="B46" i="14"/>
  <c r="C46" i="14"/>
  <c r="G36" i="11"/>
  <c r="F36" i="11"/>
  <c r="D37" i="11" s="1"/>
  <c r="G19" i="1"/>
  <c r="C48" i="19" l="1"/>
  <c r="B48" i="19"/>
  <c r="A49" i="19"/>
  <c r="K44" i="22"/>
  <c r="L43" i="22"/>
  <c r="B47" i="14"/>
  <c r="C47" i="14"/>
  <c r="A48" i="14"/>
  <c r="B54" i="13"/>
  <c r="A55" i="13"/>
  <c r="F32" i="13"/>
  <c r="G32" i="13"/>
  <c r="H32" i="13" s="1"/>
  <c r="K32" i="13" s="1"/>
  <c r="E33" i="13" s="1"/>
  <c r="D32" i="13"/>
  <c r="I32" i="13"/>
  <c r="J32" i="13" s="1"/>
  <c r="B37" i="11"/>
  <c r="K45" i="22" l="1"/>
  <c r="L44" i="22"/>
  <c r="A50" i="19"/>
  <c r="B49" i="19"/>
  <c r="C49" i="19"/>
  <c r="D33" i="13"/>
  <c r="I33" i="13"/>
  <c r="J33" i="13" s="1"/>
  <c r="F33" i="13"/>
  <c r="E34" i="13" s="1"/>
  <c r="G33" i="13"/>
  <c r="H33" i="13" s="1"/>
  <c r="K33" i="13" s="1"/>
  <c r="B48" i="14"/>
  <c r="C48" i="14"/>
  <c r="A49" i="14"/>
  <c r="A56" i="13"/>
  <c r="B55" i="13"/>
  <c r="C37" i="11"/>
  <c r="E37" i="11"/>
  <c r="C50" i="19" l="1"/>
  <c r="A51" i="19"/>
  <c r="B50" i="19"/>
  <c r="K46" i="22"/>
  <c r="L45" i="22"/>
  <c r="F34" i="13"/>
  <c r="G34" i="13"/>
  <c r="H34" i="13" s="1"/>
  <c r="D34" i="13"/>
  <c r="I34" i="13"/>
  <c r="J34" i="13" s="1"/>
  <c r="C49" i="14"/>
  <c r="A50" i="14"/>
  <c r="B49" i="14"/>
  <c r="B56" i="13"/>
  <c r="A57" i="13"/>
  <c r="F37" i="11"/>
  <c r="D38" i="11" s="1"/>
  <c r="G37" i="11"/>
  <c r="K47" i="22" l="1"/>
  <c r="L46" i="22"/>
  <c r="B51" i="19"/>
  <c r="A52" i="19"/>
  <c r="C51" i="19"/>
  <c r="A51" i="14"/>
  <c r="B50" i="14"/>
  <c r="C50" i="14"/>
  <c r="K34" i="13"/>
  <c r="E35" i="13" s="1"/>
  <c r="A58" i="13"/>
  <c r="B57" i="13"/>
  <c r="B38" i="11"/>
  <c r="C52" i="19" l="1"/>
  <c r="B52" i="19"/>
  <c r="A53" i="19"/>
  <c r="K48" i="22"/>
  <c r="L47" i="22"/>
  <c r="D35" i="13"/>
  <c r="I35" i="13"/>
  <c r="J35" i="13" s="1"/>
  <c r="F35" i="13"/>
  <c r="E36" i="13" s="1"/>
  <c r="G35" i="13"/>
  <c r="H35" i="13" s="1"/>
  <c r="K35" i="13" s="1"/>
  <c r="B58" i="13"/>
  <c r="A59" i="13"/>
  <c r="B51" i="14"/>
  <c r="C51" i="14"/>
  <c r="A52" i="14"/>
  <c r="E38" i="11"/>
  <c r="C38" i="11"/>
  <c r="K49" i="22" l="1"/>
  <c r="L48" i="22"/>
  <c r="A54" i="19"/>
  <c r="B53" i="19"/>
  <c r="C53" i="19"/>
  <c r="F36" i="13"/>
  <c r="G36" i="13"/>
  <c r="H36" i="13" s="1"/>
  <c r="D36" i="13"/>
  <c r="I36" i="13"/>
  <c r="J36" i="13" s="1"/>
  <c r="A60" i="13"/>
  <c r="B59" i="13"/>
  <c r="B52" i="14"/>
  <c r="C52" i="14"/>
  <c r="A53" i="14"/>
  <c r="G38" i="11"/>
  <c r="F38" i="11"/>
  <c r="D39" i="11" s="1"/>
  <c r="C54" i="19" l="1"/>
  <c r="A55" i="19"/>
  <c r="B54" i="19"/>
  <c r="K50" i="22"/>
  <c r="L49" i="22"/>
  <c r="C53" i="14"/>
  <c r="A54" i="14"/>
  <c r="B53" i="14"/>
  <c r="B60" i="13"/>
  <c r="A61" i="13"/>
  <c r="K36" i="13"/>
  <c r="E37" i="13" s="1"/>
  <c r="B39" i="11"/>
  <c r="K51" i="22" l="1"/>
  <c r="L50" i="22"/>
  <c r="B55" i="19"/>
  <c r="A56" i="19"/>
  <c r="C55" i="19"/>
  <c r="D37" i="13"/>
  <c r="I37" i="13"/>
  <c r="J37" i="13" s="1"/>
  <c r="F37" i="13"/>
  <c r="E38" i="13" s="1"/>
  <c r="G37" i="13"/>
  <c r="H37" i="13" s="1"/>
  <c r="K37" i="13" s="1"/>
  <c r="A55" i="14"/>
  <c r="B54" i="14"/>
  <c r="C54" i="14"/>
  <c r="A62" i="13"/>
  <c r="B61" i="13"/>
  <c r="C39" i="11"/>
  <c r="E39" i="11"/>
  <c r="C56" i="19" l="1"/>
  <c r="B56" i="19"/>
  <c r="A57" i="19"/>
  <c r="K52" i="22"/>
  <c r="L51" i="22"/>
  <c r="F38" i="13"/>
  <c r="G38" i="13"/>
  <c r="H38" i="13" s="1"/>
  <c r="D38" i="13"/>
  <c r="I38" i="13"/>
  <c r="J38" i="13" s="1"/>
  <c r="B55" i="14"/>
  <c r="C55" i="14"/>
  <c r="A56" i="14"/>
  <c r="B62" i="13"/>
  <c r="A63" i="13"/>
  <c r="F39" i="11"/>
  <c r="D40" i="11" s="1"/>
  <c r="G39" i="11"/>
  <c r="K53" i="22" l="1"/>
  <c r="L52" i="22"/>
  <c r="A58" i="19"/>
  <c r="B57" i="19"/>
  <c r="C57" i="19"/>
  <c r="B56" i="14"/>
  <c r="C56" i="14"/>
  <c r="A57" i="14"/>
  <c r="K38" i="13"/>
  <c r="E39" i="13" s="1"/>
  <c r="A64" i="13"/>
  <c r="B63" i="13"/>
  <c r="B40" i="11"/>
  <c r="C58" i="19" l="1"/>
  <c r="A59" i="19"/>
  <c r="B58" i="19"/>
  <c r="K54" i="22"/>
  <c r="L53" i="22"/>
  <c r="D39" i="13"/>
  <c r="I39" i="13"/>
  <c r="J39" i="13" s="1"/>
  <c r="F39" i="13"/>
  <c r="E40" i="13" s="1"/>
  <c r="G39" i="13"/>
  <c r="H39" i="13" s="1"/>
  <c r="K39" i="13" s="1"/>
  <c r="B64" i="13"/>
  <c r="A65" i="13"/>
  <c r="C57" i="14"/>
  <c r="A58" i="14"/>
  <c r="B57" i="14"/>
  <c r="E40" i="11"/>
  <c r="C40" i="11"/>
  <c r="K55" i="22" l="1"/>
  <c r="L54" i="22"/>
  <c r="B59" i="19"/>
  <c r="A60" i="19"/>
  <c r="C59" i="19"/>
  <c r="F40" i="13"/>
  <c r="G40" i="13"/>
  <c r="H40" i="13" s="1"/>
  <c r="K40" i="13" s="1"/>
  <c r="E41" i="13" s="1"/>
  <c r="D40" i="13"/>
  <c r="I40" i="13"/>
  <c r="J40" i="13" s="1"/>
  <c r="A66" i="13"/>
  <c r="B65" i="13"/>
  <c r="A59" i="14"/>
  <c r="B58" i="14"/>
  <c r="C58" i="14"/>
  <c r="B41" i="11"/>
  <c r="F40" i="11"/>
  <c r="D41" i="11" s="1"/>
  <c r="G40" i="11"/>
  <c r="C60" i="19" l="1"/>
  <c r="B60" i="19"/>
  <c r="A61" i="19"/>
  <c r="K56" i="22"/>
  <c r="L55" i="22"/>
  <c r="D41" i="13"/>
  <c r="I41" i="13"/>
  <c r="J41" i="13" s="1"/>
  <c r="F41" i="13"/>
  <c r="E42" i="13" s="1"/>
  <c r="G41" i="13"/>
  <c r="H41" i="13" s="1"/>
  <c r="K41" i="13" s="1"/>
  <c r="B59" i="14"/>
  <c r="C59" i="14"/>
  <c r="A60" i="14"/>
  <c r="B66" i="13"/>
  <c r="A67" i="13"/>
  <c r="C41" i="11"/>
  <c r="E41" i="11"/>
  <c r="K57" i="22" l="1"/>
  <c r="L56" i="22"/>
  <c r="A62" i="19"/>
  <c r="B61" i="19"/>
  <c r="C61" i="19"/>
  <c r="F42" i="13"/>
  <c r="G42" i="13"/>
  <c r="H42" i="13" s="1"/>
  <c r="D42" i="13"/>
  <c r="I42" i="13"/>
  <c r="J42" i="13" s="1"/>
  <c r="B60" i="14"/>
  <c r="C60" i="14"/>
  <c r="A61" i="14"/>
  <c r="A68" i="13"/>
  <c r="B67" i="13"/>
  <c r="F41" i="11"/>
  <c r="D42" i="11" s="1"/>
  <c r="G41" i="11"/>
  <c r="C62" i="19" l="1"/>
  <c r="A63" i="19"/>
  <c r="B62" i="19"/>
  <c r="K58" i="22"/>
  <c r="L57" i="22"/>
  <c r="C61" i="14"/>
  <c r="A62" i="14"/>
  <c r="B61" i="14"/>
  <c r="K42" i="13"/>
  <c r="E43" i="13" s="1"/>
  <c r="B68" i="13"/>
  <c r="A69" i="13"/>
  <c r="B42" i="11"/>
  <c r="B63" i="19" l="1"/>
  <c r="A64" i="19"/>
  <c r="C63" i="19"/>
  <c r="K59" i="22"/>
  <c r="L58" i="22"/>
  <c r="D43" i="13"/>
  <c r="I43" i="13"/>
  <c r="J43" i="13" s="1"/>
  <c r="F43" i="13"/>
  <c r="E44" i="13" s="1"/>
  <c r="G43" i="13"/>
  <c r="H43" i="13" s="1"/>
  <c r="K43" i="13" s="1"/>
  <c r="A70" i="13"/>
  <c r="B69" i="13"/>
  <c r="A63" i="14"/>
  <c r="B62" i="14"/>
  <c r="C62" i="14"/>
  <c r="E42" i="11"/>
  <c r="C42" i="11"/>
  <c r="C64" i="19" l="1"/>
  <c r="B64" i="19"/>
  <c r="A65" i="19"/>
  <c r="K60" i="22"/>
  <c r="L59" i="22"/>
  <c r="F44" i="13"/>
  <c r="G44" i="13"/>
  <c r="H44" i="13" s="1"/>
  <c r="D44" i="13"/>
  <c r="I44" i="13"/>
  <c r="J44" i="13" s="1"/>
  <c r="B63" i="14"/>
  <c r="C63" i="14"/>
  <c r="A64" i="14"/>
  <c r="B70" i="13"/>
  <c r="A71" i="13"/>
  <c r="B43" i="11"/>
  <c r="F42" i="11"/>
  <c r="D43" i="11" s="1"/>
  <c r="G42" i="11"/>
  <c r="K61" i="22" l="1"/>
  <c r="L60" i="22"/>
  <c r="A66" i="19"/>
  <c r="B65" i="19"/>
  <c r="C65" i="19"/>
  <c r="A72" i="13"/>
  <c r="B71" i="13"/>
  <c r="B64" i="14"/>
  <c r="C64" i="14"/>
  <c r="A65" i="14"/>
  <c r="K44" i="13"/>
  <c r="E45" i="13" s="1"/>
  <c r="C43" i="11"/>
  <c r="E43" i="11"/>
  <c r="C66" i="19" l="1"/>
  <c r="A67" i="19"/>
  <c r="B66" i="19"/>
  <c r="K62" i="22"/>
  <c r="L61" i="22"/>
  <c r="D45" i="13"/>
  <c r="I45" i="13"/>
  <c r="J45" i="13" s="1"/>
  <c r="F45" i="13"/>
  <c r="E46" i="13" s="1"/>
  <c r="G45" i="13"/>
  <c r="H45" i="13" s="1"/>
  <c r="K45" i="13" s="1"/>
  <c r="C65" i="14"/>
  <c r="A66" i="14"/>
  <c r="B65" i="14"/>
  <c r="B72" i="13"/>
  <c r="A73" i="13"/>
  <c r="F43" i="11"/>
  <c r="D44" i="11" s="1"/>
  <c r="G43" i="11"/>
  <c r="K63" i="22" l="1"/>
  <c r="L62" i="22"/>
  <c r="C67" i="19"/>
  <c r="B67" i="19"/>
  <c r="A68" i="19"/>
  <c r="F46" i="13"/>
  <c r="G46" i="13"/>
  <c r="H46" i="13" s="1"/>
  <c r="K46" i="13" s="1"/>
  <c r="E47" i="13" s="1"/>
  <c r="D46" i="13"/>
  <c r="I46" i="13"/>
  <c r="J46" i="13" s="1"/>
  <c r="A67" i="14"/>
  <c r="B66" i="14"/>
  <c r="C66" i="14"/>
  <c r="A74" i="13"/>
  <c r="B73" i="13"/>
  <c r="B44" i="11"/>
  <c r="B68" i="19" l="1"/>
  <c r="A69" i="19"/>
  <c r="C68" i="19"/>
  <c r="K64" i="22"/>
  <c r="L63" i="22"/>
  <c r="D47" i="13"/>
  <c r="I47" i="13"/>
  <c r="J47" i="13" s="1"/>
  <c r="F47" i="13"/>
  <c r="E48" i="13" s="1"/>
  <c r="G47" i="13"/>
  <c r="H47" i="13" s="1"/>
  <c r="K47" i="13" s="1"/>
  <c r="B67" i="14"/>
  <c r="C67" i="14"/>
  <c r="A68" i="14"/>
  <c r="B74" i="13"/>
  <c r="A75" i="13"/>
  <c r="E44" i="11"/>
  <c r="C44" i="11"/>
  <c r="C69" i="19" l="1"/>
  <c r="A70" i="19"/>
  <c r="B69" i="19"/>
  <c r="K65" i="22"/>
  <c r="L64" i="22"/>
  <c r="F48" i="13"/>
  <c r="G48" i="13"/>
  <c r="H48" i="13" s="1"/>
  <c r="K48" i="13" s="1"/>
  <c r="E49" i="13" s="1"/>
  <c r="D48" i="13"/>
  <c r="I48" i="13"/>
  <c r="J48" i="13" s="1"/>
  <c r="B68" i="14"/>
  <c r="C68" i="14"/>
  <c r="A69" i="14"/>
  <c r="A76" i="13"/>
  <c r="B75" i="13"/>
  <c r="B45" i="11"/>
  <c r="F44" i="11"/>
  <c r="D45" i="11" s="1"/>
  <c r="G44" i="11"/>
  <c r="K66" i="22" l="1"/>
  <c r="L65" i="22"/>
  <c r="A71" i="19"/>
  <c r="B70" i="19"/>
  <c r="C70" i="19"/>
  <c r="D49" i="13"/>
  <c r="I49" i="13"/>
  <c r="J49" i="13" s="1"/>
  <c r="F49" i="13"/>
  <c r="E50" i="13" s="1"/>
  <c r="G49" i="13"/>
  <c r="H49" i="13" s="1"/>
  <c r="K49" i="13" s="1"/>
  <c r="C69" i="14"/>
  <c r="A70" i="14"/>
  <c r="B69" i="14"/>
  <c r="B76" i="13"/>
  <c r="A77" i="13"/>
  <c r="C45" i="11"/>
  <c r="E45" i="11"/>
  <c r="C71" i="19" l="1"/>
  <c r="B71" i="19"/>
  <c r="A72" i="19"/>
  <c r="K67" i="22"/>
  <c r="L66" i="22"/>
  <c r="F50" i="13"/>
  <c r="G50" i="13"/>
  <c r="H50" i="13" s="1"/>
  <c r="K50" i="13" s="1"/>
  <c r="E51" i="13" s="1"/>
  <c r="D50" i="13"/>
  <c r="I50" i="13"/>
  <c r="J50" i="13" s="1"/>
  <c r="A71" i="14"/>
  <c r="B70" i="14"/>
  <c r="C70" i="14"/>
  <c r="A78" i="13"/>
  <c r="B77" i="13"/>
  <c r="F45" i="11"/>
  <c r="D46" i="11" s="1"/>
  <c r="G45" i="11"/>
  <c r="K68" i="22" l="1"/>
  <c r="L68" i="22" s="1"/>
  <c r="L67" i="22"/>
  <c r="B72" i="19"/>
  <c r="A73" i="19"/>
  <c r="C72" i="19"/>
  <c r="D51" i="13"/>
  <c r="I51" i="13"/>
  <c r="J51" i="13" s="1"/>
  <c r="F51" i="13"/>
  <c r="E52" i="13" s="1"/>
  <c r="G51" i="13"/>
  <c r="H51" i="13" s="1"/>
  <c r="K51" i="13" s="1"/>
  <c r="B71" i="14"/>
  <c r="C71" i="14"/>
  <c r="A72" i="14"/>
  <c r="B78" i="13"/>
  <c r="A79" i="13"/>
  <c r="B46" i="11"/>
  <c r="C73" i="19" l="1"/>
  <c r="A74" i="19"/>
  <c r="B73" i="19"/>
  <c r="F52" i="13"/>
  <c r="G52" i="13"/>
  <c r="H52" i="13" s="1"/>
  <c r="D52" i="13"/>
  <c r="I52" i="13"/>
  <c r="J52" i="13" s="1"/>
  <c r="B72" i="14"/>
  <c r="C72" i="14"/>
  <c r="A73" i="14"/>
  <c r="A80" i="13"/>
  <c r="B79" i="13"/>
  <c r="E46" i="11"/>
  <c r="C46" i="11"/>
  <c r="A75" i="19" l="1"/>
  <c r="B74" i="19"/>
  <c r="C74" i="19"/>
  <c r="C73" i="14"/>
  <c r="A74" i="14"/>
  <c r="B73" i="14"/>
  <c r="K52" i="13"/>
  <c r="E53" i="13" s="1"/>
  <c r="B80" i="13"/>
  <c r="A81" i="13"/>
  <c r="G46" i="11"/>
  <c r="F46" i="11"/>
  <c r="D47" i="11" s="1"/>
  <c r="C75" i="19" l="1"/>
  <c r="B75" i="19"/>
  <c r="A76" i="19"/>
  <c r="D53" i="13"/>
  <c r="I53" i="13"/>
  <c r="J53" i="13" s="1"/>
  <c r="F53" i="13"/>
  <c r="E54" i="13" s="1"/>
  <c r="G53" i="13"/>
  <c r="H53" i="13" s="1"/>
  <c r="K53" i="13" s="1"/>
  <c r="A82" i="13"/>
  <c r="B81" i="13"/>
  <c r="A75" i="14"/>
  <c r="B74" i="14"/>
  <c r="C74" i="14"/>
  <c r="B47" i="11"/>
  <c r="B76" i="19" l="1"/>
  <c r="A77" i="19"/>
  <c r="C76" i="19"/>
  <c r="F54" i="13"/>
  <c r="G54" i="13"/>
  <c r="H54" i="13" s="1"/>
  <c r="D54" i="13"/>
  <c r="I54" i="13"/>
  <c r="J54" i="13" s="1"/>
  <c r="B75" i="14"/>
  <c r="C75" i="14"/>
  <c r="A76" i="14"/>
  <c r="B82" i="13"/>
  <c r="A83" i="13"/>
  <c r="C47" i="11"/>
  <c r="E47" i="11"/>
  <c r="C77" i="19" l="1"/>
  <c r="A78" i="19"/>
  <c r="B77" i="19"/>
  <c r="B76" i="14"/>
  <c r="C76" i="14"/>
  <c r="A77" i="14"/>
  <c r="K54" i="13"/>
  <c r="E55" i="13" s="1"/>
  <c r="A84" i="13"/>
  <c r="B83" i="13"/>
  <c r="F47" i="11"/>
  <c r="D48" i="11" s="1"/>
  <c r="G47" i="11"/>
  <c r="A79" i="19" l="1"/>
  <c r="B78" i="19"/>
  <c r="C78" i="19"/>
  <c r="D55" i="13"/>
  <c r="I55" i="13"/>
  <c r="J55" i="13" s="1"/>
  <c r="F55" i="13"/>
  <c r="E56" i="13" s="1"/>
  <c r="G55" i="13"/>
  <c r="H55" i="13" s="1"/>
  <c r="K55" i="13" s="1"/>
  <c r="B84" i="13"/>
  <c r="A85" i="13"/>
  <c r="C77" i="14"/>
  <c r="A78" i="14"/>
  <c r="B77" i="14"/>
  <c r="B48" i="11"/>
  <c r="C79" i="19" l="1"/>
  <c r="B79" i="19"/>
  <c r="A80" i="19"/>
  <c r="F56" i="13"/>
  <c r="G56" i="13"/>
  <c r="H56" i="13" s="1"/>
  <c r="K56" i="13" s="1"/>
  <c r="E57" i="13" s="1"/>
  <c r="D56" i="13"/>
  <c r="I56" i="13"/>
  <c r="J56" i="13" s="1"/>
  <c r="A86" i="13"/>
  <c r="B85" i="13"/>
  <c r="A79" i="14"/>
  <c r="B78" i="14"/>
  <c r="C78" i="14"/>
  <c r="E48" i="11"/>
  <c r="C48" i="11"/>
  <c r="B80" i="19" l="1"/>
  <c r="A81" i="19"/>
  <c r="C80" i="19"/>
  <c r="D57" i="13"/>
  <c r="I57" i="13"/>
  <c r="J57" i="13" s="1"/>
  <c r="F57" i="13"/>
  <c r="E58" i="13" s="1"/>
  <c r="G57" i="13"/>
  <c r="H57" i="13" s="1"/>
  <c r="K57" i="13" s="1"/>
  <c r="B79" i="14"/>
  <c r="C79" i="14"/>
  <c r="A80" i="14"/>
  <c r="B86" i="13"/>
  <c r="A87" i="13"/>
  <c r="B49" i="11"/>
  <c r="F48" i="11"/>
  <c r="D49" i="11" s="1"/>
  <c r="G48" i="11"/>
  <c r="C81" i="19" l="1"/>
  <c r="A82" i="19"/>
  <c r="B81" i="19"/>
  <c r="F58" i="13"/>
  <c r="G58" i="13"/>
  <c r="H58" i="13" s="1"/>
  <c r="D58" i="13"/>
  <c r="I58" i="13"/>
  <c r="J58" i="13" s="1"/>
  <c r="B80" i="14"/>
  <c r="C80" i="14"/>
  <c r="A81" i="14"/>
  <c r="A88" i="13"/>
  <c r="B87" i="13"/>
  <c r="C49" i="11"/>
  <c r="E49" i="11"/>
  <c r="A83" i="19" l="1"/>
  <c r="B82" i="19"/>
  <c r="C82" i="19"/>
  <c r="C81" i="14"/>
  <c r="A82" i="14"/>
  <c r="B81" i="14"/>
  <c r="K58" i="13"/>
  <c r="E59" i="13" s="1"/>
  <c r="B88" i="13"/>
  <c r="A89" i="13"/>
  <c r="F49" i="11"/>
  <c r="D50" i="11" s="1"/>
  <c r="G49" i="11"/>
  <c r="C83" i="19" l="1"/>
  <c r="B83" i="19"/>
  <c r="A84" i="19"/>
  <c r="D59" i="13"/>
  <c r="I59" i="13"/>
  <c r="J59" i="13" s="1"/>
  <c r="F59" i="13"/>
  <c r="E60" i="13" s="1"/>
  <c r="G59" i="13"/>
  <c r="H59" i="13" s="1"/>
  <c r="K59" i="13" s="1"/>
  <c r="A90" i="13"/>
  <c r="B89" i="13"/>
  <c r="A83" i="14"/>
  <c r="B82" i="14"/>
  <c r="C82" i="14"/>
  <c r="B50" i="11"/>
  <c r="B84" i="19" l="1"/>
  <c r="A85" i="19"/>
  <c r="C84" i="19"/>
  <c r="F60" i="13"/>
  <c r="G60" i="13"/>
  <c r="H60" i="13" s="1"/>
  <c r="K60" i="13" s="1"/>
  <c r="E61" i="13" s="1"/>
  <c r="D60" i="13"/>
  <c r="I60" i="13"/>
  <c r="J60" i="13" s="1"/>
  <c r="B83" i="14"/>
  <c r="C83" i="14"/>
  <c r="A84" i="14"/>
  <c r="B90" i="13"/>
  <c r="A91" i="13"/>
  <c r="E50" i="11"/>
  <c r="C50" i="11"/>
  <c r="C85" i="19" l="1"/>
  <c r="A86" i="19"/>
  <c r="B85" i="19"/>
  <c r="D61" i="13"/>
  <c r="I61" i="13"/>
  <c r="J61" i="13" s="1"/>
  <c r="F61" i="13"/>
  <c r="E62" i="13" s="1"/>
  <c r="G61" i="13"/>
  <c r="H61" i="13" s="1"/>
  <c r="K61" i="13" s="1"/>
  <c r="A92" i="13"/>
  <c r="B91" i="13"/>
  <c r="B84" i="14"/>
  <c r="C84" i="14"/>
  <c r="A85" i="14"/>
  <c r="B51" i="11"/>
  <c r="F50" i="11"/>
  <c r="D51" i="11" s="1"/>
  <c r="G50" i="11"/>
  <c r="A87" i="19" l="1"/>
  <c r="B86" i="19"/>
  <c r="C86" i="19"/>
  <c r="F62" i="13"/>
  <c r="G62" i="13"/>
  <c r="H62" i="13" s="1"/>
  <c r="D62" i="13"/>
  <c r="I62" i="13"/>
  <c r="J62" i="13" s="1"/>
  <c r="C85" i="14"/>
  <c r="A86" i="14"/>
  <c r="B85" i="14"/>
  <c r="B92" i="13"/>
  <c r="A93" i="13"/>
  <c r="C51" i="11"/>
  <c r="E51" i="11"/>
  <c r="C87" i="19" l="1"/>
  <c r="B87" i="19"/>
  <c r="A88" i="19"/>
  <c r="A87" i="14"/>
  <c r="B86" i="14"/>
  <c r="C86" i="14"/>
  <c r="K62" i="13"/>
  <c r="E63" i="13" s="1"/>
  <c r="A94" i="13"/>
  <c r="B93" i="13"/>
  <c r="F51" i="11"/>
  <c r="D52" i="11" s="1"/>
  <c r="G51" i="11"/>
  <c r="B88" i="19" l="1"/>
  <c r="A89" i="19"/>
  <c r="C88" i="19"/>
  <c r="D63" i="13"/>
  <c r="I63" i="13"/>
  <c r="J63" i="13" s="1"/>
  <c r="F63" i="13"/>
  <c r="E64" i="13" s="1"/>
  <c r="G63" i="13"/>
  <c r="H63" i="13" s="1"/>
  <c r="K63" i="13" s="1"/>
  <c r="B94" i="13"/>
  <c r="A95" i="13"/>
  <c r="B87" i="14"/>
  <c r="C87" i="14"/>
  <c r="A88" i="14"/>
  <c r="B52" i="11"/>
  <c r="C89" i="19" l="1"/>
  <c r="A90" i="19"/>
  <c r="B89" i="19"/>
  <c r="F64" i="13"/>
  <c r="G64" i="13"/>
  <c r="H64" i="13" s="1"/>
  <c r="D64" i="13"/>
  <c r="I64" i="13"/>
  <c r="J64" i="13" s="1"/>
  <c r="A96" i="13"/>
  <c r="B95" i="13"/>
  <c r="B88" i="14"/>
  <c r="C88" i="14"/>
  <c r="A89" i="14"/>
  <c r="E52" i="11"/>
  <c r="C52" i="11"/>
  <c r="A91" i="19" l="1"/>
  <c r="B90" i="19"/>
  <c r="C90" i="19"/>
  <c r="C89" i="14"/>
  <c r="A90" i="14"/>
  <c r="B89" i="14"/>
  <c r="B96" i="13"/>
  <c r="A97" i="13"/>
  <c r="K64" i="13"/>
  <c r="E65" i="13" s="1"/>
  <c r="B53" i="11"/>
  <c r="F52" i="11"/>
  <c r="D53" i="11" s="1"/>
  <c r="G52" i="11"/>
  <c r="C91" i="19" l="1"/>
  <c r="B91" i="19"/>
  <c r="A92" i="19"/>
  <c r="D65" i="13"/>
  <c r="I65" i="13"/>
  <c r="J65" i="13" s="1"/>
  <c r="F65" i="13"/>
  <c r="E66" i="13" s="1"/>
  <c r="G65" i="13"/>
  <c r="H65" i="13" s="1"/>
  <c r="K65" i="13" s="1"/>
  <c r="A91" i="14"/>
  <c r="B90" i="14"/>
  <c r="C90" i="14"/>
  <c r="A98" i="13"/>
  <c r="B97" i="13"/>
  <c r="C53" i="11"/>
  <c r="E53" i="11"/>
  <c r="B92" i="19" l="1"/>
  <c r="A93" i="19"/>
  <c r="C92" i="19"/>
  <c r="F66" i="13"/>
  <c r="G66" i="13"/>
  <c r="H66" i="13" s="1"/>
  <c r="D66" i="13"/>
  <c r="I66" i="13"/>
  <c r="J66" i="13" s="1"/>
  <c r="B91" i="14"/>
  <c r="C91" i="14"/>
  <c r="A92" i="14"/>
  <c r="B98" i="13"/>
  <c r="A99" i="13"/>
  <c r="F53" i="11"/>
  <c r="D54" i="11" s="1"/>
  <c r="G53" i="11"/>
  <c r="C93" i="19" l="1"/>
  <c r="A94" i="19"/>
  <c r="B93" i="19"/>
  <c r="A100" i="13"/>
  <c r="B99" i="13"/>
  <c r="B92" i="14"/>
  <c r="C92" i="14"/>
  <c r="A93" i="14"/>
  <c r="K66" i="13"/>
  <c r="E67" i="13" s="1"/>
  <c r="B54" i="11"/>
  <c r="A95" i="19" l="1"/>
  <c r="B94" i="19"/>
  <c r="C94" i="19"/>
  <c r="D67" i="13"/>
  <c r="I67" i="13"/>
  <c r="J67" i="13" s="1"/>
  <c r="F67" i="13"/>
  <c r="E68" i="13" s="1"/>
  <c r="G67" i="13"/>
  <c r="H67" i="13" s="1"/>
  <c r="K67" i="13" s="1"/>
  <c r="C93" i="14"/>
  <c r="A94" i="14"/>
  <c r="B93" i="14"/>
  <c r="B100" i="13"/>
  <c r="A101" i="13"/>
  <c r="E54" i="11"/>
  <c r="C54" i="11"/>
  <c r="C95" i="19" l="1"/>
  <c r="B95" i="19"/>
  <c r="A96" i="19"/>
  <c r="F68" i="13"/>
  <c r="G68" i="13"/>
  <c r="H68" i="13" s="1"/>
  <c r="D68" i="13"/>
  <c r="I68" i="13"/>
  <c r="J68" i="13" s="1"/>
  <c r="A95" i="14"/>
  <c r="B94" i="14"/>
  <c r="C94" i="14"/>
  <c r="A102" i="13"/>
  <c r="B101" i="13"/>
  <c r="G54" i="11"/>
  <c r="F54" i="11"/>
  <c r="D55" i="11" s="1"/>
  <c r="B96" i="19" l="1"/>
  <c r="A97" i="19"/>
  <c r="C96" i="19"/>
  <c r="B95" i="14"/>
  <c r="C95" i="14"/>
  <c r="A96" i="14"/>
  <c r="K68" i="13"/>
  <c r="E69" i="13" s="1"/>
  <c r="B102" i="13"/>
  <c r="A103" i="13"/>
  <c r="B55" i="11"/>
  <c r="C97" i="19" l="1"/>
  <c r="A98" i="19"/>
  <c r="B97" i="19"/>
  <c r="D69" i="13"/>
  <c r="I69" i="13"/>
  <c r="J69" i="13" s="1"/>
  <c r="F69" i="13"/>
  <c r="E70" i="13" s="1"/>
  <c r="G69" i="13"/>
  <c r="H69" i="13" s="1"/>
  <c r="K69" i="13" s="1"/>
  <c r="B96" i="14"/>
  <c r="C96" i="14"/>
  <c r="A97" i="14"/>
  <c r="A104" i="13"/>
  <c r="B103" i="13"/>
  <c r="C55" i="11"/>
  <c r="E55" i="11"/>
  <c r="A99" i="19" l="1"/>
  <c r="B98" i="19"/>
  <c r="C98" i="19"/>
  <c r="F70" i="13"/>
  <c r="G70" i="13"/>
  <c r="H70" i="13" s="1"/>
  <c r="K70" i="13" s="1"/>
  <c r="E71" i="13" s="1"/>
  <c r="D70" i="13"/>
  <c r="I70" i="13"/>
  <c r="J70" i="13" s="1"/>
  <c r="C97" i="14"/>
  <c r="A98" i="14"/>
  <c r="B97" i="14"/>
  <c r="B104" i="13"/>
  <c r="A105" i="13"/>
  <c r="F55" i="11"/>
  <c r="G55" i="11"/>
  <c r="C99" i="19" l="1"/>
  <c r="B99" i="19"/>
  <c r="A100" i="19"/>
  <c r="D71" i="13"/>
  <c r="I71" i="13"/>
  <c r="J71" i="13" s="1"/>
  <c r="F71" i="13"/>
  <c r="E72" i="13" s="1"/>
  <c r="G71" i="13"/>
  <c r="H71" i="13" s="1"/>
  <c r="K71" i="13" s="1"/>
  <c r="A99" i="14"/>
  <c r="B98" i="14"/>
  <c r="C98" i="14"/>
  <c r="A106" i="13"/>
  <c r="B105" i="13"/>
  <c r="B100" i="19" l="1"/>
  <c r="A101" i="19"/>
  <c r="C100" i="19"/>
  <c r="F72" i="13"/>
  <c r="G72" i="13"/>
  <c r="H72" i="13" s="1"/>
  <c r="D72" i="13"/>
  <c r="I72" i="13"/>
  <c r="J72" i="13" s="1"/>
  <c r="B99" i="14"/>
  <c r="C99" i="14"/>
  <c r="A100" i="14"/>
  <c r="B106" i="13"/>
  <c r="A107" i="13"/>
  <c r="C101" i="19" l="1"/>
  <c r="A102" i="19"/>
  <c r="B101" i="19"/>
  <c r="B100" i="14"/>
  <c r="C100" i="14"/>
  <c r="A101" i="14"/>
  <c r="K72" i="13"/>
  <c r="E73" i="13" s="1"/>
  <c r="A108" i="13"/>
  <c r="C107" i="13"/>
  <c r="A103" i="19" l="1"/>
  <c r="B102" i="19"/>
  <c r="C102" i="19"/>
  <c r="D73" i="13"/>
  <c r="I73" i="13"/>
  <c r="J73" i="13" s="1"/>
  <c r="F73" i="13"/>
  <c r="E74" i="13" s="1"/>
  <c r="G73" i="13"/>
  <c r="H73" i="13" s="1"/>
  <c r="K73" i="13" s="1"/>
  <c r="C101" i="14"/>
  <c r="A102" i="14"/>
  <c r="B101" i="14"/>
  <c r="B108" i="13"/>
  <c r="A109" i="13"/>
  <c r="C103" i="19" l="1"/>
  <c r="B103" i="19"/>
  <c r="A104" i="19"/>
  <c r="F74" i="13"/>
  <c r="G74" i="13"/>
  <c r="H74" i="13" s="1"/>
  <c r="K74" i="13" s="1"/>
  <c r="E75" i="13" s="1"/>
  <c r="D74" i="13"/>
  <c r="I74" i="13"/>
  <c r="J74" i="13" s="1"/>
  <c r="A103" i="14"/>
  <c r="B102" i="14"/>
  <c r="C102" i="14"/>
  <c r="A110" i="13"/>
  <c r="B109" i="13"/>
  <c r="B104" i="19" l="1"/>
  <c r="A105" i="19"/>
  <c r="C104" i="19"/>
  <c r="D75" i="13"/>
  <c r="I75" i="13"/>
  <c r="J75" i="13" s="1"/>
  <c r="F75" i="13"/>
  <c r="E76" i="13" s="1"/>
  <c r="G75" i="13"/>
  <c r="H75" i="13" s="1"/>
  <c r="K75" i="13" s="1"/>
  <c r="B103" i="14"/>
  <c r="C103" i="14"/>
  <c r="A104" i="14"/>
  <c r="B110" i="13"/>
  <c r="A111" i="13"/>
  <c r="C105" i="19" l="1"/>
  <c r="A106" i="19"/>
  <c r="B105" i="19"/>
  <c r="F76" i="13"/>
  <c r="G76" i="13"/>
  <c r="H76" i="13" s="1"/>
  <c r="D76" i="13"/>
  <c r="I76" i="13"/>
  <c r="J76" i="13" s="1"/>
  <c r="B104" i="14"/>
  <c r="C104" i="14"/>
  <c r="A105" i="14"/>
  <c r="A112" i="13"/>
  <c r="B111" i="13"/>
  <c r="A107" i="19" l="1"/>
  <c r="B106" i="19"/>
  <c r="C106" i="19"/>
  <c r="C105" i="14"/>
  <c r="A106" i="14"/>
  <c r="B105" i="14"/>
  <c r="K76" i="13"/>
  <c r="E77" i="13" s="1"/>
  <c r="B112" i="13"/>
  <c r="A113" i="13"/>
  <c r="C107" i="19" l="1"/>
  <c r="B107" i="19"/>
  <c r="A108" i="19"/>
  <c r="D77" i="13"/>
  <c r="I77" i="13"/>
  <c r="J77" i="13" s="1"/>
  <c r="F77" i="13"/>
  <c r="E78" i="13" s="1"/>
  <c r="G77" i="13"/>
  <c r="H77" i="13" s="1"/>
  <c r="K77" i="13" s="1"/>
  <c r="A114" i="13"/>
  <c r="B113" i="13"/>
  <c r="A107" i="14"/>
  <c r="B106" i="14"/>
  <c r="C106" i="14"/>
  <c r="B108" i="19" l="1"/>
  <c r="A109" i="19"/>
  <c r="C108" i="19"/>
  <c r="F78" i="13"/>
  <c r="G78" i="13"/>
  <c r="H78" i="13" s="1"/>
  <c r="K78" i="13" s="1"/>
  <c r="E79" i="13" s="1"/>
  <c r="D78" i="13"/>
  <c r="I78" i="13"/>
  <c r="J78" i="13" s="1"/>
  <c r="B107" i="14"/>
  <c r="C107" i="14"/>
  <c r="A108" i="14"/>
  <c r="B114" i="13"/>
  <c r="A115" i="13"/>
  <c r="C109" i="19" l="1"/>
  <c r="A110" i="19"/>
  <c r="B109" i="19"/>
  <c r="D79" i="13"/>
  <c r="I79" i="13"/>
  <c r="J79" i="13" s="1"/>
  <c r="F79" i="13"/>
  <c r="E80" i="13" s="1"/>
  <c r="G79" i="13"/>
  <c r="H79" i="13" s="1"/>
  <c r="K79" i="13" s="1"/>
  <c r="B108" i="14"/>
  <c r="C108" i="14"/>
  <c r="A109" i="14"/>
  <c r="A116" i="13"/>
  <c r="B115" i="13"/>
  <c r="A111" i="19" l="1"/>
  <c r="B110" i="19"/>
  <c r="C110" i="19"/>
  <c r="F80" i="13"/>
  <c r="G80" i="13"/>
  <c r="H80" i="13" s="1"/>
  <c r="D80" i="13"/>
  <c r="I80" i="13"/>
  <c r="J80" i="13" s="1"/>
  <c r="C109" i="14"/>
  <c r="A110" i="14"/>
  <c r="B109" i="14"/>
  <c r="B116" i="13"/>
  <c r="A117" i="13"/>
  <c r="C111" i="19" l="1"/>
  <c r="B111" i="19"/>
  <c r="A112" i="19"/>
  <c r="A111" i="14"/>
  <c r="B110" i="14"/>
  <c r="C110" i="14"/>
  <c r="K80" i="13"/>
  <c r="E81" i="13" s="1"/>
  <c r="A118" i="13"/>
  <c r="B117" i="13"/>
  <c r="B112" i="19" l="1"/>
  <c r="A113" i="19"/>
  <c r="C112" i="19"/>
  <c r="D81" i="13"/>
  <c r="I81" i="13"/>
  <c r="J81" i="13" s="1"/>
  <c r="F81" i="13"/>
  <c r="E82" i="13" s="1"/>
  <c r="G81" i="13"/>
  <c r="H81" i="13" s="1"/>
  <c r="K81" i="13" s="1"/>
  <c r="B118" i="13"/>
  <c r="A119" i="13"/>
  <c r="B111" i="14"/>
  <c r="C111" i="14"/>
  <c r="A112" i="14"/>
  <c r="C113" i="19" l="1"/>
  <c r="A114" i="19"/>
  <c r="B113" i="19"/>
  <c r="F82" i="13"/>
  <c r="G82" i="13"/>
  <c r="H82" i="13" s="1"/>
  <c r="K82" i="13" s="1"/>
  <c r="E83" i="13" s="1"/>
  <c r="D82" i="13"/>
  <c r="I82" i="13"/>
  <c r="J82" i="13" s="1"/>
  <c r="A120" i="13"/>
  <c r="B119" i="13"/>
  <c r="B112" i="14"/>
  <c r="C112" i="14"/>
  <c r="A113" i="14"/>
  <c r="A115" i="19" l="1"/>
  <c r="B114" i="19"/>
  <c r="C114" i="19"/>
  <c r="D83" i="13"/>
  <c r="I83" i="13"/>
  <c r="J83" i="13" s="1"/>
  <c r="F83" i="13"/>
  <c r="E84" i="13" s="1"/>
  <c r="G83" i="13"/>
  <c r="H83" i="13" s="1"/>
  <c r="K83" i="13" s="1"/>
  <c r="C113" i="14"/>
  <c r="A114" i="14"/>
  <c r="B113" i="14"/>
  <c r="B120" i="13"/>
  <c r="A121" i="13"/>
  <c r="C115" i="19" l="1"/>
  <c r="B115" i="19"/>
  <c r="A116" i="19"/>
  <c r="F84" i="13"/>
  <c r="G84" i="13"/>
  <c r="H84" i="13" s="1"/>
  <c r="K84" i="13" s="1"/>
  <c r="E85" i="13" s="1"/>
  <c r="D84" i="13"/>
  <c r="I84" i="13"/>
  <c r="J84" i="13" s="1"/>
  <c r="A115" i="14"/>
  <c r="B114" i="14"/>
  <c r="C114" i="14"/>
  <c r="A122" i="13"/>
  <c r="B121" i="13"/>
  <c r="B116" i="19" l="1"/>
  <c r="A117" i="19"/>
  <c r="C116" i="19"/>
  <c r="D85" i="13"/>
  <c r="I85" i="13"/>
  <c r="J85" i="13" s="1"/>
  <c r="F85" i="13"/>
  <c r="E86" i="13" s="1"/>
  <c r="G85" i="13"/>
  <c r="H85" i="13" s="1"/>
  <c r="K85" i="13" s="1"/>
  <c r="B115" i="14"/>
  <c r="C115" i="14"/>
  <c r="A116" i="14"/>
  <c r="B122" i="13"/>
  <c r="A123" i="13"/>
  <c r="C117" i="19" l="1"/>
  <c r="A118" i="19"/>
  <c r="B117" i="19"/>
  <c r="F86" i="13"/>
  <c r="G86" i="13"/>
  <c r="H86" i="13" s="1"/>
  <c r="D86" i="13"/>
  <c r="I86" i="13"/>
  <c r="J86" i="13" s="1"/>
  <c r="B116" i="14"/>
  <c r="C116" i="14"/>
  <c r="A117" i="14"/>
  <c r="A124" i="13"/>
  <c r="B123" i="13"/>
  <c r="A119" i="19" l="1"/>
  <c r="B118" i="19"/>
  <c r="C118" i="19"/>
  <c r="C117" i="14"/>
  <c r="A118" i="14"/>
  <c r="B117" i="14"/>
  <c r="K86" i="13"/>
  <c r="E87" i="13" s="1"/>
  <c r="B124" i="13"/>
  <c r="A125" i="13"/>
  <c r="C119" i="19" l="1"/>
  <c r="B119" i="19"/>
  <c r="A120" i="19"/>
  <c r="D87" i="13"/>
  <c r="I87" i="13"/>
  <c r="J87" i="13" s="1"/>
  <c r="F87" i="13"/>
  <c r="E88" i="13" s="1"/>
  <c r="G87" i="13"/>
  <c r="H87" i="13" s="1"/>
  <c r="K87" i="13" s="1"/>
  <c r="A126" i="13"/>
  <c r="B125" i="13"/>
  <c r="A119" i="14"/>
  <c r="B118" i="14"/>
  <c r="C118" i="14"/>
  <c r="B120" i="19" l="1"/>
  <c r="A121" i="19"/>
  <c r="C120" i="19"/>
  <c r="F88" i="13"/>
  <c r="G88" i="13"/>
  <c r="H88" i="13" s="1"/>
  <c r="K88" i="13" s="1"/>
  <c r="E89" i="13" s="1"/>
  <c r="D88" i="13"/>
  <c r="I88" i="13"/>
  <c r="J88" i="13" s="1"/>
  <c r="B119" i="14"/>
  <c r="C119" i="14"/>
  <c r="A120" i="14"/>
  <c r="B126" i="13"/>
  <c r="A127" i="13"/>
  <c r="C121" i="19" l="1"/>
  <c r="A122" i="19"/>
  <c r="B121" i="19"/>
  <c r="D89" i="13"/>
  <c r="I89" i="13"/>
  <c r="J89" i="13" s="1"/>
  <c r="F89" i="13"/>
  <c r="G89" i="13"/>
  <c r="H89" i="13" s="1"/>
  <c r="K89" i="13" s="1"/>
  <c r="E90" i="13" s="1"/>
  <c r="B120" i="14"/>
  <c r="C120" i="14"/>
  <c r="A121" i="14"/>
  <c r="A128" i="13"/>
  <c r="B127" i="13"/>
  <c r="A123" i="19" l="1"/>
  <c r="B122" i="19"/>
  <c r="C122" i="19"/>
  <c r="F90" i="13"/>
  <c r="G90" i="13"/>
  <c r="H90" i="13" s="1"/>
  <c r="K90" i="13" s="1"/>
  <c r="E91" i="13" s="1"/>
  <c r="D90" i="13"/>
  <c r="I90" i="13"/>
  <c r="J90" i="13" s="1"/>
  <c r="C121" i="14"/>
  <c r="B121" i="14"/>
  <c r="A122" i="14"/>
  <c r="B128" i="13"/>
  <c r="A129" i="13"/>
  <c r="C123" i="19" l="1"/>
  <c r="B123" i="19"/>
  <c r="A124" i="19"/>
  <c r="D91" i="13"/>
  <c r="I91" i="13"/>
  <c r="J91" i="13" s="1"/>
  <c r="F91" i="13"/>
  <c r="E92" i="13" s="1"/>
  <c r="G91" i="13"/>
  <c r="H91" i="13" s="1"/>
  <c r="K91" i="13" s="1"/>
  <c r="C122" i="14"/>
  <c r="A123" i="14"/>
  <c r="B122" i="14"/>
  <c r="A130" i="13"/>
  <c r="B129" i="13"/>
  <c r="B124" i="19" l="1"/>
  <c r="A125" i="19"/>
  <c r="C124" i="19"/>
  <c r="F92" i="13"/>
  <c r="G92" i="13"/>
  <c r="H92" i="13" s="1"/>
  <c r="D92" i="13"/>
  <c r="I92" i="13"/>
  <c r="J92" i="13" s="1"/>
  <c r="A124" i="14"/>
  <c r="B123" i="14"/>
  <c r="C123" i="14"/>
  <c r="B130" i="13"/>
  <c r="A131" i="13"/>
  <c r="C125" i="19" l="1"/>
  <c r="A126" i="19"/>
  <c r="B125" i="19"/>
  <c r="A132" i="13"/>
  <c r="B131" i="13"/>
  <c r="B124" i="14"/>
  <c r="C124" i="14"/>
  <c r="A125" i="14"/>
  <c r="K92" i="13"/>
  <c r="E93" i="13" s="1"/>
  <c r="A127" i="19" l="1"/>
  <c r="B126" i="19"/>
  <c r="C126" i="19"/>
  <c r="D93" i="13"/>
  <c r="I93" i="13"/>
  <c r="J93" i="13" s="1"/>
  <c r="F93" i="13"/>
  <c r="E94" i="13" s="1"/>
  <c r="G93" i="13"/>
  <c r="H93" i="13" s="1"/>
  <c r="K93" i="13" s="1"/>
  <c r="B125" i="14"/>
  <c r="C125" i="14"/>
  <c r="A126" i="14"/>
  <c r="B132" i="13"/>
  <c r="A133" i="13"/>
  <c r="C127" i="19" l="1"/>
  <c r="B127" i="19"/>
  <c r="A128" i="19"/>
  <c r="F94" i="13"/>
  <c r="G94" i="13"/>
  <c r="H94" i="13" s="1"/>
  <c r="D94" i="13"/>
  <c r="I94" i="13"/>
  <c r="J94" i="13" s="1"/>
  <c r="C126" i="14"/>
  <c r="A127" i="14"/>
  <c r="B126" i="14"/>
  <c r="A134" i="13"/>
  <c r="B133" i="13"/>
  <c r="B128" i="19" l="1"/>
  <c r="A129" i="19"/>
  <c r="C128" i="19"/>
  <c r="B134" i="13"/>
  <c r="A135" i="13"/>
  <c r="A128" i="14"/>
  <c r="B127" i="14"/>
  <c r="C127" i="14"/>
  <c r="K94" i="13"/>
  <c r="E95" i="13" s="1"/>
  <c r="C129" i="19" l="1"/>
  <c r="A130" i="19"/>
  <c r="B129" i="19"/>
  <c r="D95" i="13"/>
  <c r="I95" i="13"/>
  <c r="J95" i="13" s="1"/>
  <c r="F95" i="13"/>
  <c r="E96" i="13" s="1"/>
  <c r="G95" i="13"/>
  <c r="H95" i="13" s="1"/>
  <c r="K95" i="13" s="1"/>
  <c r="B128" i="14"/>
  <c r="C128" i="14"/>
  <c r="A129" i="14"/>
  <c r="A136" i="13"/>
  <c r="B135" i="13"/>
  <c r="A131" i="19" l="1"/>
  <c r="B130" i="19"/>
  <c r="C130" i="19"/>
  <c r="F96" i="13"/>
  <c r="G96" i="13"/>
  <c r="H96" i="13" s="1"/>
  <c r="K96" i="13" s="1"/>
  <c r="E97" i="13" s="1"/>
  <c r="D96" i="13"/>
  <c r="I96" i="13"/>
  <c r="J96" i="13" s="1"/>
  <c r="B129" i="14"/>
  <c r="C129" i="14"/>
  <c r="A130" i="14"/>
  <c r="B136" i="13"/>
  <c r="A137" i="13"/>
  <c r="C131" i="19" l="1"/>
  <c r="B131" i="19"/>
  <c r="A132" i="19"/>
  <c r="D97" i="13"/>
  <c r="I97" i="13"/>
  <c r="J97" i="13" s="1"/>
  <c r="F97" i="13"/>
  <c r="E98" i="13" s="1"/>
  <c r="G97" i="13"/>
  <c r="H97" i="13" s="1"/>
  <c r="K97" i="13" s="1"/>
  <c r="C130" i="14"/>
  <c r="A131" i="14"/>
  <c r="B130" i="14"/>
  <c r="A138" i="13"/>
  <c r="B137" i="13"/>
  <c r="B132" i="19" l="1"/>
  <c r="A133" i="19"/>
  <c r="C132" i="19"/>
  <c r="F98" i="13"/>
  <c r="G98" i="13"/>
  <c r="H98" i="13" s="1"/>
  <c r="K98" i="13" s="1"/>
  <c r="E99" i="13" s="1"/>
  <c r="D98" i="13"/>
  <c r="I98" i="13"/>
  <c r="J98" i="13" s="1"/>
  <c r="A132" i="14"/>
  <c r="B131" i="14"/>
  <c r="C131" i="14"/>
  <c r="B138" i="13"/>
  <c r="A139" i="13"/>
  <c r="C133" i="19" l="1"/>
  <c r="A134" i="19"/>
  <c r="B133" i="19"/>
  <c r="D99" i="13"/>
  <c r="I99" i="13"/>
  <c r="J99" i="13" s="1"/>
  <c r="F99" i="13"/>
  <c r="E100" i="13" s="1"/>
  <c r="G99" i="13"/>
  <c r="H99" i="13" s="1"/>
  <c r="K99" i="13" s="1"/>
  <c r="A140" i="13"/>
  <c r="B139" i="13"/>
  <c r="B132" i="14"/>
  <c r="C132" i="14"/>
  <c r="A133" i="14"/>
  <c r="A135" i="19" l="1"/>
  <c r="B134" i="19"/>
  <c r="C134" i="19"/>
  <c r="F100" i="13"/>
  <c r="G100" i="13"/>
  <c r="H100" i="13" s="1"/>
  <c r="K100" i="13" s="1"/>
  <c r="E101" i="13" s="1"/>
  <c r="D100" i="13"/>
  <c r="I100" i="13"/>
  <c r="J100" i="13" s="1"/>
  <c r="B133" i="14"/>
  <c r="C133" i="14"/>
  <c r="A134" i="14"/>
  <c r="B140" i="13"/>
  <c r="A141" i="13"/>
  <c r="C135" i="19" l="1"/>
  <c r="B135" i="19"/>
  <c r="A136" i="19"/>
  <c r="D101" i="13"/>
  <c r="I101" i="13"/>
  <c r="J101" i="13" s="1"/>
  <c r="F101" i="13"/>
  <c r="E102" i="13" s="1"/>
  <c r="G101" i="13"/>
  <c r="H101" i="13" s="1"/>
  <c r="K101" i="13" s="1"/>
  <c r="C134" i="14"/>
  <c r="A135" i="14"/>
  <c r="B134" i="14"/>
  <c r="A142" i="13"/>
  <c r="B141" i="13"/>
  <c r="B136" i="19" l="1"/>
  <c r="A137" i="19"/>
  <c r="C136" i="19"/>
  <c r="F102" i="13"/>
  <c r="G102" i="13"/>
  <c r="H102" i="13" s="1"/>
  <c r="K102" i="13" s="1"/>
  <c r="E103" i="13" s="1"/>
  <c r="D102" i="13"/>
  <c r="I102" i="13"/>
  <c r="J102" i="13" s="1"/>
  <c r="A136" i="14"/>
  <c r="B135" i="14"/>
  <c r="C135" i="14"/>
  <c r="B142" i="13"/>
  <c r="A143" i="13"/>
  <c r="C137" i="19" l="1"/>
  <c r="A138" i="19"/>
  <c r="B137" i="19"/>
  <c r="D103" i="13"/>
  <c r="I103" i="13"/>
  <c r="J103" i="13" s="1"/>
  <c r="F103" i="13"/>
  <c r="E104" i="13" s="1"/>
  <c r="G103" i="13"/>
  <c r="H103" i="13" s="1"/>
  <c r="K103" i="13" s="1"/>
  <c r="A144" i="13"/>
  <c r="B143" i="13"/>
  <c r="B136" i="14"/>
  <c r="C136" i="14"/>
  <c r="A137" i="14"/>
  <c r="A139" i="19" l="1"/>
  <c r="B138" i="19"/>
  <c r="C138" i="19"/>
  <c r="F104" i="13"/>
  <c r="G104" i="13"/>
  <c r="H104" i="13" s="1"/>
  <c r="K104" i="13" s="1"/>
  <c r="E105" i="13" s="1"/>
  <c r="D104" i="13"/>
  <c r="I104" i="13"/>
  <c r="J104" i="13" s="1"/>
  <c r="B144" i="13"/>
  <c r="A145" i="13"/>
  <c r="B137" i="14"/>
  <c r="C137" i="14"/>
  <c r="A138" i="14"/>
  <c r="C139" i="19" l="1"/>
  <c r="B139" i="19"/>
  <c r="A140" i="19"/>
  <c r="D105" i="13"/>
  <c r="I105" i="13"/>
  <c r="J105" i="13" s="1"/>
  <c r="F105" i="13"/>
  <c r="E106" i="13" s="1"/>
  <c r="G105" i="13"/>
  <c r="H105" i="13" s="1"/>
  <c r="K105" i="13" s="1"/>
  <c r="C138" i="14"/>
  <c r="A139" i="14"/>
  <c r="B138" i="14"/>
  <c r="A146" i="13"/>
  <c r="B145" i="13"/>
  <c r="B140" i="19" l="1"/>
  <c r="A141" i="19"/>
  <c r="C140" i="19"/>
  <c r="F106" i="13"/>
  <c r="G106" i="13"/>
  <c r="H106" i="13" s="1"/>
  <c r="D106" i="13"/>
  <c r="I106" i="13"/>
  <c r="J106" i="13" s="1"/>
  <c r="A140" i="14"/>
  <c r="B139" i="14"/>
  <c r="C139" i="14"/>
  <c r="B146" i="13"/>
  <c r="A147" i="13"/>
  <c r="C141" i="19" l="1"/>
  <c r="A142" i="19"/>
  <c r="B141" i="19"/>
  <c r="B140" i="14"/>
  <c r="C140" i="14"/>
  <c r="A141" i="14"/>
  <c r="K106" i="13"/>
  <c r="E107" i="13" s="1"/>
  <c r="A148" i="13"/>
  <c r="B147" i="13"/>
  <c r="A143" i="19" l="1"/>
  <c r="B142" i="19"/>
  <c r="C142" i="19"/>
  <c r="D107" i="13"/>
  <c r="I107" i="13"/>
  <c r="J107" i="13" s="1"/>
  <c r="F107" i="13"/>
  <c r="E108" i="13" s="1"/>
  <c r="G107" i="13"/>
  <c r="H107" i="13" s="1"/>
  <c r="K107" i="13" s="1"/>
  <c r="B141" i="14"/>
  <c r="C141" i="14"/>
  <c r="A142" i="14"/>
  <c r="B148" i="13"/>
  <c r="A149" i="13"/>
  <c r="C143" i="19" l="1"/>
  <c r="B143" i="19"/>
  <c r="A144" i="19"/>
  <c r="F108" i="13"/>
  <c r="G108" i="13"/>
  <c r="H108" i="13" s="1"/>
  <c r="D108" i="13"/>
  <c r="I108" i="13"/>
  <c r="J108" i="13" s="1"/>
  <c r="C142" i="14"/>
  <c r="A143" i="14"/>
  <c r="B142" i="14"/>
  <c r="A150" i="13"/>
  <c r="B149" i="13"/>
  <c r="B144" i="19" l="1"/>
  <c r="A145" i="19"/>
  <c r="C144" i="19"/>
  <c r="B150" i="13"/>
  <c r="A151" i="13"/>
  <c r="A144" i="14"/>
  <c r="B143" i="14"/>
  <c r="C143" i="14"/>
  <c r="K108" i="13"/>
  <c r="C145" i="19" l="1"/>
  <c r="A146" i="19"/>
  <c r="B145" i="19"/>
  <c r="B144" i="14"/>
  <c r="C144" i="14"/>
  <c r="A145" i="14"/>
  <c r="A152" i="13"/>
  <c r="B151" i="13"/>
  <c r="A147" i="19" l="1"/>
  <c r="B146" i="19"/>
  <c r="C146" i="19"/>
  <c r="B152" i="13"/>
  <c r="A153" i="13"/>
  <c r="B145" i="14"/>
  <c r="C145" i="14"/>
  <c r="A146" i="14"/>
  <c r="C147" i="19" l="1"/>
  <c r="B147" i="19"/>
  <c r="A148" i="19"/>
  <c r="A154" i="13"/>
  <c r="B153" i="13"/>
  <c r="C146" i="14"/>
  <c r="A147" i="14"/>
  <c r="B146" i="14"/>
  <c r="B148" i="19" l="1"/>
  <c r="A149" i="19"/>
  <c r="C148" i="19"/>
  <c r="A148" i="14"/>
  <c r="B147" i="14"/>
  <c r="C147" i="14"/>
  <c r="B154" i="13"/>
  <c r="A155" i="13"/>
  <c r="C149" i="19" l="1"/>
  <c r="A150" i="19"/>
  <c r="B149" i="19"/>
  <c r="A156" i="13"/>
  <c r="B155" i="13"/>
  <c r="B148" i="14"/>
  <c r="C148" i="14"/>
  <c r="A149" i="14"/>
  <c r="A151" i="19" l="1"/>
  <c r="B150" i="19"/>
  <c r="C150" i="19"/>
  <c r="B149" i="14"/>
  <c r="C149" i="14"/>
  <c r="A150" i="14"/>
  <c r="B156" i="13"/>
  <c r="A157" i="13"/>
  <c r="C151" i="19" l="1"/>
  <c r="B151" i="19"/>
  <c r="A152" i="19"/>
  <c r="A158" i="13"/>
  <c r="B157" i="13"/>
  <c r="C150" i="14"/>
  <c r="A151" i="14"/>
  <c r="B150" i="14"/>
  <c r="B152" i="19" l="1"/>
  <c r="A153" i="19"/>
  <c r="C152" i="19"/>
  <c r="A152" i="14"/>
  <c r="B151" i="14"/>
  <c r="C151" i="14"/>
  <c r="B158" i="13"/>
  <c r="A159" i="13"/>
  <c r="C153" i="19" l="1"/>
  <c r="A154" i="19"/>
  <c r="B153" i="19"/>
  <c r="A160" i="13"/>
  <c r="B159" i="13"/>
  <c r="B152" i="14"/>
  <c r="C152" i="14"/>
  <c r="A153" i="14"/>
  <c r="A155" i="19" l="1"/>
  <c r="B154" i="19"/>
  <c r="C154" i="19"/>
  <c r="B153" i="14"/>
  <c r="C153" i="14"/>
  <c r="A154" i="14"/>
  <c r="B160" i="13"/>
  <c r="A161" i="13"/>
  <c r="C155" i="19" l="1"/>
  <c r="B155" i="19"/>
  <c r="A156" i="19"/>
  <c r="C154" i="14"/>
  <c r="A155" i="14"/>
  <c r="B154" i="14"/>
  <c r="A162" i="13"/>
  <c r="B161" i="13"/>
  <c r="B156" i="19" l="1"/>
  <c r="A157" i="19"/>
  <c r="C156" i="19"/>
  <c r="B162" i="13"/>
  <c r="A163" i="13"/>
  <c r="A156" i="14"/>
  <c r="B155" i="14"/>
  <c r="C155" i="14"/>
  <c r="C157" i="19" l="1"/>
  <c r="A158" i="19"/>
  <c r="B157" i="19"/>
  <c r="B156" i="14"/>
  <c r="C156" i="14"/>
  <c r="A157" i="14"/>
  <c r="A164" i="13"/>
  <c r="B163" i="13"/>
  <c r="A159" i="19" l="1"/>
  <c r="B158" i="19"/>
  <c r="C158" i="19"/>
  <c r="B164" i="13"/>
  <c r="A165" i="13"/>
  <c r="B157" i="14"/>
  <c r="C157" i="14"/>
  <c r="A158" i="14"/>
  <c r="C159" i="19" l="1"/>
  <c r="B159" i="19"/>
  <c r="A160" i="19"/>
  <c r="A166" i="13"/>
  <c r="B165" i="13"/>
  <c r="C158" i="14"/>
  <c r="A159" i="14"/>
  <c r="B158" i="14"/>
  <c r="B160" i="19" l="1"/>
  <c r="A161" i="19"/>
  <c r="C160" i="19"/>
  <c r="A160" i="14"/>
  <c r="B159" i="14"/>
  <c r="C159" i="14"/>
  <c r="B166" i="13"/>
  <c r="A167" i="13"/>
  <c r="C161" i="19" l="1"/>
  <c r="A162" i="19"/>
  <c r="B161" i="19"/>
  <c r="A168" i="13"/>
  <c r="B167" i="13"/>
  <c r="B160" i="14"/>
  <c r="C160" i="14"/>
  <c r="A161" i="14"/>
  <c r="A163" i="19" l="1"/>
  <c r="B162" i="19"/>
  <c r="C162" i="19"/>
  <c r="B161" i="14"/>
  <c r="C161" i="14"/>
  <c r="A162" i="14"/>
  <c r="B168" i="13"/>
  <c r="A169" i="13"/>
  <c r="C163" i="19" l="1"/>
  <c r="B163" i="19"/>
  <c r="A164" i="19"/>
  <c r="A170" i="13"/>
  <c r="B169" i="13"/>
  <c r="C162" i="14"/>
  <c r="A163" i="14"/>
  <c r="B162" i="14"/>
  <c r="B164" i="19" l="1"/>
  <c r="A165" i="19"/>
  <c r="C164" i="19"/>
  <c r="A164" i="14"/>
  <c r="B163" i="14"/>
  <c r="C163" i="14"/>
  <c r="B170" i="13"/>
  <c r="A171" i="13"/>
  <c r="C165" i="19" l="1"/>
  <c r="A166" i="19"/>
  <c r="B165" i="19"/>
  <c r="A172" i="13"/>
  <c r="B171" i="13"/>
  <c r="B164" i="14"/>
  <c r="C164" i="14"/>
  <c r="A165" i="14"/>
  <c r="A167" i="19" l="1"/>
  <c r="B166" i="19"/>
  <c r="C166" i="19"/>
  <c r="B165" i="14"/>
  <c r="C165" i="14"/>
  <c r="A166" i="14"/>
  <c r="B172" i="13"/>
  <c r="A173" i="13"/>
  <c r="C167" i="19" l="1"/>
  <c r="B167" i="19"/>
  <c r="A168" i="19"/>
  <c r="C166" i="14"/>
  <c r="A167" i="14"/>
  <c r="B166" i="14"/>
  <c r="A174" i="13"/>
  <c r="B173" i="13"/>
  <c r="B168" i="19" l="1"/>
  <c r="A169" i="19"/>
  <c r="C168" i="19"/>
  <c r="B174" i="13"/>
  <c r="A175" i="13"/>
  <c r="A168" i="14"/>
  <c r="B167" i="14"/>
  <c r="C167" i="14"/>
  <c r="C169" i="19" l="1"/>
  <c r="A170" i="19"/>
  <c r="B169" i="19"/>
  <c r="B168" i="14"/>
  <c r="C168" i="14"/>
  <c r="A169" i="14"/>
  <c r="A176" i="13"/>
  <c r="B175" i="13"/>
  <c r="A171" i="19" l="1"/>
  <c r="B170" i="19"/>
  <c r="C170" i="19"/>
  <c r="B176" i="13"/>
  <c r="A177" i="13"/>
  <c r="B169" i="14"/>
  <c r="C169" i="14"/>
  <c r="A170" i="14"/>
  <c r="C171" i="19" l="1"/>
  <c r="B171" i="19"/>
  <c r="A172" i="19"/>
  <c r="A178" i="13"/>
  <c r="B177" i="13"/>
  <c r="C170" i="14"/>
  <c r="A171" i="14"/>
  <c r="B170" i="14"/>
  <c r="B172" i="19" l="1"/>
  <c r="A173" i="19"/>
  <c r="C172" i="19"/>
  <c r="A172" i="14"/>
  <c r="B171" i="14"/>
  <c r="C171" i="14"/>
  <c r="B178" i="13"/>
  <c r="A179" i="13"/>
  <c r="C173" i="19" l="1"/>
  <c r="A174" i="19"/>
  <c r="B173" i="19"/>
  <c r="A180" i="13"/>
  <c r="B179" i="13"/>
  <c r="B172" i="14"/>
  <c r="C172" i="14"/>
  <c r="A173" i="14"/>
  <c r="A175" i="19" l="1"/>
  <c r="B174" i="19"/>
  <c r="C174" i="19"/>
  <c r="B173" i="14"/>
  <c r="C173" i="14"/>
  <c r="A174" i="14"/>
  <c r="B180" i="13"/>
  <c r="A181" i="13"/>
  <c r="C175" i="19" l="1"/>
  <c r="B175" i="19"/>
  <c r="A176" i="19"/>
  <c r="C174" i="14"/>
  <c r="A175" i="14"/>
  <c r="B174" i="14"/>
  <c r="A182" i="13"/>
  <c r="B181" i="13"/>
  <c r="B176" i="19" l="1"/>
  <c r="A177" i="19"/>
  <c r="C176" i="19"/>
  <c r="B182" i="13"/>
  <c r="A183" i="13"/>
  <c r="A176" i="14"/>
  <c r="B175" i="14"/>
  <c r="C175" i="14"/>
  <c r="C177" i="19" l="1"/>
  <c r="A178" i="19"/>
  <c r="B177" i="19"/>
  <c r="B176" i="14"/>
  <c r="C176" i="14"/>
  <c r="A177" i="14"/>
  <c r="A184" i="13"/>
  <c r="B183" i="13"/>
  <c r="B178" i="19" l="1"/>
  <c r="A179" i="19"/>
  <c r="C178" i="19"/>
  <c r="B184" i="13"/>
  <c r="A185" i="13"/>
  <c r="B177" i="14"/>
  <c r="C177" i="14"/>
  <c r="A178" i="14"/>
  <c r="C179" i="19" l="1"/>
  <c r="A180" i="19"/>
  <c r="B179" i="19"/>
  <c r="C178" i="14"/>
  <c r="A179" i="14"/>
  <c r="B178" i="14"/>
  <c r="A186" i="13"/>
  <c r="B185" i="13"/>
  <c r="A181" i="19" l="1"/>
  <c r="B180" i="19"/>
  <c r="C180" i="19"/>
  <c r="B186" i="13"/>
  <c r="A187" i="13"/>
  <c r="A180" i="14"/>
  <c r="B179" i="14"/>
  <c r="C179" i="14"/>
  <c r="C181" i="19" l="1"/>
  <c r="B181" i="19"/>
  <c r="A182" i="19"/>
  <c r="B180" i="14"/>
  <c r="C180" i="14"/>
  <c r="A181" i="14"/>
  <c r="A188" i="13"/>
  <c r="B187" i="13"/>
  <c r="B182" i="19" l="1"/>
  <c r="A183" i="19"/>
  <c r="C182" i="19"/>
  <c r="B188" i="13"/>
  <c r="A189" i="13"/>
  <c r="B181" i="14"/>
  <c r="C181" i="14"/>
  <c r="A182" i="14"/>
  <c r="C183" i="19" l="1"/>
  <c r="B183" i="19"/>
  <c r="A184" i="19"/>
  <c r="A190" i="13"/>
  <c r="B189" i="13"/>
  <c r="C182" i="14"/>
  <c r="A183" i="14"/>
  <c r="B182" i="14"/>
  <c r="A185" i="19" l="1"/>
  <c r="B184" i="19"/>
  <c r="C184" i="19"/>
  <c r="A184" i="14"/>
  <c r="B183" i="14"/>
  <c r="C183" i="14"/>
  <c r="B190" i="13"/>
  <c r="A191" i="13"/>
  <c r="C185" i="19" l="1"/>
  <c r="B185" i="19"/>
  <c r="A186" i="19"/>
  <c r="A192" i="13"/>
  <c r="B191" i="13"/>
  <c r="B184" i="14"/>
  <c r="C184" i="14"/>
  <c r="A185" i="14"/>
  <c r="B186" i="19" l="1"/>
  <c r="A187" i="19"/>
  <c r="C186" i="19"/>
  <c r="B185" i="14"/>
  <c r="C185" i="14"/>
  <c r="A186" i="14"/>
  <c r="B192" i="13"/>
  <c r="A193" i="13"/>
  <c r="C187" i="19" l="1"/>
  <c r="A188" i="19"/>
  <c r="B187" i="19"/>
  <c r="C186" i="14"/>
  <c r="A187" i="14"/>
  <c r="B186" i="14"/>
  <c r="A194" i="13"/>
  <c r="B193" i="13"/>
  <c r="A189" i="19" l="1"/>
  <c r="B188" i="19"/>
  <c r="C188" i="19"/>
  <c r="B194" i="13"/>
  <c r="A195" i="13"/>
  <c r="A188" i="14"/>
  <c r="B187" i="14"/>
  <c r="C187" i="14"/>
  <c r="C189" i="19" l="1"/>
  <c r="B189" i="19"/>
  <c r="A190" i="19"/>
  <c r="B188" i="14"/>
  <c r="C188" i="14"/>
  <c r="A189" i="14"/>
  <c r="A196" i="13"/>
  <c r="B195" i="13"/>
  <c r="B190" i="19" l="1"/>
  <c r="A191" i="19"/>
  <c r="C190" i="19"/>
  <c r="B196" i="13"/>
  <c r="A197" i="13"/>
  <c r="B189" i="14"/>
  <c r="C189" i="14"/>
  <c r="A190" i="14"/>
  <c r="C191" i="19" l="1"/>
  <c r="B191" i="19"/>
  <c r="A192" i="19"/>
  <c r="A198" i="13"/>
  <c r="B197" i="13"/>
  <c r="C190" i="14"/>
  <c r="A191" i="14"/>
  <c r="B190" i="14"/>
  <c r="A193" i="19" l="1"/>
  <c r="B192" i="19"/>
  <c r="C192" i="19"/>
  <c r="A192" i="14"/>
  <c r="B191" i="14"/>
  <c r="C191" i="14"/>
  <c r="B198" i="13"/>
  <c r="A199" i="13"/>
  <c r="C193" i="19" l="1"/>
  <c r="B193" i="19"/>
  <c r="A194" i="19"/>
  <c r="A200" i="13"/>
  <c r="B199" i="13"/>
  <c r="B192" i="14"/>
  <c r="C192" i="14"/>
  <c r="A193" i="14"/>
  <c r="B194" i="19" l="1"/>
  <c r="A195" i="19"/>
  <c r="C194" i="19"/>
  <c r="B193" i="14"/>
  <c r="C193" i="14"/>
  <c r="A194" i="14"/>
  <c r="B200" i="13"/>
  <c r="A201" i="13"/>
  <c r="C195" i="19" l="1"/>
  <c r="A196" i="19"/>
  <c r="B195" i="19"/>
  <c r="A202" i="13"/>
  <c r="B201" i="13"/>
  <c r="C194" i="14"/>
  <c r="A195" i="14"/>
  <c r="B194" i="14"/>
  <c r="A197" i="19" l="1"/>
  <c r="B196" i="19"/>
  <c r="C196" i="19"/>
  <c r="A196" i="14"/>
  <c r="B195" i="14"/>
  <c r="C195" i="14"/>
  <c r="B202" i="13"/>
  <c r="A203" i="13"/>
  <c r="C197" i="19" l="1"/>
  <c r="B197" i="19"/>
  <c r="A198" i="19"/>
  <c r="A204" i="13"/>
  <c r="B203" i="13"/>
  <c r="B196" i="14"/>
  <c r="C196" i="14"/>
  <c r="A197" i="14"/>
  <c r="B198" i="19" l="1"/>
  <c r="A199" i="19"/>
  <c r="C198" i="19"/>
  <c r="B197" i="14"/>
  <c r="C197" i="14"/>
  <c r="A198" i="14"/>
  <c r="B204" i="13"/>
  <c r="A205" i="13"/>
  <c r="C199" i="19" l="1"/>
  <c r="B199" i="19"/>
  <c r="A200" i="19"/>
  <c r="C198" i="14"/>
  <c r="A199" i="14"/>
  <c r="B198" i="14"/>
  <c r="A206" i="13"/>
  <c r="B205" i="13"/>
  <c r="A201" i="19" l="1"/>
  <c r="B200" i="19"/>
  <c r="C200" i="19"/>
  <c r="B206" i="13"/>
  <c r="A207" i="13"/>
  <c r="B207" i="13" s="1"/>
  <c r="A200" i="14"/>
  <c r="B199" i="14"/>
  <c r="C199" i="14"/>
  <c r="C201" i="19" l="1"/>
  <c r="B201" i="19"/>
  <c r="A202" i="19"/>
  <c r="B200" i="14"/>
  <c r="C200" i="14"/>
  <c r="A201" i="14"/>
  <c r="B202" i="19" l="1"/>
  <c r="A203" i="19"/>
  <c r="C202" i="19"/>
  <c r="B201" i="14"/>
  <c r="C201" i="14"/>
  <c r="A202" i="14"/>
  <c r="C203" i="19" l="1"/>
  <c r="A204" i="19"/>
  <c r="B203" i="19"/>
  <c r="C202" i="14"/>
  <c r="A203" i="14"/>
  <c r="B202" i="14"/>
  <c r="A205" i="19" l="1"/>
  <c r="B204" i="19"/>
  <c r="C204" i="19"/>
  <c r="A204" i="14"/>
  <c r="B203" i="14"/>
  <c r="C203" i="14"/>
  <c r="C205" i="19" l="1"/>
  <c r="B205" i="19"/>
  <c r="A206" i="19"/>
  <c r="B204" i="14"/>
  <c r="C204" i="14"/>
  <c r="A205" i="14"/>
  <c r="B206" i="19" l="1"/>
  <c r="A207" i="19"/>
  <c r="C206" i="19"/>
  <c r="B205" i="14"/>
  <c r="C205" i="14"/>
  <c r="A206" i="14"/>
  <c r="C207" i="19" l="1"/>
  <c r="B207" i="19"/>
  <c r="A208" i="19"/>
  <c r="C206" i="14"/>
  <c r="A207" i="14"/>
  <c r="B206" i="14"/>
  <c r="A209" i="19" l="1"/>
  <c r="B208" i="19"/>
  <c r="C208" i="19"/>
  <c r="B207" i="14"/>
  <c r="E2" i="14" s="1"/>
  <c r="C207" i="14"/>
  <c r="C209" i="19" l="1"/>
  <c r="B209" i="19"/>
  <c r="A210" i="19"/>
  <c r="B210" i="19" l="1"/>
  <c r="A211" i="19"/>
  <c r="C210" i="19"/>
  <c r="C211" i="19" l="1"/>
  <c r="A212" i="19"/>
  <c r="B211" i="19"/>
  <c r="A213" i="19" l="1"/>
  <c r="B212" i="19"/>
  <c r="C212" i="19"/>
  <c r="H9" i="16" a="1"/>
  <c r="A9" i="16" a="1"/>
  <c r="A9" i="16" s="1"/>
  <c r="A10" i="16" l="1"/>
  <c r="C213" i="19"/>
  <c r="B213" i="19"/>
  <c r="A214" i="19"/>
  <c r="C10" i="16"/>
  <c r="C9" i="16"/>
  <c r="E9" i="16" a="1"/>
  <c r="E9" i="16" l="1"/>
  <c r="H9" i="16" s="1"/>
  <c r="F9" i="16"/>
  <c r="E10" i="16"/>
  <c r="H10" i="16" s="1"/>
  <c r="F10" i="16"/>
  <c r="B214" i="19"/>
  <c r="A215" i="19"/>
  <c r="C214" i="19"/>
  <c r="C215" i="19" l="1"/>
  <c r="B215" i="19"/>
  <c r="A216" i="19"/>
  <c r="A217" i="19" l="1"/>
  <c r="B216" i="19"/>
  <c r="C216" i="19"/>
  <c r="C217" i="19" l="1"/>
  <c r="B217" i="19"/>
  <c r="A218" i="19"/>
  <c r="B218" i="19" l="1"/>
  <c r="A219" i="19"/>
  <c r="C218" i="19"/>
  <c r="C219" i="19" l="1"/>
  <c r="A220" i="19"/>
  <c r="B219" i="19"/>
  <c r="A221" i="19" l="1"/>
  <c r="B220" i="19"/>
  <c r="C220" i="19"/>
  <c r="C221" i="19" l="1"/>
  <c r="B221" i="19"/>
  <c r="A222" i="19"/>
  <c r="B222" i="19" l="1"/>
  <c r="A223" i="19"/>
  <c r="C222" i="19"/>
  <c r="C223" i="19" l="1"/>
  <c r="B223" i="19"/>
  <c r="A224" i="19"/>
  <c r="A225" i="19" l="1"/>
  <c r="B224" i="19"/>
  <c r="C224" i="19"/>
  <c r="C225" i="19" l="1"/>
  <c r="B225" i="19"/>
  <c r="A226" i="19"/>
  <c r="B226" i="19" l="1"/>
  <c r="A227" i="19"/>
  <c r="C226" i="19"/>
  <c r="C227" i="19" l="1"/>
  <c r="A228" i="19"/>
  <c r="B227" i="19"/>
  <c r="A229" i="19" l="1"/>
  <c r="B228" i="19"/>
  <c r="C228" i="19"/>
  <c r="C229" i="19" l="1"/>
  <c r="B229" i="19"/>
  <c r="A230" i="19"/>
  <c r="B230" i="19" l="1"/>
  <c r="A231" i="19"/>
  <c r="C230" i="19"/>
  <c r="C231" i="19" l="1"/>
  <c r="B231" i="19"/>
  <c r="A232" i="19"/>
  <c r="A233" i="19" l="1"/>
  <c r="B232" i="19"/>
  <c r="C232" i="19"/>
  <c r="C233" i="19" l="1"/>
  <c r="B233" i="19"/>
  <c r="A234" i="19"/>
  <c r="B234" i="19" l="1"/>
  <c r="A235" i="19"/>
  <c r="C234" i="19"/>
  <c r="C235" i="19" l="1"/>
  <c r="A236" i="19"/>
  <c r="B235" i="19"/>
  <c r="A237" i="19" l="1"/>
  <c r="B236" i="19"/>
  <c r="C236" i="19"/>
  <c r="C237" i="19" l="1"/>
  <c r="B237" i="19"/>
  <c r="A238" i="19"/>
  <c r="B238" i="19" l="1"/>
  <c r="A239" i="19"/>
  <c r="C238" i="19"/>
  <c r="C239" i="19" l="1"/>
  <c r="B239" i="19"/>
  <c r="A240" i="19"/>
  <c r="A241" i="19" l="1"/>
  <c r="B240" i="19"/>
  <c r="C240" i="19"/>
  <c r="C241" i="19" l="1"/>
  <c r="B241" i="19"/>
  <c r="A242" i="19"/>
  <c r="B242" i="19" l="1"/>
  <c r="A243" i="19"/>
  <c r="C242" i="19"/>
  <c r="C243" i="19" l="1"/>
  <c r="A244" i="19"/>
  <c r="B243" i="19"/>
  <c r="A245" i="19" l="1"/>
  <c r="B244" i="19"/>
  <c r="C244" i="19"/>
  <c r="C245" i="19" l="1"/>
  <c r="B245" i="19"/>
  <c r="A246" i="19"/>
  <c r="B246" i="19" l="1"/>
  <c r="A247" i="19"/>
  <c r="C246" i="19"/>
  <c r="C247" i="19" l="1"/>
  <c r="B247" i="19"/>
  <c r="A248" i="19"/>
  <c r="A249" i="19" l="1"/>
  <c r="B248" i="19"/>
  <c r="C248" i="19"/>
  <c r="C249" i="19" l="1"/>
  <c r="B249" i="19"/>
  <c r="A250" i="19"/>
  <c r="B250" i="19" l="1"/>
  <c r="A251" i="19"/>
  <c r="C250" i="19"/>
  <c r="C251" i="19" l="1"/>
  <c r="A252" i="19"/>
  <c r="B251" i="19"/>
  <c r="A253" i="19" l="1"/>
  <c r="B252" i="19"/>
  <c r="C252" i="19"/>
  <c r="C253" i="19" l="1"/>
  <c r="B253" i="19"/>
  <c r="A254" i="19"/>
  <c r="B254" i="19" l="1"/>
  <c r="A255" i="19"/>
  <c r="C254" i="19"/>
  <c r="C255" i="19" l="1"/>
  <c r="B255" i="19"/>
  <c r="A256" i="19"/>
  <c r="A257" i="19" l="1"/>
  <c r="B256" i="19"/>
  <c r="C256" i="19"/>
  <c r="C257" i="19" l="1"/>
  <c r="B257" i="19"/>
  <c r="A258" i="19"/>
  <c r="B258" i="19" l="1"/>
  <c r="A259" i="19"/>
  <c r="C258" i="19"/>
  <c r="C259" i="19" l="1"/>
  <c r="A260" i="19"/>
  <c r="B259" i="19"/>
  <c r="A261" i="19" l="1"/>
  <c r="B260" i="19"/>
  <c r="C260" i="19"/>
  <c r="C261" i="19" l="1"/>
  <c r="B261" i="19"/>
  <c r="A262" i="19"/>
  <c r="B262" i="19" l="1"/>
  <c r="A263" i="19"/>
  <c r="C262" i="19"/>
  <c r="C263" i="19" l="1"/>
  <c r="B263" i="19"/>
  <c r="A264" i="19"/>
  <c r="A265" i="19" l="1"/>
  <c r="B264" i="19"/>
  <c r="C264" i="19"/>
  <c r="C265" i="19" l="1"/>
  <c r="B265" i="19"/>
  <c r="A266" i="19"/>
  <c r="B266" i="19" l="1"/>
  <c r="A267" i="19"/>
  <c r="C266" i="19"/>
  <c r="C267" i="19" l="1"/>
  <c r="A268" i="19"/>
  <c r="B267" i="19"/>
  <c r="A269" i="19" l="1"/>
  <c r="B268" i="19"/>
  <c r="C268" i="19"/>
  <c r="C269" i="19" l="1"/>
  <c r="B269" i="19"/>
  <c r="A270" i="19"/>
  <c r="B270" i="19" l="1"/>
  <c r="A271" i="19"/>
  <c r="C270" i="19"/>
  <c r="C271" i="19" l="1"/>
  <c r="B271" i="19"/>
  <c r="A272" i="19"/>
  <c r="A273" i="19" l="1"/>
  <c r="B272" i="19"/>
  <c r="C272" i="19"/>
  <c r="C273" i="19" l="1"/>
  <c r="B273" i="19"/>
  <c r="A274" i="19"/>
  <c r="B274" i="19" l="1"/>
  <c r="A275" i="19"/>
  <c r="C274" i="19"/>
  <c r="C275" i="19" l="1"/>
  <c r="A276" i="19"/>
  <c r="B275" i="19"/>
  <c r="A277" i="19" l="1"/>
  <c r="B276" i="19"/>
  <c r="C276" i="19"/>
  <c r="C277" i="19" l="1"/>
  <c r="B277" i="19"/>
  <c r="A278" i="19"/>
  <c r="B278" i="19" l="1"/>
  <c r="A279" i="19"/>
  <c r="C278" i="19"/>
  <c r="C279" i="19" l="1"/>
  <c r="B279" i="19"/>
  <c r="A280" i="19"/>
  <c r="A281" i="19" l="1"/>
  <c r="B280" i="19"/>
  <c r="C280" i="19"/>
  <c r="C281" i="19" l="1"/>
  <c r="B281" i="19"/>
  <c r="A282" i="19"/>
  <c r="B282" i="19" l="1"/>
  <c r="A283" i="19"/>
  <c r="C282" i="19"/>
  <c r="C283" i="19" l="1"/>
  <c r="A284" i="19"/>
  <c r="B283" i="19"/>
  <c r="A285" i="19" l="1"/>
  <c r="B284" i="19"/>
  <c r="C284" i="19"/>
  <c r="C285" i="19" l="1"/>
  <c r="B285" i="19"/>
  <c r="A286" i="19"/>
  <c r="B286" i="19" l="1"/>
  <c r="A287" i="19"/>
  <c r="C286" i="19"/>
  <c r="C287" i="19" l="1"/>
  <c r="B287" i="19"/>
  <c r="A288" i="19"/>
  <c r="A289" i="19" l="1"/>
  <c r="B288" i="19"/>
  <c r="C288" i="19"/>
  <c r="C289" i="19" l="1"/>
  <c r="B289" i="19"/>
  <c r="A290" i="19"/>
  <c r="B290" i="19" l="1"/>
  <c r="A291" i="19"/>
  <c r="C290" i="19"/>
  <c r="C291" i="19" l="1"/>
  <c r="A292" i="19"/>
  <c r="B291" i="19"/>
  <c r="A293" i="19" l="1"/>
  <c r="B292" i="19"/>
  <c r="C292" i="19"/>
  <c r="C293" i="19" l="1"/>
  <c r="B293" i="19"/>
  <c r="A294" i="19"/>
  <c r="B294" i="19" l="1"/>
  <c r="A295" i="19"/>
  <c r="C294" i="19"/>
  <c r="C295" i="19" l="1"/>
  <c r="B295" i="19"/>
  <c r="A296" i="19"/>
  <c r="A297" i="19" l="1"/>
  <c r="B296" i="19"/>
  <c r="C296" i="19"/>
  <c r="C297" i="19" l="1"/>
  <c r="B297" i="19"/>
  <c r="A298" i="19"/>
  <c r="B298" i="19" l="1"/>
  <c r="A299" i="19"/>
  <c r="C298" i="19"/>
  <c r="C299" i="19" l="1"/>
  <c r="A300" i="19"/>
  <c r="B299" i="19"/>
  <c r="A301" i="19" l="1"/>
  <c r="B300" i="19"/>
  <c r="C300" i="19"/>
  <c r="C301" i="19" l="1"/>
  <c r="B301" i="19"/>
  <c r="A302" i="19"/>
  <c r="B302" i="19" l="1"/>
  <c r="A303" i="19"/>
  <c r="C302" i="19"/>
  <c r="C303" i="19" l="1"/>
  <c r="B303" i="19"/>
  <c r="A304" i="19"/>
  <c r="A305" i="19" l="1"/>
  <c r="B304" i="19"/>
  <c r="C304" i="19"/>
  <c r="C305" i="19" l="1"/>
  <c r="B305" i="19"/>
  <c r="A306" i="19"/>
  <c r="B306" i="19" l="1"/>
  <c r="A307" i="19"/>
  <c r="C306" i="19"/>
  <c r="C307" i="19" l="1"/>
  <c r="A308" i="19"/>
  <c r="B307" i="19"/>
  <c r="A309" i="19" l="1"/>
  <c r="B308" i="19"/>
  <c r="C308" i="19"/>
  <c r="C309" i="19" l="1"/>
  <c r="B309" i="19"/>
  <c r="A310" i="19"/>
  <c r="B310" i="19" l="1"/>
  <c r="A311" i="19"/>
  <c r="C310" i="19"/>
  <c r="C311" i="19" l="1"/>
  <c r="B311" i="19"/>
  <c r="A312" i="19"/>
  <c r="A313" i="19" l="1"/>
  <c r="B312" i="19"/>
  <c r="C312" i="19"/>
  <c r="C313" i="19" l="1"/>
  <c r="B313" i="19"/>
  <c r="A314" i="19"/>
  <c r="B314" i="19" l="1"/>
  <c r="A315" i="19"/>
  <c r="C314" i="19"/>
  <c r="C315" i="19" l="1"/>
  <c r="A316" i="19"/>
  <c r="B315" i="19"/>
  <c r="A317" i="19" l="1"/>
  <c r="B316" i="19"/>
  <c r="C316" i="19"/>
  <c r="C317" i="19" l="1"/>
  <c r="B317" i="19"/>
  <c r="A318" i="19"/>
  <c r="B318" i="19" l="1"/>
  <c r="A319" i="19"/>
  <c r="C318" i="19"/>
  <c r="C319" i="19" l="1"/>
  <c r="B319" i="19"/>
  <c r="A320" i="19"/>
  <c r="A321" i="19" l="1"/>
  <c r="B320" i="19"/>
  <c r="C320" i="19"/>
  <c r="C321" i="19" l="1"/>
  <c r="B321" i="19"/>
  <c r="A322" i="19"/>
  <c r="B322" i="19" l="1"/>
  <c r="A323" i="19"/>
  <c r="C322" i="19"/>
  <c r="C323" i="19" l="1"/>
  <c r="A324" i="19"/>
  <c r="B323" i="19"/>
  <c r="A325" i="19" l="1"/>
  <c r="B324" i="19"/>
  <c r="C324" i="19"/>
  <c r="C325" i="19" l="1"/>
  <c r="B325" i="19"/>
  <c r="A326" i="19"/>
  <c r="B326" i="19" l="1"/>
  <c r="A327" i="19"/>
  <c r="C326" i="19"/>
  <c r="C327" i="19" l="1"/>
  <c r="B327" i="19"/>
  <c r="A328" i="19"/>
  <c r="A329" i="19" l="1"/>
  <c r="B328" i="19"/>
  <c r="C328" i="19"/>
  <c r="C329" i="19" l="1"/>
  <c r="B329" i="19"/>
  <c r="A330" i="19"/>
  <c r="B330" i="19" l="1"/>
  <c r="A331" i="19"/>
  <c r="C330" i="19"/>
  <c r="C331" i="19" l="1"/>
  <c r="A332" i="19"/>
  <c r="B331" i="19"/>
  <c r="A333" i="19" l="1"/>
  <c r="B332" i="19"/>
  <c r="C332" i="19"/>
  <c r="C333" i="19" l="1"/>
  <c r="B333" i="19"/>
  <c r="A334" i="19"/>
  <c r="B334" i="19" l="1"/>
  <c r="A335" i="19"/>
  <c r="C334" i="19"/>
  <c r="C335" i="19" l="1"/>
  <c r="B335" i="19"/>
  <c r="A336" i="19"/>
  <c r="A337" i="19" l="1"/>
  <c r="B336" i="19"/>
  <c r="C336" i="19"/>
  <c r="C337" i="19" l="1"/>
  <c r="B337" i="19"/>
  <c r="A338" i="19"/>
  <c r="B338" i="19" l="1"/>
  <c r="A339" i="19"/>
  <c r="C338" i="19"/>
  <c r="C339" i="19" l="1"/>
  <c r="A340" i="19"/>
  <c r="B339" i="19"/>
  <c r="A341" i="19" l="1"/>
  <c r="B340" i="19"/>
  <c r="C340" i="19"/>
  <c r="C341" i="19" l="1"/>
  <c r="B341" i="19"/>
  <c r="A342" i="19"/>
  <c r="B342" i="19" l="1"/>
  <c r="A343" i="19"/>
  <c r="C342" i="19"/>
  <c r="C343" i="19" l="1"/>
  <c r="B343" i="19"/>
  <c r="A344" i="19"/>
  <c r="A345" i="19" l="1"/>
  <c r="B344" i="19"/>
  <c r="C344" i="19"/>
  <c r="C345" i="19" l="1"/>
  <c r="B345" i="19"/>
  <c r="A346" i="19"/>
  <c r="B346" i="19" l="1"/>
  <c r="A347" i="19"/>
  <c r="C346" i="19"/>
  <c r="C347" i="19" l="1"/>
  <c r="A348" i="19"/>
  <c r="B347" i="19"/>
  <c r="A349" i="19" l="1"/>
  <c r="B348" i="19"/>
  <c r="C348" i="19"/>
  <c r="C349" i="19" l="1"/>
  <c r="B349" i="19"/>
  <c r="A350" i="19"/>
  <c r="B350" i="19" l="1"/>
  <c r="A351" i="19"/>
  <c r="C350" i="19"/>
  <c r="C351" i="19" l="1"/>
  <c r="B351" i="19"/>
  <c r="A352" i="19"/>
  <c r="A353" i="19" l="1"/>
  <c r="B352" i="19"/>
  <c r="C352" i="19"/>
  <c r="C353" i="19" l="1"/>
  <c r="B353" i="19"/>
  <c r="A354" i="19"/>
  <c r="B354" i="19" l="1"/>
  <c r="A355" i="19"/>
  <c r="C354" i="19"/>
  <c r="C355" i="19" l="1"/>
  <c r="A356" i="19"/>
  <c r="B355" i="19"/>
  <c r="A357" i="19" l="1"/>
  <c r="B356" i="19"/>
  <c r="C356" i="19"/>
  <c r="C357" i="19" l="1"/>
  <c r="B357" i="19"/>
  <c r="A358" i="19"/>
  <c r="B358" i="19" l="1"/>
  <c r="A359" i="19"/>
  <c r="C358" i="19"/>
  <c r="C359" i="19" l="1"/>
  <c r="B359" i="19"/>
  <c r="A360" i="19"/>
  <c r="A361" i="19" l="1"/>
  <c r="B360" i="19"/>
  <c r="C360" i="19"/>
  <c r="C361" i="19" l="1"/>
  <c r="B361" i="19"/>
  <c r="A362" i="19"/>
  <c r="B362" i="19" l="1"/>
  <c r="A363" i="19"/>
  <c r="C362" i="19"/>
  <c r="C363" i="19" l="1"/>
  <c r="A364" i="19"/>
  <c r="B363" i="19"/>
  <c r="A365" i="19" l="1"/>
  <c r="B364" i="19"/>
  <c r="C364" i="19"/>
  <c r="C365" i="19" l="1"/>
  <c r="B365" i="19"/>
  <c r="A366" i="19"/>
  <c r="B366" i="19" l="1"/>
  <c r="A367" i="19"/>
  <c r="C366" i="19"/>
  <c r="C367" i="19" l="1"/>
  <c r="B367" i="19"/>
  <c r="A368" i="19"/>
  <c r="A369" i="19" l="1"/>
  <c r="B368" i="19"/>
  <c r="C368" i="19"/>
  <c r="C369" i="19" l="1"/>
  <c r="B369" i="19"/>
  <c r="A370" i="19"/>
  <c r="B370" i="19" l="1"/>
  <c r="A371" i="19"/>
  <c r="C370" i="19"/>
  <c r="C371" i="19" l="1"/>
  <c r="A372" i="19"/>
  <c r="B371" i="19"/>
  <c r="A373" i="19" l="1"/>
  <c r="B372" i="19"/>
  <c r="C372" i="19"/>
  <c r="C373" i="19" l="1"/>
  <c r="B373" i="19"/>
  <c r="A374" i="19"/>
  <c r="B374" i="19" l="1"/>
  <c r="A375" i="19"/>
  <c r="C374" i="19"/>
  <c r="C375" i="19" l="1"/>
  <c r="B375" i="19"/>
  <c r="A376" i="19"/>
  <c r="A377" i="19" l="1"/>
  <c r="B376" i="19"/>
  <c r="C376" i="19"/>
  <c r="C377" i="19" l="1"/>
  <c r="B377" i="19"/>
  <c r="A378" i="19"/>
  <c r="B378" i="19" l="1"/>
  <c r="A379" i="19"/>
  <c r="C378" i="19"/>
  <c r="C379" i="19" l="1"/>
  <c r="A380" i="19"/>
  <c r="B379" i="19"/>
  <c r="A381" i="19" l="1"/>
  <c r="B380" i="19"/>
  <c r="C380" i="19"/>
  <c r="C381" i="19" l="1"/>
  <c r="B381" i="19"/>
  <c r="A382" i="19"/>
  <c r="B382" i="19" l="1"/>
  <c r="A383" i="19"/>
  <c r="C382" i="19"/>
  <c r="C383" i="19" l="1"/>
  <c r="B383" i="19"/>
  <c r="A384" i="19"/>
  <c r="A385" i="19" l="1"/>
  <c r="B384" i="19"/>
  <c r="C384" i="19"/>
  <c r="C385" i="19" l="1"/>
  <c r="B385" i="19"/>
  <c r="A386" i="19"/>
  <c r="B386" i="19" l="1"/>
  <c r="A387" i="19"/>
  <c r="C386" i="19"/>
  <c r="C387" i="19" l="1"/>
  <c r="A388" i="19"/>
  <c r="B387" i="19"/>
  <c r="A389" i="19" l="1"/>
  <c r="B388" i="19"/>
  <c r="C388" i="19"/>
  <c r="C389" i="19" l="1"/>
  <c r="B389" i="19"/>
  <c r="A390" i="19"/>
  <c r="B390" i="19" l="1"/>
  <c r="A391" i="19"/>
  <c r="C390" i="19"/>
  <c r="C391" i="19" l="1"/>
  <c r="A392" i="19"/>
  <c r="B391" i="19"/>
  <c r="A393" i="19" l="1"/>
  <c r="B392" i="19"/>
  <c r="C392" i="19"/>
  <c r="C393" i="19" l="1"/>
  <c r="B393" i="19"/>
  <c r="A394" i="19"/>
  <c r="B394" i="19" l="1"/>
  <c r="A395" i="19"/>
  <c r="C394" i="19"/>
  <c r="C395" i="19" l="1"/>
  <c r="A396" i="19"/>
  <c r="B395" i="19"/>
  <c r="A397" i="19" l="1"/>
  <c r="B396" i="19"/>
  <c r="C396" i="19"/>
  <c r="C397" i="19" l="1"/>
  <c r="B397" i="19"/>
  <c r="A398" i="19"/>
  <c r="B398" i="19" l="1"/>
  <c r="A399" i="19"/>
  <c r="C398" i="19"/>
  <c r="C399" i="19" l="1"/>
  <c r="A400" i="19"/>
  <c r="B399" i="19"/>
  <c r="A401" i="19" l="1"/>
  <c r="B400" i="19"/>
  <c r="C400" i="19"/>
  <c r="C401" i="19" l="1"/>
  <c r="B401" i="19"/>
  <c r="A402" i="19"/>
  <c r="B402" i="19" l="1"/>
  <c r="A403" i="19"/>
  <c r="C402" i="19"/>
  <c r="C403" i="19" l="1"/>
  <c r="A404" i="19"/>
  <c r="B403" i="19"/>
  <c r="A405" i="19" l="1"/>
  <c r="B404" i="19"/>
  <c r="C404" i="19"/>
  <c r="C405" i="19" l="1"/>
  <c r="B405" i="19"/>
  <c r="A406" i="19"/>
  <c r="B406" i="19" l="1"/>
  <c r="A407" i="19"/>
  <c r="C406" i="19"/>
  <c r="C407" i="19" l="1"/>
  <c r="A408" i="19"/>
  <c r="B407" i="19"/>
  <c r="A409" i="19" l="1"/>
  <c r="B408" i="19"/>
  <c r="C408" i="19"/>
  <c r="C409" i="19" l="1"/>
  <c r="B409" i="19"/>
  <c r="A410" i="19"/>
  <c r="B410" i="19" l="1"/>
  <c r="A411" i="19"/>
  <c r="C410" i="19"/>
  <c r="C411" i="19" l="1"/>
  <c r="A412" i="19"/>
  <c r="B411" i="19"/>
  <c r="A413" i="19" l="1"/>
  <c r="B412" i="19"/>
  <c r="C412" i="19"/>
  <c r="C413" i="19" l="1"/>
  <c r="B413" i="19"/>
  <c r="A414" i="19"/>
  <c r="B414" i="19" l="1"/>
  <c r="A415" i="19"/>
  <c r="C414" i="19"/>
  <c r="C415" i="19" l="1"/>
  <c r="A416" i="19"/>
  <c r="B415" i="19"/>
  <c r="A417" i="19" l="1"/>
  <c r="B416" i="19"/>
  <c r="C416" i="19"/>
  <c r="C417" i="19" l="1"/>
  <c r="B417" i="19"/>
  <c r="A418" i="19"/>
  <c r="B418" i="19" l="1"/>
  <c r="A419" i="19"/>
  <c r="C418" i="19"/>
  <c r="C419" i="19" l="1"/>
  <c r="A420" i="19"/>
  <c r="B419" i="19"/>
  <c r="A421" i="19" l="1"/>
  <c r="B420" i="19"/>
  <c r="C420" i="19"/>
  <c r="C421" i="19" l="1"/>
  <c r="B421" i="19"/>
  <c r="A422" i="19"/>
  <c r="B422" i="19" l="1"/>
  <c r="A423" i="19"/>
  <c r="C422" i="19"/>
  <c r="C423" i="19" l="1"/>
  <c r="A424" i="19"/>
  <c r="B423" i="19"/>
  <c r="A425" i="19" l="1"/>
  <c r="B424" i="19"/>
  <c r="C424" i="19"/>
  <c r="C425" i="19" l="1"/>
  <c r="B425" i="19"/>
  <c r="A426" i="19"/>
  <c r="B426" i="19" l="1"/>
  <c r="A427" i="19"/>
  <c r="C426" i="19"/>
  <c r="C427" i="19" l="1"/>
  <c r="A428" i="19"/>
  <c r="B427" i="19"/>
  <c r="A429" i="19" l="1"/>
  <c r="B428" i="19"/>
  <c r="C428" i="19"/>
  <c r="C429" i="19" l="1"/>
  <c r="B429" i="19"/>
  <c r="A430" i="19"/>
  <c r="B430" i="19" l="1"/>
  <c r="A431" i="19"/>
  <c r="C430" i="19"/>
  <c r="C431" i="19" l="1"/>
  <c r="A432" i="19"/>
  <c r="B431" i="19"/>
  <c r="A433" i="19" l="1"/>
  <c r="B432" i="19"/>
  <c r="C432" i="19"/>
  <c r="C433" i="19" l="1"/>
  <c r="B433" i="19"/>
  <c r="A434" i="19"/>
  <c r="B434" i="19" l="1"/>
  <c r="A435" i="19"/>
  <c r="C434" i="19"/>
  <c r="C435" i="19" l="1"/>
  <c r="A436" i="19"/>
  <c r="B435" i="19"/>
  <c r="A437" i="19" l="1"/>
  <c r="B436" i="19"/>
  <c r="C436" i="19"/>
  <c r="C437" i="19" l="1"/>
  <c r="B437" i="19"/>
  <c r="A438" i="19"/>
  <c r="B438" i="19" l="1"/>
  <c r="A439" i="19"/>
  <c r="C438" i="19"/>
  <c r="C439" i="19" l="1"/>
  <c r="A440" i="19"/>
  <c r="B439" i="19"/>
  <c r="A441" i="19" l="1"/>
  <c r="B440" i="19"/>
  <c r="C440" i="19"/>
  <c r="C441" i="19" l="1"/>
  <c r="B441" i="19"/>
  <c r="A442" i="19"/>
  <c r="B442" i="19" l="1"/>
  <c r="A443" i="19"/>
  <c r="C442" i="19"/>
  <c r="C443" i="19" l="1"/>
  <c r="A444" i="19"/>
  <c r="B443" i="19"/>
  <c r="A445" i="19" l="1"/>
  <c r="B444" i="19"/>
  <c r="C444" i="19"/>
  <c r="C445" i="19" l="1"/>
  <c r="B445" i="19"/>
  <c r="A446" i="19"/>
  <c r="B446" i="19" l="1"/>
  <c r="A447" i="19"/>
  <c r="C446" i="19"/>
  <c r="C447" i="19" l="1"/>
  <c r="A448" i="19"/>
  <c r="B447" i="19"/>
  <c r="A449" i="19" l="1"/>
  <c r="B448" i="19"/>
  <c r="C448" i="19"/>
  <c r="C449" i="19" l="1"/>
  <c r="B449" i="19"/>
  <c r="A450" i="19"/>
  <c r="B450" i="19" l="1"/>
  <c r="A451" i="19"/>
  <c r="C450" i="19"/>
  <c r="C451" i="19" l="1"/>
  <c r="A452" i="19"/>
  <c r="B451" i="19"/>
  <c r="A453" i="19" l="1"/>
  <c r="B452" i="19"/>
  <c r="C452" i="19"/>
  <c r="C453" i="19" l="1"/>
  <c r="B453" i="19"/>
  <c r="A454" i="19"/>
  <c r="B454" i="19" l="1"/>
  <c r="A455" i="19"/>
  <c r="C454" i="19"/>
  <c r="C455" i="19" l="1"/>
  <c r="A456" i="19"/>
  <c r="B455" i="19"/>
  <c r="A457" i="19" l="1"/>
  <c r="B456" i="19"/>
  <c r="C456" i="19"/>
  <c r="C457" i="19" l="1"/>
  <c r="B457" i="19"/>
  <c r="A458" i="19"/>
  <c r="B458" i="19" l="1"/>
  <c r="A459" i="19"/>
  <c r="C458" i="19"/>
  <c r="C459" i="19" l="1"/>
  <c r="A460" i="19"/>
  <c r="B459" i="19"/>
  <c r="A461" i="19" l="1"/>
  <c r="B460" i="19"/>
  <c r="C460" i="19"/>
  <c r="C461" i="19" l="1"/>
  <c r="B461" i="19"/>
  <c r="A462" i="19"/>
  <c r="B462" i="19" l="1"/>
  <c r="A463" i="19"/>
  <c r="C462" i="19"/>
  <c r="C463" i="19" l="1"/>
  <c r="A464" i="19"/>
  <c r="B463" i="19"/>
  <c r="A465" i="19" l="1"/>
  <c r="B464" i="19"/>
  <c r="C464" i="19"/>
  <c r="C465" i="19" l="1"/>
  <c r="B465" i="19"/>
  <c r="A466" i="19"/>
  <c r="B466" i="19" l="1"/>
  <c r="A467" i="19"/>
  <c r="C466" i="19"/>
  <c r="C467" i="19" l="1"/>
  <c r="A468" i="19"/>
  <c r="B467" i="19"/>
  <c r="A469" i="19" l="1"/>
  <c r="B468" i="19"/>
  <c r="C468" i="19"/>
  <c r="C469" i="19" l="1"/>
  <c r="B469" i="19"/>
  <c r="A470" i="19"/>
  <c r="B470" i="19" l="1"/>
  <c r="A471" i="19"/>
  <c r="C470" i="19"/>
  <c r="C471" i="19" l="1"/>
  <c r="A472" i="19"/>
  <c r="B471" i="19"/>
  <c r="A473" i="19" l="1"/>
  <c r="B472" i="19"/>
  <c r="C472" i="19"/>
  <c r="C473" i="19" l="1"/>
  <c r="B473" i="19"/>
  <c r="A474" i="19"/>
  <c r="B474" i="19" l="1"/>
  <c r="A475" i="19"/>
  <c r="C474" i="19"/>
  <c r="C475" i="19" l="1"/>
  <c r="A476" i="19"/>
  <c r="B475" i="19"/>
  <c r="A477" i="19" l="1"/>
  <c r="B476" i="19"/>
  <c r="C476" i="19"/>
  <c r="C477" i="19" l="1"/>
  <c r="B477" i="19"/>
  <c r="A478" i="19"/>
  <c r="B478" i="19" l="1"/>
  <c r="A479" i="19"/>
  <c r="C478" i="19"/>
  <c r="C479" i="19" l="1"/>
  <c r="A480" i="19"/>
  <c r="B479" i="19"/>
  <c r="A481" i="19" l="1"/>
  <c r="B480" i="19"/>
  <c r="C480" i="19"/>
  <c r="C481" i="19" l="1"/>
  <c r="B481" i="19"/>
  <c r="A482" i="19"/>
  <c r="B482" i="19" l="1"/>
  <c r="A483" i="19"/>
  <c r="C482" i="19"/>
  <c r="C483" i="19" l="1"/>
  <c r="A484" i="19"/>
  <c r="B483" i="19"/>
  <c r="A485" i="19" l="1"/>
  <c r="B484" i="19"/>
  <c r="C484" i="19"/>
  <c r="C485" i="19" l="1"/>
  <c r="B485" i="19"/>
  <c r="A486" i="19"/>
  <c r="B486" i="19" l="1"/>
  <c r="A487" i="19"/>
  <c r="C486" i="19"/>
  <c r="C487" i="19" l="1"/>
  <c r="A488" i="19"/>
  <c r="B487" i="19"/>
  <c r="A489" i="19" l="1"/>
  <c r="B488" i="19"/>
  <c r="C488" i="19"/>
  <c r="C489" i="19" l="1"/>
  <c r="B489" i="19"/>
  <c r="A490" i="19"/>
  <c r="B490" i="19" l="1"/>
  <c r="A491" i="19"/>
  <c r="C490" i="19"/>
  <c r="C491" i="19" l="1"/>
  <c r="A492" i="19"/>
  <c r="B491" i="19"/>
  <c r="A493" i="19" l="1"/>
  <c r="B492" i="19"/>
  <c r="C492" i="19"/>
  <c r="C493" i="19" l="1"/>
  <c r="B493" i="19"/>
  <c r="A494" i="19"/>
  <c r="B494" i="19" l="1"/>
  <c r="A495" i="19"/>
  <c r="C494" i="19"/>
  <c r="C495" i="19" l="1"/>
  <c r="A496" i="19"/>
  <c r="B495" i="19"/>
  <c r="A497" i="19" l="1"/>
  <c r="B496" i="19"/>
  <c r="C496" i="19"/>
  <c r="C497" i="19" l="1"/>
  <c r="B497" i="19"/>
  <c r="A498" i="19"/>
  <c r="B498" i="19" l="1"/>
  <c r="A499" i="19"/>
  <c r="C498" i="19"/>
  <c r="C499" i="19" l="1"/>
  <c r="A500" i="19"/>
  <c r="B499" i="19"/>
  <c r="A501" i="19" l="1"/>
  <c r="B500" i="19"/>
  <c r="C500" i="19"/>
  <c r="C501" i="19" l="1"/>
  <c r="B501" i="19"/>
  <c r="L11" i="9"/>
  <c r="V11" i="9"/>
  <c r="G17" i="9"/>
  <c r="H17" i="9"/>
  <c r="I17" i="9"/>
  <c r="J17" i="9"/>
  <c r="K17" i="9"/>
  <c r="L17" i="9"/>
  <c r="R17" i="9"/>
  <c r="S17" i="9"/>
  <c r="T17" i="9"/>
  <c r="U17" i="9"/>
  <c r="V17" i="9"/>
  <c r="W17" i="9"/>
</calcChain>
</file>

<file path=xl/sharedStrings.xml><?xml version="1.0" encoding="utf-8"?>
<sst xmlns="http://schemas.openxmlformats.org/spreadsheetml/2006/main" count="406" uniqueCount="222">
  <si>
    <t>xLow</t>
  </si>
  <si>
    <t>f(xLow)</t>
  </si>
  <si>
    <t>xHigh</t>
  </si>
  <si>
    <t>f(xHigh)</t>
  </si>
  <si>
    <t>xr</t>
  </si>
  <si>
    <t>f(xr)</t>
  </si>
  <si>
    <t>dif%</t>
  </si>
  <si>
    <t>f'(x)</t>
  </si>
  <si>
    <t>f(x)</t>
  </si>
  <si>
    <t>x</t>
  </si>
  <si>
    <t>h=</t>
  </si>
  <si>
    <t>f(x+)</t>
  </si>
  <si>
    <t>f(x-)</t>
  </si>
  <si>
    <t>x+</t>
  </si>
  <si>
    <t>x-</t>
  </si>
  <si>
    <t>f'(vi)</t>
  </si>
  <si>
    <t>f(vi)</t>
  </si>
  <si>
    <t>vi</t>
  </si>
  <si>
    <t>T</t>
  </si>
  <si>
    <t>p</t>
  </si>
  <si>
    <t>f'(v)=p-a/v^2+2ab/v^3</t>
  </si>
  <si>
    <t>f(v)=(p+a/v^2)(v-b)-RT</t>
  </si>
  <si>
    <t>v=V/n=RT/p=</t>
  </si>
  <si>
    <t>T=</t>
  </si>
  <si>
    <t>p=</t>
  </si>
  <si>
    <t>b=</t>
  </si>
  <si>
    <t>L atm/(mol.K)</t>
  </si>
  <si>
    <t>R=</t>
  </si>
  <si>
    <t>a=</t>
  </si>
  <si>
    <t>n=</t>
  </si>
  <si>
    <t>O2</t>
  </si>
  <si>
    <t>CO2</t>
  </si>
  <si>
    <t>Lei dos Gases Ideais</t>
  </si>
  <si>
    <t>Equação de van der Waals</t>
  </si>
  <si>
    <t>vi+1</t>
  </si>
  <si>
    <t>f(vi+h)</t>
  </si>
  <si>
    <t>f(vi-h)</t>
  </si>
  <si>
    <t>s</t>
  </si>
  <si>
    <t>Inicia=</t>
  </si>
  <si>
    <t>v(inicial)=</t>
  </si>
  <si>
    <t>P</t>
  </si>
  <si>
    <t>vdW</t>
  </si>
  <si>
    <t>dif(%)</t>
  </si>
  <si>
    <t>f´(v)</t>
  </si>
  <si>
    <t>f(v-h)</t>
  </si>
  <si>
    <t>v-h</t>
  </si>
  <si>
    <t>f(v+h)</t>
  </si>
  <si>
    <t>v+h</t>
  </si>
  <si>
    <t>f(v)</t>
  </si>
  <si>
    <t>v</t>
  </si>
  <si>
    <t>Ideal</t>
  </si>
  <si>
    <t xml:space="preserve"> &lt;-Lei dos Gases Ideais</t>
  </si>
  <si>
    <t>v=V/N=</t>
  </si>
  <si>
    <t>K</t>
  </si>
  <si>
    <t>atm</t>
  </si>
  <si>
    <t>P=</t>
  </si>
  <si>
    <t>L.atm/[mol.K]</t>
  </si>
  <si>
    <t>erro</t>
  </si>
  <si>
    <t>f(vr)</t>
  </si>
  <si>
    <t>f(vl)</t>
  </si>
  <si>
    <t>vu</t>
  </si>
  <si>
    <t>vr</t>
  </si>
  <si>
    <t>vl</t>
  </si>
  <si>
    <t>Bissecção</t>
  </si>
  <si>
    <t>v3</t>
  </si>
  <si>
    <t>b</t>
  </si>
  <si>
    <t>m</t>
  </si>
  <si>
    <t>f(v2)</t>
  </si>
  <si>
    <t>v2</t>
  </si>
  <si>
    <t>f(v1)</t>
  </si>
  <si>
    <t>v1</t>
  </si>
  <si>
    <t>Secante</t>
  </si>
  <si>
    <t>f(v) = (p+a/v^2).(v-b)-RT</t>
  </si>
  <si>
    <t>xhi</t>
  </si>
  <si>
    <t>xli</t>
  </si>
  <si>
    <t>xh(i+1)</t>
  </si>
  <si>
    <t>f(xh)</t>
  </si>
  <si>
    <t>xh</t>
  </si>
  <si>
    <t>xl(i+1)</t>
  </si>
  <si>
    <t>f(xl)</t>
  </si>
  <si>
    <t>xl</t>
  </si>
  <si>
    <t>n</t>
  </si>
  <si>
    <t>Inicia =</t>
  </si>
  <si>
    <t>f(x-h)</t>
  </si>
  <si>
    <t>x-h</t>
  </si>
  <si>
    <t>f(x+h)</t>
  </si>
  <si>
    <t>x+h</t>
  </si>
  <si>
    <t>D%</t>
  </si>
  <si>
    <t>Erro%</t>
  </si>
  <si>
    <t>f'(v)</t>
  </si>
  <si>
    <t>Inicio:</t>
  </si>
  <si>
    <t>Inicia?</t>
  </si>
  <si>
    <t>R</t>
  </si>
  <si>
    <t>Tc</t>
  </si>
  <si>
    <t>Pc</t>
  </si>
  <si>
    <t>Xi+1</t>
  </si>
  <si>
    <r>
      <t>J</t>
    </r>
    <r>
      <rPr>
        <b/>
        <vertAlign val="superscript"/>
        <sz val="11"/>
        <color indexed="8"/>
        <rFont val="Calibri"/>
        <family val="2"/>
      </rPr>
      <t>-1</t>
    </r>
  </si>
  <si>
    <t>F(Xi)</t>
  </si>
  <si>
    <t>Xi</t>
  </si>
  <si>
    <t>f2(x1,x2)</t>
  </si>
  <si>
    <t>f1(x1,x2)</t>
  </si>
  <si>
    <t>F =</t>
  </si>
  <si>
    <t>f2_x2</t>
  </si>
  <si>
    <t>f2_x1</t>
  </si>
  <si>
    <t>f2 = x1^2-x2^2+x1*x2-4</t>
  </si>
  <si>
    <t>f1_x2</t>
  </si>
  <si>
    <t>f1_x1</t>
  </si>
  <si>
    <t>J =</t>
  </si>
  <si>
    <t>f1 = 2*x1^2 + x2^2 - 8</t>
  </si>
  <si>
    <t xml:space="preserve">h = </t>
  </si>
  <si>
    <t>Newton-Raphson Multivariado</t>
  </si>
  <si>
    <t>f(t)</t>
  </si>
  <si>
    <t>t</t>
  </si>
  <si>
    <t>1000.t</t>
  </si>
  <si>
    <t>h'=</t>
  </si>
  <si>
    <t>Estimativa Gráfica Inicial</t>
  </si>
  <si>
    <t>Massa =</t>
  </si>
  <si>
    <t>v (m3/kg) =</t>
  </si>
  <si>
    <t>Vol.Tanque (m3) =</t>
  </si>
  <si>
    <t>b = 0,0866*R*Tc/pc</t>
  </si>
  <si>
    <t xml:space="preserve">Tc = </t>
  </si>
  <si>
    <t>a = 0,427*R^2.Tc^2.5/pc</t>
  </si>
  <si>
    <t xml:space="preserve">pc = </t>
  </si>
  <si>
    <t>Para o metano</t>
  </si>
  <si>
    <t>T (oC)</t>
  </si>
  <si>
    <t>Início</t>
  </si>
  <si>
    <t>f(v) = RT/(v-b) - a/[v(v+b).raiz(T)] -p</t>
  </si>
  <si>
    <t>f'(h)</t>
  </si>
  <si>
    <t>f(h+j)</t>
  </si>
  <si>
    <t>h+j</t>
  </si>
  <si>
    <t>f(h)</t>
  </si>
  <si>
    <t>h</t>
  </si>
  <si>
    <t>f(h-j)</t>
  </si>
  <si>
    <t>h-j</t>
  </si>
  <si>
    <t>j=</t>
  </si>
  <si>
    <t>f(h) = [ r^2.acos[(r-h)/r] - (r-h).raiz(2.r.h-h^2) ]L - V</t>
  </si>
  <si>
    <t xml:space="preserve">V = </t>
  </si>
  <si>
    <t xml:space="preserve">L = </t>
  </si>
  <si>
    <t>NEWTON-RAPHSON</t>
  </si>
  <si>
    <t>r =</t>
  </si>
  <si>
    <t>BISSECÇÃO</t>
  </si>
  <si>
    <t>f'(t)</t>
  </si>
  <si>
    <t>f(t+h)</t>
  </si>
  <si>
    <t>t+h</t>
  </si>
  <si>
    <t>f(t-h)</t>
  </si>
  <si>
    <t>t-h</t>
  </si>
  <si>
    <t>f(t)=9.exp(-0,7*t)*cos(4*t)-3,5</t>
  </si>
  <si>
    <t xml:space="preserve"> </t>
  </si>
  <si>
    <t>2a Parte - Cálculo por Newton-Raphson</t>
  </si>
  <si>
    <t>f(tR)</t>
  </si>
  <si>
    <t>tR</t>
  </si>
  <si>
    <t>f(tHigh)</t>
  </si>
  <si>
    <t>tHigh</t>
  </si>
  <si>
    <t>f(tLow)</t>
  </si>
  <si>
    <t>tLow</t>
  </si>
  <si>
    <t>Env=9*exp(-K.t)</t>
  </si>
  <si>
    <t>2a Parte - Cálculo pela Bissecção</t>
  </si>
  <si>
    <t>1a Parte - Método Gráfico</t>
  </si>
  <si>
    <t>f(t)=9*e^(-K.t).cos(w.t) -y</t>
  </si>
  <si>
    <t>Ampl.=</t>
  </si>
  <si>
    <t xml:space="preserve"> &lt;-Target</t>
  </si>
  <si>
    <t>y =</t>
  </si>
  <si>
    <t>w=</t>
  </si>
  <si>
    <t>K=</t>
  </si>
  <si>
    <t>f(w)</t>
  </si>
  <si>
    <t>w</t>
  </si>
  <si>
    <t>f(wR)</t>
  </si>
  <si>
    <t>wR</t>
  </si>
  <si>
    <t>f(wHIGH)</t>
  </si>
  <si>
    <t>wHIGH</t>
  </si>
  <si>
    <t>f(wLOW)</t>
  </si>
  <si>
    <t>wLOW</t>
  </si>
  <si>
    <t>f'(w)</t>
  </si>
  <si>
    <t>f(w-h)</t>
  </si>
  <si>
    <t>w-h</t>
  </si>
  <si>
    <t>f(w+h)</t>
  </si>
  <si>
    <t>w+h</t>
  </si>
  <si>
    <t>h =</t>
  </si>
  <si>
    <t>f(w) = raiz{ 1/R^2 + [w.C-1/(w.L)]^2 } - 1/Z</t>
  </si>
  <si>
    <t>H</t>
  </si>
  <si>
    <t>L =</t>
  </si>
  <si>
    <t>ohms</t>
  </si>
  <si>
    <t>Z =</t>
  </si>
  <si>
    <t>F</t>
  </si>
  <si>
    <t>C =</t>
  </si>
  <si>
    <t>w = ?</t>
  </si>
  <si>
    <t>R =</t>
  </si>
  <si>
    <t>f(TtR)</t>
  </si>
  <si>
    <t>TtR</t>
  </si>
  <si>
    <t>f(HIGH)</t>
  </si>
  <si>
    <t>Tt(HIGH)</t>
  </si>
  <si>
    <t>Tt(graus)</t>
  </si>
  <si>
    <t>f(LOW)</t>
  </si>
  <si>
    <t>Tt(LOW)</t>
  </si>
  <si>
    <t>f'(Tt)</t>
  </si>
  <si>
    <t>f(Tt-h)</t>
  </si>
  <si>
    <t>Tt-h</t>
  </si>
  <si>
    <t>f(Tt+h)</t>
  </si>
  <si>
    <t>Tt+h</t>
  </si>
  <si>
    <t>f(Tt)</t>
  </si>
  <si>
    <t>Tt(rad)</t>
  </si>
  <si>
    <t>NEWTON RAPHSON</t>
  </si>
  <si>
    <t>m/s^2</t>
  </si>
  <si>
    <t>g=</t>
  </si>
  <si>
    <t>y=</t>
  </si>
  <si>
    <t>y0=</t>
  </si>
  <si>
    <t>x=</t>
  </si>
  <si>
    <t>m/s</t>
  </si>
  <si>
    <t>v0=</t>
  </si>
  <si>
    <t>f(Theta) = [tg(Theta)].x - {g/[2.v0^2.cos(Theta)^2]}.x^2 +y0 -y</t>
  </si>
  <si>
    <t>y = (tg(Theta)).x - g/(2.v0^2.cos(Theta)^2).x^2+y0</t>
  </si>
  <si>
    <t>ESTIMATIVA INICIAL</t>
  </si>
  <si>
    <t>ni+1</t>
  </si>
  <si>
    <t>f'(n)</t>
  </si>
  <si>
    <t>f(n-h)</t>
  </si>
  <si>
    <t>n-h</t>
  </si>
  <si>
    <t>f(n+h)</t>
  </si>
  <si>
    <t>n+h</t>
  </si>
  <si>
    <t>f(n)</t>
  </si>
  <si>
    <t>ni=</t>
  </si>
  <si>
    <t>Rc=</t>
  </si>
  <si>
    <t>1 = n/(n-1)*(Rc^[(n-1)/n]-1)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</si>
</sst>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0.0%"/>
    <numFmt numFmtId="166" formatCode="0.00000"/>
    <numFmt numFmtId="167" formatCode="0.0"/>
    <numFmt numFmtId="168" formatCode="0.0000"/>
    <numFmt numFmtId="169" formatCode="0.0E+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i/>
      <sz val="11"/>
      <color theme="3" tint="0.3999755851924192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74">
    <xf numFmtId="0" fontId="0" fillId="0" borderId="0" xfId="0"/>
    <xf numFmtId="164" fontId="0" fillId="0" borderId="0" xfId="0" applyNumberFormat="1"/>
    <xf numFmtId="10" fontId="1" fillId="0" borderId="0" xfId="1" applyNumberFormat="1" applyFont="1"/>
    <xf numFmtId="165" fontId="1" fillId="0" borderId="0" xfId="1" applyNumberFormat="1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0" fontId="1" fillId="0" borderId="1" xfId="1" applyNumberFormat="1" applyFont="1" applyBorder="1"/>
    <xf numFmtId="10" fontId="1" fillId="0" borderId="2" xfId="1" applyNumberFormat="1" applyFont="1" applyBorder="1"/>
    <xf numFmtId="0" fontId="0" fillId="0" borderId="3" xfId="0" applyBorder="1"/>
    <xf numFmtId="10" fontId="1" fillId="0" borderId="4" xfId="1" applyNumberFormat="1" applyFont="1" applyBorder="1"/>
    <xf numFmtId="10" fontId="1" fillId="0" borderId="0" xfId="1" applyNumberFormat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2" fontId="0" fillId="0" borderId="8" xfId="0" applyNumberFormat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4" xfId="0" applyNumberFormat="1" applyBorder="1"/>
    <xf numFmtId="2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0" fillId="2" borderId="8" xfId="0" applyFill="1" applyBorder="1"/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right"/>
    </xf>
    <xf numFmtId="9" fontId="1" fillId="0" borderId="0" xfId="1" applyFont="1"/>
    <xf numFmtId="0" fontId="2" fillId="0" borderId="0" xfId="0" applyFont="1"/>
    <xf numFmtId="0" fontId="3" fillId="0" borderId="0" xfId="2"/>
    <xf numFmtId="2" fontId="0" fillId="0" borderId="0" xfId="0" applyNumberFormat="1" applyAlignment="1">
      <alignment horizontal="left"/>
    </xf>
    <xf numFmtId="2" fontId="0" fillId="0" borderId="0" xfId="0" applyNumberFormat="1" applyAlignment="1">
      <alignment horizontal="right"/>
    </xf>
    <xf numFmtId="0" fontId="0" fillId="3" borderId="8" xfId="0" applyFill="1" applyBorder="1"/>
    <xf numFmtId="0" fontId="0" fillId="4" borderId="8" xfId="0" applyFill="1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3" fontId="6" fillId="0" borderId="0" xfId="0" applyNumberFormat="1" applyFont="1"/>
    <xf numFmtId="166" fontId="6" fillId="0" borderId="0" xfId="0" applyNumberFormat="1" applyFont="1"/>
    <xf numFmtId="167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3" fontId="4" fillId="0" borderId="0" xfId="0" applyNumberFormat="1" applyFont="1"/>
    <xf numFmtId="0" fontId="4" fillId="0" borderId="0" xfId="0" applyFont="1"/>
    <xf numFmtId="3" fontId="7" fillId="0" borderId="0" xfId="0" applyNumberFormat="1" applyFont="1"/>
    <xf numFmtId="166" fontId="7" fillId="0" borderId="0" xfId="0" applyNumberFormat="1" applyFont="1"/>
    <xf numFmtId="3" fontId="8" fillId="0" borderId="0" xfId="0" applyNumberFormat="1" applyFont="1"/>
    <xf numFmtId="166" fontId="0" fillId="0" borderId="0" xfId="0" applyNumberFormat="1"/>
    <xf numFmtId="3" fontId="9" fillId="0" borderId="0" xfId="0" applyNumberFormat="1" applyFont="1"/>
    <xf numFmtId="166" fontId="9" fillId="0" borderId="0" xfId="0" applyNumberFormat="1" applyFont="1"/>
    <xf numFmtId="168" fontId="0" fillId="0" borderId="0" xfId="0" applyNumberFormat="1"/>
    <xf numFmtId="166" fontId="10" fillId="0" borderId="0" xfId="0" applyNumberFormat="1" applyFont="1"/>
    <xf numFmtId="0" fontId="10" fillId="0" borderId="0" xfId="0" applyFont="1"/>
    <xf numFmtId="165" fontId="6" fillId="0" borderId="0" xfId="1" applyNumberFormat="1" applyFont="1"/>
    <xf numFmtId="0" fontId="4" fillId="0" borderId="0" xfId="0" applyFont="1" applyAlignment="1">
      <alignment horizontal="left"/>
    </xf>
    <xf numFmtId="164" fontId="11" fillId="0" borderId="0" xfId="0" applyNumberFormat="1" applyFont="1"/>
    <xf numFmtId="164" fontId="0" fillId="0" borderId="0" xfId="0" applyNumberFormat="1" applyAlignment="1">
      <alignment horizontal="center"/>
    </xf>
    <xf numFmtId="164" fontId="4" fillId="0" borderId="0" xfId="0" applyNumberFormat="1" applyFont="1"/>
    <xf numFmtId="10" fontId="1" fillId="0" borderId="12" xfId="1" applyNumberFormat="1" applyFont="1" applyBorder="1"/>
    <xf numFmtId="169" fontId="11" fillId="0" borderId="13" xfId="0" applyNumberFormat="1" applyFont="1" applyBorder="1"/>
    <xf numFmtId="169" fontId="11" fillId="0" borderId="0" xfId="0" applyNumberFormat="1" applyFont="1"/>
    <xf numFmtId="11" fontId="0" fillId="0" borderId="0" xfId="0" applyNumberFormat="1"/>
    <xf numFmtId="169" fontId="0" fillId="0" borderId="0" xfId="0" applyNumberFormat="1"/>
    <xf numFmtId="0" fontId="0" fillId="0" borderId="12" xfId="0" applyBorder="1"/>
    <xf numFmtId="0" fontId="11" fillId="0" borderId="13" xfId="0" applyFont="1" applyBorder="1"/>
    <xf numFmtId="0" fontId="11" fillId="0" borderId="0" xfId="0" applyFont="1"/>
    <xf numFmtId="0" fontId="11" fillId="0" borderId="0" xfId="0" applyFont="1" applyAlignment="1">
      <alignment horizontal="left"/>
    </xf>
    <xf numFmtId="0" fontId="0" fillId="0" borderId="0" xfId="0" applyFont="1"/>
    <xf numFmtId="0" fontId="0" fillId="0" borderId="14" xfId="0" applyBorder="1"/>
    <xf numFmtId="164" fontId="0" fillId="0" borderId="14" xfId="0" applyNumberFormat="1" applyBorder="1"/>
  </cellXfs>
  <cellStyles count="3">
    <cellStyle name="Normal" xfId="0" builtinId="0"/>
    <cellStyle name="Normal 2" xfId="2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'tridente de newton'!$B$6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numRef>
              <c:f>'tridente de newton'!$A$7:$A$207</c:f>
              <c:numCache>
                <c:formatCode>0.00</c:formatCode>
                <c:ptCount val="201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-4.8500000000000005</c:v>
                </c:pt>
                <c:pt idx="4">
                  <c:v>-4.8000000000000007</c:v>
                </c:pt>
                <c:pt idx="5">
                  <c:v>-4.7500000000000009</c:v>
                </c:pt>
                <c:pt idx="6">
                  <c:v>-4.7000000000000011</c:v>
                </c:pt>
                <c:pt idx="7">
                  <c:v>-4.6500000000000012</c:v>
                </c:pt>
                <c:pt idx="8">
                  <c:v>-4.6000000000000014</c:v>
                </c:pt>
                <c:pt idx="9">
                  <c:v>-4.5500000000000016</c:v>
                </c:pt>
                <c:pt idx="10">
                  <c:v>-4.5000000000000018</c:v>
                </c:pt>
                <c:pt idx="11">
                  <c:v>-4.450000000000002</c:v>
                </c:pt>
                <c:pt idx="12">
                  <c:v>-4.4000000000000021</c:v>
                </c:pt>
                <c:pt idx="13">
                  <c:v>-4.3500000000000023</c:v>
                </c:pt>
                <c:pt idx="14">
                  <c:v>-4.3000000000000025</c:v>
                </c:pt>
                <c:pt idx="15">
                  <c:v>-4.2500000000000027</c:v>
                </c:pt>
                <c:pt idx="16">
                  <c:v>-4.2000000000000028</c:v>
                </c:pt>
                <c:pt idx="17">
                  <c:v>-4.150000000000003</c:v>
                </c:pt>
                <c:pt idx="18">
                  <c:v>-4.1000000000000032</c:v>
                </c:pt>
                <c:pt idx="19">
                  <c:v>-4.0500000000000034</c:v>
                </c:pt>
                <c:pt idx="20">
                  <c:v>-4.0000000000000036</c:v>
                </c:pt>
                <c:pt idx="21">
                  <c:v>-3.9500000000000037</c:v>
                </c:pt>
                <c:pt idx="22">
                  <c:v>-3.9000000000000039</c:v>
                </c:pt>
                <c:pt idx="23">
                  <c:v>-3.8500000000000041</c:v>
                </c:pt>
                <c:pt idx="24">
                  <c:v>-3.8000000000000043</c:v>
                </c:pt>
                <c:pt idx="25">
                  <c:v>-3.7500000000000044</c:v>
                </c:pt>
                <c:pt idx="26">
                  <c:v>-3.7000000000000046</c:v>
                </c:pt>
                <c:pt idx="27">
                  <c:v>-3.6500000000000048</c:v>
                </c:pt>
                <c:pt idx="28">
                  <c:v>-3.600000000000005</c:v>
                </c:pt>
                <c:pt idx="29">
                  <c:v>-3.5500000000000052</c:v>
                </c:pt>
                <c:pt idx="30">
                  <c:v>-3.5000000000000053</c:v>
                </c:pt>
                <c:pt idx="31">
                  <c:v>-3.4500000000000055</c:v>
                </c:pt>
                <c:pt idx="32">
                  <c:v>-3.4000000000000057</c:v>
                </c:pt>
                <c:pt idx="33">
                  <c:v>-3.3500000000000059</c:v>
                </c:pt>
                <c:pt idx="34">
                  <c:v>-3.300000000000006</c:v>
                </c:pt>
                <c:pt idx="35">
                  <c:v>-3.2500000000000062</c:v>
                </c:pt>
                <c:pt idx="36">
                  <c:v>-3.2000000000000064</c:v>
                </c:pt>
                <c:pt idx="37">
                  <c:v>-3.1500000000000066</c:v>
                </c:pt>
                <c:pt idx="38">
                  <c:v>-3.1000000000000068</c:v>
                </c:pt>
                <c:pt idx="39">
                  <c:v>-3.0500000000000069</c:v>
                </c:pt>
                <c:pt idx="40">
                  <c:v>-3.0000000000000071</c:v>
                </c:pt>
                <c:pt idx="41">
                  <c:v>-2.9500000000000073</c:v>
                </c:pt>
                <c:pt idx="42">
                  <c:v>-2.9000000000000075</c:v>
                </c:pt>
                <c:pt idx="43">
                  <c:v>-2.8500000000000076</c:v>
                </c:pt>
                <c:pt idx="44">
                  <c:v>-2.8000000000000078</c:v>
                </c:pt>
                <c:pt idx="45">
                  <c:v>-2.750000000000008</c:v>
                </c:pt>
                <c:pt idx="46">
                  <c:v>-2.7000000000000082</c:v>
                </c:pt>
                <c:pt idx="47">
                  <c:v>-2.6500000000000083</c:v>
                </c:pt>
                <c:pt idx="48">
                  <c:v>-2.6000000000000085</c:v>
                </c:pt>
                <c:pt idx="49">
                  <c:v>-2.5500000000000087</c:v>
                </c:pt>
                <c:pt idx="50">
                  <c:v>-2.5000000000000089</c:v>
                </c:pt>
                <c:pt idx="51">
                  <c:v>-2.4500000000000091</c:v>
                </c:pt>
                <c:pt idx="52">
                  <c:v>-2.4000000000000092</c:v>
                </c:pt>
                <c:pt idx="53">
                  <c:v>-2.3500000000000094</c:v>
                </c:pt>
                <c:pt idx="54">
                  <c:v>-2.3000000000000096</c:v>
                </c:pt>
                <c:pt idx="55">
                  <c:v>-2.2500000000000098</c:v>
                </c:pt>
                <c:pt idx="56">
                  <c:v>-2.2000000000000099</c:v>
                </c:pt>
                <c:pt idx="57">
                  <c:v>-2.1500000000000101</c:v>
                </c:pt>
                <c:pt idx="58">
                  <c:v>-2.1000000000000103</c:v>
                </c:pt>
                <c:pt idx="59">
                  <c:v>-2.0500000000000105</c:v>
                </c:pt>
                <c:pt idx="60">
                  <c:v>-2.0000000000000107</c:v>
                </c:pt>
                <c:pt idx="61">
                  <c:v>-1.9500000000000106</c:v>
                </c:pt>
                <c:pt idx="62">
                  <c:v>-1.9000000000000106</c:v>
                </c:pt>
                <c:pt idx="63">
                  <c:v>-1.8500000000000105</c:v>
                </c:pt>
                <c:pt idx="64">
                  <c:v>-1.8000000000000105</c:v>
                </c:pt>
                <c:pt idx="65">
                  <c:v>-1.7500000000000104</c:v>
                </c:pt>
                <c:pt idx="66">
                  <c:v>-1.7000000000000104</c:v>
                </c:pt>
                <c:pt idx="67">
                  <c:v>-1.6500000000000103</c:v>
                </c:pt>
                <c:pt idx="68">
                  <c:v>-1.6000000000000103</c:v>
                </c:pt>
                <c:pt idx="69">
                  <c:v>-1.5500000000000103</c:v>
                </c:pt>
                <c:pt idx="70">
                  <c:v>-1.5000000000000102</c:v>
                </c:pt>
                <c:pt idx="71">
                  <c:v>-1.4500000000000102</c:v>
                </c:pt>
                <c:pt idx="72">
                  <c:v>-1.4000000000000101</c:v>
                </c:pt>
                <c:pt idx="73">
                  <c:v>-1.3500000000000101</c:v>
                </c:pt>
                <c:pt idx="74">
                  <c:v>-1.30000000000001</c:v>
                </c:pt>
                <c:pt idx="75">
                  <c:v>-1.25000000000001</c:v>
                </c:pt>
                <c:pt idx="76">
                  <c:v>-1.2000000000000099</c:v>
                </c:pt>
                <c:pt idx="77">
                  <c:v>-1.1500000000000099</c:v>
                </c:pt>
                <c:pt idx="78">
                  <c:v>-1.1000000000000099</c:v>
                </c:pt>
                <c:pt idx="79">
                  <c:v>-1.0500000000000098</c:v>
                </c:pt>
                <c:pt idx="80">
                  <c:v>-1.0000000000000098</c:v>
                </c:pt>
                <c:pt idx="81">
                  <c:v>-0.95000000000000973</c:v>
                </c:pt>
                <c:pt idx="82">
                  <c:v>-0.90000000000000968</c:v>
                </c:pt>
                <c:pt idx="83">
                  <c:v>-0.85000000000000964</c:v>
                </c:pt>
                <c:pt idx="84">
                  <c:v>-0.80000000000000959</c:v>
                </c:pt>
                <c:pt idx="85">
                  <c:v>-0.75000000000000955</c:v>
                </c:pt>
                <c:pt idx="86">
                  <c:v>-0.7000000000000095</c:v>
                </c:pt>
                <c:pt idx="87">
                  <c:v>-0.65000000000000946</c:v>
                </c:pt>
                <c:pt idx="88">
                  <c:v>-0.60000000000000941</c:v>
                </c:pt>
                <c:pt idx="89">
                  <c:v>-0.55000000000000937</c:v>
                </c:pt>
                <c:pt idx="90">
                  <c:v>-0.50000000000000933</c:v>
                </c:pt>
                <c:pt idx="91">
                  <c:v>-0.45000000000000934</c:v>
                </c:pt>
                <c:pt idx="92">
                  <c:v>-0.40000000000000935</c:v>
                </c:pt>
                <c:pt idx="93">
                  <c:v>-0.35000000000000936</c:v>
                </c:pt>
                <c:pt idx="94">
                  <c:v>-0.30000000000000937</c:v>
                </c:pt>
                <c:pt idx="95">
                  <c:v>-0.25000000000000938</c:v>
                </c:pt>
                <c:pt idx="96">
                  <c:v>-0.20000000000000939</c:v>
                </c:pt>
                <c:pt idx="97">
                  <c:v>-0.1500000000000094</c:v>
                </c:pt>
                <c:pt idx="98">
                  <c:v>-0.1000000000000094</c:v>
                </c:pt>
                <c:pt idx="99">
                  <c:v>-5.0000000000009398E-2</c:v>
                </c:pt>
                <c:pt idx="100">
                  <c:v>-9.3952623458903872E-15</c:v>
                </c:pt>
                <c:pt idx="101">
                  <c:v>4.9999999999990608E-2</c:v>
                </c:pt>
                <c:pt idx="102">
                  <c:v>9.999999999999061E-2</c:v>
                </c:pt>
                <c:pt idx="103">
                  <c:v>0.14999999999999061</c:v>
                </c:pt>
                <c:pt idx="104">
                  <c:v>0.19999999999999063</c:v>
                </c:pt>
                <c:pt idx="105">
                  <c:v>0.24999999999999062</c:v>
                </c:pt>
                <c:pt idx="106">
                  <c:v>0.29999999999999061</c:v>
                </c:pt>
                <c:pt idx="107">
                  <c:v>0.3499999999999906</c:v>
                </c:pt>
                <c:pt idx="108">
                  <c:v>0.39999999999999059</c:v>
                </c:pt>
                <c:pt idx="109">
                  <c:v>0.44999999999999057</c:v>
                </c:pt>
                <c:pt idx="110">
                  <c:v>0.49999999999999056</c:v>
                </c:pt>
                <c:pt idx="111">
                  <c:v>0.54999999999999061</c:v>
                </c:pt>
                <c:pt idx="112">
                  <c:v>0.59999999999999065</c:v>
                </c:pt>
                <c:pt idx="113">
                  <c:v>0.6499999999999907</c:v>
                </c:pt>
                <c:pt idx="114">
                  <c:v>0.69999999999999074</c:v>
                </c:pt>
                <c:pt idx="115">
                  <c:v>0.74999999999999079</c:v>
                </c:pt>
                <c:pt idx="116">
                  <c:v>0.79999999999999083</c:v>
                </c:pt>
                <c:pt idx="117">
                  <c:v>0.84999999999999087</c:v>
                </c:pt>
                <c:pt idx="118">
                  <c:v>0.89999999999999092</c:v>
                </c:pt>
                <c:pt idx="119">
                  <c:v>0.94999999999999096</c:v>
                </c:pt>
                <c:pt idx="120">
                  <c:v>0.99999999999999101</c:v>
                </c:pt>
                <c:pt idx="121">
                  <c:v>1.0499999999999909</c:v>
                </c:pt>
                <c:pt idx="122">
                  <c:v>1.099999999999991</c:v>
                </c:pt>
                <c:pt idx="123">
                  <c:v>1.149999999999991</c:v>
                </c:pt>
                <c:pt idx="124">
                  <c:v>1.1999999999999911</c:v>
                </c:pt>
                <c:pt idx="125">
                  <c:v>1.2499999999999911</c:v>
                </c:pt>
                <c:pt idx="126">
                  <c:v>1.2999999999999912</c:v>
                </c:pt>
                <c:pt idx="127">
                  <c:v>1.3499999999999912</c:v>
                </c:pt>
                <c:pt idx="128">
                  <c:v>1.3999999999999913</c:v>
                </c:pt>
                <c:pt idx="129">
                  <c:v>1.4499999999999913</c:v>
                </c:pt>
                <c:pt idx="130">
                  <c:v>1.4999999999999913</c:v>
                </c:pt>
                <c:pt idx="131">
                  <c:v>1.5499999999999914</c:v>
                </c:pt>
                <c:pt idx="132">
                  <c:v>1.5999999999999914</c:v>
                </c:pt>
                <c:pt idx="133">
                  <c:v>1.6499999999999915</c:v>
                </c:pt>
                <c:pt idx="134">
                  <c:v>1.6999999999999915</c:v>
                </c:pt>
                <c:pt idx="135">
                  <c:v>1.7499999999999916</c:v>
                </c:pt>
                <c:pt idx="136">
                  <c:v>1.7999999999999916</c:v>
                </c:pt>
                <c:pt idx="137">
                  <c:v>1.8499999999999917</c:v>
                </c:pt>
                <c:pt idx="138">
                  <c:v>1.8999999999999917</c:v>
                </c:pt>
                <c:pt idx="139">
                  <c:v>1.9499999999999917</c:v>
                </c:pt>
                <c:pt idx="140">
                  <c:v>1.9999999999999918</c:v>
                </c:pt>
                <c:pt idx="141">
                  <c:v>2.0499999999999918</c:v>
                </c:pt>
                <c:pt idx="142">
                  <c:v>2.0999999999999917</c:v>
                </c:pt>
                <c:pt idx="143">
                  <c:v>2.1499999999999915</c:v>
                </c:pt>
                <c:pt idx="144">
                  <c:v>2.1999999999999913</c:v>
                </c:pt>
                <c:pt idx="145">
                  <c:v>2.2499999999999911</c:v>
                </c:pt>
                <c:pt idx="146">
                  <c:v>2.2999999999999909</c:v>
                </c:pt>
                <c:pt idx="147">
                  <c:v>2.3499999999999908</c:v>
                </c:pt>
                <c:pt idx="148">
                  <c:v>2.3999999999999906</c:v>
                </c:pt>
                <c:pt idx="149">
                  <c:v>2.4499999999999904</c:v>
                </c:pt>
                <c:pt idx="150">
                  <c:v>2.4999999999999902</c:v>
                </c:pt>
                <c:pt idx="151">
                  <c:v>2.5499999999999901</c:v>
                </c:pt>
                <c:pt idx="152">
                  <c:v>2.5999999999999899</c:v>
                </c:pt>
                <c:pt idx="153">
                  <c:v>2.6499999999999897</c:v>
                </c:pt>
                <c:pt idx="154">
                  <c:v>2.6999999999999895</c:v>
                </c:pt>
                <c:pt idx="155">
                  <c:v>2.7499999999999893</c:v>
                </c:pt>
                <c:pt idx="156">
                  <c:v>2.7999999999999892</c:v>
                </c:pt>
                <c:pt idx="157">
                  <c:v>2.849999999999989</c:v>
                </c:pt>
                <c:pt idx="158">
                  <c:v>2.8999999999999888</c:v>
                </c:pt>
                <c:pt idx="159">
                  <c:v>2.9499999999999886</c:v>
                </c:pt>
                <c:pt idx="160">
                  <c:v>2.9999999999999885</c:v>
                </c:pt>
                <c:pt idx="161">
                  <c:v>3.0499999999999883</c:v>
                </c:pt>
                <c:pt idx="162">
                  <c:v>3.0999999999999881</c:v>
                </c:pt>
                <c:pt idx="163">
                  <c:v>3.1499999999999879</c:v>
                </c:pt>
                <c:pt idx="164">
                  <c:v>3.1999999999999877</c:v>
                </c:pt>
                <c:pt idx="165">
                  <c:v>3.2499999999999876</c:v>
                </c:pt>
                <c:pt idx="166">
                  <c:v>3.2999999999999874</c:v>
                </c:pt>
                <c:pt idx="167">
                  <c:v>3.3499999999999872</c:v>
                </c:pt>
                <c:pt idx="168">
                  <c:v>3.399999999999987</c:v>
                </c:pt>
                <c:pt idx="169">
                  <c:v>3.4499999999999869</c:v>
                </c:pt>
                <c:pt idx="170">
                  <c:v>3.4999999999999867</c:v>
                </c:pt>
                <c:pt idx="171">
                  <c:v>3.5499999999999865</c:v>
                </c:pt>
                <c:pt idx="172">
                  <c:v>3.5999999999999863</c:v>
                </c:pt>
                <c:pt idx="173">
                  <c:v>3.6499999999999861</c:v>
                </c:pt>
                <c:pt idx="174">
                  <c:v>3.699999999999986</c:v>
                </c:pt>
                <c:pt idx="175">
                  <c:v>3.7499999999999858</c:v>
                </c:pt>
                <c:pt idx="176">
                  <c:v>3.7999999999999856</c:v>
                </c:pt>
                <c:pt idx="177">
                  <c:v>3.8499999999999854</c:v>
                </c:pt>
                <c:pt idx="178">
                  <c:v>3.8999999999999853</c:v>
                </c:pt>
                <c:pt idx="179">
                  <c:v>3.9499999999999851</c:v>
                </c:pt>
                <c:pt idx="180">
                  <c:v>3.9999999999999849</c:v>
                </c:pt>
                <c:pt idx="181">
                  <c:v>4.0499999999999847</c:v>
                </c:pt>
                <c:pt idx="182">
                  <c:v>4.0999999999999845</c:v>
                </c:pt>
                <c:pt idx="183">
                  <c:v>4.1499999999999844</c:v>
                </c:pt>
                <c:pt idx="184">
                  <c:v>4.1999999999999842</c:v>
                </c:pt>
                <c:pt idx="185">
                  <c:v>4.249999999999984</c:v>
                </c:pt>
                <c:pt idx="186">
                  <c:v>4.2999999999999838</c:v>
                </c:pt>
                <c:pt idx="187">
                  <c:v>4.3499999999999837</c:v>
                </c:pt>
                <c:pt idx="188">
                  <c:v>4.3999999999999835</c:v>
                </c:pt>
                <c:pt idx="189">
                  <c:v>4.4499999999999833</c:v>
                </c:pt>
                <c:pt idx="190">
                  <c:v>4.4999999999999831</c:v>
                </c:pt>
                <c:pt idx="191">
                  <c:v>4.5499999999999829</c:v>
                </c:pt>
                <c:pt idx="192">
                  <c:v>4.5999999999999828</c:v>
                </c:pt>
                <c:pt idx="193">
                  <c:v>4.6499999999999826</c:v>
                </c:pt>
                <c:pt idx="194">
                  <c:v>4.6999999999999824</c:v>
                </c:pt>
                <c:pt idx="195">
                  <c:v>4.7499999999999822</c:v>
                </c:pt>
                <c:pt idx="196">
                  <c:v>4.7999999999999821</c:v>
                </c:pt>
                <c:pt idx="197">
                  <c:v>4.8499999999999819</c:v>
                </c:pt>
                <c:pt idx="198">
                  <c:v>4.8999999999999817</c:v>
                </c:pt>
                <c:pt idx="199">
                  <c:v>4.9499999999999815</c:v>
                </c:pt>
                <c:pt idx="200">
                  <c:v>4.9999999999999813</c:v>
                </c:pt>
              </c:numCache>
            </c:numRef>
          </c:xVal>
          <c:yVal>
            <c:numRef>
              <c:f>'tridente de newton'!$B$7:$B$207</c:f>
              <c:numCache>
                <c:formatCode>0.00</c:formatCode>
                <c:ptCount val="201"/>
                <c:pt idx="0">
                  <c:v>24.8</c:v>
                </c:pt>
                <c:pt idx="1">
                  <c:v>24.300479797979801</c:v>
                </c:pt>
                <c:pt idx="2">
                  <c:v>23.805918367346944</c:v>
                </c:pt>
                <c:pt idx="3">
                  <c:v>23.316314432989696</c:v>
                </c:pt>
                <c:pt idx="4">
                  <c:v>22.831666666666674</c:v>
                </c:pt>
                <c:pt idx="5">
                  <c:v>22.351973684210535</c:v>
                </c:pt>
                <c:pt idx="6">
                  <c:v>21.877234042553201</c:v>
                </c:pt>
                <c:pt idx="7">
                  <c:v>21.407446236559153</c:v>
                </c:pt>
                <c:pt idx="8">
                  <c:v>20.94260869565219</c:v>
                </c:pt>
                <c:pt idx="9">
                  <c:v>20.482719780219796</c:v>
                </c:pt>
                <c:pt idx="10">
                  <c:v>20.027777777777793</c:v>
                </c:pt>
                <c:pt idx="11">
                  <c:v>19.577780898876419</c:v>
                </c:pt>
                <c:pt idx="12">
                  <c:v>19.132727272727291</c:v>
                </c:pt>
                <c:pt idx="13">
                  <c:v>18.692614942528756</c:v>
                </c:pt>
                <c:pt idx="14">
                  <c:v>18.257441860465136</c:v>
                </c:pt>
                <c:pt idx="15">
                  <c:v>17.827205882352963</c:v>
                </c:pt>
                <c:pt idx="16">
                  <c:v>17.401904761904788</c:v>
                </c:pt>
                <c:pt idx="17">
                  <c:v>16.981536144578339</c:v>
                </c:pt>
                <c:pt idx="18">
                  <c:v>16.566097560975638</c:v>
                </c:pt>
                <c:pt idx="19">
                  <c:v>16.155586419753114</c:v>
                </c:pt>
                <c:pt idx="20">
                  <c:v>15.750000000000028</c:v>
                </c:pt>
                <c:pt idx="21">
                  <c:v>15.349335443038004</c:v>
                </c:pt>
                <c:pt idx="22">
                  <c:v>14.953589743589776</c:v>
                </c:pt>
                <c:pt idx="23">
                  <c:v>14.562759740259771</c:v>
                </c:pt>
                <c:pt idx="24">
                  <c:v>14.176842105263191</c:v>
                </c:pt>
                <c:pt idx="25">
                  <c:v>13.795833333333368</c:v>
                </c:pt>
                <c:pt idx="26">
                  <c:v>13.419729729729765</c:v>
                </c:pt>
                <c:pt idx="27">
                  <c:v>13.04852739726031</c:v>
                </c:pt>
                <c:pt idx="28">
                  <c:v>12.68222222222226</c:v>
                </c:pt>
                <c:pt idx="29">
                  <c:v>12.320809859154966</c:v>
                </c:pt>
                <c:pt idx="30">
                  <c:v>11.964285714285753</c:v>
                </c:pt>
                <c:pt idx="31">
                  <c:v>11.61264492753627</c:v>
                </c:pt>
                <c:pt idx="32">
                  <c:v>11.265882352941215</c:v>
                </c:pt>
                <c:pt idx="33">
                  <c:v>10.923992537313472</c:v>
                </c:pt>
                <c:pt idx="34">
                  <c:v>10.586969696969737</c:v>
                </c:pt>
                <c:pt idx="35">
                  <c:v>10.254807692307734</c:v>
                </c:pt>
                <c:pt idx="36">
                  <c:v>9.9275000000000411</c:v>
                </c:pt>
                <c:pt idx="37">
                  <c:v>9.6050396825397257</c:v>
                </c:pt>
                <c:pt idx="38">
                  <c:v>9.287419354838752</c:v>
                </c:pt>
                <c:pt idx="39">
                  <c:v>8.974631147541027</c:v>
                </c:pt>
                <c:pt idx="40">
                  <c:v>8.6666666666667105</c:v>
                </c:pt>
                <c:pt idx="41">
                  <c:v>8.3635169491525865</c:v>
                </c:pt>
                <c:pt idx="42">
                  <c:v>8.0651724137931478</c:v>
                </c:pt>
                <c:pt idx="43">
                  <c:v>7.7716228070175877</c:v>
                </c:pt>
                <c:pt idx="44">
                  <c:v>7.4828571428571875</c:v>
                </c:pt>
                <c:pt idx="45">
                  <c:v>7.198863636363682</c:v>
                </c:pt>
                <c:pt idx="46">
                  <c:v>6.9196296296296751</c:v>
                </c:pt>
                <c:pt idx="47">
                  <c:v>6.6451415094340076</c:v>
                </c:pt>
                <c:pt idx="48">
                  <c:v>6.3753846153846609</c:v>
                </c:pt>
                <c:pt idx="49">
                  <c:v>6.1103431372549482</c:v>
                </c:pt>
                <c:pt idx="50">
                  <c:v>5.8500000000000458</c:v>
                </c:pt>
                <c:pt idx="51">
                  <c:v>5.5943367346939237</c:v>
                </c:pt>
                <c:pt idx="52">
                  <c:v>5.343333333333379</c:v>
                </c:pt>
                <c:pt idx="53">
                  <c:v>5.096968085106429</c:v>
                </c:pt>
                <c:pt idx="54">
                  <c:v>4.8552173913043939</c:v>
                </c:pt>
                <c:pt idx="55">
                  <c:v>4.6180555555556015</c:v>
                </c:pt>
                <c:pt idx="56">
                  <c:v>4.385454545454591</c:v>
                </c:pt>
                <c:pt idx="57">
                  <c:v>4.1573837209302775</c:v>
                </c:pt>
                <c:pt idx="58">
                  <c:v>3.9338095238095701</c:v>
                </c:pt>
                <c:pt idx="59">
                  <c:v>3.7146951219512654</c:v>
                </c:pt>
                <c:pt idx="60">
                  <c:v>3.5000000000000453</c:v>
                </c:pt>
                <c:pt idx="61">
                  <c:v>3.2896794871795314</c:v>
                </c:pt>
                <c:pt idx="62">
                  <c:v>3.0836842105263589</c:v>
                </c:pt>
                <c:pt idx="63">
                  <c:v>2.8819594594595017</c:v>
                </c:pt>
                <c:pt idx="64">
                  <c:v>2.6844444444444853</c:v>
                </c:pt>
                <c:pt idx="65">
                  <c:v>2.4910714285714683</c:v>
                </c:pt>
                <c:pt idx="66">
                  <c:v>2.301764705882392</c:v>
                </c:pt>
                <c:pt idx="67">
                  <c:v>2.1164393939394319</c:v>
                </c:pt>
                <c:pt idx="68">
                  <c:v>1.9350000000000369</c:v>
                </c:pt>
                <c:pt idx="69">
                  <c:v>1.7573387096774553</c:v>
                </c:pt>
                <c:pt idx="70">
                  <c:v>1.5833333333333686</c:v>
                </c:pt>
                <c:pt idx="71">
                  <c:v>1.4128448275862411</c:v>
                </c:pt>
                <c:pt idx="72">
                  <c:v>1.2457142857143193</c:v>
                </c:pt>
                <c:pt idx="73">
                  <c:v>1.0817592592592922</c:v>
                </c:pt>
                <c:pt idx="74">
                  <c:v>0.92076923076926287</c:v>
                </c:pt>
                <c:pt idx="75">
                  <c:v>0.76250000000003126</c:v>
                </c:pt>
                <c:pt idx="76">
                  <c:v>0.60666666666669755</c:v>
                </c:pt>
                <c:pt idx="77">
                  <c:v>0.45293478260872599</c:v>
                </c:pt>
                <c:pt idx="78">
                  <c:v>0.30090909090912077</c:v>
                </c:pt>
                <c:pt idx="79">
                  <c:v>0.15011904761907724</c:v>
                </c:pt>
                <c:pt idx="80">
                  <c:v>2.9309887850104133E-14</c:v>
                </c:pt>
                <c:pt idx="81">
                  <c:v>-0.15013157894733919</c:v>
                </c:pt>
                <c:pt idx="82">
                  <c:v>-0.3011111111110818</c:v>
                </c:pt>
                <c:pt idx="83">
                  <c:v>-0.45397058823526448</c:v>
                </c:pt>
                <c:pt idx="84">
                  <c:v>-0.60999999999996957</c:v>
                </c:pt>
                <c:pt idx="85">
                  <c:v>-0.77083333333330206</c:v>
                </c:pt>
                <c:pt idx="86">
                  <c:v>-0.93857142857139597</c:v>
                </c:pt>
                <c:pt idx="87">
                  <c:v>-1.1159615384615038</c:v>
                </c:pt>
                <c:pt idx="88">
                  <c:v>-1.3066666666666293</c:v>
                </c:pt>
                <c:pt idx="89">
                  <c:v>-1.5156818181817768</c:v>
                </c:pt>
                <c:pt idx="90">
                  <c:v>-1.7499999999999534</c:v>
                </c:pt>
                <c:pt idx="91">
                  <c:v>-2.0197222222221676</c:v>
                </c:pt>
                <c:pt idx="92">
                  <c:v>-2.3399999999999341</c:v>
                </c:pt>
                <c:pt idx="93">
                  <c:v>-2.7346428571427741</c:v>
                </c:pt>
                <c:pt idx="94">
                  <c:v>-3.2433333333332235</c:v>
                </c:pt>
                <c:pt idx="95">
                  <c:v>-3.937499999999845</c:v>
                </c:pt>
                <c:pt idx="96">
                  <c:v>-4.9599999999997619</c:v>
                </c:pt>
                <c:pt idx="97">
                  <c:v>-6.644166666666246</c:v>
                </c:pt>
                <c:pt idx="98">
                  <c:v>-9.9899999999990587</c:v>
                </c:pt>
                <c:pt idx="99">
                  <c:v>-19.99749999999624</c:v>
                </c:pt>
                <c:pt idx="101">
                  <c:v>20.002500000003756</c:v>
                </c:pt>
                <c:pt idx="102">
                  <c:v>10.010000000000938</c:v>
                </c:pt>
                <c:pt idx="103">
                  <c:v>6.6891666666670808</c:v>
                </c:pt>
                <c:pt idx="104">
                  <c:v>5.040000000000231</c:v>
                </c:pt>
                <c:pt idx="105">
                  <c:v>4.0625000000001457</c:v>
                </c:pt>
                <c:pt idx="106">
                  <c:v>3.4233333333334324</c:v>
                </c:pt>
                <c:pt idx="107">
                  <c:v>2.9796428571429274</c:v>
                </c:pt>
                <c:pt idx="108">
                  <c:v>2.6600000000000512</c:v>
                </c:pt>
                <c:pt idx="109">
                  <c:v>2.4247222222222606</c:v>
                </c:pt>
                <c:pt idx="110">
                  <c:v>2.2500000000000284</c:v>
                </c:pt>
                <c:pt idx="111">
                  <c:v>2.120681818181839</c:v>
                </c:pt>
                <c:pt idx="112">
                  <c:v>2.0266666666666815</c:v>
                </c:pt>
                <c:pt idx="113">
                  <c:v>1.9609615384615484</c:v>
                </c:pt>
                <c:pt idx="114">
                  <c:v>1.9185714285714346</c:v>
                </c:pt>
                <c:pt idx="115">
                  <c:v>1.8958333333333359</c:v>
                </c:pt>
                <c:pt idx="116">
                  <c:v>1.8899999999999997</c:v>
                </c:pt>
                <c:pt idx="117">
                  <c:v>1.8989705882352914</c:v>
                </c:pt>
                <c:pt idx="118">
                  <c:v>1.9211111111111059</c:v>
                </c:pt>
                <c:pt idx="119">
                  <c:v>1.9551315789473613</c:v>
                </c:pt>
                <c:pt idx="120">
                  <c:v>1.9999999999999909</c:v>
                </c:pt>
                <c:pt idx="121">
                  <c:v>2.0548809523809415</c:v>
                </c:pt>
                <c:pt idx="122">
                  <c:v>2.1190909090908967</c:v>
                </c:pt>
                <c:pt idx="123">
                  <c:v>2.1920652173912902</c:v>
                </c:pt>
                <c:pt idx="124">
                  <c:v>2.2733333333333183</c:v>
                </c:pt>
                <c:pt idx="125">
                  <c:v>2.3624999999999834</c:v>
                </c:pt>
                <c:pt idx="126">
                  <c:v>2.4592307692307518</c:v>
                </c:pt>
                <c:pt idx="127">
                  <c:v>2.5632407407407216</c:v>
                </c:pt>
                <c:pt idx="128">
                  <c:v>2.6742857142856944</c:v>
                </c:pt>
                <c:pt idx="129">
                  <c:v>2.7921551724137719</c:v>
                </c:pt>
                <c:pt idx="130">
                  <c:v>2.9166666666666448</c:v>
                </c:pt>
                <c:pt idx="131">
                  <c:v>3.0476612903225573</c:v>
                </c:pt>
                <c:pt idx="132">
                  <c:v>3.1849999999999756</c:v>
                </c:pt>
                <c:pt idx="133">
                  <c:v>3.3285606060605808</c:v>
                </c:pt>
                <c:pt idx="134">
                  <c:v>3.4782352941176211</c:v>
                </c:pt>
                <c:pt idx="135">
                  <c:v>3.633928571428545</c:v>
                </c:pt>
                <c:pt idx="136">
                  <c:v>3.7955555555555276</c:v>
                </c:pt>
                <c:pt idx="137">
                  <c:v>3.9630405405405122</c:v>
                </c:pt>
                <c:pt idx="138">
                  <c:v>4.1363157894736551</c:v>
                </c:pt>
                <c:pt idx="139">
                  <c:v>4.3153205128204828</c:v>
                </c:pt>
                <c:pt idx="140">
                  <c:v>4.4999999999999689</c:v>
                </c:pt>
                <c:pt idx="141">
                  <c:v>4.6903048780487495</c:v>
                </c:pt>
                <c:pt idx="142">
                  <c:v>4.8861904761904427</c:v>
                </c:pt>
                <c:pt idx="143">
                  <c:v>5.0876162790697324</c:v>
                </c:pt>
                <c:pt idx="144">
                  <c:v>5.2945454545454176</c:v>
                </c:pt>
                <c:pt idx="145">
                  <c:v>5.5069444444444065</c:v>
                </c:pt>
                <c:pt idx="146">
                  <c:v>5.7247826086956124</c:v>
                </c:pt>
                <c:pt idx="147">
                  <c:v>5.9480319148935754</c:v>
                </c:pt>
                <c:pt idx="148">
                  <c:v>6.1766666666666232</c:v>
                </c:pt>
                <c:pt idx="149">
                  <c:v>6.4106632653060771</c:v>
                </c:pt>
                <c:pt idx="150">
                  <c:v>6.6499999999999524</c:v>
                </c:pt>
                <c:pt idx="151">
                  <c:v>6.8946568627450482</c:v>
                </c:pt>
                <c:pt idx="152">
                  <c:v>7.1446153846153333</c:v>
                </c:pt>
                <c:pt idx="153">
                  <c:v>7.3998584905659852</c:v>
                </c:pt>
                <c:pt idx="154">
                  <c:v>7.6603703703703152</c:v>
                </c:pt>
                <c:pt idx="155">
                  <c:v>7.9261363636363065</c:v>
                </c:pt>
                <c:pt idx="156">
                  <c:v>8.1971428571427971</c:v>
                </c:pt>
                <c:pt idx="157">
                  <c:v>8.4733771929823938</c:v>
                </c:pt>
                <c:pt idx="158">
                  <c:v>8.754827586206833</c:v>
                </c:pt>
                <c:pt idx="159">
                  <c:v>9.0414830508473916</c:v>
                </c:pt>
                <c:pt idx="160">
                  <c:v>9.3333333333332646</c:v>
                </c:pt>
                <c:pt idx="161">
                  <c:v>9.6303688524589468</c:v>
                </c:pt>
                <c:pt idx="162">
                  <c:v>9.9325806451612184</c:v>
                </c:pt>
                <c:pt idx="163">
                  <c:v>10.239960317460241</c:v>
                </c:pt>
                <c:pt idx="164">
                  <c:v>10.552499999999924</c:v>
                </c:pt>
                <c:pt idx="165">
                  <c:v>10.870192307692227</c:v>
                </c:pt>
                <c:pt idx="166">
                  <c:v>11.193030303030222</c:v>
                </c:pt>
                <c:pt idx="167">
                  <c:v>11.521007462686484</c:v>
                </c:pt>
                <c:pt idx="168">
                  <c:v>11.854117647058736</c:v>
                </c:pt>
                <c:pt idx="169">
                  <c:v>12.192355072463679</c:v>
                </c:pt>
                <c:pt idx="170">
                  <c:v>12.535714285714194</c:v>
                </c:pt>
                <c:pt idx="171">
                  <c:v>12.884190140844977</c:v>
                </c:pt>
                <c:pt idx="172">
                  <c:v>13.23777777777768</c:v>
                </c:pt>
                <c:pt idx="173">
                  <c:v>13.596472602739626</c:v>
                </c:pt>
                <c:pt idx="174">
                  <c:v>13.960270270270168</c:v>
                </c:pt>
                <c:pt idx="175">
                  <c:v>14.329166666666561</c:v>
                </c:pt>
                <c:pt idx="176">
                  <c:v>14.703157894736734</c:v>
                </c:pt>
                <c:pt idx="177">
                  <c:v>15.082240259740148</c:v>
                </c:pt>
                <c:pt idx="178">
                  <c:v>15.466410256410143</c:v>
                </c:pt>
                <c:pt idx="179">
                  <c:v>15.855664556961909</c:v>
                </c:pt>
                <c:pt idx="180">
                  <c:v>16.249999999999879</c:v>
                </c:pt>
                <c:pt idx="181">
                  <c:v>16.64941358024679</c:v>
                </c:pt>
                <c:pt idx="182">
                  <c:v>17.053902439024267</c:v>
                </c:pt>
                <c:pt idx="183">
                  <c:v>17.463463855421555</c:v>
                </c:pt>
                <c:pt idx="184">
                  <c:v>17.878095238095103</c:v>
                </c:pt>
                <c:pt idx="185">
                  <c:v>18.297794117646923</c:v>
                </c:pt>
                <c:pt idx="186">
                  <c:v>18.722558139534744</c:v>
                </c:pt>
                <c:pt idx="187">
                  <c:v>19.152385057471122</c:v>
                </c:pt>
                <c:pt idx="188">
                  <c:v>19.58727272727258</c:v>
                </c:pt>
                <c:pt idx="189">
                  <c:v>20.02721910112345</c:v>
                </c:pt>
                <c:pt idx="190">
                  <c:v>20.472222222222069</c:v>
                </c:pt>
                <c:pt idx="191">
                  <c:v>20.922280219780063</c:v>
                </c:pt>
                <c:pt idx="192">
                  <c:v>21.377391304347668</c:v>
                </c:pt>
                <c:pt idx="193">
                  <c:v>21.837553763440699</c:v>
                </c:pt>
                <c:pt idx="194">
                  <c:v>22.302765957446645</c:v>
                </c:pt>
                <c:pt idx="195">
                  <c:v>22.773026315789306</c:v>
                </c:pt>
                <c:pt idx="196">
                  <c:v>23.248333333333164</c:v>
                </c:pt>
                <c:pt idx="197">
                  <c:v>23.728685567010132</c:v>
                </c:pt>
                <c:pt idx="198">
                  <c:v>24.214081632652881</c:v>
                </c:pt>
                <c:pt idx="199">
                  <c:v>24.704520202020021</c:v>
                </c:pt>
                <c:pt idx="200">
                  <c:v>25.199999999999815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F-4F92-AAE2-0F2269A83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445616"/>
        <c:axId val="1"/>
      </c:scatterChart>
      <c:valAx>
        <c:axId val="8224456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0"/>
          <c:min val="-3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22445616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'inversa de x'!$C$6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strRef>
              <c:f>'inversa de x'!$B$7:$B$207</c:f>
              <c:strCache>
                <c:ptCount val="201"/>
                <c:pt idx="0">
                  <c:v>-2,00</c:v>
                </c:pt>
                <c:pt idx="1">
                  <c:v>-1,98</c:v>
                </c:pt>
                <c:pt idx="2">
                  <c:v>-1,96</c:v>
                </c:pt>
                <c:pt idx="3">
                  <c:v>-1,94</c:v>
                </c:pt>
                <c:pt idx="4">
                  <c:v>-1,92</c:v>
                </c:pt>
                <c:pt idx="5">
                  <c:v>-1,90</c:v>
                </c:pt>
                <c:pt idx="6">
                  <c:v>-1,88</c:v>
                </c:pt>
                <c:pt idx="7">
                  <c:v>-1,86</c:v>
                </c:pt>
                <c:pt idx="8">
                  <c:v>-1,84</c:v>
                </c:pt>
                <c:pt idx="9">
                  <c:v>-1,82</c:v>
                </c:pt>
                <c:pt idx="10">
                  <c:v>-1,80</c:v>
                </c:pt>
                <c:pt idx="11">
                  <c:v>-1,78</c:v>
                </c:pt>
                <c:pt idx="12">
                  <c:v>-1,76</c:v>
                </c:pt>
                <c:pt idx="13">
                  <c:v>-1,74</c:v>
                </c:pt>
                <c:pt idx="14">
                  <c:v>-1,72</c:v>
                </c:pt>
                <c:pt idx="15">
                  <c:v>-1,70</c:v>
                </c:pt>
                <c:pt idx="16">
                  <c:v>-1,68</c:v>
                </c:pt>
                <c:pt idx="17">
                  <c:v>-1,66</c:v>
                </c:pt>
                <c:pt idx="18">
                  <c:v>-1,64</c:v>
                </c:pt>
                <c:pt idx="19">
                  <c:v>-1,62</c:v>
                </c:pt>
                <c:pt idx="20">
                  <c:v>-1,60</c:v>
                </c:pt>
                <c:pt idx="21">
                  <c:v>-1,58</c:v>
                </c:pt>
                <c:pt idx="22">
                  <c:v>-1,56</c:v>
                </c:pt>
                <c:pt idx="23">
                  <c:v>-1,54</c:v>
                </c:pt>
                <c:pt idx="24">
                  <c:v>-1,52</c:v>
                </c:pt>
                <c:pt idx="25">
                  <c:v>-1,50</c:v>
                </c:pt>
                <c:pt idx="26">
                  <c:v>-1,48</c:v>
                </c:pt>
                <c:pt idx="27">
                  <c:v>-1,46</c:v>
                </c:pt>
                <c:pt idx="28">
                  <c:v>-1,44</c:v>
                </c:pt>
                <c:pt idx="29">
                  <c:v>-1,42</c:v>
                </c:pt>
                <c:pt idx="30">
                  <c:v>-1,40</c:v>
                </c:pt>
                <c:pt idx="31">
                  <c:v>-1,38</c:v>
                </c:pt>
                <c:pt idx="32">
                  <c:v>-1,36</c:v>
                </c:pt>
                <c:pt idx="33">
                  <c:v>-1,34</c:v>
                </c:pt>
                <c:pt idx="34">
                  <c:v>-1,32</c:v>
                </c:pt>
                <c:pt idx="35">
                  <c:v>-1,30</c:v>
                </c:pt>
                <c:pt idx="36">
                  <c:v>-1,28</c:v>
                </c:pt>
                <c:pt idx="37">
                  <c:v>-1,26</c:v>
                </c:pt>
                <c:pt idx="38">
                  <c:v>-1,24</c:v>
                </c:pt>
                <c:pt idx="39">
                  <c:v>-1,22</c:v>
                </c:pt>
                <c:pt idx="40">
                  <c:v>-1,20</c:v>
                </c:pt>
                <c:pt idx="41">
                  <c:v>-1,18</c:v>
                </c:pt>
                <c:pt idx="42">
                  <c:v>-1,16</c:v>
                </c:pt>
                <c:pt idx="43">
                  <c:v>-1,14</c:v>
                </c:pt>
                <c:pt idx="44">
                  <c:v>-1,12</c:v>
                </c:pt>
                <c:pt idx="45">
                  <c:v>-1,10</c:v>
                </c:pt>
                <c:pt idx="46">
                  <c:v>-1,08</c:v>
                </c:pt>
                <c:pt idx="47">
                  <c:v>-1,06</c:v>
                </c:pt>
                <c:pt idx="48">
                  <c:v>-1,04</c:v>
                </c:pt>
                <c:pt idx="49">
                  <c:v>-1,02</c:v>
                </c:pt>
                <c:pt idx="50">
                  <c:v>-1,00</c:v>
                </c:pt>
                <c:pt idx="51">
                  <c:v>-0,98</c:v>
                </c:pt>
                <c:pt idx="52">
                  <c:v>-0,96</c:v>
                </c:pt>
                <c:pt idx="53">
                  <c:v>-0,94</c:v>
                </c:pt>
                <c:pt idx="54">
                  <c:v>-0,92</c:v>
                </c:pt>
                <c:pt idx="55">
                  <c:v>-0,90</c:v>
                </c:pt>
                <c:pt idx="56">
                  <c:v>-0,88</c:v>
                </c:pt>
                <c:pt idx="57">
                  <c:v>-0,86</c:v>
                </c:pt>
                <c:pt idx="58">
                  <c:v>-0,84</c:v>
                </c:pt>
                <c:pt idx="59">
                  <c:v>-0,82</c:v>
                </c:pt>
                <c:pt idx="60">
                  <c:v>-0,80</c:v>
                </c:pt>
                <c:pt idx="61">
                  <c:v>-0,78</c:v>
                </c:pt>
                <c:pt idx="62">
                  <c:v>-0,76</c:v>
                </c:pt>
                <c:pt idx="63">
                  <c:v>-0,74</c:v>
                </c:pt>
                <c:pt idx="64">
                  <c:v>-0,72</c:v>
                </c:pt>
                <c:pt idx="65">
                  <c:v>-0,70</c:v>
                </c:pt>
                <c:pt idx="66">
                  <c:v>-0,68</c:v>
                </c:pt>
                <c:pt idx="67">
                  <c:v>-0,66</c:v>
                </c:pt>
                <c:pt idx="68">
                  <c:v>-0,64</c:v>
                </c:pt>
                <c:pt idx="69">
                  <c:v>-0,62</c:v>
                </c:pt>
                <c:pt idx="70">
                  <c:v>-0,60</c:v>
                </c:pt>
                <c:pt idx="71">
                  <c:v>-0,58</c:v>
                </c:pt>
                <c:pt idx="72">
                  <c:v>-0,56</c:v>
                </c:pt>
                <c:pt idx="73">
                  <c:v>-0,54</c:v>
                </c:pt>
                <c:pt idx="74">
                  <c:v>-0,52</c:v>
                </c:pt>
                <c:pt idx="75">
                  <c:v>-0,50</c:v>
                </c:pt>
                <c:pt idx="76">
                  <c:v>-0,48</c:v>
                </c:pt>
                <c:pt idx="77">
                  <c:v>-0,46</c:v>
                </c:pt>
                <c:pt idx="78">
                  <c:v>-0,44</c:v>
                </c:pt>
                <c:pt idx="79">
                  <c:v>-0,42</c:v>
                </c:pt>
                <c:pt idx="80">
                  <c:v>-0,40</c:v>
                </c:pt>
                <c:pt idx="81">
                  <c:v>-0,38</c:v>
                </c:pt>
                <c:pt idx="82">
                  <c:v>-0,36</c:v>
                </c:pt>
                <c:pt idx="83">
                  <c:v>-0,34</c:v>
                </c:pt>
                <c:pt idx="84">
                  <c:v>-0,32</c:v>
                </c:pt>
                <c:pt idx="85">
                  <c:v>-0,30</c:v>
                </c:pt>
                <c:pt idx="86">
                  <c:v>-0,28</c:v>
                </c:pt>
                <c:pt idx="87">
                  <c:v>-0,26</c:v>
                </c:pt>
                <c:pt idx="88">
                  <c:v>-0,24</c:v>
                </c:pt>
                <c:pt idx="89">
                  <c:v>-0,22</c:v>
                </c:pt>
                <c:pt idx="90">
                  <c:v>-0,20</c:v>
                </c:pt>
                <c:pt idx="91">
                  <c:v>-0,18</c:v>
                </c:pt>
                <c:pt idx="92">
                  <c:v>-0,16</c:v>
                </c:pt>
                <c:pt idx="93">
                  <c:v>-0,14</c:v>
                </c:pt>
                <c:pt idx="94">
                  <c:v>-0,12</c:v>
                </c:pt>
                <c:pt idx="95">
                  <c:v>-0,10</c:v>
                </c:pt>
                <c:pt idx="96">
                  <c:v>-0,08</c:v>
                </c:pt>
                <c:pt idx="97">
                  <c:v>-0,06</c:v>
                </c:pt>
                <c:pt idx="98">
                  <c:v>-0,04</c:v>
                </c:pt>
                <c:pt idx="99">
                  <c:v>-0,02</c:v>
                </c:pt>
                <c:pt idx="101">
                  <c:v>0,02</c:v>
                </c:pt>
                <c:pt idx="102">
                  <c:v>0,04</c:v>
                </c:pt>
                <c:pt idx="103">
                  <c:v>0,06</c:v>
                </c:pt>
                <c:pt idx="104">
                  <c:v>0,08</c:v>
                </c:pt>
                <c:pt idx="105">
                  <c:v>0,10</c:v>
                </c:pt>
                <c:pt idx="106">
                  <c:v>0,12</c:v>
                </c:pt>
                <c:pt idx="107">
                  <c:v>0,14</c:v>
                </c:pt>
                <c:pt idx="108">
                  <c:v>0,16</c:v>
                </c:pt>
                <c:pt idx="109">
                  <c:v>0,18</c:v>
                </c:pt>
                <c:pt idx="110">
                  <c:v>0,20</c:v>
                </c:pt>
                <c:pt idx="111">
                  <c:v>0,22</c:v>
                </c:pt>
                <c:pt idx="112">
                  <c:v>0,24</c:v>
                </c:pt>
                <c:pt idx="113">
                  <c:v>0,26</c:v>
                </c:pt>
                <c:pt idx="114">
                  <c:v>0,28</c:v>
                </c:pt>
                <c:pt idx="115">
                  <c:v>0,30</c:v>
                </c:pt>
                <c:pt idx="116">
                  <c:v>0,32</c:v>
                </c:pt>
                <c:pt idx="117">
                  <c:v>0,34</c:v>
                </c:pt>
                <c:pt idx="118">
                  <c:v>0,36</c:v>
                </c:pt>
                <c:pt idx="119">
                  <c:v>0,38</c:v>
                </c:pt>
                <c:pt idx="120">
                  <c:v>0,40</c:v>
                </c:pt>
                <c:pt idx="121">
                  <c:v>0,42</c:v>
                </c:pt>
                <c:pt idx="122">
                  <c:v>0,44</c:v>
                </c:pt>
                <c:pt idx="123">
                  <c:v>0,46</c:v>
                </c:pt>
                <c:pt idx="124">
                  <c:v>0,48</c:v>
                </c:pt>
                <c:pt idx="125">
                  <c:v>0,50</c:v>
                </c:pt>
                <c:pt idx="126">
                  <c:v>0,52</c:v>
                </c:pt>
                <c:pt idx="127">
                  <c:v>0,54</c:v>
                </c:pt>
                <c:pt idx="128">
                  <c:v>0,56</c:v>
                </c:pt>
                <c:pt idx="129">
                  <c:v>0,58</c:v>
                </c:pt>
                <c:pt idx="130">
                  <c:v>0,60</c:v>
                </c:pt>
                <c:pt idx="131">
                  <c:v>0,62</c:v>
                </c:pt>
                <c:pt idx="132">
                  <c:v>0,64</c:v>
                </c:pt>
                <c:pt idx="133">
                  <c:v>0,66</c:v>
                </c:pt>
                <c:pt idx="134">
                  <c:v>0,68</c:v>
                </c:pt>
                <c:pt idx="135">
                  <c:v>0,70</c:v>
                </c:pt>
                <c:pt idx="136">
                  <c:v>0,72</c:v>
                </c:pt>
                <c:pt idx="137">
                  <c:v>0,74</c:v>
                </c:pt>
                <c:pt idx="138">
                  <c:v>0,76</c:v>
                </c:pt>
                <c:pt idx="139">
                  <c:v>0,78</c:v>
                </c:pt>
                <c:pt idx="140">
                  <c:v>0,80</c:v>
                </c:pt>
                <c:pt idx="141">
                  <c:v>0,82</c:v>
                </c:pt>
                <c:pt idx="142">
                  <c:v>0,84</c:v>
                </c:pt>
                <c:pt idx="143">
                  <c:v>0,86</c:v>
                </c:pt>
                <c:pt idx="144">
                  <c:v>0,88</c:v>
                </c:pt>
                <c:pt idx="145">
                  <c:v>0,90</c:v>
                </c:pt>
                <c:pt idx="146">
                  <c:v>0,92</c:v>
                </c:pt>
                <c:pt idx="147">
                  <c:v>0,94</c:v>
                </c:pt>
                <c:pt idx="148">
                  <c:v>0,96</c:v>
                </c:pt>
                <c:pt idx="149">
                  <c:v>0,98</c:v>
                </c:pt>
                <c:pt idx="150">
                  <c:v>1,00</c:v>
                </c:pt>
                <c:pt idx="151">
                  <c:v>1,02</c:v>
                </c:pt>
                <c:pt idx="152">
                  <c:v>1,04</c:v>
                </c:pt>
                <c:pt idx="153">
                  <c:v>1,06</c:v>
                </c:pt>
                <c:pt idx="154">
                  <c:v>1,08</c:v>
                </c:pt>
                <c:pt idx="155">
                  <c:v>1,10</c:v>
                </c:pt>
                <c:pt idx="156">
                  <c:v>1,12</c:v>
                </c:pt>
                <c:pt idx="157">
                  <c:v>1,14</c:v>
                </c:pt>
                <c:pt idx="158">
                  <c:v>1,16</c:v>
                </c:pt>
                <c:pt idx="159">
                  <c:v>1,18</c:v>
                </c:pt>
                <c:pt idx="160">
                  <c:v>1,20</c:v>
                </c:pt>
                <c:pt idx="161">
                  <c:v>1,22</c:v>
                </c:pt>
                <c:pt idx="162">
                  <c:v>1,24</c:v>
                </c:pt>
                <c:pt idx="163">
                  <c:v>1,26</c:v>
                </c:pt>
                <c:pt idx="164">
                  <c:v>1,28</c:v>
                </c:pt>
                <c:pt idx="165">
                  <c:v>1,30</c:v>
                </c:pt>
                <c:pt idx="166">
                  <c:v>1,32</c:v>
                </c:pt>
                <c:pt idx="167">
                  <c:v>1,34</c:v>
                </c:pt>
                <c:pt idx="168">
                  <c:v>1,36</c:v>
                </c:pt>
                <c:pt idx="169">
                  <c:v>1,38</c:v>
                </c:pt>
                <c:pt idx="170">
                  <c:v>1,40</c:v>
                </c:pt>
                <c:pt idx="171">
                  <c:v>1,42</c:v>
                </c:pt>
                <c:pt idx="172">
                  <c:v>1,44</c:v>
                </c:pt>
                <c:pt idx="173">
                  <c:v>1,46</c:v>
                </c:pt>
                <c:pt idx="174">
                  <c:v>1,48</c:v>
                </c:pt>
                <c:pt idx="175">
                  <c:v>1,50</c:v>
                </c:pt>
                <c:pt idx="176">
                  <c:v>1,52</c:v>
                </c:pt>
                <c:pt idx="177">
                  <c:v>1,54</c:v>
                </c:pt>
                <c:pt idx="178">
                  <c:v>1,56</c:v>
                </c:pt>
                <c:pt idx="179">
                  <c:v>1,58</c:v>
                </c:pt>
                <c:pt idx="180">
                  <c:v>1,60</c:v>
                </c:pt>
                <c:pt idx="181">
                  <c:v>1,62</c:v>
                </c:pt>
                <c:pt idx="182">
                  <c:v>1,64</c:v>
                </c:pt>
                <c:pt idx="183">
                  <c:v>1,66</c:v>
                </c:pt>
                <c:pt idx="184">
                  <c:v>1,68</c:v>
                </c:pt>
                <c:pt idx="185">
                  <c:v>1,70</c:v>
                </c:pt>
                <c:pt idx="186">
                  <c:v>1,72</c:v>
                </c:pt>
                <c:pt idx="187">
                  <c:v>1,74</c:v>
                </c:pt>
                <c:pt idx="188">
                  <c:v>1,76</c:v>
                </c:pt>
                <c:pt idx="189">
                  <c:v>1,78</c:v>
                </c:pt>
                <c:pt idx="190">
                  <c:v>1,80</c:v>
                </c:pt>
                <c:pt idx="191">
                  <c:v>1,82</c:v>
                </c:pt>
                <c:pt idx="192">
                  <c:v>1,84</c:v>
                </c:pt>
                <c:pt idx="193">
                  <c:v>1,86</c:v>
                </c:pt>
                <c:pt idx="194">
                  <c:v>1,88</c:v>
                </c:pt>
                <c:pt idx="195">
                  <c:v>1,90</c:v>
                </c:pt>
                <c:pt idx="196">
                  <c:v>1,92</c:v>
                </c:pt>
                <c:pt idx="197">
                  <c:v>1,94</c:v>
                </c:pt>
                <c:pt idx="198">
                  <c:v>1,96</c:v>
                </c:pt>
                <c:pt idx="199">
                  <c:v>1,98</c:v>
                </c:pt>
                <c:pt idx="200">
                  <c:v>2,00</c:v>
                </c:pt>
              </c:strCache>
            </c:strRef>
          </c:xVal>
          <c:yVal>
            <c:numRef>
              <c:f>'inversa de x'!$C$7:$C$207</c:f>
              <c:numCache>
                <c:formatCode>0.00</c:formatCode>
                <c:ptCount val="201"/>
                <c:pt idx="0">
                  <c:v>3.5</c:v>
                </c:pt>
                <c:pt idx="1">
                  <c:v>3.4153494949494947</c:v>
                </c:pt>
                <c:pt idx="2">
                  <c:v>3.3313959183673467</c:v>
                </c:pt>
                <c:pt idx="3">
                  <c:v>3.2481360824742267</c:v>
                </c:pt>
                <c:pt idx="4">
                  <c:v>3.1655666666666664</c:v>
                </c:pt>
                <c:pt idx="5">
                  <c:v>3.0836842105263158</c:v>
                </c:pt>
                <c:pt idx="6">
                  <c:v>3.0024851063829785</c:v>
                </c:pt>
                <c:pt idx="7">
                  <c:v>2.9219655913978491</c:v>
                </c:pt>
                <c:pt idx="8">
                  <c:v>2.8421217391304339</c:v>
                </c:pt>
                <c:pt idx="9">
                  <c:v>2.7629494505494501</c:v>
                </c:pt>
                <c:pt idx="10">
                  <c:v>2.684444444444444</c:v>
                </c:pt>
                <c:pt idx="11">
                  <c:v>2.6066022471910104</c:v>
                </c:pt>
                <c:pt idx="12">
                  <c:v>2.5294181818181811</c:v>
                </c:pt>
                <c:pt idx="13">
                  <c:v>2.4528873563218383</c:v>
                </c:pt>
                <c:pt idx="14">
                  <c:v>2.3770046511627898</c:v>
                </c:pt>
                <c:pt idx="15">
                  <c:v>2.301764705882352</c:v>
                </c:pt>
                <c:pt idx="16">
                  <c:v>2.2271619047619038</c:v>
                </c:pt>
                <c:pt idx="17">
                  <c:v>2.1531903614457821</c:v>
                </c:pt>
                <c:pt idx="18">
                  <c:v>2.0798439024390234</c:v>
                </c:pt>
                <c:pt idx="19">
                  <c:v>2.0071160493827147</c:v>
                </c:pt>
                <c:pt idx="20">
                  <c:v>1.9349999999999987</c:v>
                </c:pt>
                <c:pt idx="21">
                  <c:v>1.8634886075949351</c:v>
                </c:pt>
                <c:pt idx="22">
                  <c:v>1.7925743589743577</c:v>
                </c:pt>
                <c:pt idx="23">
                  <c:v>1.722249350649349</c:v>
                </c:pt>
                <c:pt idx="24">
                  <c:v>1.6525052631578934</c:v>
                </c:pt>
                <c:pt idx="25">
                  <c:v>1.5833333333333317</c:v>
                </c:pt>
                <c:pt idx="26">
                  <c:v>1.5147243243243227</c:v>
                </c:pt>
                <c:pt idx="27">
                  <c:v>1.4466684931506832</c:v>
                </c:pt>
                <c:pt idx="28">
                  <c:v>1.3791555555555539</c:v>
                </c:pt>
                <c:pt idx="29">
                  <c:v>1.3121746478873222</c:v>
                </c:pt>
                <c:pt idx="30">
                  <c:v>1.2457142857142838</c:v>
                </c:pt>
                <c:pt idx="31">
                  <c:v>1.1797623188405779</c:v>
                </c:pt>
                <c:pt idx="32">
                  <c:v>1.1143058823529393</c:v>
                </c:pt>
                <c:pt idx="33">
                  <c:v>1.0493313432835802</c:v>
                </c:pt>
                <c:pt idx="34">
                  <c:v>0.98482424242424049</c:v>
                </c:pt>
                <c:pt idx="35">
                  <c:v>0.92076923076922879</c:v>
                </c:pt>
                <c:pt idx="36">
                  <c:v>0.85714999999999786</c:v>
                </c:pt>
                <c:pt idx="37">
                  <c:v>0.7939492063492043</c:v>
                </c:pt>
                <c:pt idx="38">
                  <c:v>0.7311483870967721</c:v>
                </c:pt>
                <c:pt idx="39">
                  <c:v>0.66872786885245694</c:v>
                </c:pt>
                <c:pt idx="40">
                  <c:v>0.60666666666666458</c:v>
                </c:pt>
                <c:pt idx="41">
                  <c:v>0.54494237288135372</c:v>
                </c:pt>
                <c:pt idx="42">
                  <c:v>0.48353103448275647</c:v>
                </c:pt>
                <c:pt idx="43">
                  <c:v>0.42240701754385734</c:v>
                </c:pt>
                <c:pt idx="44">
                  <c:v>0.36154285714285472</c:v>
                </c:pt>
                <c:pt idx="45">
                  <c:v>0.30090909090908846</c:v>
                </c:pt>
                <c:pt idx="46">
                  <c:v>0.24047407407407173</c:v>
                </c:pt>
                <c:pt idx="47">
                  <c:v>0.18020377358490303</c:v>
                </c:pt>
                <c:pt idx="48">
                  <c:v>0.12006153846153578</c:v>
                </c:pt>
                <c:pt idx="49">
                  <c:v>6.000784313725227E-2</c:v>
                </c:pt>
                <c:pt idx="50">
                  <c:v>-2.6645352591003757E-15</c:v>
                </c:pt>
                <c:pt idx="51">
                  <c:v>-6.0008163265308778E-2</c:v>
                </c:pt>
                <c:pt idx="52">
                  <c:v>-0.12006666666666943</c:v>
                </c:pt>
                <c:pt idx="53">
                  <c:v>-0.18022978723404537</c:v>
                </c:pt>
                <c:pt idx="54">
                  <c:v>-0.24055652173913322</c:v>
                </c:pt>
                <c:pt idx="55">
                  <c:v>-0.30111111111111399</c:v>
                </c:pt>
                <c:pt idx="56">
                  <c:v>-0.36196363636363937</c:v>
                </c:pt>
                <c:pt idx="57">
                  <c:v>-0.42319069767442175</c:v>
                </c:pt>
                <c:pt idx="58">
                  <c:v>-0.48487619047619379</c:v>
                </c:pt>
                <c:pt idx="59">
                  <c:v>-0.54711219512195441</c:v>
                </c:pt>
                <c:pt idx="60">
                  <c:v>-0.61000000000000343</c:v>
                </c:pt>
                <c:pt idx="61">
                  <c:v>-0.67365128205128566</c:v>
                </c:pt>
                <c:pt idx="62">
                  <c:v>-0.73818947368421406</c:v>
                </c:pt>
                <c:pt idx="63">
                  <c:v>-0.803751351351355</c:v>
                </c:pt>
                <c:pt idx="64">
                  <c:v>-0.87048888888889264</c:v>
                </c:pt>
                <c:pt idx="65">
                  <c:v>-0.93857142857143239</c:v>
                </c:pt>
                <c:pt idx="66">
                  <c:v>-1.0081882352941218</c:v>
                </c:pt>
                <c:pt idx="67">
                  <c:v>-1.0795515151515194</c:v>
                </c:pt>
                <c:pt idx="68">
                  <c:v>-1.1529000000000045</c:v>
                </c:pt>
                <c:pt idx="69">
                  <c:v>-1.2285032258064563</c:v>
                </c:pt>
                <c:pt idx="70">
                  <c:v>-1.3066666666666715</c:v>
                </c:pt>
                <c:pt idx="71">
                  <c:v>-1.3877379310344879</c:v>
                </c:pt>
                <c:pt idx="72">
                  <c:v>-1.4721142857142913</c:v>
                </c:pt>
                <c:pt idx="73">
                  <c:v>-1.5602518518518578</c:v>
                </c:pt>
                <c:pt idx="74">
                  <c:v>-1.6526769230769294</c:v>
                </c:pt>
                <c:pt idx="75">
                  <c:v>-1.7500000000000067</c:v>
                </c:pt>
                <c:pt idx="76">
                  <c:v>-1.8529333333333406</c:v>
                </c:pt>
                <c:pt idx="77">
                  <c:v>-1.9623130434782687</c:v>
                </c:pt>
                <c:pt idx="78">
                  <c:v>-2.0791272727272814</c:v>
                </c:pt>
                <c:pt idx="79">
                  <c:v>-2.2045523809523901</c:v>
                </c:pt>
                <c:pt idx="80">
                  <c:v>-2.3400000000000101</c:v>
                </c:pt>
                <c:pt idx="81">
                  <c:v>-2.4871789473684323</c:v>
                </c:pt>
                <c:pt idx="82">
                  <c:v>-2.6481777777777902</c:v>
                </c:pt>
                <c:pt idx="83">
                  <c:v>-2.8255764705882491</c:v>
                </c:pt>
                <c:pt idx="84">
                  <c:v>-3.0226000000000157</c:v>
                </c:pt>
                <c:pt idx="85">
                  <c:v>-3.2433333333333509</c:v>
                </c:pt>
                <c:pt idx="86">
                  <c:v>-3.4930285714285914</c:v>
                </c:pt>
                <c:pt idx="87">
                  <c:v>-3.7785538461538697</c:v>
                </c:pt>
                <c:pt idx="88">
                  <c:v>-4.1090666666666946</c:v>
                </c:pt>
                <c:pt idx="89">
                  <c:v>-4.4970545454545787</c:v>
                </c:pt>
                <c:pt idx="90">
                  <c:v>-4.9600000000000408</c:v>
                </c:pt>
                <c:pt idx="91">
                  <c:v>-5.523155555555606</c:v>
                </c:pt>
                <c:pt idx="92">
                  <c:v>-6.2244000000000641</c:v>
                </c:pt>
                <c:pt idx="93">
                  <c:v>-7.1232571428572271</c:v>
                </c:pt>
                <c:pt idx="94">
                  <c:v>-8.3189333333334492</c:v>
                </c:pt>
                <c:pt idx="95">
                  <c:v>-9.9900000000001725</c:v>
                </c:pt>
                <c:pt idx="96">
                  <c:v>-12.493600000000274</c:v>
                </c:pt>
                <c:pt idx="97">
                  <c:v>-16.663066666667163</c:v>
                </c:pt>
                <c:pt idx="98">
                  <c:v>-24.99840000000113</c:v>
                </c:pt>
                <c:pt idx="99">
                  <c:v>-49.999600000004605</c:v>
                </c:pt>
                <c:pt idx="100">
                  <c:v>0</c:v>
                </c:pt>
                <c:pt idx="101">
                  <c:v>50.000399999995238</c:v>
                </c:pt>
                <c:pt idx="102">
                  <c:v>25.001599999998788</c:v>
                </c:pt>
                <c:pt idx="103">
                  <c:v>16.670266666666119</c:v>
                </c:pt>
                <c:pt idx="104">
                  <c:v>12.506399999999688</c:v>
                </c:pt>
                <c:pt idx="105">
                  <c:v>10.009999999999797</c:v>
                </c:pt>
                <c:pt idx="106">
                  <c:v>8.3477333333331902</c:v>
                </c:pt>
                <c:pt idx="107">
                  <c:v>7.1624571428570363</c:v>
                </c:pt>
                <c:pt idx="108">
                  <c:v>6.2755999999999172</c:v>
                </c:pt>
                <c:pt idx="109">
                  <c:v>5.5879555555554896</c:v>
                </c:pt>
                <c:pt idx="110">
                  <c:v>5.0399999999999467</c:v>
                </c:pt>
                <c:pt idx="111">
                  <c:v>4.5938545454545014</c:v>
                </c:pt>
                <c:pt idx="112">
                  <c:v>4.2242666666666286</c:v>
                </c:pt>
                <c:pt idx="113">
                  <c:v>3.9137538461538144</c:v>
                </c:pt>
                <c:pt idx="114">
                  <c:v>3.6498285714285439</c:v>
                </c:pt>
                <c:pt idx="115">
                  <c:v>3.4233333333333094</c:v>
                </c:pt>
                <c:pt idx="116">
                  <c:v>3.2273999999999794</c:v>
                </c:pt>
                <c:pt idx="117">
                  <c:v>3.056776470588217</c:v>
                </c:pt>
                <c:pt idx="118">
                  <c:v>2.9073777777777616</c:v>
                </c:pt>
                <c:pt idx="119">
                  <c:v>2.7759789473684067</c:v>
                </c:pt>
                <c:pt idx="120">
                  <c:v>2.6599999999999873</c:v>
                </c:pt>
                <c:pt idx="121">
                  <c:v>2.5573523809523695</c:v>
                </c:pt>
                <c:pt idx="122">
                  <c:v>2.4663272727272627</c:v>
                </c:pt>
                <c:pt idx="123">
                  <c:v>2.3855130434782517</c:v>
                </c:pt>
                <c:pt idx="124">
                  <c:v>2.313733333333325</c:v>
                </c:pt>
                <c:pt idx="125">
                  <c:v>2.2499999999999929</c:v>
                </c:pt>
                <c:pt idx="126">
                  <c:v>2.1934769230769167</c:v>
                </c:pt>
                <c:pt idx="127">
                  <c:v>2.1434518518518462</c:v>
                </c:pt>
                <c:pt idx="128">
                  <c:v>2.0993142857142808</c:v>
                </c:pt>
                <c:pt idx="129">
                  <c:v>2.060537931034478</c:v>
                </c:pt>
                <c:pt idx="130">
                  <c:v>2.0266666666666628</c:v>
                </c:pt>
                <c:pt idx="131">
                  <c:v>1.9973032258064483</c:v>
                </c:pt>
                <c:pt idx="132">
                  <c:v>1.9720999999999971</c:v>
                </c:pt>
                <c:pt idx="133">
                  <c:v>1.9507515151515125</c:v>
                </c:pt>
                <c:pt idx="134">
                  <c:v>1.9329882352941155</c:v>
                </c:pt>
                <c:pt idx="135">
                  <c:v>1.9185714285714268</c:v>
                </c:pt>
                <c:pt idx="136">
                  <c:v>1.9072888888888875</c:v>
                </c:pt>
                <c:pt idx="137">
                  <c:v>1.8989513513513505</c:v>
                </c:pt>
                <c:pt idx="138">
                  <c:v>1.8933894736842101</c:v>
                </c:pt>
                <c:pt idx="139">
                  <c:v>1.890451282051282</c:v>
                </c:pt>
                <c:pt idx="140">
                  <c:v>1.8900000000000001</c:v>
                </c:pt>
                <c:pt idx="141">
                  <c:v>1.8919121951219515</c:v>
                </c:pt>
                <c:pt idx="142">
                  <c:v>1.8960761904761911</c:v>
                </c:pt>
                <c:pt idx="143">
                  <c:v>1.9023906976744196</c:v>
                </c:pt>
                <c:pt idx="144">
                  <c:v>1.9107636363636376</c:v>
                </c:pt>
                <c:pt idx="145">
                  <c:v>1.9211111111111125</c:v>
                </c:pt>
                <c:pt idx="146">
                  <c:v>1.9333565217391322</c:v>
                </c:pt>
                <c:pt idx="147">
                  <c:v>1.9474297872340447</c:v>
                </c:pt>
                <c:pt idx="148">
                  <c:v>1.9632666666666692</c:v>
                </c:pt>
                <c:pt idx="149">
                  <c:v>1.9808081632653085</c:v>
                </c:pt>
                <c:pt idx="150">
                  <c:v>2.0000000000000027</c:v>
                </c:pt>
                <c:pt idx="151">
                  <c:v>2.0207921568627483</c:v>
                </c:pt>
                <c:pt idx="152">
                  <c:v>2.0431384615384651</c:v>
                </c:pt>
                <c:pt idx="153">
                  <c:v>2.0669962264150978</c:v>
                </c:pt>
                <c:pt idx="154">
                  <c:v>2.0923259259259295</c:v>
                </c:pt>
                <c:pt idx="155">
                  <c:v>2.1190909090909131</c:v>
                </c:pt>
                <c:pt idx="156">
                  <c:v>2.1472571428571472</c:v>
                </c:pt>
                <c:pt idx="157">
                  <c:v>2.1767929824561452</c:v>
                </c:pt>
                <c:pt idx="158">
                  <c:v>2.2076689655172461</c:v>
                </c:pt>
                <c:pt idx="159">
                  <c:v>2.2398576271186492</c:v>
                </c:pt>
                <c:pt idx="160">
                  <c:v>2.2733333333333388</c:v>
                </c:pt>
                <c:pt idx="161">
                  <c:v>2.3080721311475463</c:v>
                </c:pt>
                <c:pt idx="162">
                  <c:v>2.3440516129032316</c:v>
                </c:pt>
                <c:pt idx="163">
                  <c:v>2.3812507936507998</c:v>
                </c:pt>
                <c:pt idx="164">
                  <c:v>2.4196500000000061</c:v>
                </c:pt>
                <c:pt idx="165">
                  <c:v>2.4592307692307758</c:v>
                </c:pt>
                <c:pt idx="166">
                  <c:v>2.499975757575764</c:v>
                </c:pt>
                <c:pt idx="167">
                  <c:v>2.5418686567164248</c:v>
                </c:pt>
                <c:pt idx="168">
                  <c:v>2.5848941176470657</c:v>
                </c:pt>
                <c:pt idx="169">
                  <c:v>2.6290376811594278</c:v>
                </c:pt>
                <c:pt idx="170">
                  <c:v>2.6742857142857215</c:v>
                </c:pt>
                <c:pt idx="171">
                  <c:v>2.720625352112684</c:v>
                </c:pt>
                <c:pt idx="172">
                  <c:v>2.7680444444444525</c:v>
                </c:pt>
                <c:pt idx="173">
                  <c:v>2.8165315068493229</c:v>
                </c:pt>
                <c:pt idx="174">
                  <c:v>2.8660756756756838</c:v>
                </c:pt>
                <c:pt idx="175">
                  <c:v>2.916666666666675</c:v>
                </c:pt>
                <c:pt idx="176">
                  <c:v>2.9682947368421142</c:v>
                </c:pt>
                <c:pt idx="177">
                  <c:v>3.0209506493506586</c:v>
                </c:pt>
                <c:pt idx="178">
                  <c:v>3.0746256410256501</c:v>
                </c:pt>
                <c:pt idx="179">
                  <c:v>3.1293113924050724</c:v>
                </c:pt>
                <c:pt idx="180">
                  <c:v>3.1850000000000098</c:v>
                </c:pt>
                <c:pt idx="181">
                  <c:v>3.2416839506172939</c:v>
                </c:pt>
                <c:pt idx="182">
                  <c:v>3.2993560975609859</c:v>
                </c:pt>
                <c:pt idx="183">
                  <c:v>3.3580096385542269</c:v>
                </c:pt>
                <c:pt idx="184">
                  <c:v>3.4176380952381056</c:v>
                </c:pt>
                <c:pt idx="185">
                  <c:v>3.478235294117658</c:v>
                </c:pt>
                <c:pt idx="186">
                  <c:v>3.5397953488372202</c:v>
                </c:pt>
                <c:pt idx="187">
                  <c:v>3.6023126436781725</c:v>
                </c:pt>
                <c:pt idx="188">
                  <c:v>3.6657818181818294</c:v>
                </c:pt>
                <c:pt idx="189">
                  <c:v>3.730197752809</c:v>
                </c:pt>
                <c:pt idx="190">
                  <c:v>3.7955555555555676</c:v>
                </c:pt>
                <c:pt idx="191">
                  <c:v>3.8618505494505615</c:v>
                </c:pt>
                <c:pt idx="192">
                  <c:v>3.9290782608695776</c:v>
                </c:pt>
                <c:pt idx="193">
                  <c:v>3.9972344086021634</c:v>
                </c:pt>
                <c:pt idx="194">
                  <c:v>4.0663148936170339</c:v>
                </c:pt>
                <c:pt idx="195">
                  <c:v>4.1363157894736968</c:v>
                </c:pt>
                <c:pt idx="196">
                  <c:v>4.2072333333333463</c:v>
                </c:pt>
                <c:pt idx="197">
                  <c:v>4.2790639175257867</c:v>
                </c:pt>
                <c:pt idx="198">
                  <c:v>4.3518040816326664</c:v>
                </c:pt>
                <c:pt idx="199">
                  <c:v>4.4254505050505193</c:v>
                </c:pt>
                <c:pt idx="200">
                  <c:v>4.5000000000000151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69-4FF4-A0D3-AE4441E81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802512"/>
        <c:axId val="1"/>
      </c:scatterChart>
      <c:valAx>
        <c:axId val="8218025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2180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'8_7'!$C$23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'8_7'!$A$24:$A$35</c:f>
              <c:numCache>
                <c:formatCode>0.0</c:formatCode>
                <c:ptCount val="12"/>
                <c:pt idx="0">
                  <c:v>2</c:v>
                </c:pt>
                <c:pt idx="1">
                  <c:v>2.1</c:v>
                </c:pt>
                <c:pt idx="2">
                  <c:v>2.1999999999999997</c:v>
                </c:pt>
                <c:pt idx="3">
                  <c:v>2.2999999999999994</c:v>
                </c:pt>
                <c:pt idx="4">
                  <c:v>2.3999999999999995</c:v>
                </c:pt>
                <c:pt idx="5">
                  <c:v>2.4999999999999991</c:v>
                </c:pt>
                <c:pt idx="6">
                  <c:v>2.5999999999999992</c:v>
                </c:pt>
                <c:pt idx="7">
                  <c:v>2.6999999999999988</c:v>
                </c:pt>
                <c:pt idx="8">
                  <c:v>2.7999999999999985</c:v>
                </c:pt>
                <c:pt idx="9">
                  <c:v>2.8999999999999986</c:v>
                </c:pt>
                <c:pt idx="10">
                  <c:v>2.9999999999999982</c:v>
                </c:pt>
                <c:pt idx="11">
                  <c:v>3.0999999999999983</c:v>
                </c:pt>
              </c:numCache>
            </c:numRef>
          </c:xVal>
          <c:yVal>
            <c:numRef>
              <c:f>'8_7'!$C$24:$C$35</c:f>
              <c:numCache>
                <c:formatCode>#,##0</c:formatCode>
                <c:ptCount val="12"/>
                <c:pt idx="0">
                  <c:v>719618.20941638411</c:v>
                </c:pt>
                <c:pt idx="1">
                  <c:v>337587.10809300753</c:v>
                </c:pt>
                <c:pt idx="2">
                  <c:v>191529.21333906759</c:v>
                </c:pt>
                <c:pt idx="3">
                  <c:v>116059.72784434713</c:v>
                </c:pt>
                <c:pt idx="4">
                  <c:v>70857.451435046445</c:v>
                </c:pt>
                <c:pt idx="5">
                  <c:v>41277.828764494625</c:v>
                </c:pt>
                <c:pt idx="6">
                  <c:v>20740.251110129611</c:v>
                </c:pt>
                <c:pt idx="7">
                  <c:v>5860.5118023861432</c:v>
                </c:pt>
                <c:pt idx="8">
                  <c:v>-5272.8021773433793</c:v>
                </c:pt>
                <c:pt idx="9">
                  <c:v>-13816.426375585339</c:v>
                </c:pt>
                <c:pt idx="10">
                  <c:v>-20508.482658247034</c:v>
                </c:pt>
                <c:pt idx="11">
                  <c:v>-25840.156805675229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E-4F08-86E0-06434ED5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885872"/>
        <c:axId val="1"/>
      </c:scatterChart>
      <c:valAx>
        <c:axId val="31388587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1388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917808219178078E-2"/>
          <c:y val="2.9473684210526315E-2"/>
          <c:w val="0.89269406392694062"/>
          <c:h val="0.869473684210526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'8_15'!$B$9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'8_15'!$A$10:$A$501</c:f>
              <c:numCache>
                <c:formatCode>0.000</c:formatCode>
                <c:ptCount val="492"/>
                <c:pt idx="0">
                  <c:v>1.0000000000000001E-5</c:v>
                </c:pt>
                <c:pt idx="1">
                  <c:v>1.001E-2</c:v>
                </c:pt>
                <c:pt idx="2">
                  <c:v>2.001E-2</c:v>
                </c:pt>
                <c:pt idx="3">
                  <c:v>3.0010000000000002E-2</c:v>
                </c:pt>
                <c:pt idx="4">
                  <c:v>4.0010000000000004E-2</c:v>
                </c:pt>
                <c:pt idx="5">
                  <c:v>5.0010000000000006E-2</c:v>
                </c:pt>
                <c:pt idx="6">
                  <c:v>6.0010000000000008E-2</c:v>
                </c:pt>
                <c:pt idx="7">
                  <c:v>7.0010000000000003E-2</c:v>
                </c:pt>
                <c:pt idx="8">
                  <c:v>8.0009999999999998E-2</c:v>
                </c:pt>
                <c:pt idx="9">
                  <c:v>9.0009999999999993E-2</c:v>
                </c:pt>
                <c:pt idx="10">
                  <c:v>0.10000999999999999</c:v>
                </c:pt>
                <c:pt idx="11">
                  <c:v>0.11000999999999998</c:v>
                </c:pt>
                <c:pt idx="12">
                  <c:v>0.12000999999999998</c:v>
                </c:pt>
                <c:pt idx="13">
                  <c:v>0.13000999999999999</c:v>
                </c:pt>
                <c:pt idx="14">
                  <c:v>0.14001</c:v>
                </c:pt>
                <c:pt idx="15">
                  <c:v>0.15001</c:v>
                </c:pt>
                <c:pt idx="16">
                  <c:v>0.16001000000000001</c:v>
                </c:pt>
                <c:pt idx="17">
                  <c:v>0.17001000000000002</c:v>
                </c:pt>
                <c:pt idx="18">
                  <c:v>0.18001000000000003</c:v>
                </c:pt>
                <c:pt idx="19">
                  <c:v>0.19001000000000004</c:v>
                </c:pt>
                <c:pt idx="20">
                  <c:v>0.20001000000000005</c:v>
                </c:pt>
                <c:pt idx="21">
                  <c:v>0.21001000000000006</c:v>
                </c:pt>
                <c:pt idx="22">
                  <c:v>0.22001000000000007</c:v>
                </c:pt>
                <c:pt idx="23">
                  <c:v>0.23001000000000008</c:v>
                </c:pt>
                <c:pt idx="24">
                  <c:v>0.24001000000000008</c:v>
                </c:pt>
                <c:pt idx="25">
                  <c:v>0.25001000000000007</c:v>
                </c:pt>
                <c:pt idx="26">
                  <c:v>0.26001000000000007</c:v>
                </c:pt>
                <c:pt idx="27">
                  <c:v>0.27001000000000008</c:v>
                </c:pt>
                <c:pt idx="28">
                  <c:v>0.28001000000000009</c:v>
                </c:pt>
                <c:pt idx="29">
                  <c:v>0.2900100000000001</c:v>
                </c:pt>
                <c:pt idx="30">
                  <c:v>0.30001000000000011</c:v>
                </c:pt>
                <c:pt idx="31">
                  <c:v>0.31001000000000012</c:v>
                </c:pt>
                <c:pt idx="32">
                  <c:v>0.32001000000000013</c:v>
                </c:pt>
                <c:pt idx="33">
                  <c:v>0.33001000000000014</c:v>
                </c:pt>
                <c:pt idx="34">
                  <c:v>0.34001000000000015</c:v>
                </c:pt>
                <c:pt idx="35">
                  <c:v>0.35001000000000015</c:v>
                </c:pt>
                <c:pt idx="36">
                  <c:v>0.36001000000000016</c:v>
                </c:pt>
                <c:pt idx="37">
                  <c:v>0.37001000000000017</c:v>
                </c:pt>
                <c:pt idx="38">
                  <c:v>0.38001000000000018</c:v>
                </c:pt>
                <c:pt idx="39">
                  <c:v>0.39001000000000019</c:v>
                </c:pt>
                <c:pt idx="40">
                  <c:v>0.4000100000000002</c:v>
                </c:pt>
                <c:pt idx="41">
                  <c:v>0.41001000000000021</c:v>
                </c:pt>
                <c:pt idx="42">
                  <c:v>0.42001000000000022</c:v>
                </c:pt>
                <c:pt idx="43">
                  <c:v>0.43001000000000023</c:v>
                </c:pt>
                <c:pt idx="44">
                  <c:v>0.44001000000000023</c:v>
                </c:pt>
                <c:pt idx="45">
                  <c:v>0.45001000000000024</c:v>
                </c:pt>
                <c:pt idx="46">
                  <c:v>0.46001000000000025</c:v>
                </c:pt>
                <c:pt idx="47">
                  <c:v>0.47001000000000026</c:v>
                </c:pt>
                <c:pt idx="48">
                  <c:v>0.48001000000000027</c:v>
                </c:pt>
                <c:pt idx="49">
                  <c:v>0.49001000000000028</c:v>
                </c:pt>
                <c:pt idx="50">
                  <c:v>0.50001000000000029</c:v>
                </c:pt>
                <c:pt idx="51">
                  <c:v>0.5100100000000003</c:v>
                </c:pt>
                <c:pt idx="52">
                  <c:v>0.52001000000000031</c:v>
                </c:pt>
                <c:pt idx="53">
                  <c:v>0.53001000000000031</c:v>
                </c:pt>
                <c:pt idx="54">
                  <c:v>0.54001000000000032</c:v>
                </c:pt>
                <c:pt idx="55">
                  <c:v>0.55001000000000033</c:v>
                </c:pt>
                <c:pt idx="56">
                  <c:v>0.56001000000000034</c:v>
                </c:pt>
                <c:pt idx="57">
                  <c:v>0.57001000000000035</c:v>
                </c:pt>
                <c:pt idx="58">
                  <c:v>0.58001000000000036</c:v>
                </c:pt>
                <c:pt idx="59">
                  <c:v>0.59001000000000037</c:v>
                </c:pt>
                <c:pt idx="60">
                  <c:v>0.60001000000000038</c:v>
                </c:pt>
                <c:pt idx="61">
                  <c:v>0.61001000000000039</c:v>
                </c:pt>
                <c:pt idx="62">
                  <c:v>0.62001000000000039</c:v>
                </c:pt>
                <c:pt idx="63">
                  <c:v>0.6300100000000004</c:v>
                </c:pt>
                <c:pt idx="64">
                  <c:v>0.64001000000000041</c:v>
                </c:pt>
                <c:pt idx="65">
                  <c:v>0.65001000000000042</c:v>
                </c:pt>
                <c:pt idx="66">
                  <c:v>0.66001000000000043</c:v>
                </c:pt>
                <c:pt idx="67">
                  <c:v>0.67001000000000044</c:v>
                </c:pt>
                <c:pt idx="68">
                  <c:v>0.68001000000000045</c:v>
                </c:pt>
                <c:pt idx="69">
                  <c:v>0.69001000000000046</c:v>
                </c:pt>
                <c:pt idx="70">
                  <c:v>0.70001000000000047</c:v>
                </c:pt>
                <c:pt idx="71">
                  <c:v>0.71001000000000047</c:v>
                </c:pt>
                <c:pt idx="72">
                  <c:v>0.72001000000000048</c:v>
                </c:pt>
                <c:pt idx="73">
                  <c:v>0.73001000000000049</c:v>
                </c:pt>
                <c:pt idx="74">
                  <c:v>0.7400100000000005</c:v>
                </c:pt>
                <c:pt idx="75">
                  <c:v>0.75001000000000051</c:v>
                </c:pt>
                <c:pt idx="76">
                  <c:v>0.76001000000000052</c:v>
                </c:pt>
                <c:pt idx="77">
                  <c:v>0.77001000000000053</c:v>
                </c:pt>
                <c:pt idx="78">
                  <c:v>0.78001000000000054</c:v>
                </c:pt>
                <c:pt idx="79">
                  <c:v>0.79001000000000055</c:v>
                </c:pt>
                <c:pt idx="80">
                  <c:v>0.80001000000000055</c:v>
                </c:pt>
                <c:pt idx="81">
                  <c:v>0.81001000000000056</c:v>
                </c:pt>
                <c:pt idx="82">
                  <c:v>0.82001000000000057</c:v>
                </c:pt>
                <c:pt idx="83">
                  <c:v>0.83001000000000058</c:v>
                </c:pt>
                <c:pt idx="84">
                  <c:v>0.84001000000000059</c:v>
                </c:pt>
                <c:pt idx="85">
                  <c:v>0.8500100000000006</c:v>
                </c:pt>
                <c:pt idx="86">
                  <c:v>0.86001000000000061</c:v>
                </c:pt>
                <c:pt idx="87">
                  <c:v>0.87001000000000062</c:v>
                </c:pt>
                <c:pt idx="88">
                  <c:v>0.88001000000000063</c:v>
                </c:pt>
                <c:pt idx="89">
                  <c:v>0.89001000000000063</c:v>
                </c:pt>
                <c:pt idx="90">
                  <c:v>0.90001000000000064</c:v>
                </c:pt>
                <c:pt idx="91">
                  <c:v>0.91001000000000065</c:v>
                </c:pt>
                <c:pt idx="92">
                  <c:v>0.92001000000000066</c:v>
                </c:pt>
                <c:pt idx="93">
                  <c:v>0.93001000000000067</c:v>
                </c:pt>
                <c:pt idx="94">
                  <c:v>0.94001000000000068</c:v>
                </c:pt>
                <c:pt idx="95">
                  <c:v>0.95001000000000069</c:v>
                </c:pt>
                <c:pt idx="96">
                  <c:v>0.9600100000000007</c:v>
                </c:pt>
                <c:pt idx="97">
                  <c:v>0.97001000000000071</c:v>
                </c:pt>
                <c:pt idx="98">
                  <c:v>0.98001000000000071</c:v>
                </c:pt>
                <c:pt idx="99">
                  <c:v>0.99001000000000072</c:v>
                </c:pt>
                <c:pt idx="100">
                  <c:v>1.0000100000000007</c:v>
                </c:pt>
                <c:pt idx="101">
                  <c:v>1.0100100000000007</c:v>
                </c:pt>
                <c:pt idx="102">
                  <c:v>1.0200100000000007</c:v>
                </c:pt>
                <c:pt idx="103">
                  <c:v>1.0300100000000008</c:v>
                </c:pt>
                <c:pt idx="104">
                  <c:v>1.0400100000000008</c:v>
                </c:pt>
                <c:pt idx="105">
                  <c:v>1.0500100000000008</c:v>
                </c:pt>
                <c:pt idx="106">
                  <c:v>1.0600100000000008</c:v>
                </c:pt>
                <c:pt idx="107">
                  <c:v>1.0700100000000008</c:v>
                </c:pt>
                <c:pt idx="108">
                  <c:v>1.0800100000000008</c:v>
                </c:pt>
                <c:pt idx="109">
                  <c:v>1.0900100000000008</c:v>
                </c:pt>
                <c:pt idx="110">
                  <c:v>1.1000100000000008</c:v>
                </c:pt>
                <c:pt idx="111">
                  <c:v>1.1100100000000008</c:v>
                </c:pt>
                <c:pt idx="112">
                  <c:v>1.1200100000000008</c:v>
                </c:pt>
                <c:pt idx="113">
                  <c:v>1.1300100000000008</c:v>
                </c:pt>
                <c:pt idx="114">
                  <c:v>1.1400100000000009</c:v>
                </c:pt>
                <c:pt idx="115">
                  <c:v>1.1500100000000009</c:v>
                </c:pt>
                <c:pt idx="116">
                  <c:v>1.1600100000000009</c:v>
                </c:pt>
                <c:pt idx="117">
                  <c:v>1.1700100000000009</c:v>
                </c:pt>
                <c:pt idx="118">
                  <c:v>1.1800100000000009</c:v>
                </c:pt>
                <c:pt idx="119">
                  <c:v>1.1900100000000009</c:v>
                </c:pt>
                <c:pt idx="120">
                  <c:v>1.2000100000000009</c:v>
                </c:pt>
                <c:pt idx="121">
                  <c:v>1.2100100000000009</c:v>
                </c:pt>
                <c:pt idx="122">
                  <c:v>1.2200100000000009</c:v>
                </c:pt>
                <c:pt idx="123">
                  <c:v>1.2300100000000009</c:v>
                </c:pt>
                <c:pt idx="124">
                  <c:v>1.2400100000000009</c:v>
                </c:pt>
                <c:pt idx="125">
                  <c:v>1.250010000000001</c:v>
                </c:pt>
                <c:pt idx="126">
                  <c:v>1.260010000000001</c:v>
                </c:pt>
                <c:pt idx="127">
                  <c:v>1.270010000000001</c:v>
                </c:pt>
                <c:pt idx="128">
                  <c:v>1.280010000000001</c:v>
                </c:pt>
                <c:pt idx="129">
                  <c:v>1.290010000000001</c:v>
                </c:pt>
                <c:pt idx="130">
                  <c:v>1.300010000000001</c:v>
                </c:pt>
                <c:pt idx="131">
                  <c:v>1.310010000000001</c:v>
                </c:pt>
                <c:pt idx="132">
                  <c:v>1.320010000000001</c:v>
                </c:pt>
                <c:pt idx="133">
                  <c:v>1.330010000000001</c:v>
                </c:pt>
                <c:pt idx="134">
                  <c:v>1.340010000000001</c:v>
                </c:pt>
                <c:pt idx="135">
                  <c:v>1.350010000000001</c:v>
                </c:pt>
                <c:pt idx="136">
                  <c:v>1.3600100000000011</c:v>
                </c:pt>
                <c:pt idx="137">
                  <c:v>1.3700100000000011</c:v>
                </c:pt>
                <c:pt idx="138">
                  <c:v>1.3800100000000011</c:v>
                </c:pt>
                <c:pt idx="139">
                  <c:v>1.3900100000000011</c:v>
                </c:pt>
                <c:pt idx="140">
                  <c:v>1.4000100000000011</c:v>
                </c:pt>
                <c:pt idx="141">
                  <c:v>1.4100100000000011</c:v>
                </c:pt>
                <c:pt idx="142">
                  <c:v>1.4200100000000011</c:v>
                </c:pt>
                <c:pt idx="143">
                  <c:v>1.4300100000000011</c:v>
                </c:pt>
                <c:pt idx="144">
                  <c:v>1.4400100000000011</c:v>
                </c:pt>
                <c:pt idx="145">
                  <c:v>1.4500100000000011</c:v>
                </c:pt>
                <c:pt idx="146">
                  <c:v>1.4600100000000011</c:v>
                </c:pt>
                <c:pt idx="147">
                  <c:v>1.4700100000000011</c:v>
                </c:pt>
                <c:pt idx="148">
                  <c:v>1.4800100000000012</c:v>
                </c:pt>
                <c:pt idx="149">
                  <c:v>1.4900100000000012</c:v>
                </c:pt>
                <c:pt idx="150">
                  <c:v>1.5000100000000012</c:v>
                </c:pt>
                <c:pt idx="151">
                  <c:v>1.5100100000000012</c:v>
                </c:pt>
                <c:pt idx="152">
                  <c:v>1.5200100000000012</c:v>
                </c:pt>
                <c:pt idx="153">
                  <c:v>1.5300100000000012</c:v>
                </c:pt>
                <c:pt idx="154">
                  <c:v>1.5400100000000012</c:v>
                </c:pt>
                <c:pt idx="155">
                  <c:v>1.5500100000000012</c:v>
                </c:pt>
                <c:pt idx="156">
                  <c:v>1.5600100000000012</c:v>
                </c:pt>
                <c:pt idx="157">
                  <c:v>1.5700100000000012</c:v>
                </c:pt>
                <c:pt idx="158">
                  <c:v>1.5800100000000012</c:v>
                </c:pt>
                <c:pt idx="159">
                  <c:v>1.5900100000000013</c:v>
                </c:pt>
                <c:pt idx="160">
                  <c:v>1.6000100000000013</c:v>
                </c:pt>
                <c:pt idx="161">
                  <c:v>1.6100100000000013</c:v>
                </c:pt>
                <c:pt idx="162">
                  <c:v>1.6200100000000013</c:v>
                </c:pt>
                <c:pt idx="163">
                  <c:v>1.6300100000000013</c:v>
                </c:pt>
                <c:pt idx="164">
                  <c:v>1.6400100000000013</c:v>
                </c:pt>
                <c:pt idx="165">
                  <c:v>1.6500100000000013</c:v>
                </c:pt>
                <c:pt idx="166">
                  <c:v>1.6600100000000013</c:v>
                </c:pt>
                <c:pt idx="167">
                  <c:v>1.6700100000000013</c:v>
                </c:pt>
                <c:pt idx="168">
                  <c:v>1.6800100000000013</c:v>
                </c:pt>
                <c:pt idx="169">
                  <c:v>1.6900100000000013</c:v>
                </c:pt>
                <c:pt idx="170">
                  <c:v>1.7000100000000014</c:v>
                </c:pt>
                <c:pt idx="171">
                  <c:v>1.7100100000000014</c:v>
                </c:pt>
                <c:pt idx="172">
                  <c:v>1.7200100000000014</c:v>
                </c:pt>
                <c:pt idx="173">
                  <c:v>1.7300100000000014</c:v>
                </c:pt>
                <c:pt idx="174">
                  <c:v>1.7400100000000014</c:v>
                </c:pt>
                <c:pt idx="175">
                  <c:v>1.7500100000000014</c:v>
                </c:pt>
                <c:pt idx="176">
                  <c:v>1.7600100000000014</c:v>
                </c:pt>
                <c:pt idx="177">
                  <c:v>1.7700100000000014</c:v>
                </c:pt>
                <c:pt idx="178">
                  <c:v>1.7800100000000014</c:v>
                </c:pt>
                <c:pt idx="179">
                  <c:v>1.7900100000000014</c:v>
                </c:pt>
                <c:pt idx="180">
                  <c:v>1.8000100000000014</c:v>
                </c:pt>
                <c:pt idx="181">
                  <c:v>1.8100100000000015</c:v>
                </c:pt>
                <c:pt idx="182">
                  <c:v>1.8200100000000015</c:v>
                </c:pt>
                <c:pt idx="183">
                  <c:v>1.8300100000000015</c:v>
                </c:pt>
                <c:pt idx="184">
                  <c:v>1.8400100000000015</c:v>
                </c:pt>
                <c:pt idx="185">
                  <c:v>1.8500100000000015</c:v>
                </c:pt>
                <c:pt idx="186">
                  <c:v>1.8600100000000015</c:v>
                </c:pt>
                <c:pt idx="187">
                  <c:v>1.8700100000000015</c:v>
                </c:pt>
                <c:pt idx="188">
                  <c:v>1.8800100000000015</c:v>
                </c:pt>
                <c:pt idx="189">
                  <c:v>1.8900100000000015</c:v>
                </c:pt>
                <c:pt idx="190">
                  <c:v>1.9000100000000015</c:v>
                </c:pt>
                <c:pt idx="191">
                  <c:v>1.9100100000000015</c:v>
                </c:pt>
                <c:pt idx="192">
                  <c:v>1.9200100000000015</c:v>
                </c:pt>
                <c:pt idx="193">
                  <c:v>1.9300100000000016</c:v>
                </c:pt>
                <c:pt idx="194">
                  <c:v>1.9400100000000016</c:v>
                </c:pt>
                <c:pt idx="195">
                  <c:v>1.9500100000000016</c:v>
                </c:pt>
                <c:pt idx="196">
                  <c:v>1.9600100000000016</c:v>
                </c:pt>
                <c:pt idx="197">
                  <c:v>1.9700100000000016</c:v>
                </c:pt>
                <c:pt idx="198">
                  <c:v>1.9800100000000016</c:v>
                </c:pt>
                <c:pt idx="199">
                  <c:v>1.9900100000000016</c:v>
                </c:pt>
                <c:pt idx="200">
                  <c:v>2.0000100000000014</c:v>
                </c:pt>
                <c:pt idx="201">
                  <c:v>2.0100100000000012</c:v>
                </c:pt>
                <c:pt idx="202">
                  <c:v>2.020010000000001</c:v>
                </c:pt>
                <c:pt idx="203">
                  <c:v>2.0300100000000008</c:v>
                </c:pt>
                <c:pt idx="204">
                  <c:v>2.0400100000000005</c:v>
                </c:pt>
                <c:pt idx="205">
                  <c:v>2.0500100000000003</c:v>
                </c:pt>
                <c:pt idx="206">
                  <c:v>2.0600100000000001</c:v>
                </c:pt>
                <c:pt idx="207">
                  <c:v>2.0700099999999999</c:v>
                </c:pt>
                <c:pt idx="208">
                  <c:v>2.0800099999999997</c:v>
                </c:pt>
                <c:pt idx="209">
                  <c:v>2.0900099999999995</c:v>
                </c:pt>
                <c:pt idx="210">
                  <c:v>2.1000099999999993</c:v>
                </c:pt>
                <c:pt idx="211">
                  <c:v>2.1100099999999991</c:v>
                </c:pt>
                <c:pt idx="212">
                  <c:v>2.1200099999999988</c:v>
                </c:pt>
                <c:pt idx="213">
                  <c:v>2.1300099999999986</c:v>
                </c:pt>
                <c:pt idx="214">
                  <c:v>2.1400099999999984</c:v>
                </c:pt>
                <c:pt idx="215">
                  <c:v>2.1500099999999982</c:v>
                </c:pt>
                <c:pt idx="216">
                  <c:v>2.160009999999998</c:v>
                </c:pt>
                <c:pt idx="217">
                  <c:v>2.1700099999999978</c:v>
                </c:pt>
                <c:pt idx="218">
                  <c:v>2.1800099999999976</c:v>
                </c:pt>
                <c:pt idx="219">
                  <c:v>2.1900099999999973</c:v>
                </c:pt>
                <c:pt idx="220">
                  <c:v>2.2000099999999971</c:v>
                </c:pt>
                <c:pt idx="221">
                  <c:v>2.2100099999999969</c:v>
                </c:pt>
                <c:pt idx="222">
                  <c:v>2.2200099999999967</c:v>
                </c:pt>
                <c:pt idx="223">
                  <c:v>2.2300099999999965</c:v>
                </c:pt>
                <c:pt idx="224">
                  <c:v>2.2400099999999963</c:v>
                </c:pt>
                <c:pt idx="225">
                  <c:v>2.2500099999999961</c:v>
                </c:pt>
                <c:pt idx="226">
                  <c:v>2.2600099999999959</c:v>
                </c:pt>
                <c:pt idx="227">
                  <c:v>2.2700099999999956</c:v>
                </c:pt>
                <c:pt idx="228">
                  <c:v>2.2800099999999954</c:v>
                </c:pt>
                <c:pt idx="229">
                  <c:v>2.2900099999999952</c:v>
                </c:pt>
                <c:pt idx="230">
                  <c:v>2.300009999999995</c:v>
                </c:pt>
                <c:pt idx="231">
                  <c:v>2.3100099999999948</c:v>
                </c:pt>
                <c:pt idx="232">
                  <c:v>2.3200099999999946</c:v>
                </c:pt>
                <c:pt idx="233">
                  <c:v>2.3300099999999944</c:v>
                </c:pt>
                <c:pt idx="234">
                  <c:v>2.3400099999999942</c:v>
                </c:pt>
                <c:pt idx="235">
                  <c:v>2.3500099999999939</c:v>
                </c:pt>
                <c:pt idx="236">
                  <c:v>2.3600099999999937</c:v>
                </c:pt>
                <c:pt idx="237">
                  <c:v>2.3700099999999935</c:v>
                </c:pt>
                <c:pt idx="238">
                  <c:v>2.3800099999999933</c:v>
                </c:pt>
                <c:pt idx="239">
                  <c:v>2.3900099999999931</c:v>
                </c:pt>
                <c:pt idx="240">
                  <c:v>2.4000099999999929</c:v>
                </c:pt>
                <c:pt idx="241">
                  <c:v>2.4100099999999927</c:v>
                </c:pt>
                <c:pt idx="242">
                  <c:v>2.4200099999999924</c:v>
                </c:pt>
                <c:pt idx="243">
                  <c:v>2.4300099999999922</c:v>
                </c:pt>
                <c:pt idx="244">
                  <c:v>2.440009999999992</c:v>
                </c:pt>
                <c:pt idx="245">
                  <c:v>2.4500099999999918</c:v>
                </c:pt>
                <c:pt idx="246">
                  <c:v>2.4600099999999916</c:v>
                </c:pt>
                <c:pt idx="247">
                  <c:v>2.4700099999999914</c:v>
                </c:pt>
                <c:pt idx="248">
                  <c:v>2.4800099999999912</c:v>
                </c:pt>
                <c:pt idx="249">
                  <c:v>2.490009999999991</c:v>
                </c:pt>
                <c:pt idx="250">
                  <c:v>2.5000099999999907</c:v>
                </c:pt>
                <c:pt idx="251">
                  <c:v>2.5100099999999905</c:v>
                </c:pt>
                <c:pt idx="252">
                  <c:v>2.5200099999999903</c:v>
                </c:pt>
                <c:pt idx="253">
                  <c:v>2.5300099999999901</c:v>
                </c:pt>
                <c:pt idx="254">
                  <c:v>2.5400099999999899</c:v>
                </c:pt>
                <c:pt idx="255">
                  <c:v>2.5500099999999897</c:v>
                </c:pt>
                <c:pt idx="256">
                  <c:v>2.5600099999999895</c:v>
                </c:pt>
                <c:pt idx="257">
                  <c:v>2.5700099999999892</c:v>
                </c:pt>
                <c:pt idx="258">
                  <c:v>2.580009999999989</c:v>
                </c:pt>
                <c:pt idx="259">
                  <c:v>2.5900099999999888</c:v>
                </c:pt>
                <c:pt idx="260">
                  <c:v>2.6000099999999886</c:v>
                </c:pt>
                <c:pt idx="261">
                  <c:v>2.6100099999999884</c:v>
                </c:pt>
                <c:pt idx="262">
                  <c:v>2.6200099999999882</c:v>
                </c:pt>
                <c:pt idx="263">
                  <c:v>2.630009999999988</c:v>
                </c:pt>
                <c:pt idx="264">
                  <c:v>2.6400099999999878</c:v>
                </c:pt>
                <c:pt idx="265">
                  <c:v>2.6500099999999875</c:v>
                </c:pt>
                <c:pt idx="266">
                  <c:v>2.6600099999999873</c:v>
                </c:pt>
                <c:pt idx="267">
                  <c:v>2.6700099999999871</c:v>
                </c:pt>
                <c:pt idx="268">
                  <c:v>2.6800099999999869</c:v>
                </c:pt>
                <c:pt idx="269">
                  <c:v>2.6900099999999867</c:v>
                </c:pt>
                <c:pt idx="270">
                  <c:v>2.7000099999999865</c:v>
                </c:pt>
                <c:pt idx="271">
                  <c:v>2.7100099999999863</c:v>
                </c:pt>
                <c:pt idx="272">
                  <c:v>2.7200099999999861</c:v>
                </c:pt>
                <c:pt idx="273">
                  <c:v>2.7300099999999858</c:v>
                </c:pt>
                <c:pt idx="274">
                  <c:v>2.7400099999999856</c:v>
                </c:pt>
                <c:pt idx="275">
                  <c:v>2.7500099999999854</c:v>
                </c:pt>
                <c:pt idx="276">
                  <c:v>2.7600099999999852</c:v>
                </c:pt>
                <c:pt idx="277">
                  <c:v>2.770009999999985</c:v>
                </c:pt>
                <c:pt idx="278">
                  <c:v>2.7800099999999848</c:v>
                </c:pt>
                <c:pt idx="279">
                  <c:v>2.7900099999999846</c:v>
                </c:pt>
                <c:pt idx="280">
                  <c:v>2.8000099999999843</c:v>
                </c:pt>
                <c:pt idx="281">
                  <c:v>2.8100099999999841</c:v>
                </c:pt>
                <c:pt idx="282">
                  <c:v>2.8200099999999839</c:v>
                </c:pt>
                <c:pt idx="283">
                  <c:v>2.8300099999999837</c:v>
                </c:pt>
                <c:pt idx="284">
                  <c:v>2.8400099999999835</c:v>
                </c:pt>
                <c:pt idx="285">
                  <c:v>2.8500099999999833</c:v>
                </c:pt>
                <c:pt idx="286">
                  <c:v>2.8600099999999831</c:v>
                </c:pt>
                <c:pt idx="287">
                  <c:v>2.8700099999999829</c:v>
                </c:pt>
                <c:pt idx="288">
                  <c:v>2.8800099999999826</c:v>
                </c:pt>
                <c:pt idx="289">
                  <c:v>2.8900099999999824</c:v>
                </c:pt>
                <c:pt idx="290">
                  <c:v>2.9000099999999822</c:v>
                </c:pt>
                <c:pt idx="291">
                  <c:v>2.910009999999982</c:v>
                </c:pt>
                <c:pt idx="292">
                  <c:v>2.9200099999999818</c:v>
                </c:pt>
                <c:pt idx="293">
                  <c:v>2.9300099999999816</c:v>
                </c:pt>
                <c:pt idx="294">
                  <c:v>2.9400099999999814</c:v>
                </c:pt>
                <c:pt idx="295">
                  <c:v>2.9500099999999811</c:v>
                </c:pt>
                <c:pt idx="296">
                  <c:v>2.9600099999999809</c:v>
                </c:pt>
                <c:pt idx="297">
                  <c:v>2.9700099999999807</c:v>
                </c:pt>
                <c:pt idx="298">
                  <c:v>2.9800099999999805</c:v>
                </c:pt>
                <c:pt idx="299">
                  <c:v>2.9900099999999803</c:v>
                </c:pt>
                <c:pt idx="300">
                  <c:v>3.0000099999999801</c:v>
                </c:pt>
                <c:pt idx="301">
                  <c:v>3.0100099999999799</c:v>
                </c:pt>
                <c:pt idx="302">
                  <c:v>3.0200099999999797</c:v>
                </c:pt>
                <c:pt idx="303">
                  <c:v>3.0300099999999794</c:v>
                </c:pt>
                <c:pt idx="304">
                  <c:v>3.0400099999999792</c:v>
                </c:pt>
                <c:pt idx="305">
                  <c:v>3.050009999999979</c:v>
                </c:pt>
                <c:pt idx="306">
                  <c:v>3.0600099999999788</c:v>
                </c:pt>
                <c:pt idx="307">
                  <c:v>3.0700099999999786</c:v>
                </c:pt>
                <c:pt idx="308">
                  <c:v>3.0800099999999784</c:v>
                </c:pt>
                <c:pt idx="309">
                  <c:v>3.0900099999999782</c:v>
                </c:pt>
                <c:pt idx="310">
                  <c:v>3.1000099999999779</c:v>
                </c:pt>
                <c:pt idx="311">
                  <c:v>3.1100099999999777</c:v>
                </c:pt>
                <c:pt idx="312">
                  <c:v>3.1200099999999775</c:v>
                </c:pt>
                <c:pt idx="313">
                  <c:v>3.1300099999999773</c:v>
                </c:pt>
                <c:pt idx="314">
                  <c:v>3.1400099999999771</c:v>
                </c:pt>
                <c:pt idx="315">
                  <c:v>3.1500099999999769</c:v>
                </c:pt>
                <c:pt idx="316">
                  <c:v>3.1600099999999767</c:v>
                </c:pt>
                <c:pt idx="317">
                  <c:v>3.1700099999999765</c:v>
                </c:pt>
                <c:pt idx="318">
                  <c:v>3.1800099999999762</c:v>
                </c:pt>
                <c:pt idx="319">
                  <c:v>3.190009999999976</c:v>
                </c:pt>
                <c:pt idx="320">
                  <c:v>3.2000099999999758</c:v>
                </c:pt>
                <c:pt idx="321">
                  <c:v>3.2100099999999756</c:v>
                </c:pt>
                <c:pt idx="322">
                  <c:v>3.2200099999999754</c:v>
                </c:pt>
                <c:pt idx="323">
                  <c:v>3.2300099999999752</c:v>
                </c:pt>
                <c:pt idx="324">
                  <c:v>3.240009999999975</c:v>
                </c:pt>
                <c:pt idx="325">
                  <c:v>3.2500099999999748</c:v>
                </c:pt>
                <c:pt idx="326">
                  <c:v>3.2600099999999745</c:v>
                </c:pt>
                <c:pt idx="327">
                  <c:v>3.2700099999999743</c:v>
                </c:pt>
                <c:pt idx="328">
                  <c:v>3.2800099999999741</c:v>
                </c:pt>
                <c:pt idx="329">
                  <c:v>3.2900099999999739</c:v>
                </c:pt>
                <c:pt idx="330">
                  <c:v>3.3000099999999737</c:v>
                </c:pt>
                <c:pt idx="331">
                  <c:v>3.3100099999999735</c:v>
                </c:pt>
                <c:pt idx="332">
                  <c:v>3.3200099999999733</c:v>
                </c:pt>
                <c:pt idx="333">
                  <c:v>3.330009999999973</c:v>
                </c:pt>
                <c:pt idx="334">
                  <c:v>3.3400099999999728</c:v>
                </c:pt>
                <c:pt idx="335">
                  <c:v>3.3500099999999726</c:v>
                </c:pt>
                <c:pt idx="336">
                  <c:v>3.3600099999999724</c:v>
                </c:pt>
                <c:pt idx="337">
                  <c:v>3.3700099999999722</c:v>
                </c:pt>
                <c:pt idx="338">
                  <c:v>3.380009999999972</c:v>
                </c:pt>
                <c:pt idx="339">
                  <c:v>3.3900099999999718</c:v>
                </c:pt>
                <c:pt idx="340">
                  <c:v>3.4000099999999716</c:v>
                </c:pt>
                <c:pt idx="341">
                  <c:v>3.4100099999999713</c:v>
                </c:pt>
                <c:pt idx="342">
                  <c:v>3.4200099999999711</c:v>
                </c:pt>
                <c:pt idx="343">
                  <c:v>3.4300099999999709</c:v>
                </c:pt>
                <c:pt idx="344">
                  <c:v>3.4400099999999707</c:v>
                </c:pt>
                <c:pt idx="345">
                  <c:v>3.4500099999999705</c:v>
                </c:pt>
                <c:pt idx="346">
                  <c:v>3.4600099999999703</c:v>
                </c:pt>
                <c:pt idx="347">
                  <c:v>3.4700099999999701</c:v>
                </c:pt>
                <c:pt idx="348">
                  <c:v>3.4800099999999698</c:v>
                </c:pt>
                <c:pt idx="349">
                  <c:v>3.4900099999999696</c:v>
                </c:pt>
                <c:pt idx="350">
                  <c:v>3.5000099999999694</c:v>
                </c:pt>
                <c:pt idx="351">
                  <c:v>3.5100099999999692</c:v>
                </c:pt>
                <c:pt idx="352">
                  <c:v>3.520009999999969</c:v>
                </c:pt>
                <c:pt idx="353">
                  <c:v>3.5300099999999688</c:v>
                </c:pt>
                <c:pt idx="354">
                  <c:v>3.5400099999999686</c:v>
                </c:pt>
                <c:pt idx="355">
                  <c:v>3.5500099999999684</c:v>
                </c:pt>
                <c:pt idx="356">
                  <c:v>3.5600099999999681</c:v>
                </c:pt>
                <c:pt idx="357">
                  <c:v>3.5700099999999679</c:v>
                </c:pt>
                <c:pt idx="358">
                  <c:v>3.5800099999999677</c:v>
                </c:pt>
                <c:pt idx="359">
                  <c:v>3.5900099999999675</c:v>
                </c:pt>
                <c:pt idx="360">
                  <c:v>3.6000099999999673</c:v>
                </c:pt>
                <c:pt idx="361">
                  <c:v>3.6100099999999671</c:v>
                </c:pt>
                <c:pt idx="362">
                  <c:v>3.6200099999999669</c:v>
                </c:pt>
                <c:pt idx="363">
                  <c:v>3.6300099999999667</c:v>
                </c:pt>
                <c:pt idx="364">
                  <c:v>3.6400099999999664</c:v>
                </c:pt>
                <c:pt idx="365">
                  <c:v>3.6500099999999662</c:v>
                </c:pt>
                <c:pt idx="366">
                  <c:v>3.660009999999966</c:v>
                </c:pt>
                <c:pt idx="367">
                  <c:v>3.6700099999999658</c:v>
                </c:pt>
                <c:pt idx="368">
                  <c:v>3.6800099999999656</c:v>
                </c:pt>
                <c:pt idx="369">
                  <c:v>3.6900099999999654</c:v>
                </c:pt>
                <c:pt idx="370">
                  <c:v>3.7000099999999652</c:v>
                </c:pt>
                <c:pt idx="371">
                  <c:v>3.7100099999999649</c:v>
                </c:pt>
                <c:pt idx="372">
                  <c:v>3.7200099999999647</c:v>
                </c:pt>
                <c:pt idx="373">
                  <c:v>3.7300099999999645</c:v>
                </c:pt>
                <c:pt idx="374">
                  <c:v>3.7400099999999643</c:v>
                </c:pt>
                <c:pt idx="375">
                  <c:v>3.7500099999999641</c:v>
                </c:pt>
                <c:pt idx="376">
                  <c:v>3.7600099999999639</c:v>
                </c:pt>
                <c:pt idx="377">
                  <c:v>3.7700099999999637</c:v>
                </c:pt>
                <c:pt idx="378">
                  <c:v>3.7800099999999635</c:v>
                </c:pt>
                <c:pt idx="379">
                  <c:v>3.7900099999999632</c:v>
                </c:pt>
                <c:pt idx="380">
                  <c:v>3.800009999999963</c:v>
                </c:pt>
                <c:pt idx="381">
                  <c:v>3.8100099999999628</c:v>
                </c:pt>
                <c:pt idx="382">
                  <c:v>3.8200099999999626</c:v>
                </c:pt>
                <c:pt idx="383">
                  <c:v>3.8300099999999624</c:v>
                </c:pt>
                <c:pt idx="384">
                  <c:v>3.8400099999999622</c:v>
                </c:pt>
                <c:pt idx="385">
                  <c:v>3.850009999999962</c:v>
                </c:pt>
                <c:pt idx="386">
                  <c:v>3.8600099999999617</c:v>
                </c:pt>
                <c:pt idx="387">
                  <c:v>3.8700099999999615</c:v>
                </c:pt>
                <c:pt idx="388">
                  <c:v>3.8800099999999613</c:v>
                </c:pt>
                <c:pt idx="389">
                  <c:v>3.8900099999999611</c:v>
                </c:pt>
                <c:pt idx="390">
                  <c:v>3.9000099999999609</c:v>
                </c:pt>
                <c:pt idx="391">
                  <c:v>3.9100099999999607</c:v>
                </c:pt>
                <c:pt idx="392">
                  <c:v>3.9200099999999605</c:v>
                </c:pt>
                <c:pt idx="393">
                  <c:v>3.9300099999999603</c:v>
                </c:pt>
                <c:pt idx="394">
                  <c:v>3.94000999999996</c:v>
                </c:pt>
                <c:pt idx="395">
                  <c:v>3.9500099999999598</c:v>
                </c:pt>
                <c:pt idx="396">
                  <c:v>3.9600099999999596</c:v>
                </c:pt>
                <c:pt idx="397">
                  <c:v>3.9700099999999594</c:v>
                </c:pt>
                <c:pt idx="398">
                  <c:v>3.9800099999999592</c:v>
                </c:pt>
                <c:pt idx="399">
                  <c:v>3.990009999999959</c:v>
                </c:pt>
                <c:pt idx="400">
                  <c:v>4.0000099999999588</c:v>
                </c:pt>
                <c:pt idx="401">
                  <c:v>4.0100099999999586</c:v>
                </c:pt>
                <c:pt idx="402">
                  <c:v>4.0200099999999583</c:v>
                </c:pt>
                <c:pt idx="403">
                  <c:v>4.0300099999999581</c:v>
                </c:pt>
                <c:pt idx="404">
                  <c:v>4.0400099999999579</c:v>
                </c:pt>
                <c:pt idx="405">
                  <c:v>4.0500099999999577</c:v>
                </c:pt>
                <c:pt idx="406">
                  <c:v>4.0600099999999575</c:v>
                </c:pt>
                <c:pt idx="407">
                  <c:v>4.0700099999999573</c:v>
                </c:pt>
                <c:pt idx="408">
                  <c:v>4.0800099999999571</c:v>
                </c:pt>
                <c:pt idx="409">
                  <c:v>4.0900099999999568</c:v>
                </c:pt>
                <c:pt idx="410">
                  <c:v>4.1000099999999566</c:v>
                </c:pt>
                <c:pt idx="411">
                  <c:v>4.1100099999999564</c:v>
                </c:pt>
                <c:pt idx="412">
                  <c:v>4.1200099999999562</c:v>
                </c:pt>
                <c:pt idx="413">
                  <c:v>4.130009999999956</c:v>
                </c:pt>
                <c:pt idx="414">
                  <c:v>4.1400099999999558</c:v>
                </c:pt>
                <c:pt idx="415">
                  <c:v>4.1500099999999556</c:v>
                </c:pt>
                <c:pt idx="416">
                  <c:v>4.1600099999999554</c:v>
                </c:pt>
                <c:pt idx="417">
                  <c:v>4.1700099999999551</c:v>
                </c:pt>
                <c:pt idx="418">
                  <c:v>4.1800099999999549</c:v>
                </c:pt>
                <c:pt idx="419">
                  <c:v>4.1900099999999547</c:v>
                </c:pt>
                <c:pt idx="420">
                  <c:v>4.2000099999999545</c:v>
                </c:pt>
                <c:pt idx="421">
                  <c:v>4.2100099999999543</c:v>
                </c:pt>
                <c:pt idx="422">
                  <c:v>4.2200099999999541</c:v>
                </c:pt>
                <c:pt idx="423">
                  <c:v>4.2300099999999539</c:v>
                </c:pt>
                <c:pt idx="424">
                  <c:v>4.2400099999999536</c:v>
                </c:pt>
                <c:pt idx="425">
                  <c:v>4.2500099999999534</c:v>
                </c:pt>
                <c:pt idx="426">
                  <c:v>4.2600099999999532</c:v>
                </c:pt>
                <c:pt idx="427">
                  <c:v>4.270009999999953</c:v>
                </c:pt>
                <c:pt idx="428">
                  <c:v>4.2800099999999528</c:v>
                </c:pt>
                <c:pt idx="429">
                  <c:v>4.2900099999999526</c:v>
                </c:pt>
                <c:pt idx="430">
                  <c:v>4.3000099999999524</c:v>
                </c:pt>
                <c:pt idx="431">
                  <c:v>4.3100099999999522</c:v>
                </c:pt>
                <c:pt idx="432">
                  <c:v>4.3200099999999519</c:v>
                </c:pt>
                <c:pt idx="433">
                  <c:v>4.3300099999999517</c:v>
                </c:pt>
                <c:pt idx="434">
                  <c:v>4.3400099999999515</c:v>
                </c:pt>
                <c:pt idx="435">
                  <c:v>4.3500099999999513</c:v>
                </c:pt>
                <c:pt idx="436">
                  <c:v>4.3600099999999511</c:v>
                </c:pt>
                <c:pt idx="437">
                  <c:v>4.3700099999999509</c:v>
                </c:pt>
                <c:pt idx="438">
                  <c:v>4.3800099999999507</c:v>
                </c:pt>
                <c:pt idx="439">
                  <c:v>4.3900099999999505</c:v>
                </c:pt>
                <c:pt idx="440">
                  <c:v>4.4000099999999502</c:v>
                </c:pt>
                <c:pt idx="441">
                  <c:v>4.41000999999995</c:v>
                </c:pt>
                <c:pt idx="442">
                  <c:v>4.4200099999999498</c:v>
                </c:pt>
                <c:pt idx="443">
                  <c:v>4.4300099999999496</c:v>
                </c:pt>
                <c:pt idx="444">
                  <c:v>4.4400099999999494</c:v>
                </c:pt>
                <c:pt idx="445">
                  <c:v>4.4500099999999492</c:v>
                </c:pt>
                <c:pt idx="446">
                  <c:v>4.460009999999949</c:v>
                </c:pt>
                <c:pt idx="447">
                  <c:v>4.4700099999999487</c:v>
                </c:pt>
                <c:pt idx="448">
                  <c:v>4.4800099999999485</c:v>
                </c:pt>
                <c:pt idx="449">
                  <c:v>4.4900099999999483</c:v>
                </c:pt>
                <c:pt idx="450">
                  <c:v>4.5000099999999481</c:v>
                </c:pt>
                <c:pt idx="451">
                  <c:v>4.5100099999999479</c:v>
                </c:pt>
                <c:pt idx="452">
                  <c:v>4.5200099999999477</c:v>
                </c:pt>
                <c:pt idx="453">
                  <c:v>4.5300099999999475</c:v>
                </c:pt>
                <c:pt idx="454">
                  <c:v>4.5400099999999473</c:v>
                </c:pt>
                <c:pt idx="455">
                  <c:v>4.550009999999947</c:v>
                </c:pt>
                <c:pt idx="456">
                  <c:v>4.5600099999999468</c:v>
                </c:pt>
                <c:pt idx="457">
                  <c:v>4.5700099999999466</c:v>
                </c:pt>
                <c:pt idx="458">
                  <c:v>4.5800099999999464</c:v>
                </c:pt>
                <c:pt idx="459">
                  <c:v>4.5900099999999462</c:v>
                </c:pt>
                <c:pt idx="460">
                  <c:v>4.600009999999946</c:v>
                </c:pt>
                <c:pt idx="461">
                  <c:v>4.6100099999999458</c:v>
                </c:pt>
                <c:pt idx="462">
                  <c:v>4.6200099999999455</c:v>
                </c:pt>
                <c:pt idx="463">
                  <c:v>4.6300099999999453</c:v>
                </c:pt>
                <c:pt idx="464">
                  <c:v>4.6400099999999451</c:v>
                </c:pt>
                <c:pt idx="465">
                  <c:v>4.6500099999999449</c:v>
                </c:pt>
                <c:pt idx="466">
                  <c:v>4.6600099999999447</c:v>
                </c:pt>
                <c:pt idx="467">
                  <c:v>4.6700099999999445</c:v>
                </c:pt>
                <c:pt idx="468">
                  <c:v>4.6800099999999443</c:v>
                </c:pt>
                <c:pt idx="469">
                  <c:v>4.6900099999999441</c:v>
                </c:pt>
                <c:pt idx="470">
                  <c:v>4.7000099999999438</c:v>
                </c:pt>
                <c:pt idx="471">
                  <c:v>4.7100099999999436</c:v>
                </c:pt>
                <c:pt idx="472">
                  <c:v>4.7200099999999434</c:v>
                </c:pt>
                <c:pt idx="473">
                  <c:v>4.7300099999999432</c:v>
                </c:pt>
                <c:pt idx="474">
                  <c:v>4.740009999999943</c:v>
                </c:pt>
                <c:pt idx="475">
                  <c:v>4.7500099999999428</c:v>
                </c:pt>
                <c:pt idx="476">
                  <c:v>4.7600099999999426</c:v>
                </c:pt>
                <c:pt idx="477">
                  <c:v>4.7700099999999424</c:v>
                </c:pt>
                <c:pt idx="478">
                  <c:v>4.7800099999999421</c:v>
                </c:pt>
                <c:pt idx="479">
                  <c:v>4.7900099999999419</c:v>
                </c:pt>
                <c:pt idx="480">
                  <c:v>4.8000099999999417</c:v>
                </c:pt>
                <c:pt idx="481">
                  <c:v>4.8100099999999415</c:v>
                </c:pt>
                <c:pt idx="482">
                  <c:v>4.8200099999999413</c:v>
                </c:pt>
                <c:pt idx="483">
                  <c:v>4.8300099999999411</c:v>
                </c:pt>
                <c:pt idx="484">
                  <c:v>4.8400099999999409</c:v>
                </c:pt>
                <c:pt idx="485">
                  <c:v>4.8500099999999406</c:v>
                </c:pt>
                <c:pt idx="486">
                  <c:v>4.8600099999999404</c:v>
                </c:pt>
                <c:pt idx="487">
                  <c:v>4.8700099999999402</c:v>
                </c:pt>
                <c:pt idx="488">
                  <c:v>4.88000999999994</c:v>
                </c:pt>
                <c:pt idx="489">
                  <c:v>4.8900099999999398</c:v>
                </c:pt>
                <c:pt idx="490">
                  <c:v>4.9000099999999396</c:v>
                </c:pt>
                <c:pt idx="491">
                  <c:v>4.9100099999999394</c:v>
                </c:pt>
              </c:numCache>
            </c:numRef>
          </c:xVal>
          <c:yVal>
            <c:numRef>
              <c:f>'8_15'!$B$10:$B$501</c:f>
              <c:numCache>
                <c:formatCode>0.000</c:formatCode>
                <c:ptCount val="492"/>
                <c:pt idx="0">
                  <c:v>8.9999369930205511</c:v>
                </c:pt>
                <c:pt idx="1">
                  <c:v>8.9299943506002588</c:v>
                </c:pt>
                <c:pt idx="2">
                  <c:v>8.8464031308764994</c:v>
                </c:pt>
                <c:pt idx="3">
                  <c:v>8.7494899452974</c:v>
                </c:pt>
                <c:pt idx="4">
                  <c:v>8.6395986764736925</c:v>
                </c:pt>
                <c:pt idx="5">
                  <c:v>8.517089675033068</c:v>
                </c:pt>
                <c:pt idx="6">
                  <c:v>8.3823389406773821</c:v>
                </c:pt>
                <c:pt idx="7">
                  <c:v>8.2357372890031755</c:v>
                </c:pt>
                <c:pt idx="8">
                  <c:v>8.0776895056475695</c:v>
                </c:pt>
                <c:pt idx="9">
                  <c:v>7.9086134893206701</c:v>
                </c:pt>
                <c:pt idx="10">
                  <c:v>7.7289393852820947</c:v>
                </c:pt>
                <c:pt idx="11">
                  <c:v>7.5391087108131742</c:v>
                </c:pt>
                <c:pt idx="12">
                  <c:v>7.3395734742280121</c:v>
                </c:pt>
                <c:pt idx="13">
                  <c:v>7.1307952889556319</c:v>
                </c:pt>
                <c:pt idx="14">
                  <c:v>6.9132444842122389</c:v>
                </c:pt>
                <c:pt idx="15">
                  <c:v>6.6873992137670859</c:v>
                </c:pt>
                <c:pt idx="16">
                  <c:v>6.4537445642876534</c:v>
                </c:pt>
                <c:pt idx="17">
                  <c:v>6.2127716647298952</c:v>
                </c:pt>
                <c:pt idx="18">
                  <c:v>5.9649767982171857</c:v>
                </c:pt>
                <c:pt idx="19">
                  <c:v>5.7108605178274843</c:v>
                </c:pt>
                <c:pt idx="20">
                  <c:v>5.450926767682108</c:v>
                </c:pt>
                <c:pt idx="21">
                  <c:v>5.1856820107014006</c:v>
                </c:pt>
                <c:pt idx="22">
                  <c:v>4.9156343643627682</c:v>
                </c:pt>
                <c:pt idx="23">
                  <c:v>4.6412927457648028</c:v>
                </c:pt>
                <c:pt idx="24">
                  <c:v>4.3631660272679103</c:v>
                </c:pt>
                <c:pt idx="25">
                  <c:v>4.0817622039468642</c:v>
                </c:pt>
                <c:pt idx="26">
                  <c:v>3.7975875740541598</c:v>
                </c:pt>
                <c:pt idx="27">
                  <c:v>3.5111459336551487</c:v>
                </c:pt>
                <c:pt idx="28">
                  <c:v>3.2229377865565039</c:v>
                </c:pt>
                <c:pt idx="29">
                  <c:v>2.933459570608985</c:v>
                </c:pt>
                <c:pt idx="30">
                  <c:v>2.6432029014236313</c:v>
                </c:pt>
                <c:pt idx="31">
                  <c:v>2.3526538344975441</c:v>
                </c:pt>
                <c:pt idx="32">
                  <c:v>2.0622921467014215</c:v>
                </c:pt>
                <c:pt idx="33">
                  <c:v>1.7725906380360879</c:v>
                </c:pt>
                <c:pt idx="34">
                  <c:v>1.4840144545194518</c:v>
                </c:pt>
                <c:pt idx="35">
                  <c:v>1.197020433018757</c:v>
                </c:pt>
                <c:pt idx="36">
                  <c:v>0.91205646879572111</c:v>
                </c:pt>
                <c:pt idx="37">
                  <c:v>0.62956090648431973</c:v>
                </c:pt>
                <c:pt idx="38">
                  <c:v>0.34996195517257589</c:v>
                </c:pt>
                <c:pt idx="39">
                  <c:v>7.3677128210935652E-2</c:v>
                </c:pt>
                <c:pt idx="40">
                  <c:v>-0.19888729167934013</c:v>
                </c:pt>
                <c:pt idx="41">
                  <c:v>-0.46733676147372855</c:v>
                </c:pt>
                <c:pt idx="42">
                  <c:v>-0.73128896061347104</c:v>
                </c:pt>
                <c:pt idx="43">
                  <c:v>-0.9903742470512571</c:v>
                </c:pt>
                <c:pt idx="44">
                  <c:v>-1.2442360861984063</c:v>
                </c:pt>
                <c:pt idx="45">
                  <c:v>-1.4925314524479809</c:v>
                </c:pt>
                <c:pt idx="46">
                  <c:v>-1.7349312029976725</c:v>
                </c:pt>
                <c:pt idx="47">
                  <c:v>-1.9711204237455229</c:v>
                </c:pt>
                <c:pt idx="48">
                  <c:v>-2.2007987470803911</c:v>
                </c:pt>
                <c:pt idx="49">
                  <c:v>-2.423680641437596</c:v>
                </c:pt>
                <c:pt idx="50">
                  <c:v>-2.639495672538176</c:v>
                </c:pt>
                <c:pt idx="51">
                  <c:v>-2.8479887362777134</c:v>
                </c:pt>
                <c:pt idx="52">
                  <c:v>-3.0489202632775543</c:v>
                </c:pt>
                <c:pt idx="53">
                  <c:v>-3.2420663951574848</c:v>
                </c:pt>
                <c:pt idx="54">
                  <c:v>-3.4272191326343879</c:v>
                </c:pt>
                <c:pt idx="55">
                  <c:v>-3.604186455596091</c:v>
                </c:pt>
                <c:pt idx="56">
                  <c:v>-3.7727924153434325</c:v>
                </c:pt>
                <c:pt idx="57">
                  <c:v>-3.9328771992364335</c:v>
                </c:pt>
                <c:pt idx="58">
                  <c:v>-4.0842971680223981</c:v>
                </c:pt>
                <c:pt idx="59">
                  <c:v>-4.2269248661645999</c:v>
                </c:pt>
                <c:pt idx="60">
                  <c:v>-4.3606490055300133</c:v>
                </c:pt>
                <c:pt idx="61">
                  <c:v>-4.4853744228331625</c:v>
                </c:pt>
                <c:pt idx="62">
                  <c:v>-4.6010220112706284</c:v>
                </c:pt>
                <c:pt idx="63">
                  <c:v>-4.7075286268169512</c:v>
                </c:pt>
                <c:pt idx="64">
                  <c:v>-4.8048469696876266</c:v>
                </c:pt>
                <c:pt idx="65">
                  <c:v>-4.8929454415085036</c:v>
                </c:pt>
                <c:pt idx="66">
                  <c:v>-4.9718079787631906</c:v>
                </c:pt>
                <c:pt idx="67">
                  <c:v>-5.041433863120945</c:v>
                </c:pt>
                <c:pt idx="68">
                  <c:v>-5.1018375092770274</c:v>
                </c:pt>
                <c:pt idx="69">
                  <c:v>-5.1530482309654912</c:v>
                </c:pt>
                <c:pt idx="70">
                  <c:v>-5.1951099858310164</c:v>
                </c:pt>
                <c:pt idx="71">
                  <c:v>-5.2280810998713516</c:v>
                </c:pt>
                <c:pt idx="72">
                  <c:v>-5.2520339721856111</c:v>
                </c:pt>
                <c:pt idx="73">
                  <c:v>-5.2670547607855944</c:v>
                </c:pt>
                <c:pt idx="74">
                  <c:v>-5.2732430502478351</c:v>
                </c:pt>
                <c:pt idx="75">
                  <c:v>-5.27071150200298</c:v>
                </c:pt>
                <c:pt idx="76">
                  <c:v>-5.2595854880764517</c:v>
                </c:pt>
                <c:pt idx="77">
                  <c:v>-5.240002709110156</c:v>
                </c:pt>
                <c:pt idx="78">
                  <c:v>-5.2121127975091373</c:v>
                </c:pt>
                <c:pt idx="79">
                  <c:v>-5.17607690656979</c:v>
                </c:pt>
                <c:pt idx="80">
                  <c:v>-5.1320672864571835</c:v>
                </c:pt>
                <c:pt idx="81">
                  <c:v>-5.0802668479086108</c:v>
                </c:pt>
                <c:pt idx="82">
                  <c:v>-5.0208687145483326</c:v>
                </c:pt>
                <c:pt idx="83">
                  <c:v>-4.9540757647048137</c:v>
                </c:pt>
                <c:pt idx="84">
                  <c:v>-4.8801001636266141</c:v>
                </c:pt>
                <c:pt idx="85">
                  <c:v>-4.7991628869962613</c:v>
                </c:pt>
                <c:pt idx="86">
                  <c:v>-4.7114932366432623</c:v>
                </c:pt>
                <c:pt idx="87">
                  <c:v>-4.6173283493576243</c:v>
                </c:pt>
                <c:pt idx="88">
                  <c:v>-4.5169126997039823</c:v>
                </c:pt>
                <c:pt idx="89">
                  <c:v>-4.4104975977338237</c:v>
                </c:pt>
                <c:pt idx="90">
                  <c:v>-4.2983406824890746</c:v>
                </c:pt>
                <c:pt idx="91">
                  <c:v>-4.1807054121848903</c:v>
                </c:pt>
                <c:pt idx="92">
                  <c:v>-4.0578605519524888</c:v>
                </c:pt>
                <c:pt idx="93">
                  <c:v>-3.9300796600146919</c:v>
                </c:pt>
                <c:pt idx="94">
                  <c:v>-3.7976405731572203</c:v>
                </c:pt>
                <c:pt idx="95">
                  <c:v>-3.6608248923479731</c:v>
                </c:pt>
                <c:pt idx="96">
                  <c:v>-3.5199174693444237</c:v>
                </c:pt>
                <c:pt idx="97">
                  <c:v>-3.3752058951159625</c:v>
                </c:pt>
                <c:pt idx="98">
                  <c:v>-3.2269799908935477</c:v>
                </c:pt>
                <c:pt idx="99">
                  <c:v>-3.0755313026434448</c:v>
                </c:pt>
                <c:pt idx="100">
                  <c:v>-2.9211525997451386</c:v>
                </c:pt>
                <c:pt idx="101">
                  <c:v>-2.7641373786357732</c:v>
                </c:pt>
                <c:pt idx="102">
                  <c:v>-2.6047793721647565</c:v>
                </c:pt>
                <c:pt idx="103">
                  <c:v>-2.4433720653824613</c:v>
                </c:pt>
                <c:pt idx="104">
                  <c:v>-2.2802082184663734</c:v>
                </c:pt>
                <c:pt idx="105">
                  <c:v>-2.1155793974665622</c:v>
                </c:pt>
                <c:pt idx="106">
                  <c:v>-1.9497755135300667</c:v>
                </c:pt>
                <c:pt idx="107">
                  <c:v>-1.7830843712407458</c:v>
                </c:pt>
                <c:pt idx="108">
                  <c:v>-1.6157912266873586</c:v>
                </c:pt>
                <c:pt idx="109">
                  <c:v>-1.4481783558481967</c:v>
                </c:pt>
                <c:pt idx="110">
                  <c:v>-1.2805246338555236</c:v>
                </c:pt>
                <c:pt idx="111">
                  <c:v>-1.1131051256774309</c:v>
                </c:pt>
                <c:pt idx="112">
                  <c:v>-0.9461906887285414</c:v>
                </c:pt>
                <c:pt idx="113">
                  <c:v>-0.78004758789437489</c:v>
                </c:pt>
                <c:pt idx="114">
                  <c:v>-0.61493712342709739</c:v>
                </c:pt>
                <c:pt idx="115">
                  <c:v>-0.45111527214295771</c:v>
                </c:pt>
                <c:pt idx="116">
                  <c:v>-0.28883234232394694</c:v>
                </c:pt>
                <c:pt idx="117">
                  <c:v>-0.12833264269818101</c:v>
                </c:pt>
                <c:pt idx="118">
                  <c:v>3.0145834154746653E-2</c:v>
                </c:pt>
                <c:pt idx="119">
                  <c:v>0.18637171365563046</c:v>
                </c:pt>
                <c:pt idx="120">
                  <c:v>0.34012052604547827</c:v>
                </c:pt>
                <c:pt idx="121">
                  <c:v>0.491174977912674</c:v>
                </c:pt>
                <c:pt idx="122">
                  <c:v>0.63932520819551564</c:v>
                </c:pt>
                <c:pt idx="123">
                  <c:v>0.78436902845680789</c:v>
                </c:pt>
                <c:pt idx="124">
                  <c:v>0.92611214725577151</c:v>
                </c:pt>
                <c:pt idx="125">
                  <c:v>1.0643683784709916</c:v>
                </c:pt>
                <c:pt idx="126">
                  <c:v>1.1989598334564433</c:v>
                </c:pt>
                <c:pt idx="127">
                  <c:v>1.3297170969407379</c:v>
                </c:pt>
                <c:pt idx="128">
                  <c:v>1.4564793866076038</c:v>
                </c:pt>
                <c:pt idx="129">
                  <c:v>1.5790946963231933</c:v>
                </c:pt>
                <c:pt idx="130">
                  <c:v>1.697419923003058</c:v>
                </c:pt>
                <c:pt idx="131">
                  <c:v>1.8113209771385301</c:v>
                </c:pt>
                <c:pt idx="132">
                  <c:v>1.9206728770287151</c:v>
                </c:pt>
                <c:pt idx="133">
                  <c:v>2.0253598267903432</c:v>
                </c:pt>
                <c:pt idx="134">
                  <c:v>2.1252752782432904</c:v>
                </c:pt>
                <c:pt idx="135">
                  <c:v>2.2203219767946014</c:v>
                </c:pt>
                <c:pt idx="136">
                  <c:v>2.3104119914683543</c:v>
                </c:pt>
                <c:pt idx="137">
                  <c:v>2.3954667292526208</c:v>
                </c:pt>
                <c:pt idx="138">
                  <c:v>2.4754169339580416</c:v>
                </c:pt>
                <c:pt idx="139">
                  <c:v>2.5502026698052327</c:v>
                </c:pt>
                <c:pt idx="140">
                  <c:v>2.6197732899801909</c:v>
                </c:pt>
                <c:pt idx="141">
                  <c:v>2.6840873904181675</c:v>
                </c:pt>
                <c:pt idx="142">
                  <c:v>2.7431127490970355</c:v>
                </c:pt>
                <c:pt idx="143">
                  <c:v>2.796826251141006</c:v>
                </c:pt>
                <c:pt idx="144">
                  <c:v>2.8452138000545819</c:v>
                </c:pt>
                <c:pt idx="145">
                  <c:v>2.8882702154249191</c:v>
                </c:pt>
                <c:pt idx="146">
                  <c:v>2.9259991174481916</c:v>
                </c:pt>
                <c:pt idx="147">
                  <c:v>2.9584127986522253</c:v>
                </c:pt>
                <c:pt idx="148">
                  <c:v>2.9855320832034078</c:v>
                </c:pt>
                <c:pt idx="149">
                  <c:v>3.0073861742008519</c:v>
                </c:pt>
                <c:pt idx="150">
                  <c:v>3.0240124893748388</c:v>
                </c:pt>
                <c:pt idx="151">
                  <c:v>3.0354564856197603</c:v>
                </c:pt>
                <c:pt idx="152">
                  <c:v>3.0417714728040703</c:v>
                </c:pt>
                <c:pt idx="153">
                  <c:v>3.0430184173111789</c:v>
                </c:pt>
                <c:pt idx="154">
                  <c:v>3.0392657357757047</c:v>
                </c:pt>
                <c:pt idx="155">
                  <c:v>3.0305890794891148</c:v>
                </c:pt>
                <c:pt idx="156">
                  <c:v>3.0170711099574481</c:v>
                </c:pt>
                <c:pt idx="157">
                  <c:v>2.9988012661016215</c:v>
                </c:pt>
                <c:pt idx="158">
                  <c:v>2.9758755235976544</c:v>
                </c:pt>
                <c:pt idx="159">
                  <c:v>2.9483961468601234</c:v>
                </c:pt>
                <c:pt idx="160">
                  <c:v>2.9164714341771876</c:v>
                </c:pt>
                <c:pt idx="161">
                  <c:v>2.8802154565096965</c:v>
                </c:pt>
                <c:pt idx="162">
                  <c:v>2.8397477904701129</c:v>
                </c:pt>
                <c:pt idx="163">
                  <c:v>2.7951932459993611</c:v>
                </c:pt>
                <c:pt idx="164">
                  <c:v>2.74668158926118</c:v>
                </c:pt>
                <c:pt idx="165">
                  <c:v>2.6943472612741779</c:v>
                </c:pt>
                <c:pt idx="166">
                  <c:v>2.6383290928015115</c:v>
                </c:pt>
                <c:pt idx="167">
                  <c:v>2.578770016017041</c:v>
                </c:pt>
                <c:pt idx="168">
                  <c:v>2.5158167734648478</c:v>
                </c:pt>
                <c:pt idx="169">
                  <c:v>2.4496196248262665</c:v>
                </c:pt>
                <c:pt idx="170">
                  <c:v>2.3803320520050169</c:v>
                </c:pt>
                <c:pt idx="171">
                  <c:v>2.3081104630366776</c:v>
                </c:pt>
                <c:pt idx="172">
                  <c:v>2.233113895323632</c:v>
                </c:pt>
                <c:pt idx="173">
                  <c:v>2.155503718690754</c:v>
                </c:pt>
                <c:pt idx="174">
                  <c:v>2.0754433387505036</c:v>
                </c:pt>
                <c:pt idx="175">
                  <c:v>1.9930979010588126</c:v>
                </c:pt>
                <c:pt idx="176">
                  <c:v>1.9086339965351453</c:v>
                </c:pt>
                <c:pt idx="177">
                  <c:v>1.8222193686114732</c:v>
                </c:pt>
                <c:pt idx="178">
                  <c:v>1.7340226225655975</c:v>
                </c:pt>
                <c:pt idx="179">
                  <c:v>1.6442129374843759</c:v>
                </c:pt>
                <c:pt idx="180">
                  <c:v>1.5529597812918685</c:v>
                </c:pt>
                <c:pt idx="181">
                  <c:v>1.4604326292663927</c:v>
                </c:pt>
                <c:pt idx="182">
                  <c:v>1.3668006864588287</c:v>
                </c:pt>
                <c:pt idx="183">
                  <c:v>1.2722326144124474</c:v>
                </c:pt>
                <c:pt idx="184">
                  <c:v>1.1768962625718666</c:v>
                </c:pt>
                <c:pt idx="185">
                  <c:v>1.0809584047557292</c:v>
                </c:pt>
                <c:pt idx="186">
                  <c:v>0.98458448105416019</c:v>
                </c:pt>
                <c:pt idx="187">
                  <c:v>0.88793834549818251</c:v>
                </c:pt>
                <c:pt idx="188">
                  <c:v>0.79118201983397163</c:v>
                </c:pt>
                <c:pt idx="189">
                  <c:v>0.69447545372023567</c:v>
                </c:pt>
                <c:pt idx="190">
                  <c:v>0.59797629165203159</c:v>
                </c:pt>
                <c:pt idx="191">
                  <c:v>0.50183964689913174</c:v>
                </c:pt>
                <c:pt idx="192">
                  <c:v>0.40621788273153375</c:v>
                </c:pt>
                <c:pt idx="193">
                  <c:v>0.3112604011890141</c:v>
                </c:pt>
                <c:pt idx="194">
                  <c:v>0.2171134396356805</c:v>
                </c:pt>
                <c:pt idx="195">
                  <c:v>0.12391987532439457</c:v>
                </c:pt>
                <c:pt idx="196">
                  <c:v>3.1819038179690805E-2</c:v>
                </c:pt>
                <c:pt idx="197">
                  <c:v>-5.9053468008537308E-2</c:v>
                </c:pt>
                <c:pt idx="198">
                  <c:v>-0.1485659358047576</c:v>
                </c:pt>
                <c:pt idx="199">
                  <c:v>-0.23659071560160205</c:v>
                </c:pt>
                <c:pt idx="200">
                  <c:v>-0.3230043682049617</c:v>
                </c:pt>
                <c:pt idx="201">
                  <c:v>-0.40768780840413182</c:v>
                </c:pt>
                <c:pt idx="202">
                  <c:v>-0.49052643941725438</c:v>
                </c:pt>
                <c:pt idx="203">
                  <c:v>-0.57141027811880485</c:v>
                </c:pt>
                <c:pt idx="204">
                  <c:v>-0.65023407097223507</c:v>
                </c:pt>
                <c:pt idx="205">
                  <c:v>-0.72689740060717856</c:v>
                </c:pt>
                <c:pt idx="206">
                  <c:v>-0.80130478299678687</c:v>
                </c:pt>
                <c:pt idx="207">
                  <c:v>-0.87336575520676829</c:v>
                </c:pt>
                <c:pt idx="208">
                  <c:v>-0.94299495370353603</c:v>
                </c:pt>
                <c:pt idx="209">
                  <c:v>-1.010112183224507</c:v>
                </c:pt>
                <c:pt idx="210">
                  <c:v>-1.0746424762289974</c:v>
                </c:pt>
                <c:pt idx="211">
                  <c:v>-1.1365161429633299</c:v>
                </c:pt>
                <c:pt idx="212">
                  <c:v>-1.1956688121886683</c:v>
                </c:pt>
                <c:pt idx="213">
                  <c:v>-1.2520414626347085</c:v>
                </c:pt>
                <c:pt idx="214">
                  <c:v>-1.3055804452566568</c:v>
                </c:pt>
                <c:pt idx="215">
                  <c:v>-1.3562374963869157</c:v>
                </c:pt>
                <c:pt idx="216">
                  <c:v>-1.4039697418865267</c:v>
                </c:pt>
                <c:pt idx="217">
                  <c:v>-1.4487396924147002</c:v>
                </c:pt>
                <c:pt idx="218">
                  <c:v>-1.4905152299476589</c:v>
                </c:pt>
                <c:pt idx="219">
                  <c:v>-1.5292695856905183</c:v>
                </c:pt>
                <c:pt idx="220">
                  <c:v>-1.5649813095380369</c:v>
                </c:pt>
                <c:pt idx="221">
                  <c:v>-1.5976342312517156</c:v>
                </c:pt>
                <c:pt idx="222">
                  <c:v>-1.627217413531985</c:v>
                </c:pt>
                <c:pt idx="223">
                  <c:v>-1.6537250971749879</c:v>
                </c:pt>
                <c:pt idx="224">
                  <c:v>-1.6771566385137937</c:v>
                </c:pt>
                <c:pt idx="225">
                  <c:v>-1.6975164393537396</c:v>
                </c:pt>
                <c:pt idx="226">
                  <c:v>-1.7148138696209652</c:v>
                </c:pt>
                <c:pt idx="227">
                  <c:v>-1.7290631829520828</c:v>
                </c:pt>
                <c:pt idx="228">
                  <c:v>-1.7402834254613382</c:v>
                </c:pt>
                <c:pt idx="229">
                  <c:v>-1.7484983379294685</c:v>
                </c:pt>
                <c:pt idx="230">
                  <c:v>-1.7537362516658728</c:v>
                </c:pt>
                <c:pt idx="231">
                  <c:v>-1.7560299783025404</c:v>
                </c:pt>
                <c:pt idx="232">
                  <c:v>-1.7554166937845519</c:v>
                </c:pt>
                <c:pt idx="233">
                  <c:v>-1.7519378168277659</c:v>
                </c:pt>
                <c:pt idx="234">
                  <c:v>-1.7456388821196163</c:v>
                </c:pt>
                <c:pt idx="235">
                  <c:v>-1.7365694085437091</c:v>
                </c:pt>
                <c:pt idx="236">
                  <c:v>-1.7247827627131516</c:v>
                </c:pt>
                <c:pt idx="237">
                  <c:v>-1.7103360181012748</c:v>
                </c:pt>
                <c:pt idx="238">
                  <c:v>-1.6932898100615901</c:v>
                </c:pt>
                <c:pt idx="239">
                  <c:v>-1.6737081870315134</c:v>
                </c:pt>
                <c:pt idx="240">
                  <c:v>-1.6516584582165297</c:v>
                </c:pt>
                <c:pt idx="241">
                  <c:v>-1.6272110380531104</c:v>
                </c:pt>
                <c:pt idx="242">
                  <c:v>-1.6004392877498286</c:v>
                </c:pt>
                <c:pt idx="243">
                  <c:v>-1.5714193542067365</c:v>
                </c:pt>
                <c:pt idx="244">
                  <c:v>-1.5402300066131824</c:v>
                </c:pt>
                <c:pt idx="245">
                  <c:v>-1.5069524710238864</c:v>
                </c:pt>
                <c:pt idx="246">
                  <c:v>-1.4716702632122223</c:v>
                </c:pt>
                <c:pt idx="247">
                  <c:v>-1.4344690200983268</c:v>
                </c:pt>
                <c:pt idx="248">
                  <c:v>-1.3954363300478465</c:v>
                </c:pt>
                <c:pt idx="249">
                  <c:v>-1.3546615623348792</c:v>
                </c:pt>
                <c:pt idx="250">
                  <c:v>-1.3122356960599399</c:v>
                </c:pt>
                <c:pt idx="251">
                  <c:v>-1.2682511488106434</c:v>
                </c:pt>
                <c:pt idx="252">
                  <c:v>-1.2228016053492079</c:v>
                </c:pt>
                <c:pt idx="253">
                  <c:v>-1.1759818466068976</c:v>
                </c:pt>
                <c:pt idx="254">
                  <c:v>-1.1278875792611225</c:v>
                </c:pt>
                <c:pt idx="255">
                  <c:v>-1.0786152661661188</c:v>
                </c:pt>
                <c:pt idx="256">
                  <c:v>-1.0282619579029877</c:v>
                </c:pt>
                <c:pt idx="257">
                  <c:v>-0.976925125709321</c:v>
                </c:pt>
                <c:pt idx="258">
                  <c:v>-0.92470249604278365</c:v>
                </c:pt>
                <c:pt idx="259">
                  <c:v>-0.87169188702679745</c:v>
                </c:pt>
                <c:pt idx="260">
                  <c:v>-0.81799104701995218</c:v>
                </c:pt>
                <c:pt idx="261">
                  <c:v>-0.7636974955439193</c:v>
                </c:pt>
                <c:pt idx="262">
                  <c:v>-0.70890836679753289</c:v>
                </c:pt>
                <c:pt idx="263">
                  <c:v>-0.65372025597729022</c:v>
                </c:pt>
                <c:pt idx="264">
                  <c:v>-0.59822906861687819</c:v>
                </c:pt>
                <c:pt idx="265">
                  <c:v>-0.54252987315042256</c:v>
                </c:pt>
                <c:pt idx="266">
                  <c:v>-0.48671675689604371</c:v>
                </c:pt>
                <c:pt idx="267">
                  <c:v>-0.43088268564795967</c:v>
                </c:pt>
                <c:pt idx="268">
                  <c:v>-0.37511936705686028</c:v>
                </c:pt>
                <c:pt idx="269">
                  <c:v>-0.31951711796956955</c:v>
                </c:pt>
                <c:pt idx="270">
                  <c:v>-0.26416473589015554</c:v>
                </c:pt>
                <c:pt idx="271">
                  <c:v>-0.20914937471564496</c:v>
                </c:pt>
                <c:pt idx="272">
                  <c:v>-0.15455642489036983</c:v>
                </c:pt>
                <c:pt idx="273">
                  <c:v>-0.10046939811374032</c:v>
                </c:pt>
                <c:pt idx="274">
                  <c:v>-4.6969816726903778E-2</c:v>
                </c:pt>
                <c:pt idx="275">
                  <c:v>5.862892105651228E-3</c:v>
                </c:pt>
                <c:pt idx="276">
                  <c:v>5.7951497312952356E-2</c:v>
                </c:pt>
                <c:pt idx="277">
                  <c:v>0.1092210598357765</c:v>
                </c:pt>
                <c:pt idx="278">
                  <c:v>0.15959902345870572</c:v>
                </c:pt>
                <c:pt idx="279">
                  <c:v>0.20901530047799863</c:v>
                </c:pt>
                <c:pt idx="280">
                  <c:v>0.25740235213680907</c:v>
                </c:pt>
                <c:pt idx="281">
                  <c:v>0.30469526376880363</c:v>
                </c:pt>
                <c:pt idx="282">
                  <c:v>0.35083181460071255</c:v>
                </c:pt>
                <c:pt idx="283">
                  <c:v>0.39575254217378097</c:v>
                </c:pt>
                <c:pt idx="284">
                  <c:v>0.43940080135345494</c:v>
                </c:pt>
                <c:pt idx="285">
                  <c:v>0.48172281790592453</c:v>
                </c:pt>
                <c:pt idx="286">
                  <c:v>0.52266773662933486</c:v>
                </c:pt>
                <c:pt idx="287">
                  <c:v>0.56218766403656684</c:v>
                </c:pt>
                <c:pt idx="288">
                  <c:v>0.60023770559545053</c:v>
                </c:pt>
                <c:pt idx="289">
                  <c:v>0.6367759975410987</c:v>
                </c:pt>
                <c:pt idx="290">
                  <c:v>0.67176373328374417</c:v>
                </c:pt>
                <c:pt idx="291">
                  <c:v>0.70516518444396903</c:v>
                </c:pt>
                <c:pt idx="292">
                  <c:v>0.73694771655558522</c:v>
                </c:pt>
                <c:pt idx="293">
                  <c:v>0.76708179948458932</c:v>
                </c:pt>
                <c:pt idx="294">
                  <c:v>0.79554101262058285</c:v>
                </c:pt>
                <c:pt idx="295">
                  <c:v>0.82230204490484948</c:v>
                </c:pt>
                <c:pt idx="296">
                  <c:v>0.84734468976680888</c:v>
                </c:pt>
                <c:pt idx="297">
                  <c:v>0.87065183504793786</c:v>
                </c:pt>
                <c:pt idx="298">
                  <c:v>0.89220944799933677</c:v>
                </c:pt>
                <c:pt idx="299">
                  <c:v>0.91200655544598952</c:v>
                </c:pt>
                <c:pt idx="300">
                  <c:v>0.93003521921739918</c:v>
                </c:pt>
                <c:pt idx="301">
                  <c:v>0.94629050695062034</c:v>
                </c:pt>
                <c:pt idx="302">
                  <c:v>0.96077045837784258</c:v>
                </c:pt>
                <c:pt idx="303">
                  <c:v>0.9734760472164885</c:v>
                </c:pt>
                <c:pt idx="304">
                  <c:v>0.9844111387853578</c:v>
                </c:pt>
                <c:pt idx="305">
                  <c:v>0.99358244347563685</c:v>
                </c:pt>
                <c:pt idx="306">
                  <c:v>1.0009994662105808</c:v>
                </c:pt>
                <c:pt idx="307">
                  <c:v>1.0066744520323767</c:v>
                </c:pt>
                <c:pt idx="308">
                  <c:v>1.0106223279591326</c:v>
                </c:pt>
                <c:pt idx="309">
                  <c:v>1.0128606412590309</c:v>
                </c:pt>
                <c:pt idx="310">
                  <c:v>1.0134094942925271</c:v>
                </c:pt>
                <c:pt idx="311">
                  <c:v>1.0122914760769881</c:v>
                </c:pt>
                <c:pt idx="312">
                  <c:v>1.0095315907313769</c:v>
                </c:pt>
                <c:pt idx="313">
                  <c:v>1.0051571829615269</c:v>
                </c:pt>
                <c:pt idx="314">
                  <c:v>0.9991978607491383</c:v>
                </c:pt>
                <c:pt idx="315">
                  <c:v>0.9916854154099638</c:v>
                </c:pt>
                <c:pt idx="316">
                  <c:v>0.98265373918863785</c:v>
                </c:pt>
                <c:pt idx="317">
                  <c:v>0.97213874055931693</c:v>
                </c:pt>
                <c:pt idx="318">
                  <c:v>0.96017825740271123</c:v>
                </c:pt>
                <c:pt idx="319">
                  <c:v>0.94681196823117209</c:v>
                </c:pt>
                <c:pt idx="320">
                  <c:v>0.932081301634334</c:v>
                </c:pt>
                <c:pt idx="321">
                  <c:v>0.9160293441183075</c:v>
                </c:pt>
                <c:pt idx="322">
                  <c:v>0.898700746511647</c:v>
                </c:pt>
                <c:pt idx="323">
                  <c:v>0.88014162911126803</c:v>
                </c:pt>
                <c:pt idx="324">
                  <c:v>0.86039948574112579</c:v>
                </c:pt>
                <c:pt idx="325">
                  <c:v>0.83952308689585819</c:v>
                </c:pt>
                <c:pt idx="326">
                  <c:v>0.81756238214069832</c:v>
                </c:pt>
                <c:pt idx="327">
                  <c:v>0.79456840193778777</c:v>
                </c:pt>
                <c:pt idx="328">
                  <c:v>0.77059315906761328</c:v>
                </c:pt>
                <c:pt idx="329">
                  <c:v>0.74568954981258684</c:v>
                </c:pt>
                <c:pt idx="330">
                  <c:v>0.71991125506787479</c:v>
                </c:pt>
                <c:pt idx="331">
                  <c:v>0.6933126415423948</c:v>
                </c:pt>
                <c:pt idx="332">
                  <c:v>0.66594866321048451</c:v>
                </c:pt>
                <c:pt idx="333">
                  <c:v>0.63787476317211755</c:v>
                </c:pt>
                <c:pt idx="334">
                  <c:v>0.60914677607666123</c:v>
                </c:pt>
                <c:pt idx="335">
                  <c:v>0.57982083126210748</c:v>
                </c:pt>
                <c:pt idx="336">
                  <c:v>0.54995325675841777</c:v>
                </c:pt>
                <c:pt idx="337">
                  <c:v>0.51960048430013817</c:v>
                </c:pt>
                <c:pt idx="338">
                  <c:v>0.48881895548978244</c:v>
                </c:pt>
                <c:pt idx="339">
                  <c:v>0.45766502924961533</c:v>
                </c:pt>
                <c:pt idx="340">
                  <c:v>0.42619489069545458</c:v>
                </c:pt>
                <c:pt idx="341">
                  <c:v>0.39446446156192411</c:v>
                </c:pt>
                <c:pt idx="342">
                  <c:v>0.36252931230424229</c:v>
                </c:pt>
                <c:pt idx="343">
                  <c:v>0.33044457599716015</c:v>
                </c:pt>
                <c:pt idx="344">
                  <c:v>0.29826486414702946</c:v>
                </c:pt>
                <c:pt idx="345">
                  <c:v>0.26604418452824802</c:v>
                </c:pt>
                <c:pt idx="346">
                  <c:v>0.23383586115046151</c:v>
                </c:pt>
                <c:pt idx="347">
                  <c:v>0.20169245645793504</c:v>
                </c:pt>
                <c:pt idx="348">
                  <c:v>0.16966569585744612</c:v>
                </c:pt>
                <c:pt idx="349">
                  <c:v>0.13780639466589314</c:v>
                </c:pt>
                <c:pt idx="350">
                  <c:v>0.10616438756358999</c:v>
                </c:pt>
                <c:pt idx="351">
                  <c:v>7.4788460633914602E-2</c:v>
                </c:pt>
                <c:pt idx="352">
                  <c:v>4.3726286064626023E-2</c:v>
                </c:pt>
                <c:pt idx="353">
                  <c:v>1.3024359580759221E-2</c:v>
                </c:pt>
                <c:pt idx="354">
                  <c:v>-1.727205932643849E-2</c:v>
                </c:pt>
                <c:pt idx="355">
                  <c:v>-4.7119004315538351E-2</c:v>
                </c:pt>
                <c:pt idx="356">
                  <c:v>-7.647385620243291E-2</c:v>
                </c:pt>
                <c:pt idx="357">
                  <c:v>-0.10529539401132042</c:v>
                </c:pt>
                <c:pt idx="358">
                  <c:v>-0.1335438430266889</c:v>
                </c:pt>
                <c:pt idx="359">
                  <c:v>-0.16118091980931809</c:v>
                </c:pt>
                <c:pt idx="360">
                  <c:v>-0.1881698741448033</c:v>
                </c:pt>
                <c:pt idx="361">
                  <c:v>-0.21447552789856497</c:v>
                </c:pt>
                <c:pt idx="362">
                  <c:v>-0.2400643107567339</c:v>
                </c:pt>
                <c:pt idx="363">
                  <c:v>-0.26490429283768896</c:v>
                </c:pt>
                <c:pt idx="364">
                  <c:v>-0.28896521416435822</c:v>
                </c:pt>
                <c:pt idx="365">
                  <c:v>-0.31221851099267112</c:v>
                </c:pt>
                <c:pt idx="366">
                  <c:v>-0.33463733899676418</c:v>
                </c:pt>
                <c:pt idx="367">
                  <c:v>-0.35619659331667436</c:v>
                </c:pt>
                <c:pt idx="368">
                  <c:v>-0.37687292547932005</c:v>
                </c:pt>
                <c:pt idx="369">
                  <c:v>-0.39664475720852965</c:v>
                </c:pt>
                <c:pt idx="370">
                  <c:v>-0.41549229114475994</c:v>
                </c:pt>
                <c:pt idx="371">
                  <c:v>-0.43339751849991554</c:v>
                </c:pt>
                <c:pt idx="372">
                  <c:v>-0.45034422367734267</c:v>
                </c:pt>
                <c:pt idx="373">
                  <c:v>-0.46631798589163015</c:v>
                </c:pt>
                <c:pt idx="374">
                  <c:v>-0.48130617782726937</c:v>
                </c:pt>
                <c:pt idx="375">
                  <c:v>-0.49529796137954218</c:v>
                </c:pt>
                <c:pt idx="376">
                  <c:v>-0.50828428052517027</c:v>
                </c:pt>
                <c:pt idx="377">
                  <c:v>-0.52025785137430391</c:v>
                </c:pt>
                <c:pt idx="378">
                  <c:v>-0.53121314945932407</c:v>
                </c:pt>
                <c:pt idx="379">
                  <c:v>-0.54114639431968414</c:v>
                </c:pt>
                <c:pt idx="380">
                  <c:v>-0.55005553144562247</c:v>
                </c:pt>
                <c:pt idx="381">
                  <c:v>-0.55794021164702889</c:v>
                </c:pt>
                <c:pt idx="382">
                  <c:v>-0.56480176791703529</c:v>
                </c:pt>
                <c:pt idx="383">
                  <c:v>-0.57064318986304907</c:v>
                </c:pt>
                <c:pt idx="384">
                  <c:v>-0.57546909578090377</c:v>
                </c:pt>
                <c:pt idx="385">
                  <c:v>-0.57928570245062128</c:v>
                </c:pt>
                <c:pt idx="386">
                  <c:v>-0.58210079273491233</c:v>
                </c:pt>
                <c:pt idx="387">
                  <c:v>-0.58392368106400905</c:v>
                </c:pt>
                <c:pt idx="388">
                  <c:v>-0.58476517689273488</c:v>
                </c:pt>
                <c:pt idx="389">
                  <c:v>-0.58463754621782404</c:v>
                </c:pt>
                <c:pt idx="390">
                  <c:v>-0.58355447124547233</c:v>
                </c:pt>
                <c:pt idx="391">
                  <c:v>-0.58153100830086746</c:v>
                </c:pt>
                <c:pt idx="392">
                  <c:v>-0.57858354407305446</c:v>
                </c:pt>
                <c:pt idx="393">
                  <c:v>-0.57472975028992079</c:v>
                </c:pt>
                <c:pt idx="394">
                  <c:v>-0.5699885369193336</c:v>
                </c:pt>
                <c:pt idx="395">
                  <c:v>-0.5643800039935426</c:v>
                </c:pt>
                <c:pt idx="396">
                  <c:v>-0.55792539215487025</c:v>
                </c:pt>
                <c:pt idx="397">
                  <c:v>-0.55064703202142917</c:v>
                </c:pt>
                <c:pt idx="398">
                  <c:v>-0.54256829247218241</c:v>
                </c:pt>
                <c:pt idx="399">
                  <c:v>-0.53371352795103577</c:v>
                </c:pt>
                <c:pt idx="400">
                  <c:v>-0.52410802488988406</c:v>
                </c:pt>
                <c:pt idx="401">
                  <c:v>-0.51377794735057658</c:v>
                </c:pt>
                <c:pt idx="402">
                  <c:v>-0.50275028198566085</c:v>
                </c:pt>
                <c:pt idx="403">
                  <c:v>-0.49105278241749406</c:v>
                </c:pt>
                <c:pt idx="404">
                  <c:v>-0.47871391313486933</c:v>
                </c:pt>
                <c:pt idx="405">
                  <c:v>-0.46576279300572787</c:v>
                </c:pt>
                <c:pt idx="406">
                  <c:v>-0.45222913850377661</c:v>
                </c:pt>
                <c:pt idx="407">
                  <c:v>-0.43814320674594326</c:v>
                </c:pt>
                <c:pt idx="408">
                  <c:v>-0.42353573843656472</c:v>
                </c:pt>
                <c:pt idx="409">
                  <c:v>-0.40843790081301906</c:v>
                </c:pt>
                <c:pt idx="410">
                  <c:v>-0.39288123068619785</c:v>
                </c:pt>
                <c:pt idx="411">
                  <c:v>-0.37689757766775872</c:v>
                </c:pt>
                <c:pt idx="412">
                  <c:v>-0.36051904767451243</c:v>
                </c:pt>
                <c:pt idx="413">
                  <c:v>-0.34377794679859608</c:v>
                </c:pt>
                <c:pt idx="414">
                  <c:v>-0.32670672563024111</c:v>
                </c:pt>
                <c:pt idx="415">
                  <c:v>-0.30933792411800914</c:v>
                </c:pt>
                <c:pt idx="416">
                  <c:v>-0.29170411704930088</c:v>
                </c:pt>
                <c:pt idx="417">
                  <c:v>-0.27383786023177681</c:v>
                </c:pt>
                <c:pt idx="418">
                  <c:v>-0.25577163745406595</c:v>
                </c:pt>
                <c:pt idx="419">
                  <c:v>-0.23753780830176463</c:v>
                </c:pt>
                <c:pt idx="420">
                  <c:v>-0.21916855690227838</c:v>
                </c:pt>
                <c:pt idx="421">
                  <c:v>-0.20069584166951118</c:v>
                </c:pt>
                <c:pt idx="422">
                  <c:v>-0.18215134611678366</c:v>
                </c:pt>
                <c:pt idx="423">
                  <c:v>-0.16356643080366445</c:v>
                </c:pt>
                <c:pt idx="424">
                  <c:v>-0.14497208647962539</c:v>
                </c:pt>
                <c:pt idx="425">
                  <c:v>-0.12639888848459982</c:v>
                </c:pt>
                <c:pt idx="426">
                  <c:v>-0.1078769524636298</c:v>
                </c:pt>
                <c:pt idx="427">
                  <c:v>-8.9435891449839364E-2</c:v>
                </c:pt>
                <c:pt idx="428">
                  <c:v>-7.1104774366980025E-2</c:v>
                </c:pt>
                <c:pt idx="429">
                  <c:v>-5.2912085999754728E-2</c:v>
                </c:pt>
                <c:pt idx="430">
                  <c:v>-3.4885688477055268E-2</c:v>
                </c:pt>
                <c:pt idx="431">
                  <c:v>-1.7052784310142878E-2</c:v>
                </c:pt>
                <c:pt idx="432">
                  <c:v>5.6011897532892295E-4</c:v>
                </c:pt>
                <c:pt idx="433">
                  <c:v>1.7927242577699502E-2</c:v>
                </c:pt>
                <c:pt idx="434">
                  <c:v>3.5023568495510707E-2</c:v>
                </c:pt>
                <c:pt idx="435">
                  <c:v>5.1824869912130964E-2</c:v>
                </c:pt>
                <c:pt idx="436">
                  <c:v>6.8307739862563055E-2</c:v>
                </c:pt>
                <c:pt idx="437">
                  <c:v>8.4449618159381373E-2</c:v>
                </c:pt>
                <c:pt idx="438">
                  <c:v>0.10022881655791593</c:v>
                </c:pt>
                <c:pt idx="439">
                  <c:v>0.11562454214395892</c:v>
                </c:pt>
                <c:pt idx="440">
                  <c:v>0.13061691893041308</c:v>
                </c:pt>
                <c:pt idx="441">
                  <c:v>0.14518700765242215</c:v>
                </c:pt>
                <c:pt idx="442">
                  <c:v>0.15931682375361819</c:v>
                </c:pt>
                <c:pt idx="443">
                  <c:v>0.17298935355918563</c:v>
                </c:pt>
                <c:pt idx="444">
                  <c:v>0.18618856863446931</c:v>
                </c:pt>
                <c:pt idx="445">
                  <c:v>0.19889943833084331</c:v>
                </c:pt>
                <c:pt idx="446">
                  <c:v>0.21110794052350043</c:v>
                </c:pt>
                <c:pt idx="447">
                  <c:v>0.22280107054871831</c:v>
                </c:pt>
                <c:pt idx="448">
                  <c:v>0.23396684835100176</c:v>
                </c:pt>
                <c:pt idx="449">
                  <c:v>0.2445943238532847</c:v>
                </c:pt>
                <c:pt idx="450">
                  <c:v>0.2546735805661054</c:v>
                </c:pt>
                <c:pt idx="451">
                  <c:v>0.26419573745432695</c:v>
                </c:pt>
                <c:pt idx="452">
                  <c:v>0.27315294908257004</c:v>
                </c:pt>
                <c:pt idx="453">
                  <c:v>0.28153840406305319</c:v>
                </c:pt>
                <c:pt idx="454">
                  <c:v>0.28934632183197828</c:v>
                </c:pt>
                <c:pt idx="455">
                  <c:v>0.29657194778298085</c:v>
                </c:pt>
                <c:pt idx="456">
                  <c:v>0.30321154678845097</c:v>
                </c:pt>
                <c:pt idx="457">
                  <c:v>0.30926239514174558</c:v>
                </c:pt>
                <c:pt idx="458">
                  <c:v>0.31472277095543971</c:v>
                </c:pt>
                <c:pt idx="459">
                  <c:v>0.31959194305280009</c:v>
                </c:pt>
                <c:pt idx="460">
                  <c:v>0.32387015839161903</c:v>
                </c:pt>
                <c:pt idx="461">
                  <c:v>0.32755862806140262</c:v>
                </c:pt>
                <c:pt idx="462">
                  <c:v>0.33065951189667153</c:v>
                </c:pt>
                <c:pt idx="463">
                  <c:v>0.33317590175081085</c:v>
                </c:pt>
                <c:pt idx="464">
                  <c:v>0.33511180347647046</c:v>
                </c:pt>
                <c:pt idx="465">
                  <c:v>0.33647211766000601</c:v>
                </c:pt>
                <c:pt idx="466">
                  <c:v>0.33726261915882411</c:v>
                </c:pt>
                <c:pt idx="467">
                  <c:v>0.33748993549177519</c:v>
                </c:pt>
                <c:pt idx="468">
                  <c:v>0.33716152413392492</c:v>
                </c:pt>
                <c:pt idx="469">
                  <c:v>0.3362856487681069</c:v>
                </c:pt>
                <c:pt idx="470">
                  <c:v>0.33487135454664585</c:v>
                </c:pt>
                <c:pt idx="471">
                  <c:v>0.33292844241751396</c:v>
                </c:pt>
                <c:pt idx="472">
                  <c:v>0.33046744256996385</c:v>
                </c:pt>
                <c:pt idx="473">
                  <c:v>0.32749958705535598</c:v>
                </c:pt>
                <c:pt idx="474">
                  <c:v>0.32403678163947491</c:v>
                </c:pt>
                <c:pt idx="475">
                  <c:v>0.32009157694310453</c:v>
                </c:pt>
                <c:pt idx="476">
                  <c:v>0.31567713892800886</c:v>
                </c:pt>
                <c:pt idx="477">
                  <c:v>0.31080721878573991</c:v>
                </c:pt>
                <c:pt idx="478">
                  <c:v>0.30549612228687884</c:v>
                </c:pt>
                <c:pt idx="479">
                  <c:v>0.29975867864839101</c:v>
                </c:pt>
                <c:pt idx="480">
                  <c:v>0.29361020897677215</c:v>
                </c:pt>
                <c:pt idx="481">
                  <c:v>0.28706649434454778</c:v>
                </c:pt>
                <c:pt idx="482">
                  <c:v>0.28014374355749139</c:v>
                </c:pt>
                <c:pt idx="483">
                  <c:v>0.27285856066963715</c:v>
                </c:pt>
                <c:pt idx="484">
                  <c:v>0.26522791230277831</c:v>
                </c:pt>
                <c:pt idx="485">
                  <c:v>0.25726909482667804</c:v>
                </c:pt>
                <c:pt idx="486">
                  <c:v>0.24899970145566511</c:v>
                </c:pt>
                <c:pt idx="487">
                  <c:v>0.24043758931664699</c:v>
                </c:pt>
                <c:pt idx="488">
                  <c:v>0.23160084654285967</c:v>
                </c:pt>
                <c:pt idx="489">
                  <c:v>0.22250775944687035</c:v>
                </c:pt>
                <c:pt idx="490">
                  <c:v>0.21317677982548069</c:v>
                </c:pt>
                <c:pt idx="491">
                  <c:v>0.20362649244822753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33-471F-8A31-8A1B2625B451}"/>
            </c:ext>
          </c:extLst>
        </c:ser>
        <c:ser>
          <c:idx val="1"/>
          <c:order val="1"/>
          <c:tx>
            <c:strRef>
              <c:f>'8_15'!$C$9</c:f>
              <c:strCache>
                <c:ptCount val="1"/>
                <c:pt idx="0">
                  <c:v>Env=9*exp(-K.t)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'8_15'!$A$10:$A$501</c:f>
              <c:numCache>
                <c:formatCode>0.000</c:formatCode>
                <c:ptCount val="492"/>
                <c:pt idx="0">
                  <c:v>1.0000000000000001E-5</c:v>
                </c:pt>
                <c:pt idx="1">
                  <c:v>1.001E-2</c:v>
                </c:pt>
                <c:pt idx="2">
                  <c:v>2.001E-2</c:v>
                </c:pt>
                <c:pt idx="3">
                  <c:v>3.0010000000000002E-2</c:v>
                </c:pt>
                <c:pt idx="4">
                  <c:v>4.0010000000000004E-2</c:v>
                </c:pt>
                <c:pt idx="5">
                  <c:v>5.0010000000000006E-2</c:v>
                </c:pt>
                <c:pt idx="6">
                  <c:v>6.0010000000000008E-2</c:v>
                </c:pt>
                <c:pt idx="7">
                  <c:v>7.0010000000000003E-2</c:v>
                </c:pt>
                <c:pt idx="8">
                  <c:v>8.0009999999999998E-2</c:v>
                </c:pt>
                <c:pt idx="9">
                  <c:v>9.0009999999999993E-2</c:v>
                </c:pt>
                <c:pt idx="10">
                  <c:v>0.10000999999999999</c:v>
                </c:pt>
                <c:pt idx="11">
                  <c:v>0.11000999999999998</c:v>
                </c:pt>
                <c:pt idx="12">
                  <c:v>0.12000999999999998</c:v>
                </c:pt>
                <c:pt idx="13">
                  <c:v>0.13000999999999999</c:v>
                </c:pt>
                <c:pt idx="14">
                  <c:v>0.14001</c:v>
                </c:pt>
                <c:pt idx="15">
                  <c:v>0.15001</c:v>
                </c:pt>
                <c:pt idx="16">
                  <c:v>0.16001000000000001</c:v>
                </c:pt>
                <c:pt idx="17">
                  <c:v>0.17001000000000002</c:v>
                </c:pt>
                <c:pt idx="18">
                  <c:v>0.18001000000000003</c:v>
                </c:pt>
                <c:pt idx="19">
                  <c:v>0.19001000000000004</c:v>
                </c:pt>
                <c:pt idx="20">
                  <c:v>0.20001000000000005</c:v>
                </c:pt>
                <c:pt idx="21">
                  <c:v>0.21001000000000006</c:v>
                </c:pt>
                <c:pt idx="22">
                  <c:v>0.22001000000000007</c:v>
                </c:pt>
                <c:pt idx="23">
                  <c:v>0.23001000000000008</c:v>
                </c:pt>
                <c:pt idx="24">
                  <c:v>0.24001000000000008</c:v>
                </c:pt>
                <c:pt idx="25">
                  <c:v>0.25001000000000007</c:v>
                </c:pt>
                <c:pt idx="26">
                  <c:v>0.26001000000000007</c:v>
                </c:pt>
                <c:pt idx="27">
                  <c:v>0.27001000000000008</c:v>
                </c:pt>
                <c:pt idx="28">
                  <c:v>0.28001000000000009</c:v>
                </c:pt>
                <c:pt idx="29">
                  <c:v>0.2900100000000001</c:v>
                </c:pt>
                <c:pt idx="30">
                  <c:v>0.30001000000000011</c:v>
                </c:pt>
                <c:pt idx="31">
                  <c:v>0.31001000000000012</c:v>
                </c:pt>
                <c:pt idx="32">
                  <c:v>0.32001000000000013</c:v>
                </c:pt>
                <c:pt idx="33">
                  <c:v>0.33001000000000014</c:v>
                </c:pt>
                <c:pt idx="34">
                  <c:v>0.34001000000000015</c:v>
                </c:pt>
                <c:pt idx="35">
                  <c:v>0.35001000000000015</c:v>
                </c:pt>
                <c:pt idx="36">
                  <c:v>0.36001000000000016</c:v>
                </c:pt>
                <c:pt idx="37">
                  <c:v>0.37001000000000017</c:v>
                </c:pt>
                <c:pt idx="38">
                  <c:v>0.38001000000000018</c:v>
                </c:pt>
                <c:pt idx="39">
                  <c:v>0.39001000000000019</c:v>
                </c:pt>
                <c:pt idx="40">
                  <c:v>0.4000100000000002</c:v>
                </c:pt>
                <c:pt idx="41">
                  <c:v>0.41001000000000021</c:v>
                </c:pt>
                <c:pt idx="42">
                  <c:v>0.42001000000000022</c:v>
                </c:pt>
                <c:pt idx="43">
                  <c:v>0.43001000000000023</c:v>
                </c:pt>
                <c:pt idx="44">
                  <c:v>0.44001000000000023</c:v>
                </c:pt>
                <c:pt idx="45">
                  <c:v>0.45001000000000024</c:v>
                </c:pt>
                <c:pt idx="46">
                  <c:v>0.46001000000000025</c:v>
                </c:pt>
                <c:pt idx="47">
                  <c:v>0.47001000000000026</c:v>
                </c:pt>
                <c:pt idx="48">
                  <c:v>0.48001000000000027</c:v>
                </c:pt>
                <c:pt idx="49">
                  <c:v>0.49001000000000028</c:v>
                </c:pt>
                <c:pt idx="50">
                  <c:v>0.50001000000000029</c:v>
                </c:pt>
                <c:pt idx="51">
                  <c:v>0.5100100000000003</c:v>
                </c:pt>
                <c:pt idx="52">
                  <c:v>0.52001000000000031</c:v>
                </c:pt>
                <c:pt idx="53">
                  <c:v>0.53001000000000031</c:v>
                </c:pt>
                <c:pt idx="54">
                  <c:v>0.54001000000000032</c:v>
                </c:pt>
                <c:pt idx="55">
                  <c:v>0.55001000000000033</c:v>
                </c:pt>
                <c:pt idx="56">
                  <c:v>0.56001000000000034</c:v>
                </c:pt>
                <c:pt idx="57">
                  <c:v>0.57001000000000035</c:v>
                </c:pt>
                <c:pt idx="58">
                  <c:v>0.58001000000000036</c:v>
                </c:pt>
                <c:pt idx="59">
                  <c:v>0.59001000000000037</c:v>
                </c:pt>
                <c:pt idx="60">
                  <c:v>0.60001000000000038</c:v>
                </c:pt>
                <c:pt idx="61">
                  <c:v>0.61001000000000039</c:v>
                </c:pt>
                <c:pt idx="62">
                  <c:v>0.62001000000000039</c:v>
                </c:pt>
                <c:pt idx="63">
                  <c:v>0.6300100000000004</c:v>
                </c:pt>
                <c:pt idx="64">
                  <c:v>0.64001000000000041</c:v>
                </c:pt>
                <c:pt idx="65">
                  <c:v>0.65001000000000042</c:v>
                </c:pt>
                <c:pt idx="66">
                  <c:v>0.66001000000000043</c:v>
                </c:pt>
                <c:pt idx="67">
                  <c:v>0.67001000000000044</c:v>
                </c:pt>
                <c:pt idx="68">
                  <c:v>0.68001000000000045</c:v>
                </c:pt>
                <c:pt idx="69">
                  <c:v>0.69001000000000046</c:v>
                </c:pt>
                <c:pt idx="70">
                  <c:v>0.70001000000000047</c:v>
                </c:pt>
                <c:pt idx="71">
                  <c:v>0.71001000000000047</c:v>
                </c:pt>
                <c:pt idx="72">
                  <c:v>0.72001000000000048</c:v>
                </c:pt>
                <c:pt idx="73">
                  <c:v>0.73001000000000049</c:v>
                </c:pt>
                <c:pt idx="74">
                  <c:v>0.7400100000000005</c:v>
                </c:pt>
                <c:pt idx="75">
                  <c:v>0.75001000000000051</c:v>
                </c:pt>
                <c:pt idx="76">
                  <c:v>0.76001000000000052</c:v>
                </c:pt>
                <c:pt idx="77">
                  <c:v>0.77001000000000053</c:v>
                </c:pt>
                <c:pt idx="78">
                  <c:v>0.78001000000000054</c:v>
                </c:pt>
                <c:pt idx="79">
                  <c:v>0.79001000000000055</c:v>
                </c:pt>
                <c:pt idx="80">
                  <c:v>0.80001000000000055</c:v>
                </c:pt>
                <c:pt idx="81">
                  <c:v>0.81001000000000056</c:v>
                </c:pt>
                <c:pt idx="82">
                  <c:v>0.82001000000000057</c:v>
                </c:pt>
                <c:pt idx="83">
                  <c:v>0.83001000000000058</c:v>
                </c:pt>
                <c:pt idx="84">
                  <c:v>0.84001000000000059</c:v>
                </c:pt>
                <c:pt idx="85">
                  <c:v>0.8500100000000006</c:v>
                </c:pt>
                <c:pt idx="86">
                  <c:v>0.86001000000000061</c:v>
                </c:pt>
                <c:pt idx="87">
                  <c:v>0.87001000000000062</c:v>
                </c:pt>
                <c:pt idx="88">
                  <c:v>0.88001000000000063</c:v>
                </c:pt>
                <c:pt idx="89">
                  <c:v>0.89001000000000063</c:v>
                </c:pt>
                <c:pt idx="90">
                  <c:v>0.90001000000000064</c:v>
                </c:pt>
                <c:pt idx="91">
                  <c:v>0.91001000000000065</c:v>
                </c:pt>
                <c:pt idx="92">
                  <c:v>0.92001000000000066</c:v>
                </c:pt>
                <c:pt idx="93">
                  <c:v>0.93001000000000067</c:v>
                </c:pt>
                <c:pt idx="94">
                  <c:v>0.94001000000000068</c:v>
                </c:pt>
                <c:pt idx="95">
                  <c:v>0.95001000000000069</c:v>
                </c:pt>
                <c:pt idx="96">
                  <c:v>0.9600100000000007</c:v>
                </c:pt>
                <c:pt idx="97">
                  <c:v>0.97001000000000071</c:v>
                </c:pt>
                <c:pt idx="98">
                  <c:v>0.98001000000000071</c:v>
                </c:pt>
                <c:pt idx="99">
                  <c:v>0.99001000000000072</c:v>
                </c:pt>
                <c:pt idx="100">
                  <c:v>1.0000100000000007</c:v>
                </c:pt>
                <c:pt idx="101">
                  <c:v>1.0100100000000007</c:v>
                </c:pt>
                <c:pt idx="102">
                  <c:v>1.0200100000000007</c:v>
                </c:pt>
                <c:pt idx="103">
                  <c:v>1.0300100000000008</c:v>
                </c:pt>
                <c:pt idx="104">
                  <c:v>1.0400100000000008</c:v>
                </c:pt>
                <c:pt idx="105">
                  <c:v>1.0500100000000008</c:v>
                </c:pt>
                <c:pt idx="106">
                  <c:v>1.0600100000000008</c:v>
                </c:pt>
                <c:pt idx="107">
                  <c:v>1.0700100000000008</c:v>
                </c:pt>
                <c:pt idx="108">
                  <c:v>1.0800100000000008</c:v>
                </c:pt>
                <c:pt idx="109">
                  <c:v>1.0900100000000008</c:v>
                </c:pt>
                <c:pt idx="110">
                  <c:v>1.1000100000000008</c:v>
                </c:pt>
                <c:pt idx="111">
                  <c:v>1.1100100000000008</c:v>
                </c:pt>
                <c:pt idx="112">
                  <c:v>1.1200100000000008</c:v>
                </c:pt>
                <c:pt idx="113">
                  <c:v>1.1300100000000008</c:v>
                </c:pt>
                <c:pt idx="114">
                  <c:v>1.1400100000000009</c:v>
                </c:pt>
                <c:pt idx="115">
                  <c:v>1.1500100000000009</c:v>
                </c:pt>
                <c:pt idx="116">
                  <c:v>1.1600100000000009</c:v>
                </c:pt>
                <c:pt idx="117">
                  <c:v>1.1700100000000009</c:v>
                </c:pt>
                <c:pt idx="118">
                  <c:v>1.1800100000000009</c:v>
                </c:pt>
                <c:pt idx="119">
                  <c:v>1.1900100000000009</c:v>
                </c:pt>
                <c:pt idx="120">
                  <c:v>1.2000100000000009</c:v>
                </c:pt>
                <c:pt idx="121">
                  <c:v>1.2100100000000009</c:v>
                </c:pt>
                <c:pt idx="122">
                  <c:v>1.2200100000000009</c:v>
                </c:pt>
                <c:pt idx="123">
                  <c:v>1.2300100000000009</c:v>
                </c:pt>
                <c:pt idx="124">
                  <c:v>1.2400100000000009</c:v>
                </c:pt>
                <c:pt idx="125">
                  <c:v>1.250010000000001</c:v>
                </c:pt>
                <c:pt idx="126">
                  <c:v>1.260010000000001</c:v>
                </c:pt>
                <c:pt idx="127">
                  <c:v>1.270010000000001</c:v>
                </c:pt>
                <c:pt idx="128">
                  <c:v>1.280010000000001</c:v>
                </c:pt>
                <c:pt idx="129">
                  <c:v>1.290010000000001</c:v>
                </c:pt>
                <c:pt idx="130">
                  <c:v>1.300010000000001</c:v>
                </c:pt>
                <c:pt idx="131">
                  <c:v>1.310010000000001</c:v>
                </c:pt>
                <c:pt idx="132">
                  <c:v>1.320010000000001</c:v>
                </c:pt>
                <c:pt idx="133">
                  <c:v>1.330010000000001</c:v>
                </c:pt>
                <c:pt idx="134">
                  <c:v>1.340010000000001</c:v>
                </c:pt>
                <c:pt idx="135">
                  <c:v>1.350010000000001</c:v>
                </c:pt>
                <c:pt idx="136">
                  <c:v>1.3600100000000011</c:v>
                </c:pt>
                <c:pt idx="137">
                  <c:v>1.3700100000000011</c:v>
                </c:pt>
                <c:pt idx="138">
                  <c:v>1.3800100000000011</c:v>
                </c:pt>
                <c:pt idx="139">
                  <c:v>1.3900100000000011</c:v>
                </c:pt>
                <c:pt idx="140">
                  <c:v>1.4000100000000011</c:v>
                </c:pt>
                <c:pt idx="141">
                  <c:v>1.4100100000000011</c:v>
                </c:pt>
                <c:pt idx="142">
                  <c:v>1.4200100000000011</c:v>
                </c:pt>
                <c:pt idx="143">
                  <c:v>1.4300100000000011</c:v>
                </c:pt>
                <c:pt idx="144">
                  <c:v>1.4400100000000011</c:v>
                </c:pt>
                <c:pt idx="145">
                  <c:v>1.4500100000000011</c:v>
                </c:pt>
                <c:pt idx="146">
                  <c:v>1.4600100000000011</c:v>
                </c:pt>
                <c:pt idx="147">
                  <c:v>1.4700100000000011</c:v>
                </c:pt>
                <c:pt idx="148">
                  <c:v>1.4800100000000012</c:v>
                </c:pt>
                <c:pt idx="149">
                  <c:v>1.4900100000000012</c:v>
                </c:pt>
                <c:pt idx="150">
                  <c:v>1.5000100000000012</c:v>
                </c:pt>
                <c:pt idx="151">
                  <c:v>1.5100100000000012</c:v>
                </c:pt>
                <c:pt idx="152">
                  <c:v>1.5200100000000012</c:v>
                </c:pt>
                <c:pt idx="153">
                  <c:v>1.5300100000000012</c:v>
                </c:pt>
                <c:pt idx="154">
                  <c:v>1.5400100000000012</c:v>
                </c:pt>
                <c:pt idx="155">
                  <c:v>1.5500100000000012</c:v>
                </c:pt>
                <c:pt idx="156">
                  <c:v>1.5600100000000012</c:v>
                </c:pt>
                <c:pt idx="157">
                  <c:v>1.5700100000000012</c:v>
                </c:pt>
                <c:pt idx="158">
                  <c:v>1.5800100000000012</c:v>
                </c:pt>
                <c:pt idx="159">
                  <c:v>1.5900100000000013</c:v>
                </c:pt>
                <c:pt idx="160">
                  <c:v>1.6000100000000013</c:v>
                </c:pt>
                <c:pt idx="161">
                  <c:v>1.6100100000000013</c:v>
                </c:pt>
                <c:pt idx="162">
                  <c:v>1.6200100000000013</c:v>
                </c:pt>
                <c:pt idx="163">
                  <c:v>1.6300100000000013</c:v>
                </c:pt>
                <c:pt idx="164">
                  <c:v>1.6400100000000013</c:v>
                </c:pt>
                <c:pt idx="165">
                  <c:v>1.6500100000000013</c:v>
                </c:pt>
                <c:pt idx="166">
                  <c:v>1.6600100000000013</c:v>
                </c:pt>
                <c:pt idx="167">
                  <c:v>1.6700100000000013</c:v>
                </c:pt>
                <c:pt idx="168">
                  <c:v>1.6800100000000013</c:v>
                </c:pt>
                <c:pt idx="169">
                  <c:v>1.6900100000000013</c:v>
                </c:pt>
                <c:pt idx="170">
                  <c:v>1.7000100000000014</c:v>
                </c:pt>
                <c:pt idx="171">
                  <c:v>1.7100100000000014</c:v>
                </c:pt>
                <c:pt idx="172">
                  <c:v>1.7200100000000014</c:v>
                </c:pt>
                <c:pt idx="173">
                  <c:v>1.7300100000000014</c:v>
                </c:pt>
                <c:pt idx="174">
                  <c:v>1.7400100000000014</c:v>
                </c:pt>
                <c:pt idx="175">
                  <c:v>1.7500100000000014</c:v>
                </c:pt>
                <c:pt idx="176">
                  <c:v>1.7600100000000014</c:v>
                </c:pt>
                <c:pt idx="177">
                  <c:v>1.7700100000000014</c:v>
                </c:pt>
                <c:pt idx="178">
                  <c:v>1.7800100000000014</c:v>
                </c:pt>
                <c:pt idx="179">
                  <c:v>1.7900100000000014</c:v>
                </c:pt>
                <c:pt idx="180">
                  <c:v>1.8000100000000014</c:v>
                </c:pt>
                <c:pt idx="181">
                  <c:v>1.8100100000000015</c:v>
                </c:pt>
                <c:pt idx="182">
                  <c:v>1.8200100000000015</c:v>
                </c:pt>
                <c:pt idx="183">
                  <c:v>1.8300100000000015</c:v>
                </c:pt>
                <c:pt idx="184">
                  <c:v>1.8400100000000015</c:v>
                </c:pt>
                <c:pt idx="185">
                  <c:v>1.8500100000000015</c:v>
                </c:pt>
                <c:pt idx="186">
                  <c:v>1.8600100000000015</c:v>
                </c:pt>
                <c:pt idx="187">
                  <c:v>1.8700100000000015</c:v>
                </c:pt>
                <c:pt idx="188">
                  <c:v>1.8800100000000015</c:v>
                </c:pt>
                <c:pt idx="189">
                  <c:v>1.8900100000000015</c:v>
                </c:pt>
                <c:pt idx="190">
                  <c:v>1.9000100000000015</c:v>
                </c:pt>
                <c:pt idx="191">
                  <c:v>1.9100100000000015</c:v>
                </c:pt>
                <c:pt idx="192">
                  <c:v>1.9200100000000015</c:v>
                </c:pt>
                <c:pt idx="193">
                  <c:v>1.9300100000000016</c:v>
                </c:pt>
                <c:pt idx="194">
                  <c:v>1.9400100000000016</c:v>
                </c:pt>
                <c:pt idx="195">
                  <c:v>1.9500100000000016</c:v>
                </c:pt>
                <c:pt idx="196">
                  <c:v>1.9600100000000016</c:v>
                </c:pt>
                <c:pt idx="197">
                  <c:v>1.9700100000000016</c:v>
                </c:pt>
                <c:pt idx="198">
                  <c:v>1.9800100000000016</c:v>
                </c:pt>
                <c:pt idx="199">
                  <c:v>1.9900100000000016</c:v>
                </c:pt>
                <c:pt idx="200">
                  <c:v>2.0000100000000014</c:v>
                </c:pt>
                <c:pt idx="201">
                  <c:v>2.0100100000000012</c:v>
                </c:pt>
                <c:pt idx="202">
                  <c:v>2.020010000000001</c:v>
                </c:pt>
                <c:pt idx="203">
                  <c:v>2.0300100000000008</c:v>
                </c:pt>
                <c:pt idx="204">
                  <c:v>2.0400100000000005</c:v>
                </c:pt>
                <c:pt idx="205">
                  <c:v>2.0500100000000003</c:v>
                </c:pt>
                <c:pt idx="206">
                  <c:v>2.0600100000000001</c:v>
                </c:pt>
                <c:pt idx="207">
                  <c:v>2.0700099999999999</c:v>
                </c:pt>
                <c:pt idx="208">
                  <c:v>2.0800099999999997</c:v>
                </c:pt>
                <c:pt idx="209">
                  <c:v>2.0900099999999995</c:v>
                </c:pt>
                <c:pt idx="210">
                  <c:v>2.1000099999999993</c:v>
                </c:pt>
                <c:pt idx="211">
                  <c:v>2.1100099999999991</c:v>
                </c:pt>
                <c:pt idx="212">
                  <c:v>2.1200099999999988</c:v>
                </c:pt>
                <c:pt idx="213">
                  <c:v>2.1300099999999986</c:v>
                </c:pt>
                <c:pt idx="214">
                  <c:v>2.1400099999999984</c:v>
                </c:pt>
                <c:pt idx="215">
                  <c:v>2.1500099999999982</c:v>
                </c:pt>
                <c:pt idx="216">
                  <c:v>2.160009999999998</c:v>
                </c:pt>
                <c:pt idx="217">
                  <c:v>2.1700099999999978</c:v>
                </c:pt>
                <c:pt idx="218">
                  <c:v>2.1800099999999976</c:v>
                </c:pt>
                <c:pt idx="219">
                  <c:v>2.1900099999999973</c:v>
                </c:pt>
                <c:pt idx="220">
                  <c:v>2.2000099999999971</c:v>
                </c:pt>
                <c:pt idx="221">
                  <c:v>2.2100099999999969</c:v>
                </c:pt>
                <c:pt idx="222">
                  <c:v>2.2200099999999967</c:v>
                </c:pt>
                <c:pt idx="223">
                  <c:v>2.2300099999999965</c:v>
                </c:pt>
                <c:pt idx="224">
                  <c:v>2.2400099999999963</c:v>
                </c:pt>
                <c:pt idx="225">
                  <c:v>2.2500099999999961</c:v>
                </c:pt>
                <c:pt idx="226">
                  <c:v>2.2600099999999959</c:v>
                </c:pt>
                <c:pt idx="227">
                  <c:v>2.2700099999999956</c:v>
                </c:pt>
                <c:pt idx="228">
                  <c:v>2.2800099999999954</c:v>
                </c:pt>
                <c:pt idx="229">
                  <c:v>2.2900099999999952</c:v>
                </c:pt>
                <c:pt idx="230">
                  <c:v>2.300009999999995</c:v>
                </c:pt>
                <c:pt idx="231">
                  <c:v>2.3100099999999948</c:v>
                </c:pt>
                <c:pt idx="232">
                  <c:v>2.3200099999999946</c:v>
                </c:pt>
                <c:pt idx="233">
                  <c:v>2.3300099999999944</c:v>
                </c:pt>
                <c:pt idx="234">
                  <c:v>2.3400099999999942</c:v>
                </c:pt>
                <c:pt idx="235">
                  <c:v>2.3500099999999939</c:v>
                </c:pt>
                <c:pt idx="236">
                  <c:v>2.3600099999999937</c:v>
                </c:pt>
                <c:pt idx="237">
                  <c:v>2.3700099999999935</c:v>
                </c:pt>
                <c:pt idx="238">
                  <c:v>2.3800099999999933</c:v>
                </c:pt>
                <c:pt idx="239">
                  <c:v>2.3900099999999931</c:v>
                </c:pt>
                <c:pt idx="240">
                  <c:v>2.4000099999999929</c:v>
                </c:pt>
                <c:pt idx="241">
                  <c:v>2.4100099999999927</c:v>
                </c:pt>
                <c:pt idx="242">
                  <c:v>2.4200099999999924</c:v>
                </c:pt>
                <c:pt idx="243">
                  <c:v>2.4300099999999922</c:v>
                </c:pt>
                <c:pt idx="244">
                  <c:v>2.440009999999992</c:v>
                </c:pt>
                <c:pt idx="245">
                  <c:v>2.4500099999999918</c:v>
                </c:pt>
                <c:pt idx="246">
                  <c:v>2.4600099999999916</c:v>
                </c:pt>
                <c:pt idx="247">
                  <c:v>2.4700099999999914</c:v>
                </c:pt>
                <c:pt idx="248">
                  <c:v>2.4800099999999912</c:v>
                </c:pt>
                <c:pt idx="249">
                  <c:v>2.490009999999991</c:v>
                </c:pt>
                <c:pt idx="250">
                  <c:v>2.5000099999999907</c:v>
                </c:pt>
                <c:pt idx="251">
                  <c:v>2.5100099999999905</c:v>
                </c:pt>
                <c:pt idx="252">
                  <c:v>2.5200099999999903</c:v>
                </c:pt>
                <c:pt idx="253">
                  <c:v>2.5300099999999901</c:v>
                </c:pt>
                <c:pt idx="254">
                  <c:v>2.5400099999999899</c:v>
                </c:pt>
                <c:pt idx="255">
                  <c:v>2.5500099999999897</c:v>
                </c:pt>
                <c:pt idx="256">
                  <c:v>2.5600099999999895</c:v>
                </c:pt>
                <c:pt idx="257">
                  <c:v>2.5700099999999892</c:v>
                </c:pt>
                <c:pt idx="258">
                  <c:v>2.580009999999989</c:v>
                </c:pt>
                <c:pt idx="259">
                  <c:v>2.5900099999999888</c:v>
                </c:pt>
                <c:pt idx="260">
                  <c:v>2.6000099999999886</c:v>
                </c:pt>
                <c:pt idx="261">
                  <c:v>2.6100099999999884</c:v>
                </c:pt>
                <c:pt idx="262">
                  <c:v>2.6200099999999882</c:v>
                </c:pt>
                <c:pt idx="263">
                  <c:v>2.630009999999988</c:v>
                </c:pt>
                <c:pt idx="264">
                  <c:v>2.6400099999999878</c:v>
                </c:pt>
                <c:pt idx="265">
                  <c:v>2.6500099999999875</c:v>
                </c:pt>
                <c:pt idx="266">
                  <c:v>2.6600099999999873</c:v>
                </c:pt>
                <c:pt idx="267">
                  <c:v>2.6700099999999871</c:v>
                </c:pt>
                <c:pt idx="268">
                  <c:v>2.6800099999999869</c:v>
                </c:pt>
                <c:pt idx="269">
                  <c:v>2.6900099999999867</c:v>
                </c:pt>
                <c:pt idx="270">
                  <c:v>2.7000099999999865</c:v>
                </c:pt>
                <c:pt idx="271">
                  <c:v>2.7100099999999863</c:v>
                </c:pt>
                <c:pt idx="272">
                  <c:v>2.7200099999999861</c:v>
                </c:pt>
                <c:pt idx="273">
                  <c:v>2.7300099999999858</c:v>
                </c:pt>
                <c:pt idx="274">
                  <c:v>2.7400099999999856</c:v>
                </c:pt>
                <c:pt idx="275">
                  <c:v>2.7500099999999854</c:v>
                </c:pt>
                <c:pt idx="276">
                  <c:v>2.7600099999999852</c:v>
                </c:pt>
                <c:pt idx="277">
                  <c:v>2.770009999999985</c:v>
                </c:pt>
                <c:pt idx="278">
                  <c:v>2.7800099999999848</c:v>
                </c:pt>
                <c:pt idx="279">
                  <c:v>2.7900099999999846</c:v>
                </c:pt>
                <c:pt idx="280">
                  <c:v>2.8000099999999843</c:v>
                </c:pt>
                <c:pt idx="281">
                  <c:v>2.8100099999999841</c:v>
                </c:pt>
                <c:pt idx="282">
                  <c:v>2.8200099999999839</c:v>
                </c:pt>
                <c:pt idx="283">
                  <c:v>2.8300099999999837</c:v>
                </c:pt>
                <c:pt idx="284">
                  <c:v>2.8400099999999835</c:v>
                </c:pt>
                <c:pt idx="285">
                  <c:v>2.8500099999999833</c:v>
                </c:pt>
                <c:pt idx="286">
                  <c:v>2.8600099999999831</c:v>
                </c:pt>
                <c:pt idx="287">
                  <c:v>2.8700099999999829</c:v>
                </c:pt>
                <c:pt idx="288">
                  <c:v>2.8800099999999826</c:v>
                </c:pt>
                <c:pt idx="289">
                  <c:v>2.8900099999999824</c:v>
                </c:pt>
                <c:pt idx="290">
                  <c:v>2.9000099999999822</c:v>
                </c:pt>
                <c:pt idx="291">
                  <c:v>2.910009999999982</c:v>
                </c:pt>
                <c:pt idx="292">
                  <c:v>2.9200099999999818</c:v>
                </c:pt>
                <c:pt idx="293">
                  <c:v>2.9300099999999816</c:v>
                </c:pt>
                <c:pt idx="294">
                  <c:v>2.9400099999999814</c:v>
                </c:pt>
                <c:pt idx="295">
                  <c:v>2.9500099999999811</c:v>
                </c:pt>
                <c:pt idx="296">
                  <c:v>2.9600099999999809</c:v>
                </c:pt>
                <c:pt idx="297">
                  <c:v>2.9700099999999807</c:v>
                </c:pt>
                <c:pt idx="298">
                  <c:v>2.9800099999999805</c:v>
                </c:pt>
                <c:pt idx="299">
                  <c:v>2.9900099999999803</c:v>
                </c:pt>
                <c:pt idx="300">
                  <c:v>3.0000099999999801</c:v>
                </c:pt>
                <c:pt idx="301">
                  <c:v>3.0100099999999799</c:v>
                </c:pt>
                <c:pt idx="302">
                  <c:v>3.0200099999999797</c:v>
                </c:pt>
                <c:pt idx="303">
                  <c:v>3.0300099999999794</c:v>
                </c:pt>
                <c:pt idx="304">
                  <c:v>3.0400099999999792</c:v>
                </c:pt>
                <c:pt idx="305">
                  <c:v>3.050009999999979</c:v>
                </c:pt>
                <c:pt idx="306">
                  <c:v>3.0600099999999788</c:v>
                </c:pt>
                <c:pt idx="307">
                  <c:v>3.0700099999999786</c:v>
                </c:pt>
                <c:pt idx="308">
                  <c:v>3.0800099999999784</c:v>
                </c:pt>
                <c:pt idx="309">
                  <c:v>3.0900099999999782</c:v>
                </c:pt>
                <c:pt idx="310">
                  <c:v>3.1000099999999779</c:v>
                </c:pt>
                <c:pt idx="311">
                  <c:v>3.1100099999999777</c:v>
                </c:pt>
                <c:pt idx="312">
                  <c:v>3.1200099999999775</c:v>
                </c:pt>
                <c:pt idx="313">
                  <c:v>3.1300099999999773</c:v>
                </c:pt>
                <c:pt idx="314">
                  <c:v>3.1400099999999771</c:v>
                </c:pt>
                <c:pt idx="315">
                  <c:v>3.1500099999999769</c:v>
                </c:pt>
                <c:pt idx="316">
                  <c:v>3.1600099999999767</c:v>
                </c:pt>
                <c:pt idx="317">
                  <c:v>3.1700099999999765</c:v>
                </c:pt>
                <c:pt idx="318">
                  <c:v>3.1800099999999762</c:v>
                </c:pt>
                <c:pt idx="319">
                  <c:v>3.190009999999976</c:v>
                </c:pt>
                <c:pt idx="320">
                  <c:v>3.2000099999999758</c:v>
                </c:pt>
                <c:pt idx="321">
                  <c:v>3.2100099999999756</c:v>
                </c:pt>
                <c:pt idx="322">
                  <c:v>3.2200099999999754</c:v>
                </c:pt>
                <c:pt idx="323">
                  <c:v>3.2300099999999752</c:v>
                </c:pt>
                <c:pt idx="324">
                  <c:v>3.240009999999975</c:v>
                </c:pt>
                <c:pt idx="325">
                  <c:v>3.2500099999999748</c:v>
                </c:pt>
                <c:pt idx="326">
                  <c:v>3.2600099999999745</c:v>
                </c:pt>
                <c:pt idx="327">
                  <c:v>3.2700099999999743</c:v>
                </c:pt>
                <c:pt idx="328">
                  <c:v>3.2800099999999741</c:v>
                </c:pt>
                <c:pt idx="329">
                  <c:v>3.2900099999999739</c:v>
                </c:pt>
                <c:pt idx="330">
                  <c:v>3.3000099999999737</c:v>
                </c:pt>
                <c:pt idx="331">
                  <c:v>3.3100099999999735</c:v>
                </c:pt>
                <c:pt idx="332">
                  <c:v>3.3200099999999733</c:v>
                </c:pt>
                <c:pt idx="333">
                  <c:v>3.330009999999973</c:v>
                </c:pt>
                <c:pt idx="334">
                  <c:v>3.3400099999999728</c:v>
                </c:pt>
                <c:pt idx="335">
                  <c:v>3.3500099999999726</c:v>
                </c:pt>
                <c:pt idx="336">
                  <c:v>3.3600099999999724</c:v>
                </c:pt>
                <c:pt idx="337">
                  <c:v>3.3700099999999722</c:v>
                </c:pt>
                <c:pt idx="338">
                  <c:v>3.380009999999972</c:v>
                </c:pt>
                <c:pt idx="339">
                  <c:v>3.3900099999999718</c:v>
                </c:pt>
                <c:pt idx="340">
                  <c:v>3.4000099999999716</c:v>
                </c:pt>
                <c:pt idx="341">
                  <c:v>3.4100099999999713</c:v>
                </c:pt>
                <c:pt idx="342">
                  <c:v>3.4200099999999711</c:v>
                </c:pt>
                <c:pt idx="343">
                  <c:v>3.4300099999999709</c:v>
                </c:pt>
                <c:pt idx="344">
                  <c:v>3.4400099999999707</c:v>
                </c:pt>
                <c:pt idx="345">
                  <c:v>3.4500099999999705</c:v>
                </c:pt>
                <c:pt idx="346">
                  <c:v>3.4600099999999703</c:v>
                </c:pt>
                <c:pt idx="347">
                  <c:v>3.4700099999999701</c:v>
                </c:pt>
                <c:pt idx="348">
                  <c:v>3.4800099999999698</c:v>
                </c:pt>
                <c:pt idx="349">
                  <c:v>3.4900099999999696</c:v>
                </c:pt>
                <c:pt idx="350">
                  <c:v>3.5000099999999694</c:v>
                </c:pt>
                <c:pt idx="351">
                  <c:v>3.5100099999999692</c:v>
                </c:pt>
                <c:pt idx="352">
                  <c:v>3.520009999999969</c:v>
                </c:pt>
                <c:pt idx="353">
                  <c:v>3.5300099999999688</c:v>
                </c:pt>
                <c:pt idx="354">
                  <c:v>3.5400099999999686</c:v>
                </c:pt>
                <c:pt idx="355">
                  <c:v>3.5500099999999684</c:v>
                </c:pt>
                <c:pt idx="356">
                  <c:v>3.5600099999999681</c:v>
                </c:pt>
                <c:pt idx="357">
                  <c:v>3.5700099999999679</c:v>
                </c:pt>
                <c:pt idx="358">
                  <c:v>3.5800099999999677</c:v>
                </c:pt>
                <c:pt idx="359">
                  <c:v>3.5900099999999675</c:v>
                </c:pt>
                <c:pt idx="360">
                  <c:v>3.6000099999999673</c:v>
                </c:pt>
                <c:pt idx="361">
                  <c:v>3.6100099999999671</c:v>
                </c:pt>
                <c:pt idx="362">
                  <c:v>3.6200099999999669</c:v>
                </c:pt>
                <c:pt idx="363">
                  <c:v>3.6300099999999667</c:v>
                </c:pt>
                <c:pt idx="364">
                  <c:v>3.6400099999999664</c:v>
                </c:pt>
                <c:pt idx="365">
                  <c:v>3.6500099999999662</c:v>
                </c:pt>
                <c:pt idx="366">
                  <c:v>3.660009999999966</c:v>
                </c:pt>
                <c:pt idx="367">
                  <c:v>3.6700099999999658</c:v>
                </c:pt>
                <c:pt idx="368">
                  <c:v>3.6800099999999656</c:v>
                </c:pt>
                <c:pt idx="369">
                  <c:v>3.6900099999999654</c:v>
                </c:pt>
                <c:pt idx="370">
                  <c:v>3.7000099999999652</c:v>
                </c:pt>
                <c:pt idx="371">
                  <c:v>3.7100099999999649</c:v>
                </c:pt>
                <c:pt idx="372">
                  <c:v>3.7200099999999647</c:v>
                </c:pt>
                <c:pt idx="373">
                  <c:v>3.7300099999999645</c:v>
                </c:pt>
                <c:pt idx="374">
                  <c:v>3.7400099999999643</c:v>
                </c:pt>
                <c:pt idx="375">
                  <c:v>3.7500099999999641</c:v>
                </c:pt>
                <c:pt idx="376">
                  <c:v>3.7600099999999639</c:v>
                </c:pt>
                <c:pt idx="377">
                  <c:v>3.7700099999999637</c:v>
                </c:pt>
                <c:pt idx="378">
                  <c:v>3.7800099999999635</c:v>
                </c:pt>
                <c:pt idx="379">
                  <c:v>3.7900099999999632</c:v>
                </c:pt>
                <c:pt idx="380">
                  <c:v>3.800009999999963</c:v>
                </c:pt>
                <c:pt idx="381">
                  <c:v>3.8100099999999628</c:v>
                </c:pt>
                <c:pt idx="382">
                  <c:v>3.8200099999999626</c:v>
                </c:pt>
                <c:pt idx="383">
                  <c:v>3.8300099999999624</c:v>
                </c:pt>
                <c:pt idx="384">
                  <c:v>3.8400099999999622</c:v>
                </c:pt>
                <c:pt idx="385">
                  <c:v>3.850009999999962</c:v>
                </c:pt>
                <c:pt idx="386">
                  <c:v>3.8600099999999617</c:v>
                </c:pt>
                <c:pt idx="387">
                  <c:v>3.8700099999999615</c:v>
                </c:pt>
                <c:pt idx="388">
                  <c:v>3.8800099999999613</c:v>
                </c:pt>
                <c:pt idx="389">
                  <c:v>3.8900099999999611</c:v>
                </c:pt>
                <c:pt idx="390">
                  <c:v>3.9000099999999609</c:v>
                </c:pt>
                <c:pt idx="391">
                  <c:v>3.9100099999999607</c:v>
                </c:pt>
                <c:pt idx="392">
                  <c:v>3.9200099999999605</c:v>
                </c:pt>
                <c:pt idx="393">
                  <c:v>3.9300099999999603</c:v>
                </c:pt>
                <c:pt idx="394">
                  <c:v>3.94000999999996</c:v>
                </c:pt>
                <c:pt idx="395">
                  <c:v>3.9500099999999598</c:v>
                </c:pt>
                <c:pt idx="396">
                  <c:v>3.9600099999999596</c:v>
                </c:pt>
                <c:pt idx="397">
                  <c:v>3.9700099999999594</c:v>
                </c:pt>
                <c:pt idx="398">
                  <c:v>3.9800099999999592</c:v>
                </c:pt>
                <c:pt idx="399">
                  <c:v>3.990009999999959</c:v>
                </c:pt>
                <c:pt idx="400">
                  <c:v>4.0000099999999588</c:v>
                </c:pt>
                <c:pt idx="401">
                  <c:v>4.0100099999999586</c:v>
                </c:pt>
                <c:pt idx="402">
                  <c:v>4.0200099999999583</c:v>
                </c:pt>
                <c:pt idx="403">
                  <c:v>4.0300099999999581</c:v>
                </c:pt>
                <c:pt idx="404">
                  <c:v>4.0400099999999579</c:v>
                </c:pt>
                <c:pt idx="405">
                  <c:v>4.0500099999999577</c:v>
                </c:pt>
                <c:pt idx="406">
                  <c:v>4.0600099999999575</c:v>
                </c:pt>
                <c:pt idx="407">
                  <c:v>4.0700099999999573</c:v>
                </c:pt>
                <c:pt idx="408">
                  <c:v>4.0800099999999571</c:v>
                </c:pt>
                <c:pt idx="409">
                  <c:v>4.0900099999999568</c:v>
                </c:pt>
                <c:pt idx="410">
                  <c:v>4.1000099999999566</c:v>
                </c:pt>
                <c:pt idx="411">
                  <c:v>4.1100099999999564</c:v>
                </c:pt>
                <c:pt idx="412">
                  <c:v>4.1200099999999562</c:v>
                </c:pt>
                <c:pt idx="413">
                  <c:v>4.130009999999956</c:v>
                </c:pt>
                <c:pt idx="414">
                  <c:v>4.1400099999999558</c:v>
                </c:pt>
                <c:pt idx="415">
                  <c:v>4.1500099999999556</c:v>
                </c:pt>
                <c:pt idx="416">
                  <c:v>4.1600099999999554</c:v>
                </c:pt>
                <c:pt idx="417">
                  <c:v>4.1700099999999551</c:v>
                </c:pt>
                <c:pt idx="418">
                  <c:v>4.1800099999999549</c:v>
                </c:pt>
                <c:pt idx="419">
                  <c:v>4.1900099999999547</c:v>
                </c:pt>
                <c:pt idx="420">
                  <c:v>4.2000099999999545</c:v>
                </c:pt>
                <c:pt idx="421">
                  <c:v>4.2100099999999543</c:v>
                </c:pt>
                <c:pt idx="422">
                  <c:v>4.2200099999999541</c:v>
                </c:pt>
                <c:pt idx="423">
                  <c:v>4.2300099999999539</c:v>
                </c:pt>
                <c:pt idx="424">
                  <c:v>4.2400099999999536</c:v>
                </c:pt>
                <c:pt idx="425">
                  <c:v>4.2500099999999534</c:v>
                </c:pt>
                <c:pt idx="426">
                  <c:v>4.2600099999999532</c:v>
                </c:pt>
                <c:pt idx="427">
                  <c:v>4.270009999999953</c:v>
                </c:pt>
                <c:pt idx="428">
                  <c:v>4.2800099999999528</c:v>
                </c:pt>
                <c:pt idx="429">
                  <c:v>4.2900099999999526</c:v>
                </c:pt>
                <c:pt idx="430">
                  <c:v>4.3000099999999524</c:v>
                </c:pt>
                <c:pt idx="431">
                  <c:v>4.3100099999999522</c:v>
                </c:pt>
                <c:pt idx="432">
                  <c:v>4.3200099999999519</c:v>
                </c:pt>
                <c:pt idx="433">
                  <c:v>4.3300099999999517</c:v>
                </c:pt>
                <c:pt idx="434">
                  <c:v>4.3400099999999515</c:v>
                </c:pt>
                <c:pt idx="435">
                  <c:v>4.3500099999999513</c:v>
                </c:pt>
                <c:pt idx="436">
                  <c:v>4.3600099999999511</c:v>
                </c:pt>
                <c:pt idx="437">
                  <c:v>4.3700099999999509</c:v>
                </c:pt>
                <c:pt idx="438">
                  <c:v>4.3800099999999507</c:v>
                </c:pt>
                <c:pt idx="439">
                  <c:v>4.3900099999999505</c:v>
                </c:pt>
                <c:pt idx="440">
                  <c:v>4.4000099999999502</c:v>
                </c:pt>
                <c:pt idx="441">
                  <c:v>4.41000999999995</c:v>
                </c:pt>
                <c:pt idx="442">
                  <c:v>4.4200099999999498</c:v>
                </c:pt>
                <c:pt idx="443">
                  <c:v>4.4300099999999496</c:v>
                </c:pt>
                <c:pt idx="444">
                  <c:v>4.4400099999999494</c:v>
                </c:pt>
                <c:pt idx="445">
                  <c:v>4.4500099999999492</c:v>
                </c:pt>
                <c:pt idx="446">
                  <c:v>4.460009999999949</c:v>
                </c:pt>
                <c:pt idx="447">
                  <c:v>4.4700099999999487</c:v>
                </c:pt>
                <c:pt idx="448">
                  <c:v>4.4800099999999485</c:v>
                </c:pt>
                <c:pt idx="449">
                  <c:v>4.4900099999999483</c:v>
                </c:pt>
                <c:pt idx="450">
                  <c:v>4.5000099999999481</c:v>
                </c:pt>
                <c:pt idx="451">
                  <c:v>4.5100099999999479</c:v>
                </c:pt>
                <c:pt idx="452">
                  <c:v>4.5200099999999477</c:v>
                </c:pt>
                <c:pt idx="453">
                  <c:v>4.5300099999999475</c:v>
                </c:pt>
                <c:pt idx="454">
                  <c:v>4.5400099999999473</c:v>
                </c:pt>
                <c:pt idx="455">
                  <c:v>4.550009999999947</c:v>
                </c:pt>
                <c:pt idx="456">
                  <c:v>4.5600099999999468</c:v>
                </c:pt>
                <c:pt idx="457">
                  <c:v>4.5700099999999466</c:v>
                </c:pt>
                <c:pt idx="458">
                  <c:v>4.5800099999999464</c:v>
                </c:pt>
                <c:pt idx="459">
                  <c:v>4.5900099999999462</c:v>
                </c:pt>
                <c:pt idx="460">
                  <c:v>4.600009999999946</c:v>
                </c:pt>
                <c:pt idx="461">
                  <c:v>4.6100099999999458</c:v>
                </c:pt>
                <c:pt idx="462">
                  <c:v>4.6200099999999455</c:v>
                </c:pt>
                <c:pt idx="463">
                  <c:v>4.6300099999999453</c:v>
                </c:pt>
                <c:pt idx="464">
                  <c:v>4.6400099999999451</c:v>
                </c:pt>
                <c:pt idx="465">
                  <c:v>4.6500099999999449</c:v>
                </c:pt>
                <c:pt idx="466">
                  <c:v>4.6600099999999447</c:v>
                </c:pt>
                <c:pt idx="467">
                  <c:v>4.6700099999999445</c:v>
                </c:pt>
                <c:pt idx="468">
                  <c:v>4.6800099999999443</c:v>
                </c:pt>
                <c:pt idx="469">
                  <c:v>4.6900099999999441</c:v>
                </c:pt>
                <c:pt idx="470">
                  <c:v>4.7000099999999438</c:v>
                </c:pt>
                <c:pt idx="471">
                  <c:v>4.7100099999999436</c:v>
                </c:pt>
                <c:pt idx="472">
                  <c:v>4.7200099999999434</c:v>
                </c:pt>
                <c:pt idx="473">
                  <c:v>4.7300099999999432</c:v>
                </c:pt>
                <c:pt idx="474">
                  <c:v>4.740009999999943</c:v>
                </c:pt>
                <c:pt idx="475">
                  <c:v>4.7500099999999428</c:v>
                </c:pt>
                <c:pt idx="476">
                  <c:v>4.7600099999999426</c:v>
                </c:pt>
                <c:pt idx="477">
                  <c:v>4.7700099999999424</c:v>
                </c:pt>
                <c:pt idx="478">
                  <c:v>4.7800099999999421</c:v>
                </c:pt>
                <c:pt idx="479">
                  <c:v>4.7900099999999419</c:v>
                </c:pt>
                <c:pt idx="480">
                  <c:v>4.8000099999999417</c:v>
                </c:pt>
                <c:pt idx="481">
                  <c:v>4.8100099999999415</c:v>
                </c:pt>
                <c:pt idx="482">
                  <c:v>4.8200099999999413</c:v>
                </c:pt>
                <c:pt idx="483">
                  <c:v>4.8300099999999411</c:v>
                </c:pt>
                <c:pt idx="484">
                  <c:v>4.8400099999999409</c:v>
                </c:pt>
                <c:pt idx="485">
                  <c:v>4.8500099999999406</c:v>
                </c:pt>
                <c:pt idx="486">
                  <c:v>4.8600099999999404</c:v>
                </c:pt>
                <c:pt idx="487">
                  <c:v>4.8700099999999402</c:v>
                </c:pt>
                <c:pt idx="488">
                  <c:v>4.88000999999994</c:v>
                </c:pt>
                <c:pt idx="489">
                  <c:v>4.8900099999999398</c:v>
                </c:pt>
                <c:pt idx="490">
                  <c:v>4.9000099999999396</c:v>
                </c:pt>
                <c:pt idx="491">
                  <c:v>4.9100099999999394</c:v>
                </c:pt>
              </c:numCache>
            </c:numRef>
          </c:xVal>
          <c:yVal>
            <c:numRef>
              <c:f>'8_15'!$C$10:$C$501</c:f>
              <c:numCache>
                <c:formatCode>0.000</c:formatCode>
                <c:ptCount val="492"/>
                <c:pt idx="0">
                  <c:v>8.9999370002205001</c:v>
                </c:pt>
                <c:pt idx="1">
                  <c:v>8.9371574260781728</c:v>
                </c:pt>
                <c:pt idx="2">
                  <c:v>8.8748157744379021</c:v>
                </c:pt>
                <c:pt idx="3">
                  <c:v>8.8129089905462852</c:v>
                </c:pt>
                <c:pt idx="4">
                  <c:v>8.7514340409585252</c:v>
                </c:pt>
                <c:pt idx="5">
                  <c:v>8.6903879133897899</c:v>
                </c:pt>
                <c:pt idx="6">
                  <c:v>8.6297676165676158</c:v>
                </c:pt>
                <c:pt idx="7">
                  <c:v>8.5695701800853286</c:v>
                </c:pt>
                <c:pt idx="8">
                  <c:v>8.509792654256497</c:v>
                </c:pt>
                <c:pt idx="9">
                  <c:v>8.450432109970393</c:v>
                </c:pt>
                <c:pt idx="10">
                  <c:v>8.3914856385484722</c:v>
                </c:pt>
                <c:pt idx="11">
                  <c:v>8.3329503516018395</c:v>
                </c:pt>
                <c:pt idx="12">
                  <c:v>8.2748233808897229</c:v>
                </c:pt>
                <c:pt idx="13">
                  <c:v>8.2171018781789247</c:v>
                </c:pt>
                <c:pt idx="14">
                  <c:v>8.1597830151042672</c:v>
                </c:pt>
                <c:pt idx="15">
                  <c:v>8.1028639830299891</c:v>
                </c:pt>
                <c:pt idx="16">
                  <c:v>8.0463419929121294</c:v>
                </c:pt>
                <c:pt idx="17">
                  <c:v>7.9902142751618639</c:v>
                </c:pt>
                <c:pt idx="18">
                  <c:v>7.9344780795097929</c:v>
                </c:pt>
                <c:pt idx="19">
                  <c:v>7.8791306748711767</c:v>
                </c:pt>
                <c:pt idx="20">
                  <c:v>7.8241693492121147</c:v>
                </c:pt>
                <c:pt idx="21">
                  <c:v>7.7695914094166536</c:v>
                </c:pt>
                <c:pt idx="22">
                  <c:v>7.7153941811548208</c:v>
                </c:pt>
                <c:pt idx="23">
                  <c:v>7.6615750087515906</c:v>
                </c:pt>
                <c:pt idx="24">
                  <c:v>7.608131255056743</c:v>
                </c:pt>
                <c:pt idx="25">
                  <c:v>7.5550603013156579</c:v>
                </c:pt>
                <c:pt idx="26">
                  <c:v>7.5023595470409807</c:v>
                </c:pt>
                <c:pt idx="27">
                  <c:v>7.4500264098852069</c:v>
                </c:pt>
                <c:pt idx="28">
                  <c:v>7.398058325514147</c:v>
                </c:pt>
                <c:pt idx="29">
                  <c:v>7.3464527474812682</c:v>
                </c:pt>
                <c:pt idx="30">
                  <c:v>7.2952071471029214</c:v>
                </c:pt>
                <c:pt idx="31">
                  <c:v>7.2443190133344331</c:v>
                </c:pt>
                <c:pt idx="32">
                  <c:v>7.1937858526470686</c:v>
                </c:pt>
                <c:pt idx="33">
                  <c:v>7.1436051889058438</c:v>
                </c:pt>
                <c:pt idx="34">
                  <c:v>7.0937745632481919</c:v>
                </c:pt>
                <c:pt idx="35">
                  <c:v>7.0442915339634897</c:v>
                </c:pt>
                <c:pt idx="36">
                  <c:v>6.9951536763733984</c:v>
                </c:pt>
                <c:pt idx="37">
                  <c:v>6.9463585827130654</c:v>
                </c:pt>
                <c:pt idx="38">
                  <c:v>6.8979038620131377</c:v>
                </c:pt>
                <c:pt idx="39">
                  <c:v>6.8497871399826078</c:v>
                </c:pt>
                <c:pt idx="40">
                  <c:v>6.8020060588924665</c:v>
                </c:pt>
                <c:pt idx="41">
                  <c:v>6.7545582774601822</c:v>
                </c:pt>
                <c:pt idx="42">
                  <c:v>6.7074414707349685</c:v>
                </c:pt>
                <c:pt idx="43">
                  <c:v>6.6606533299838722</c:v>
                </c:pt>
                <c:pt idx="44">
                  <c:v>6.6141915625786307</c:v>
                </c:pt>
                <c:pt idx="45">
                  <c:v>6.5680538918833493</c:v>
                </c:pt>
                <c:pt idx="46">
                  <c:v>6.5222380571429293</c:v>
                </c:pt>
                <c:pt idx="47">
                  <c:v>6.4767418133723034</c:v>
                </c:pt>
                <c:pt idx="48">
                  <c:v>6.4315629312464226</c:v>
                </c:pt>
                <c:pt idx="49">
                  <c:v>6.3866991969910236</c:v>
                </c:pt>
                <c:pt idx="50">
                  <c:v>6.3421484122741507</c:v>
                </c:pt>
                <c:pt idx="51">
                  <c:v>6.2979083940984406</c:v>
                </c:pt>
                <c:pt idx="52">
                  <c:v>6.2539769746941491</c:v>
                </c:pt>
                <c:pt idx="53">
                  <c:v>6.2103520014129359</c:v>
                </c:pt>
                <c:pt idx="54">
                  <c:v>6.167031336622383</c:v>
                </c:pt>
                <c:pt idx="55">
                  <c:v>6.1240128576012456</c:v>
                </c:pt>
                <c:pt idx="56">
                  <c:v>6.0812944564354465</c:v>
                </c:pt>
                <c:pt idx="57">
                  <c:v>6.0388740399147789</c:v>
                </c:pt>
                <c:pt idx="58">
                  <c:v>5.9967495294303488</c:v>
                </c:pt>
                <c:pt idx="59">
                  <c:v>5.9549188608727119</c:v>
                </c:pt>
                <c:pt idx="60">
                  <c:v>5.9133799845307395</c:v>
                </c:pt>
                <c:pt idx="61">
                  <c:v>5.8721308649911803</c:v>
                </c:pt>
                <c:pt idx="62">
                  <c:v>5.8311694810389225</c:v>
                </c:pt>
                <c:pt idx="63">
                  <c:v>5.7904938255579577</c:v>
                </c:pt>
                <c:pt idx="64">
                  <c:v>5.7501019054330289</c:v>
                </c:pt>
                <c:pt idx="65">
                  <c:v>5.709991741451967</c:v>
                </c:pt>
                <c:pt idx="66">
                  <c:v>5.6701613682087126</c:v>
                </c:pt>
                <c:pt idx="67">
                  <c:v>5.6306088340070062</c:v>
                </c:pt>
                <c:pt idx="68">
                  <c:v>5.5913322007647608</c:v>
                </c:pt>
                <c:pt idx="69">
                  <c:v>5.5523295439190852</c:v>
                </c:pt>
                <c:pt idx="70">
                  <c:v>5.5135989523319928</c:v>
                </c:pt>
                <c:pt idx="71">
                  <c:v>5.4751385281967462</c:v>
                </c:pt>
                <c:pt idx="72">
                  <c:v>5.4369463869448671</c:v>
                </c:pt>
                <c:pt idx="73">
                  <c:v>5.399020657153792</c:v>
                </c:pt>
                <c:pt idx="74">
                  <c:v>5.3613594804551727</c:v>
                </c:pt>
                <c:pt idx="75">
                  <c:v>5.3239610114438172</c:v>
                </c:pt>
                <c:pt idx="76">
                  <c:v>5.286823417587259</c:v>
                </c:pt>
                <c:pt idx="77">
                  <c:v>5.2499448791359704</c:v>
                </c:pt>
                <c:pt idx="78">
                  <c:v>5.2133235890341867</c:v>
                </c:pt>
                <c:pt idx="79">
                  <c:v>5.1769577528313668</c:v>
                </c:pt>
                <c:pt idx="80">
                  <c:v>5.140845588594261</c:v>
                </c:pt>
                <c:pt idx="81">
                  <c:v>5.1049853268195946</c:v>
                </c:pt>
                <c:pt idx="82">
                  <c:v>5.0693752103473679</c:v>
                </c:pt>
                <c:pt idx="83">
                  <c:v>5.0340134942747454</c:v>
                </c:pt>
                <c:pt idx="84">
                  <c:v>4.9988984458705676</c:v>
                </c:pt>
                <c:pt idx="85">
                  <c:v>4.9640283444904361</c:v>
                </c:pt>
                <c:pt idx="86">
                  <c:v>4.9294014814924036</c:v>
                </c:pt>
                <c:pt idx="87">
                  <c:v>4.8950161601532587</c:v>
                </c:pt>
                <c:pt idx="88">
                  <c:v>4.8608706955853727</c:v>
                </c:pt>
                <c:pt idx="89">
                  <c:v>4.826963414654152</c:v>
                </c:pt>
                <c:pt idx="90">
                  <c:v>4.7932926558960451</c:v>
                </c:pt>
                <c:pt idx="91">
                  <c:v>4.7598567694371372</c:v>
                </c:pt>
                <c:pt idx="92">
                  <c:v>4.7266541169123011</c:v>
                </c:pt>
                <c:pt idx="93">
                  <c:v>4.6936830713849202</c:v>
                </c:pt>
                <c:pt idx="94">
                  <c:v>4.6609420172671667</c:v>
                </c:pt>
                <c:pt idx="95">
                  <c:v>4.6284293502408378</c:v>
                </c:pt>
                <c:pt idx="96">
                  <c:v>4.5961434771787424</c:v>
                </c:pt>
                <c:pt idx="97">
                  <c:v>4.5640828160666427</c:v>
                </c:pt>
                <c:pt idx="98">
                  <c:v>4.5322457959257285</c:v>
                </c:pt>
                <c:pt idx="99">
                  <c:v>4.5006308567356434</c:v>
                </c:pt>
                <c:pt idx="100">
                  <c:v>4.469236449358041</c:v>
                </c:pt>
                <c:pt idx="101">
                  <c:v>4.4380610354606782</c:v>
                </c:pt>
                <c:pt idx="102">
                  <c:v>4.4071030874420369</c:v>
                </c:pt>
                <c:pt idx="103">
                  <c:v>4.376361088356469</c:v>
                </c:pt>
                <c:pt idx="104">
                  <c:v>4.3458335318398689</c:v>
                </c:pt>
                <c:pt idx="105">
                  <c:v>4.3155189220358601</c:v>
                </c:pt>
                <c:pt idx="106">
                  <c:v>4.2854157735224954</c:v>
                </c:pt>
                <c:pt idx="107">
                  <c:v>4.2555226112394742</c:v>
                </c:pt>
                <c:pt idx="108">
                  <c:v>4.2258379704158653</c:v>
                </c:pt>
                <c:pt idx="109">
                  <c:v>4.1963603964983278</c:v>
                </c:pt>
                <c:pt idx="110">
                  <c:v>4.1670884450798411</c:v>
                </c:pt>
                <c:pt idx="111">
                  <c:v>4.1380206818289302</c:v>
                </c:pt>
                <c:pt idx="112">
                  <c:v>4.1091556824193791</c:v>
                </c:pt>
                <c:pt idx="113">
                  <c:v>4.080492032460441</c:v>
                </c:pt>
                <c:pt idx="114">
                  <c:v>4.0520283274275339</c:v>
                </c:pt>
                <c:pt idx="115">
                  <c:v>4.0237631725934149</c:v>
                </c:pt>
                <c:pt idx="116">
                  <c:v>3.9956951829598428</c:v>
                </c:pt>
                <c:pt idx="117">
                  <c:v>3.9678229831897087</c:v>
                </c:pt>
                <c:pt idx="118">
                  <c:v>3.9401452075396479</c:v>
                </c:pt>
                <c:pt idx="119">
                  <c:v>3.9126604997931147</c:v>
                </c:pt>
                <c:pt idx="120">
                  <c:v>3.8853675131939305</c:v>
                </c:pt>
                <c:pt idx="121">
                  <c:v>3.8582649103802917</c:v>
                </c:pt>
                <c:pt idx="122">
                  <c:v>3.8313513633192375</c:v>
                </c:pt>
                <c:pt idx="123">
                  <c:v>3.8046255532415767</c:v>
                </c:pt>
                <c:pt idx="124">
                  <c:v>3.7780861705772684</c:v>
                </c:pt>
                <c:pt idx="125">
                  <c:v>3.7517319148912511</c:v>
                </c:pt>
                <c:pt idx="126">
                  <c:v>3.7255614948197247</c:v>
                </c:pt>
                <c:pt idx="127">
                  <c:v>3.6995736280068674</c:v>
                </c:pt>
                <c:pt idx="128">
                  <c:v>3.6737670410420069</c:v>
                </c:pt>
                <c:pt idx="129">
                  <c:v>3.6481404693972186</c:v>
                </c:pt>
                <c:pt idx="130">
                  <c:v>3.6226926573653637</c:v>
                </c:pt>
                <c:pt idx="131">
                  <c:v>3.5974223579985614</c:v>
                </c:pt>
                <c:pt idx="132">
                  <c:v>3.5723283330470865</c:v>
                </c:pt>
                <c:pt idx="133">
                  <c:v>3.5474093528986952</c:v>
                </c:pt>
                <c:pt idx="134">
                  <c:v>3.5226641965183747</c:v>
                </c:pt>
                <c:pt idx="135">
                  <c:v>3.4980916513885116</c:v>
                </c:pt>
                <c:pt idx="136">
                  <c:v>3.4736905134494771</c:v>
                </c:pt>
                <c:pt idx="137">
                  <c:v>3.4494595870406304</c:v>
                </c:pt>
                <c:pt idx="138">
                  <c:v>3.4253976848417294</c:v>
                </c:pt>
                <c:pt idx="139">
                  <c:v>3.4015036278147512</c:v>
                </c:pt>
                <c:pt idx="140">
                  <c:v>3.3777762451461215</c:v>
                </c:pt>
                <c:pt idx="141">
                  <c:v>3.354214374189342</c:v>
                </c:pt>
                <c:pt idx="142">
                  <c:v>3.3308168604080208</c:v>
                </c:pt>
                <c:pt idx="143">
                  <c:v>3.3075825573193027</c:v>
                </c:pt>
                <c:pt idx="144">
                  <c:v>3.2845103264376849</c:v>
                </c:pt>
                <c:pt idx="145">
                  <c:v>3.2615990372192409</c:v>
                </c:pt>
                <c:pt idx="146">
                  <c:v>3.2388475670062125</c:v>
                </c:pt>
                <c:pt idx="147">
                  <c:v>3.216254800972008</c:v>
                </c:pt>
                <c:pt idx="148">
                  <c:v>3.193819632066571</c:v>
                </c:pt>
                <c:pt idx="149">
                  <c:v>3.1715409609621368</c:v>
                </c:pt>
                <c:pt idx="150">
                  <c:v>3.1494176959993627</c:v>
                </c:pt>
                <c:pt idx="151">
                  <c:v>3.12744875313384</c:v>
                </c:pt>
                <c:pt idx="152">
                  <c:v>3.1056330558829721</c:v>
                </c:pt>
                <c:pt idx="153">
                  <c:v>3.0839695352732295</c:v>
                </c:pt>
                <c:pt idx="154">
                  <c:v>3.0624571297877661</c:v>
                </c:pt>
                <c:pt idx="155">
                  <c:v>3.041094785314411</c:v>
                </c:pt>
                <c:pt idx="156">
                  <c:v>3.019881455094009</c:v>
                </c:pt>
                <c:pt idx="157">
                  <c:v>2.9988160996691358</c:v>
                </c:pt>
                <c:pt idx="158">
                  <c:v>2.9778976868331597</c:v>
                </c:pt>
                <c:pt idx="159">
                  <c:v>2.9571251915796681</c:v>
                </c:pt>
                <c:pt idx="160">
                  <c:v>2.9364975960522361</c:v>
                </c:pt>
                <c:pt idx="161">
                  <c:v>2.9160138894945562</c:v>
                </c:pt>
                <c:pt idx="162">
                  <c:v>2.8956730682009075</c:v>
                </c:pt>
                <c:pt idx="163">
                  <c:v>2.8754741354669782</c:v>
                </c:pt>
                <c:pt idx="164">
                  <c:v>2.8554161015410213</c:v>
                </c:pt>
                <c:pt idx="165">
                  <c:v>2.8354979835753631</c:v>
                </c:pt>
                <c:pt idx="166">
                  <c:v>2.8157188055782361</c:v>
                </c:pt>
                <c:pt idx="167">
                  <c:v>2.796077598365962</c:v>
                </c:pt>
                <c:pt idx="168">
                  <c:v>2.7765733995154571</c:v>
                </c:pt>
                <c:pt idx="169">
                  <c:v>2.7572052533170757</c:v>
                </c:pt>
                <c:pt idx="170">
                  <c:v>2.7379722107277784</c:v>
                </c:pt>
                <c:pt idx="171">
                  <c:v>2.7188733293246306</c:v>
                </c:pt>
                <c:pt idx="172">
                  <c:v>2.6999076732586214</c:v>
                </c:pt>
                <c:pt idx="173">
                  <c:v>2.6810743132088093</c:v>
                </c:pt>
                <c:pt idx="174">
                  <c:v>2.6623723263367838</c:v>
                </c:pt>
                <c:pt idx="175">
                  <c:v>2.6438007962414463</c:v>
                </c:pt>
                <c:pt idx="176">
                  <c:v>2.6253588129141048</c:v>
                </c:pt>
                <c:pt idx="177">
                  <c:v>2.6070454726938888</c:v>
                </c:pt>
                <c:pt idx="178">
                  <c:v>2.5888598782234613</c:v>
                </c:pt>
                <c:pt idx="179">
                  <c:v>2.5708011384050562</c:v>
                </c:pt>
                <c:pt idx="180">
                  <c:v>2.5528683683568065</c:v>
                </c:pt>
                <c:pt idx="181">
                  <c:v>2.5350606893693954</c:v>
                </c:pt>
                <c:pt idx="182">
                  <c:v>2.5173772288629861</c:v>
                </c:pt>
                <c:pt idx="183">
                  <c:v>2.4998171203444786</c:v>
                </c:pt>
                <c:pt idx="184">
                  <c:v>2.4823795033650393</c:v>
                </c:pt>
                <c:pt idx="185">
                  <c:v>2.4650635234779497</c:v>
                </c:pt>
                <c:pt idx="186">
                  <c:v>2.4478683321967276</c:v>
                </c:pt>
                <c:pt idx="187">
                  <c:v>2.4307930869535634</c:v>
                </c:pt>
                <c:pt idx="188">
                  <c:v>2.4138369510580207</c:v>
                </c:pt>
                <c:pt idx="189">
                  <c:v>2.3969990936560506</c:v>
                </c:pt>
                <c:pt idx="190">
                  <c:v>2.380278689689268</c:v>
                </c:pt>
                <c:pt idx="191">
                  <c:v>2.3636749198545366</c:v>
                </c:pt>
                <c:pt idx="192">
                  <c:v>2.3471869705638104</c:v>
                </c:pt>
                <c:pt idx="193">
                  <c:v>2.3308140339042756</c:v>
                </c:pt>
                <c:pt idx="194">
                  <c:v>2.3145553075987597</c:v>
                </c:pt>
                <c:pt idx="195">
                  <c:v>2.2984099949664212</c:v>
                </c:pt>
                <c:pt idx="196">
                  <c:v>2.2823773048837097</c:v>
                </c:pt>
                <c:pt idx="197">
                  <c:v>2.2664564517456047</c:v>
                </c:pt>
                <c:pt idx="198">
                  <c:v>2.2506466554271158</c:v>
                </c:pt>
                <c:pt idx="199">
                  <c:v>2.2349471412450601</c:v>
                </c:pt>
                <c:pt idx="200">
                  <c:v>2.2193571399201026</c:v>
                </c:pt>
                <c:pt idx="201">
                  <c:v>2.2038758875390578</c:v>
                </c:pt>
                <c:pt idx="202">
                  <c:v>2.1885026255174624</c:v>
                </c:pt>
                <c:pt idx="203">
                  <c:v>2.1732366005624009</c:v>
                </c:pt>
                <c:pt idx="204">
                  <c:v>2.1580770646355965</c:v>
                </c:pt>
                <c:pt idx="205">
                  <c:v>2.1430232749167546</c:v>
                </c:pt>
                <c:pt idx="206">
                  <c:v>2.1280744937671674</c:v>
                </c:pt>
                <c:pt idx="207">
                  <c:v>2.1132299886935679</c:v>
                </c:pt>
                <c:pt idx="208">
                  <c:v>2.0984890323122376</c:v>
                </c:pt>
                <c:pt idx="209">
                  <c:v>2.0838509023133636</c:v>
                </c:pt>
                <c:pt idx="210">
                  <c:v>2.0693148814256475</c:v>
                </c:pt>
                <c:pt idx="211">
                  <c:v>2.0548802573811575</c:v>
                </c:pt>
                <c:pt idx="212">
                  <c:v>2.0405463228804268</c:v>
                </c:pt>
                <c:pt idx="213">
                  <c:v>2.0263123755577976</c:v>
                </c:pt>
                <c:pt idx="214">
                  <c:v>2.0121777179470026</c:v>
                </c:pt>
                <c:pt idx="215">
                  <c:v>1.9981416574469906</c:v>
                </c:pt>
                <c:pt idx="216">
                  <c:v>1.9842035062879892</c:v>
                </c:pt>
                <c:pt idx="217">
                  <c:v>1.9703625814978025</c:v>
                </c:pt>
                <c:pt idx="218">
                  <c:v>1.9566182048683471</c:v>
                </c:pt>
                <c:pt idx="219">
                  <c:v>1.9429697029224169</c:v>
                </c:pt>
                <c:pt idx="220">
                  <c:v>1.9294164068806865</c:v>
                </c:pt>
                <c:pt idx="221">
                  <c:v>1.9159576526289381</c:v>
                </c:pt>
                <c:pt idx="222">
                  <c:v>1.9025927806855203</c:v>
                </c:pt>
                <c:pt idx="223">
                  <c:v>1.8893211361690341</c:v>
                </c:pt>
                <c:pt idx="224">
                  <c:v>1.8761420687662422</c:v>
                </c:pt>
                <c:pt idx="225">
                  <c:v>1.8630549327002051</c:v>
                </c:pt>
                <c:pt idx="226">
                  <c:v>1.8500590866986373</c:v>
                </c:pt>
                <c:pt idx="227">
                  <c:v>1.8371538939624841</c:v>
                </c:pt>
                <c:pt idx="228">
                  <c:v>1.82433872213472</c:v>
                </c:pt>
                <c:pt idx="229">
                  <c:v>1.8116129432693604</c:v>
                </c:pt>
                <c:pt idx="230">
                  <c:v>1.7989759338006954</c:v>
                </c:pt>
                <c:pt idx="231">
                  <c:v>1.7864270745127322</c:v>
                </c:pt>
                <c:pt idx="232">
                  <c:v>1.7739657505088551</c:v>
                </c:pt>
                <c:pt idx="233">
                  <c:v>1.7615913511816945</c:v>
                </c:pt>
                <c:pt idx="234">
                  <c:v>1.7493032701832074</c:v>
                </c:pt>
                <c:pt idx="235">
                  <c:v>1.7371009053949662</c:v>
                </c:pt>
                <c:pt idx="236">
                  <c:v>1.7249836588986547</c:v>
                </c:pt>
                <c:pt idx="237">
                  <c:v>1.7129509369467706</c:v>
                </c:pt>
                <c:pt idx="238">
                  <c:v>1.7010021499335304</c:v>
                </c:pt>
                <c:pt idx="239">
                  <c:v>1.6891367123659795</c:v>
                </c:pt>
                <c:pt idx="240">
                  <c:v>1.6773540428353031</c:v>
                </c:pt>
                <c:pt idx="241">
                  <c:v>1.6656535639883367</c:v>
                </c:pt>
                <c:pt idx="242">
                  <c:v>1.6540347024992761</c:v>
                </c:pt>
                <c:pt idx="243">
                  <c:v>1.6424968890415834</c:v>
                </c:pt>
                <c:pt idx="244">
                  <c:v>1.6310395582600901</c:v>
                </c:pt>
                <c:pt idx="245">
                  <c:v>1.6196621487432961</c:v>
                </c:pt>
                <c:pt idx="246">
                  <c:v>1.6083641029958582</c:v>
                </c:pt>
                <c:pt idx="247">
                  <c:v>1.5971448674112749</c:v>
                </c:pt>
                <c:pt idx="248">
                  <c:v>1.5860038922447572</c:v>
                </c:pt>
                <c:pt idx="249">
                  <c:v>1.5749406315862928</c:v>
                </c:pt>
                <c:pt idx="250">
                  <c:v>1.5639545433338959</c:v>
                </c:pt>
                <c:pt idx="251">
                  <c:v>1.5530450891670444</c:v>
                </c:pt>
                <c:pt idx="252">
                  <c:v>1.5422117345203012</c:v>
                </c:pt>
                <c:pt idx="253">
                  <c:v>1.5314539485571206</c:v>
                </c:pt>
                <c:pt idx="254">
                  <c:v>1.5207712041438382</c:v>
                </c:pt>
                <c:pt idx="255">
                  <c:v>1.5101629778238401</c:v>
                </c:pt>
                <c:pt idx="256">
                  <c:v>1.4996287497919145</c:v>
                </c:pt>
                <c:pt idx="257">
                  <c:v>1.48916800386878</c:v>
                </c:pt>
                <c:pt idx="258">
                  <c:v>1.4787802274757933</c:v>
                </c:pt>
                <c:pt idx="259">
                  <c:v>1.4684649116098325</c:v>
                </c:pt>
                <c:pt idx="260">
                  <c:v>1.4582215508183565</c:v>
                </c:pt>
                <c:pt idx="261">
                  <c:v>1.4480496431746368</c:v>
                </c:pt>
                <c:pt idx="262">
                  <c:v>1.437948690253164</c:v>
                </c:pt>
                <c:pt idx="263">
                  <c:v>1.4279181971052233</c:v>
                </c:pt>
                <c:pt idx="264">
                  <c:v>1.4179576722346441</c:v>
                </c:pt>
                <c:pt idx="265">
                  <c:v>1.4080666275737141</c:v>
                </c:pt>
                <c:pt idx="266">
                  <c:v>1.3982445784592668</c:v>
                </c:pt>
                <c:pt idx="267">
                  <c:v>1.3884910436089299</c:v>
                </c:pt>
                <c:pt idx="268">
                  <c:v>1.3788055450975443</c:v>
                </c:pt>
                <c:pt idx="269">
                  <c:v>1.3691876083337444</c:v>
                </c:pt>
                <c:pt idx="270">
                  <c:v>1.3596367620367051</c:v>
                </c:pt>
                <c:pt idx="271">
                  <c:v>1.350152538213047</c:v>
                </c:pt>
                <c:pt idx="272">
                  <c:v>1.3407344721339047</c:v>
                </c:pt>
                <c:pt idx="273">
                  <c:v>1.3313821023121559</c:v>
                </c:pt>
                <c:pt idx="274">
                  <c:v>1.3220949704798082</c:v>
                </c:pt>
                <c:pt idx="275">
                  <c:v>1.3128726215655435</c:v>
                </c:pt>
                <c:pt idx="276">
                  <c:v>1.3037146036724199</c:v>
                </c:pt>
                <c:pt idx="277">
                  <c:v>1.2946204680557287</c:v>
                </c:pt>
                <c:pt idx="278">
                  <c:v>1.2855897691010043</c:v>
                </c:pt>
                <c:pt idx="279">
                  <c:v>1.2766220643021913</c:v>
                </c:pt>
                <c:pt idx="280">
                  <c:v>1.2677169142399602</c:v>
                </c:pt>
                <c:pt idx="281">
                  <c:v>1.2588738825601764</c:v>
                </c:pt>
                <c:pt idx="282">
                  <c:v>1.2500925359525183</c:v>
                </c:pt>
                <c:pt idx="283">
                  <c:v>1.2413724441292451</c:v>
                </c:pt>
                <c:pt idx="284">
                  <c:v>1.232713179804112</c:v>
                </c:pt>
                <c:pt idx="285">
                  <c:v>1.2241143186714352</c:v>
                </c:pt>
                <c:pt idx="286">
                  <c:v>1.2155754393852991</c:v>
                </c:pt>
                <c:pt idx="287">
                  <c:v>1.2070961235389088</c:v>
                </c:pt>
                <c:pt idx="288">
                  <c:v>1.1986759556440931</c:v>
                </c:pt>
                <c:pt idx="289">
                  <c:v>1.1903145231109384</c:v>
                </c:pt>
                <c:pt idx="290">
                  <c:v>1.1820114162275794</c:v>
                </c:pt>
                <c:pt idx="291">
                  <c:v>1.1737662281401169</c:v>
                </c:pt>
                <c:pt idx="292">
                  <c:v>1.165578554832684</c:v>
                </c:pt>
                <c:pt idx="293">
                  <c:v>1.1574479951076517</c:v>
                </c:pt>
                <c:pt idx="294">
                  <c:v>1.1493741505659654</c:v>
                </c:pt>
                <c:pt idx="295">
                  <c:v>1.1413566255876284</c:v>
                </c:pt>
                <c:pt idx="296">
                  <c:v>1.1333950273123121</c:v>
                </c:pt>
                <c:pt idx="297">
                  <c:v>1.1254889656201075</c:v>
                </c:pt>
                <c:pt idx="298">
                  <c:v>1.1176380531124106</c:v>
                </c:pt>
                <c:pt idx="299">
                  <c:v>1.1098419050929367</c:v>
                </c:pt>
                <c:pt idx="300">
                  <c:v>1.1021001395488743</c:v>
                </c:pt>
                <c:pt idx="301">
                  <c:v>1.0944123771321619</c:v>
                </c:pt>
                <c:pt idx="302">
                  <c:v>1.0867782411409026</c:v>
                </c:pt>
                <c:pt idx="303">
                  <c:v>1.0791973575009062</c:v>
                </c:pt>
                <c:pt idx="304">
                  <c:v>1.0716693547473573</c:v>
                </c:pt>
                <c:pt idx="305">
                  <c:v>1.0641938640066138</c:v>
                </c:pt>
                <c:pt idx="306">
                  <c:v>1.0567705189781349</c:v>
                </c:pt>
                <c:pt idx="307">
                  <c:v>1.049398955916528</c:v>
                </c:pt>
                <c:pt idx="308">
                  <c:v>1.0420788136137291</c:v>
                </c:pt>
                <c:pt idx="309">
                  <c:v>1.0348097333813002</c:v>
                </c:pt>
                <c:pt idx="310">
                  <c:v>1.0275913590328551</c:v>
                </c:pt>
                <c:pt idx="311">
                  <c:v>1.0204233368666071</c:v>
                </c:pt>
                <c:pt idx="312">
                  <c:v>1.0133053156480354</c:v>
                </c:pt>
                <c:pt idx="313">
                  <c:v>1.0062369465926766</c:v>
                </c:pt>
                <c:pt idx="314">
                  <c:v>0.9992178833490325</c:v>
                </c:pt>
                <c:pt idx="315">
                  <c:v>0.99224778198159913</c:v>
                </c:pt>
                <c:pt idx="316">
                  <c:v>0.98532630095401597</c:v>
                </c:pt>
                <c:pt idx="317">
                  <c:v>0.97845310111232675</c:v>
                </c:pt>
                <c:pt idx="318">
                  <c:v>0.97162784566836502</c:v>
                </c:pt>
                <c:pt idx="319">
                  <c:v>0.96485020018324774</c:v>
                </c:pt>
                <c:pt idx="320">
                  <c:v>0.95811983255098987</c:v>
                </c:pt>
                <c:pt idx="321">
                  <c:v>0.95143641298223147</c:v>
                </c:pt>
                <c:pt idx="322">
                  <c:v>0.94479961398807577</c:v>
                </c:pt>
                <c:pt idx="323">
                  <c:v>0.93820911036404475</c:v>
                </c:pt>
                <c:pt idx="324">
                  <c:v>0.93166457917414203</c:v>
                </c:pt>
                <c:pt idx="325">
                  <c:v>0.92516569973502927</c:v>
                </c:pt>
                <c:pt idx="326">
                  <c:v>0.91871215360031433</c:v>
                </c:pt>
                <c:pt idx="327">
                  <c:v>0.91230362454494474</c:v>
                </c:pt>
                <c:pt idx="328">
                  <c:v>0.90593979854971529</c:v>
                </c:pt>
                <c:pt idx="329">
                  <c:v>0.89962036378587862</c:v>
                </c:pt>
                <c:pt idx="330">
                  <c:v>0.89334501059986626</c:v>
                </c:pt>
                <c:pt idx="331">
                  <c:v>0.8871134314981175</c:v>
                </c:pt>
                <c:pt idx="332">
                  <c:v>0.88092532113200861</c:v>
                </c:pt>
                <c:pt idx="333">
                  <c:v>0.8747803762828944</c:v>
                </c:pt>
                <c:pt idx="334">
                  <c:v>0.86867829584724732</c:v>
                </c:pt>
                <c:pt idx="335">
                  <c:v>0.86261878082190457</c:v>
                </c:pt>
                <c:pt idx="336">
                  <c:v>0.85660153428941854</c:v>
                </c:pt>
                <c:pt idx="337">
                  <c:v>0.85062626140350428</c:v>
                </c:pt>
                <c:pt idx="338">
                  <c:v>0.84469266937459553</c:v>
                </c:pt>
                <c:pt idx="339">
                  <c:v>0.83880046745549541</c:v>
                </c:pt>
                <c:pt idx="340">
                  <c:v>0.83294936692713029</c:v>
                </c:pt>
                <c:pt idx="341">
                  <c:v>0.8271390810844047</c:v>
                </c:pt>
                <c:pt idx="342">
                  <c:v>0.82136932522214889</c:v>
                </c:pt>
                <c:pt idx="343">
                  <c:v>0.8156398166211718</c:v>
                </c:pt>
                <c:pt idx="344">
                  <c:v>0.80995027453440549</c:v>
                </c:pt>
                <c:pt idx="345">
                  <c:v>0.80430042017314873</c:v>
                </c:pt>
                <c:pt idx="346">
                  <c:v>0.79868997669340824</c:v>
                </c:pt>
                <c:pt idx="347">
                  <c:v>0.79311866918233009</c:v>
                </c:pt>
                <c:pt idx="348">
                  <c:v>0.78758622464473249</c:v>
                </c:pt>
                <c:pt idx="349">
                  <c:v>0.78209237198972548</c:v>
                </c:pt>
                <c:pt idx="350">
                  <c:v>0.77663684201742955</c:v>
                </c:pt>
                <c:pt idx="351">
                  <c:v>0.77121936740578512</c:v>
                </c:pt>
                <c:pt idx="352">
                  <c:v>0.76583968269745173</c:v>
                </c:pt>
                <c:pt idx="353">
                  <c:v>0.76049752428680273</c:v>
                </c:pt>
                <c:pt idx="354">
                  <c:v>0.7551926304070069</c:v>
                </c:pt>
                <c:pt idx="355">
                  <c:v>0.74992474111720253</c:v>
                </c:pt>
                <c:pt idx="356">
                  <c:v>0.74469359828976078</c:v>
                </c:pt>
                <c:pt idx="357">
                  <c:v>0.73949894559763596</c:v>
                </c:pt>
                <c:pt idx="358">
                  <c:v>0.73434052850180742</c:v>
                </c:pt>
                <c:pt idx="359">
                  <c:v>0.72921809423880501</c:v>
                </c:pt>
                <c:pt idx="360">
                  <c:v>0.72413139180832464</c:v>
                </c:pt>
                <c:pt idx="361">
                  <c:v>0.71908017196092999</c:v>
                </c:pt>
                <c:pt idx="362">
                  <c:v>0.71406418718583742</c:v>
                </c:pt>
                <c:pt idx="363">
                  <c:v>0.70908319169878964</c:v>
                </c:pt>
                <c:pt idx="364">
                  <c:v>0.70413694143001127</c:v>
                </c:pt>
                <c:pt idx="365">
                  <c:v>0.69922519401224881</c:v>
                </c:pt>
                <c:pt idx="366">
                  <c:v>0.69434770876889684</c:v>
                </c:pt>
                <c:pt idx="367">
                  <c:v>0.68950424670220178</c:v>
                </c:pt>
                <c:pt idx="368">
                  <c:v>0.68469457048155413</c:v>
                </c:pt>
                <c:pt idx="369">
                  <c:v>0.67991844443185623</c:v>
                </c:pt>
                <c:pt idx="370">
                  <c:v>0.67517563452197571</c:v>
                </c:pt>
                <c:pt idx="371">
                  <c:v>0.67046590835327868</c:v>
                </c:pt>
                <c:pt idx="372">
                  <c:v>0.66578903514823995</c:v>
                </c:pt>
                <c:pt idx="373">
                  <c:v>0.66114478573913726</c:v>
                </c:pt>
                <c:pt idx="374">
                  <c:v>0.65653293255681999</c:v>
                </c:pt>
                <c:pt idx="375">
                  <c:v>0.65195324961955947</c:v>
                </c:pt>
                <c:pt idx="376">
                  <c:v>0.64740551252197553</c:v>
                </c:pt>
                <c:pt idx="377">
                  <c:v>0.64288949842404031</c:v>
                </c:pt>
                <c:pt idx="378">
                  <c:v>0.63840498604015972</c:v>
                </c:pt>
                <c:pt idx="379">
                  <c:v>0.63395175562832951</c:v>
                </c:pt>
                <c:pt idx="380">
                  <c:v>0.62952958897936817</c:v>
                </c:pt>
                <c:pt idx="381">
                  <c:v>0.62513826940622574</c:v>
                </c:pt>
                <c:pt idx="382">
                  <c:v>0.62077758173336395</c:v>
                </c:pt>
                <c:pt idx="383">
                  <c:v>0.61644731228621485</c:v>
                </c:pt>
                <c:pt idx="384">
                  <c:v>0.61214724888070871</c:v>
                </c:pt>
                <c:pt idx="385">
                  <c:v>0.607877180812878</c:v>
                </c:pt>
                <c:pt idx="386">
                  <c:v>0.60363689884853389</c:v>
                </c:pt>
                <c:pt idx="387">
                  <c:v>0.59942619521301088</c:v>
                </c:pt>
                <c:pt idx="388">
                  <c:v>0.59524486358098894</c:v>
                </c:pt>
                <c:pt idx="389">
                  <c:v>0.59109269906638118</c:v>
                </c:pt>
                <c:pt idx="390">
                  <c:v>0.58696949821229549</c:v>
                </c:pt>
                <c:pt idx="391">
                  <c:v>0.58287505898106551</c:v>
                </c:pt>
                <c:pt idx="392">
                  <c:v>0.57880918074434917</c:v>
                </c:pt>
                <c:pt idx="393">
                  <c:v>0.57477166427329962</c:v>
                </c:pt>
                <c:pt idx="394">
                  <c:v>0.5707623117288021</c:v>
                </c:pt>
                <c:pt idx="395">
                  <c:v>0.56678092665177904</c:v>
                </c:pt>
                <c:pt idx="396">
                  <c:v>0.56282731395356578</c:v>
                </c:pt>
                <c:pt idx="397">
                  <c:v>0.55890127990634864</c:v>
                </c:pt>
                <c:pt idx="398">
                  <c:v>0.55500263213367418</c:v>
                </c:pt>
                <c:pt idx="399">
                  <c:v>0.5511311796010212</c:v>
                </c:pt>
                <c:pt idx="400">
                  <c:v>0.54728673260644078</c:v>
                </c:pt>
                <c:pt idx="401">
                  <c:v>0.54346910277126137</c:v>
                </c:pt>
                <c:pt idx="402">
                  <c:v>0.53967810303085684</c:v>
                </c:pt>
                <c:pt idx="403">
                  <c:v>0.53591354762548182</c:v>
                </c:pt>
                <c:pt idx="404">
                  <c:v>0.53217525209116801</c:v>
                </c:pt>
                <c:pt idx="405">
                  <c:v>0.52846303325068611</c:v>
                </c:pt>
                <c:pt idx="406">
                  <c:v>0.52477670920457042</c:v>
                </c:pt>
                <c:pt idx="407">
                  <c:v>0.52111609932220482</c:v>
                </c:pt>
                <c:pt idx="408">
                  <c:v>0.51748102423297304</c:v>
                </c:pt>
                <c:pt idx="409">
                  <c:v>0.51387130581746809</c:v>
                </c:pt>
                <c:pt idx="410">
                  <c:v>0.51028676719876531</c:v>
                </c:pt>
                <c:pt idx="411">
                  <c:v>0.50672723273375553</c:v>
                </c:pt>
                <c:pt idx="412">
                  <c:v>0.50319252800453729</c:v>
                </c:pt>
                <c:pt idx="413">
                  <c:v>0.49968247980987213</c:v>
                </c:pt>
                <c:pt idx="414">
                  <c:v>0.49619691615669592</c:v>
                </c:pt>
                <c:pt idx="415">
                  <c:v>0.49273566625169202</c:v>
                </c:pt>
                <c:pt idx="416">
                  <c:v>0.48929856049292308</c:v>
                </c:pt>
                <c:pt idx="417">
                  <c:v>0.48588543046151872</c:v>
                </c:pt>
                <c:pt idx="418">
                  <c:v>0.48249610891342498</c:v>
                </c:pt>
                <c:pt idx="419">
                  <c:v>0.47913042977120751</c:v>
                </c:pt>
                <c:pt idx="420">
                  <c:v>0.47578822811591481</c:v>
                </c:pt>
                <c:pt idx="421">
                  <c:v>0.47246934017899744</c:v>
                </c:pt>
                <c:pt idx="422">
                  <c:v>0.46917360333428204</c:v>
                </c:pt>
                <c:pt idx="423">
                  <c:v>0.4659008560900042</c:v>
                </c:pt>
                <c:pt idx="424">
                  <c:v>0.46265093808089391</c:v>
                </c:pt>
                <c:pt idx="425">
                  <c:v>0.4594236900603183</c:v>
                </c:pt>
                <c:pt idx="426">
                  <c:v>0.45621895389247896</c:v>
                </c:pt>
                <c:pt idx="427">
                  <c:v>0.45303657254466217</c:v>
                </c:pt>
                <c:pt idx="428">
                  <c:v>0.44987639007954544</c:v>
                </c:pt>
                <c:pt idx="429">
                  <c:v>0.44673825164755554</c:v>
                </c:pt>
                <c:pt idx="430">
                  <c:v>0.44362200347928116</c:v>
                </c:pt>
                <c:pt idx="431">
                  <c:v>0.44052749287793896</c:v>
                </c:pt>
                <c:pt idx="432">
                  <c:v>0.43745456821188999</c:v>
                </c:pt>
                <c:pt idx="433">
                  <c:v>0.43440307890721114</c:v>
                </c:pt>
                <c:pt idx="434">
                  <c:v>0.43137287544031566</c:v>
                </c:pt>
                <c:pt idx="435">
                  <c:v>0.42836380933062723</c:v>
                </c:pt>
                <c:pt idx="436">
                  <c:v>0.42537573313330479</c:v>
                </c:pt>
                <c:pt idx="437">
                  <c:v>0.42240850043201639</c:v>
                </c:pt>
                <c:pt idx="438">
                  <c:v>0.41946196583176643</c:v>
                </c:pt>
                <c:pt idx="439">
                  <c:v>0.41653598495176969</c:v>
                </c:pt>
                <c:pt idx="440">
                  <c:v>0.41363041441837745</c:v>
                </c:pt>
                <c:pt idx="441">
                  <c:v>0.41074511185805251</c:v>
                </c:pt>
                <c:pt idx="442">
                  <c:v>0.40787993589039195</c:v>
                </c:pt>
                <c:pt idx="443">
                  <c:v>0.40503474612120022</c:v>
                </c:pt>
                <c:pt idx="444">
                  <c:v>0.40220940313560927</c:v>
                </c:pt>
                <c:pt idx="445">
                  <c:v>0.39940376849124737</c:v>
                </c:pt>
                <c:pt idx="446">
                  <c:v>0.3966177047114558</c:v>
                </c:pt>
                <c:pt idx="447">
                  <c:v>0.39385107527855168</c:v>
                </c:pt>
                <c:pt idx="448">
                  <c:v>0.39110374462713959</c:v>
                </c:pt>
                <c:pt idx="449">
                  <c:v>0.3883755781374677</c:v>
                </c:pt>
                <c:pt idx="450">
                  <c:v>0.38566644212883189</c:v>
                </c:pt>
                <c:pt idx="451">
                  <c:v>0.38297620385302616</c:v>
                </c:pt>
                <c:pt idx="452">
                  <c:v>0.38030473148783639</c:v>
                </c:pt>
                <c:pt idx="453">
                  <c:v>0.37765189413058242</c:v>
                </c:pt>
                <c:pt idx="454">
                  <c:v>0.37501756179170276</c:v>
                </c:pt>
                <c:pt idx="455">
                  <c:v>0.37240160538838568</c:v>
                </c:pt>
                <c:pt idx="456">
                  <c:v>0.36980389673824426</c:v>
                </c:pt>
                <c:pt idx="457">
                  <c:v>0.36722430855303456</c:v>
                </c:pt>
                <c:pt idx="458">
                  <c:v>0.36466271443241971</c:v>
                </c:pt>
                <c:pt idx="459">
                  <c:v>0.3621189888577751</c:v>
                </c:pt>
                <c:pt idx="460">
                  <c:v>0.35959300718603843</c:v>
                </c:pt>
                <c:pt idx="461">
                  <c:v>0.35708464564360276</c:v>
                </c:pt>
                <c:pt idx="462">
                  <c:v>0.35459378132025021</c:v>
                </c:pt>
                <c:pt idx="463">
                  <c:v>0.35212029216313095</c:v>
                </c:pt>
                <c:pt idx="464">
                  <c:v>0.34966405697078129</c:v>
                </c:pt>
                <c:pt idx="465">
                  <c:v>0.34722495538718501</c:v>
                </c:pt>
                <c:pt idx="466">
                  <c:v>0.34480286789587694</c:v>
                </c:pt>
                <c:pt idx="467">
                  <c:v>0.34239767581408503</c:v>
                </c:pt>
                <c:pt idx="468">
                  <c:v>0.34000926128691633</c:v>
                </c:pt>
                <c:pt idx="469">
                  <c:v>0.33763750728158093</c:v>
                </c:pt>
                <c:pt idx="470">
                  <c:v>0.33528229758165801</c:v>
                </c:pt>
                <c:pt idx="471">
                  <c:v>0.33294351678140116</c:v>
                </c:pt>
                <c:pt idx="472">
                  <c:v>0.3306210502800831</c:v>
                </c:pt>
                <c:pt idx="473">
                  <c:v>0.32831478427638072</c:v>
                </c:pt>
                <c:pt idx="474">
                  <c:v>0.32602460576279829</c:v>
                </c:pt>
                <c:pt idx="475">
                  <c:v>0.32375040252013038</c:v>
                </c:pt>
                <c:pt idx="476">
                  <c:v>0.32149206311196321</c:v>
                </c:pt>
                <c:pt idx="477">
                  <c:v>0.31924947687921368</c:v>
                </c:pt>
                <c:pt idx="478">
                  <c:v>0.31702253393470797</c:v>
                </c:pt>
                <c:pt idx="479">
                  <c:v>0.31481112515779608</c:v>
                </c:pt>
                <c:pt idx="480">
                  <c:v>0.31261514218900538</c:v>
                </c:pt>
                <c:pt idx="481">
                  <c:v>0.31043447742473129</c:v>
                </c:pt>
                <c:pt idx="482">
                  <c:v>0.30826902401196371</c:v>
                </c:pt>
                <c:pt idx="483">
                  <c:v>0.30611867584305241</c:v>
                </c:pt>
                <c:pt idx="484">
                  <c:v>0.30398332755050678</c:v>
                </c:pt>
                <c:pt idx="485">
                  <c:v>0.30186287450183313</c:v>
                </c:pt>
                <c:pt idx="486">
                  <c:v>0.29975721279440798</c:v>
                </c:pt>
                <c:pt idx="487">
                  <c:v>0.29766623925038616</c:v>
                </c:pt>
                <c:pt idx="488">
                  <c:v>0.2955898514116459</c:v>
                </c:pt>
                <c:pt idx="489">
                  <c:v>0.29352794753476757</c:v>
                </c:pt>
                <c:pt idx="490">
                  <c:v>0.29148042658604839</c:v>
                </c:pt>
                <c:pt idx="491">
                  <c:v>0.28944718823655252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33-471F-8A31-8A1B2625B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0784"/>
        <c:axId val="1"/>
      </c:scatterChart>
      <c:valAx>
        <c:axId val="31455078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14550784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5830618892508145E-2"/>
          <c:y val="0.1009009009009009"/>
          <c:w val="0.90390879478827357"/>
          <c:h val="0.814414414414414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'8.32'!$L$3</c:f>
              <c:strCache>
                <c:ptCount val="1"/>
                <c:pt idx="0">
                  <c:v>f(w)</c:v>
                </c:pt>
              </c:strCache>
            </c:strRef>
          </c:tx>
          <c:marker>
            <c:symbol val="none"/>
          </c:marker>
          <c:xVal>
            <c:numRef>
              <c:f>'8.32'!$K$4:$K$30</c:f>
              <c:numCache>
                <c:formatCode>0.0</c:formatCode>
                <c:ptCount val="27"/>
                <c:pt idx="0">
                  <c:v>140</c:v>
                </c:pt>
                <c:pt idx="1">
                  <c:v>141.4</c:v>
                </c:pt>
                <c:pt idx="2">
                  <c:v>142.81399999999999</c:v>
                </c:pt>
                <c:pt idx="3">
                  <c:v>144.24214000000001</c:v>
                </c:pt>
                <c:pt idx="4">
                  <c:v>145.68456140000001</c:v>
                </c:pt>
                <c:pt idx="5">
                  <c:v>147.14140701400001</c:v>
                </c:pt>
                <c:pt idx="6">
                  <c:v>148.61282108414002</c:v>
                </c:pt>
                <c:pt idx="7">
                  <c:v>150.09894929498142</c:v>
                </c:pt>
                <c:pt idx="8">
                  <c:v>151.59993878793125</c:v>
                </c:pt>
                <c:pt idx="9">
                  <c:v>153.11593817581056</c:v>
                </c:pt>
                <c:pt idx="10">
                  <c:v>154.64709755756866</c:v>
                </c:pt>
                <c:pt idx="11">
                  <c:v>156.19356853314434</c:v>
                </c:pt>
                <c:pt idx="12">
                  <c:v>157.75550421847578</c:v>
                </c:pt>
                <c:pt idx="13">
                  <c:v>159.33305926066055</c:v>
                </c:pt>
                <c:pt idx="14">
                  <c:v>160.92638985326715</c:v>
                </c:pt>
                <c:pt idx="15">
                  <c:v>162.53565375179983</c:v>
                </c:pt>
                <c:pt idx="16">
                  <c:v>164.16101028931783</c:v>
                </c:pt>
                <c:pt idx="17">
                  <c:v>165.802620392211</c:v>
                </c:pt>
                <c:pt idx="18">
                  <c:v>167.4606465961331</c:v>
                </c:pt>
                <c:pt idx="19">
                  <c:v>169.13525306209445</c:v>
                </c:pt>
                <c:pt idx="20">
                  <c:v>170.8266055927154</c:v>
                </c:pt>
                <c:pt idx="21">
                  <c:v>172.53487164864256</c:v>
                </c:pt>
                <c:pt idx="22">
                  <c:v>174.26022036512899</c:v>
                </c:pt>
                <c:pt idx="23">
                  <c:v>176.00282256878029</c:v>
                </c:pt>
                <c:pt idx="24">
                  <c:v>177.76285079446808</c:v>
                </c:pt>
                <c:pt idx="25">
                  <c:v>179.54047930241276</c:v>
                </c:pt>
                <c:pt idx="26">
                  <c:v>181.33588409543688</c:v>
                </c:pt>
              </c:numCache>
            </c:numRef>
          </c:xVal>
          <c:yVal>
            <c:numRef>
              <c:f>'8.32'!$L$4:$L$30</c:f>
              <c:numCache>
                <c:formatCode>0.0E+00</c:formatCode>
                <c:ptCount val="27"/>
                <c:pt idx="0">
                  <c:v>1.5656347344276868E-3</c:v>
                </c:pt>
                <c:pt idx="1">
                  <c:v>1.4300733501869632E-3</c:v>
                </c:pt>
                <c:pt idx="2">
                  <c:v>1.2959640176179506E-3</c:v>
                </c:pt>
                <c:pt idx="3">
                  <c:v>1.1632931901375543E-3</c:v>
                </c:pt>
                <c:pt idx="4">
                  <c:v>1.0320474566045609E-3</c:v>
                </c:pt>
                <c:pt idx="5">
                  <c:v>9.0221353983174768E-4</c:v>
                </c:pt>
                <c:pt idx="6">
                  <c:v>7.7377829510857227E-4</c:v>
                </c:pt>
                <c:pt idx="7">
                  <c:v>6.4672870873431522E-4</c:v>
                </c:pt>
                <c:pt idx="8">
                  <c:v>5.2105189656154009E-4</c:v>
                </c:pt>
                <c:pt idx="9">
                  <c:v>3.9673510254970186E-4</c:v>
                </c:pt>
                <c:pt idx="10">
                  <c:v>2.7376569732881495E-4</c:v>
                </c:pt>
                <c:pt idx="11">
                  <c:v>1.5213117677301789E-4</c:v>
                </c:pt>
                <c:pt idx="12">
                  <c:v>3.1819160583946085E-5</c:v>
                </c:pt>
                <c:pt idx="13">
                  <c:v>-8.7182609116262522E-5</c:v>
                </c:pt>
                <c:pt idx="14">
                  <c:v>-2.0488626918237739E-4</c:v>
                </c:pt>
                <c:pt idx="15">
                  <c:v>-3.2130383683406059E-4</c:v>
                </c:pt>
                <c:pt idx="16">
                  <c:v>-4.3644721103450711E-4</c:v>
                </c:pt>
                <c:pt idx="17">
                  <c:v>-5.5032817385986671E-4</c:v>
                </c:pt>
                <c:pt idx="18">
                  <c:v>-6.6295839185950486E-4</c:v>
                </c:pt>
                <c:pt idx="19">
                  <c:v>-7.7434941740723781E-4</c:v>
                </c:pt>
                <c:pt idx="20">
                  <c:v>-8.8451269004358526E-4</c:v>
                </c:pt>
                <c:pt idx="21">
                  <c:v>-9.934595378091552E-4</c:v>
                </c:pt>
                <c:pt idx="22">
                  <c:v>-1.101201178569218E-3</c:v>
                </c:pt>
                <c:pt idx="23">
                  <c:v>-1.2077487213295341E-3</c:v>
                </c:pt>
                <c:pt idx="24">
                  <c:v>-1.3131131675435236E-3</c:v>
                </c:pt>
                <c:pt idx="25">
                  <c:v>-1.4173054124107954E-3</c:v>
                </c:pt>
                <c:pt idx="26">
                  <c:v>-1.5203362461671203E-3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01-4B03-8FEE-3B5B611CD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38432"/>
        <c:axId val="1"/>
      </c:scatterChart>
      <c:valAx>
        <c:axId val="316738432"/>
        <c:scaling>
          <c:logBase val="10"/>
          <c:orientation val="minMax"/>
          <c:max val="200"/>
          <c:min val="100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E+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16738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'8.36'!$N$2</c:f>
              <c:strCache>
                <c:ptCount val="1"/>
                <c:pt idx="0">
                  <c:v>f(Tt)</c:v>
                </c:pt>
              </c:strCache>
            </c:strRef>
          </c:tx>
          <c:marker>
            <c:symbol val="none"/>
          </c:marker>
          <c:xVal>
            <c:numRef>
              <c:f>'8.36'!$L$3:$L$25</c:f>
              <c:numCache>
                <c:formatCode>0.0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</c:numCache>
            </c:numRef>
          </c:xVal>
          <c:yVal>
            <c:numRef>
              <c:f>'8.36'!$N$3:$N$25</c:f>
              <c:numCache>
                <c:formatCode>0.000</c:formatCode>
                <c:ptCount val="23"/>
                <c:pt idx="0">
                  <c:v>-14.021562500000002</c:v>
                </c:pt>
                <c:pt idx="1">
                  <c:v>-11.647575902834937</c:v>
                </c:pt>
                <c:pt idx="2">
                  <c:v>-9.399335075295566</c:v>
                </c:pt>
                <c:pt idx="3">
                  <c:v>-7.260761420228242</c:v>
                </c:pt>
                <c:pt idx="4">
                  <c:v>-5.220590673882965</c:v>
                </c:pt>
                <c:pt idx="5">
                  <c:v>-3.2725757499313275</c:v>
                </c:pt>
                <c:pt idx="6">
                  <c:v>-1.416261551328903</c:v>
                </c:pt>
                <c:pt idx="7">
                  <c:v>0.34144777192875608</c:v>
                </c:pt>
                <c:pt idx="8">
                  <c:v>1.9835198819364841</c:v>
                </c:pt>
                <c:pt idx="9">
                  <c:v>3.4780832367110008</c:v>
                </c:pt>
                <c:pt idx="10">
                  <c:v>4.7704198239577451</c:v>
                </c:pt>
                <c:pt idx="11">
                  <c:v>5.7691142583357156</c:v>
                </c:pt>
                <c:pt idx="12">
                  <c:v>6.3213766629344548</c:v>
                </c:pt>
                <c:pt idx="13">
                  <c:v>6.1673111212710054</c:v>
                </c:pt>
                <c:pt idx="14">
                  <c:v>4.850871922350116</c:v>
                </c:pt>
                <c:pt idx="15">
                  <c:v>1.5355282649107096</c:v>
                </c:pt>
                <c:pt idx="16">
                  <c:v>-5.4077589563821817</c:v>
                </c:pt>
                <c:pt idx="17">
                  <c:v>-19.416439669212636</c:v>
                </c:pt>
                <c:pt idx="18">
                  <c:v>-48.588920955389497</c:v>
                </c:pt>
                <c:pt idx="19">
                  <c:v>-115.28654749567764</c:v>
                </c:pt>
                <c:pt idx="20">
                  <c:v>-298.67178509688449</c:v>
                </c:pt>
                <c:pt idx="21">
                  <c:v>-1040.8176761303157</c:v>
                </c:pt>
                <c:pt idx="22">
                  <c:v>-11329.959733579721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64-4745-B44B-550C8528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48288"/>
        <c:axId val="1"/>
      </c:scatterChart>
      <c:valAx>
        <c:axId val="31454828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0"/>
          <c:min val="-1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14548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'8.40'!$L$4</c:f>
              <c:strCache>
                <c:ptCount val="1"/>
                <c:pt idx="0">
                  <c:v>f(n)</c:v>
                </c:pt>
              </c:strCache>
            </c:strRef>
          </c:tx>
          <c:marker>
            <c:symbol val="none"/>
          </c:marker>
          <c:xVal>
            <c:numRef>
              <c:f>'8.40'!$K$5:$K$68</c:f>
              <c:numCache>
                <c:formatCode>General</c:formatCode>
                <c:ptCount val="64"/>
                <c:pt idx="0">
                  <c:v>0.2</c:v>
                </c:pt>
                <c:pt idx="1">
                  <c:v>0.221</c:v>
                </c:pt>
                <c:pt idx="2">
                  <c:v>0.24199999999999999</c:v>
                </c:pt>
                <c:pt idx="3">
                  <c:v>0.26300000000000001</c:v>
                </c:pt>
                <c:pt idx="4">
                  <c:v>0.28400000000000003</c:v>
                </c:pt>
                <c:pt idx="5">
                  <c:v>0.30500000000000005</c:v>
                </c:pt>
                <c:pt idx="6">
                  <c:v>0.32600000000000007</c:v>
                </c:pt>
                <c:pt idx="7">
                  <c:v>0.34700000000000009</c:v>
                </c:pt>
                <c:pt idx="8">
                  <c:v>0.3680000000000001</c:v>
                </c:pt>
                <c:pt idx="9">
                  <c:v>0.38900000000000012</c:v>
                </c:pt>
                <c:pt idx="10">
                  <c:v>0.41000000000000014</c:v>
                </c:pt>
                <c:pt idx="11">
                  <c:v>0.43100000000000016</c:v>
                </c:pt>
                <c:pt idx="12">
                  <c:v>0.45200000000000018</c:v>
                </c:pt>
                <c:pt idx="13">
                  <c:v>0.4730000000000002</c:v>
                </c:pt>
                <c:pt idx="14">
                  <c:v>0.49400000000000022</c:v>
                </c:pt>
                <c:pt idx="15">
                  <c:v>0.51500000000000024</c:v>
                </c:pt>
                <c:pt idx="16">
                  <c:v>0.53600000000000025</c:v>
                </c:pt>
                <c:pt idx="17">
                  <c:v>0.55700000000000027</c:v>
                </c:pt>
                <c:pt idx="18">
                  <c:v>0.57800000000000029</c:v>
                </c:pt>
                <c:pt idx="19">
                  <c:v>0.59900000000000031</c:v>
                </c:pt>
                <c:pt idx="20">
                  <c:v>0.62000000000000033</c:v>
                </c:pt>
                <c:pt idx="21">
                  <c:v>0.64100000000000035</c:v>
                </c:pt>
                <c:pt idx="22">
                  <c:v>0.66200000000000037</c:v>
                </c:pt>
                <c:pt idx="23">
                  <c:v>0.68300000000000038</c:v>
                </c:pt>
                <c:pt idx="24">
                  <c:v>0.7040000000000004</c:v>
                </c:pt>
                <c:pt idx="25">
                  <c:v>0.72500000000000042</c:v>
                </c:pt>
                <c:pt idx="26">
                  <c:v>0.74600000000000044</c:v>
                </c:pt>
                <c:pt idx="27">
                  <c:v>0.76700000000000046</c:v>
                </c:pt>
                <c:pt idx="28">
                  <c:v>0.78800000000000048</c:v>
                </c:pt>
                <c:pt idx="29">
                  <c:v>0.8090000000000005</c:v>
                </c:pt>
                <c:pt idx="30">
                  <c:v>0.83000000000000052</c:v>
                </c:pt>
                <c:pt idx="31">
                  <c:v>0.85100000000000053</c:v>
                </c:pt>
                <c:pt idx="32">
                  <c:v>0.87200000000000055</c:v>
                </c:pt>
                <c:pt idx="33">
                  <c:v>0.89300000000000057</c:v>
                </c:pt>
                <c:pt idx="34">
                  <c:v>0.91400000000000059</c:v>
                </c:pt>
                <c:pt idx="35">
                  <c:v>0.93500000000000061</c:v>
                </c:pt>
                <c:pt idx="36">
                  <c:v>0.95600000000000063</c:v>
                </c:pt>
                <c:pt idx="37">
                  <c:v>0.97700000000000065</c:v>
                </c:pt>
                <c:pt idx="38">
                  <c:v>0.99800000000000066</c:v>
                </c:pt>
                <c:pt idx="39">
                  <c:v>1.0190000000000006</c:v>
                </c:pt>
                <c:pt idx="40">
                  <c:v>1.0400000000000005</c:v>
                </c:pt>
                <c:pt idx="41">
                  <c:v>1.0610000000000004</c:v>
                </c:pt>
                <c:pt idx="42">
                  <c:v>1.0820000000000003</c:v>
                </c:pt>
                <c:pt idx="43">
                  <c:v>1.1030000000000002</c:v>
                </c:pt>
                <c:pt idx="44">
                  <c:v>1.1240000000000001</c:v>
                </c:pt>
                <c:pt idx="45">
                  <c:v>1.145</c:v>
                </c:pt>
                <c:pt idx="46">
                  <c:v>1.1659999999999999</c:v>
                </c:pt>
                <c:pt idx="47">
                  <c:v>1.1869999999999998</c:v>
                </c:pt>
                <c:pt idx="48">
                  <c:v>1.2079999999999997</c:v>
                </c:pt>
                <c:pt idx="49">
                  <c:v>1.2289999999999996</c:v>
                </c:pt>
                <c:pt idx="50">
                  <c:v>1.2499999999999996</c:v>
                </c:pt>
                <c:pt idx="51">
                  <c:v>1.2709999999999995</c:v>
                </c:pt>
                <c:pt idx="52">
                  <c:v>1.2919999999999994</c:v>
                </c:pt>
                <c:pt idx="53">
                  <c:v>1.3129999999999993</c:v>
                </c:pt>
                <c:pt idx="54">
                  <c:v>1.3339999999999992</c:v>
                </c:pt>
                <c:pt idx="55">
                  <c:v>1.3549999999999991</c:v>
                </c:pt>
                <c:pt idx="56">
                  <c:v>1.375999999999999</c:v>
                </c:pt>
                <c:pt idx="57">
                  <c:v>1.3969999999999989</c:v>
                </c:pt>
                <c:pt idx="58">
                  <c:v>1.4179999999999988</c:v>
                </c:pt>
                <c:pt idx="59">
                  <c:v>1.4389999999999987</c:v>
                </c:pt>
                <c:pt idx="60">
                  <c:v>1.4599999999999986</c:v>
                </c:pt>
                <c:pt idx="61">
                  <c:v>1.4809999999999985</c:v>
                </c:pt>
                <c:pt idx="62">
                  <c:v>1.5019999999999984</c:v>
                </c:pt>
                <c:pt idx="63">
                  <c:v>1.5229999999999984</c:v>
                </c:pt>
              </c:numCache>
            </c:numRef>
          </c:xVal>
          <c:yVal>
            <c:numRef>
              <c:f>'8.40'!$L$5:$L$68</c:f>
              <c:numCache>
                <c:formatCode>0.000</c:formatCode>
                <c:ptCount val="64"/>
                <c:pt idx="0">
                  <c:v>-0.75308641975308643</c:v>
                </c:pt>
                <c:pt idx="1">
                  <c:v>-0.72220572936354144</c:v>
                </c:pt>
                <c:pt idx="2">
                  <c:v>-0.69096446120438915</c:v>
                </c:pt>
                <c:pt idx="3">
                  <c:v>-0.65957119051726121</c:v>
                </c:pt>
                <c:pt idx="4">
                  <c:v>-0.6282131591484772</c:v>
                </c:pt>
                <c:pt idx="5">
                  <c:v>-0.5970518940532783</c:v>
                </c:pt>
                <c:pt idx="6">
                  <c:v>-0.56622234555051498</c:v>
                </c:pt>
                <c:pt idx="7">
                  <c:v>-0.53583414550036568</c:v>
                </c:pt>
                <c:pt idx="8">
                  <c:v>-0.50597398435458563</c:v>
                </c:pt>
                <c:pt idx="9">
                  <c:v>-0.47670845230283043</c:v>
                </c:pt>
                <c:pt idx="10">
                  <c:v>-0.44808694693657247</c:v>
                </c:pt>
                <c:pt idx="11">
                  <c:v>-0.42014442515170125</c:v>
                </c:pt>
                <c:pt idx="12">
                  <c:v>-0.3929038895770719</c:v>
                </c:pt>
                <c:pt idx="13">
                  <c:v>-0.3663785684750549</c:v>
                </c:pt>
                <c:pt idx="14">
                  <c:v>-0.34057378765674784</c:v>
                </c:pt>
                <c:pt idx="15">
                  <c:v>-0.31548855409333454</c:v>
                </c:pt>
                <c:pt idx="16">
                  <c:v>-0.29111688074453623</c:v>
                </c:pt>
                <c:pt idx="17">
                  <c:v>-0.26744888531783051</c:v>
                </c:pt>
                <c:pt idx="18">
                  <c:v>-0.24447169515422051</c:v>
                </c:pt>
                <c:pt idx="19">
                  <c:v>-0.22217018801141664</c:v>
                </c:pt>
                <c:pt idx="20">
                  <c:v>-0.20052759525920183</c:v>
                </c:pt>
                <c:pt idx="21">
                  <c:v>-0.17952599053276486</c:v>
                </c:pt>
                <c:pt idx="22">
                  <c:v>-0.15914668354413108</c:v>
                </c:pt>
                <c:pt idx="23">
                  <c:v>-0.13937053569569302</c:v>
                </c:pt>
                <c:pt idx="24">
                  <c:v>-0.12017821143974694</c:v>
                </c:pt>
                <c:pt idx="25">
                  <c:v>-0.10155037699408809</c:v>
                </c:pt>
                <c:pt idx="26">
                  <c:v>-8.3467856036581578E-2</c:v>
                </c:pt>
                <c:pt idx="27">
                  <c:v>-6.5911750327508511E-2</c:v>
                </c:pt>
                <c:pt idx="28">
                  <c:v>-4.8863531808798877E-2</c:v>
                </c:pt>
                <c:pt idx="29">
                  <c:v>-3.2305111565456013E-2</c:v>
                </c:pt>
                <c:pt idx="30">
                  <c:v>-1.6218890070638925E-2</c:v>
                </c:pt>
                <c:pt idx="31">
                  <c:v>-5.8779233999373126E-4</c:v>
                </c:pt>
                <c:pt idx="32">
                  <c:v>1.4604709035024754E-2</c:v>
                </c:pt>
                <c:pt idx="33">
                  <c:v>2.9374580544703655E-2</c:v>
                </c:pt>
                <c:pt idx="34">
                  <c:v>4.3737222122926633E-2</c:v>
                </c:pt>
                <c:pt idx="35">
                  <c:v>5.7707467591056938E-2</c:v>
                </c:pt>
                <c:pt idx="36">
                  <c:v>7.1299589860658541E-2</c:v>
                </c:pt>
                <c:pt idx="37">
                  <c:v>8.4527309817359786E-2</c:v>
                </c:pt>
                <c:pt idx="38">
                  <c:v>9.7403808009455917E-2</c:v>
                </c:pt>
                <c:pt idx="39">
                  <c:v>0.10994173843039934</c:v>
                </c:pt>
                <c:pt idx="40">
                  <c:v>0.12215324381901027</c:v>
                </c:pt>
                <c:pt idx="41">
                  <c:v>0.13404997201376645</c:v>
                </c:pt>
                <c:pt idx="42">
                  <c:v>0.14564309298707845</c:v>
                </c:pt>
                <c:pt idx="43">
                  <c:v>0.15694331626113867</c:v>
                </c:pt>
                <c:pt idx="44">
                  <c:v>0.16796090846768652</c:v>
                </c:pt>
                <c:pt idx="45">
                  <c:v>0.17870571086402287</c:v>
                </c:pt>
                <c:pt idx="46">
                  <c:v>0.18918715665857344</c:v>
                </c:pt>
                <c:pt idx="47">
                  <c:v>0.19941428803260175</c:v>
                </c:pt>
                <c:pt idx="48">
                  <c:v>0.20939577277190935</c:v>
                </c:pt>
                <c:pt idx="49">
                  <c:v>0.21913992044443131</c:v>
                </c:pt>
                <c:pt idx="50">
                  <c:v>0.22865469807758654</c:v>
                </c:pt>
                <c:pt idx="51">
                  <c:v>0.23794774530372353</c:v>
                </c:pt>
                <c:pt idx="52">
                  <c:v>0.24702638895367945</c:v>
                </c:pt>
                <c:pt idx="53">
                  <c:v>0.25589765708780288</c:v>
                </c:pt>
                <c:pt idx="54">
                  <c:v>0.26456829246123315</c:v>
                </c:pt>
                <c:pt idx="55">
                  <c:v>0.27304476542610101</c:v>
                </c:pt>
                <c:pt idx="56">
                  <c:v>0.28133328627789678</c:v>
                </c:pt>
                <c:pt idx="57">
                  <c:v>0.28943981705680377</c:v>
                </c:pt>
                <c:pt idx="58">
                  <c:v>0.29737008281745703</c:v>
                </c:pt>
                <c:pt idx="59">
                  <c:v>0.30512958238259191</c:v>
                </c:pt>
                <c:pt idx="60">
                  <c:v>0.31272359859744325</c:v>
                </c:pt>
                <c:pt idx="61">
                  <c:v>0.32015720810271797</c:v>
                </c:pt>
                <c:pt idx="62">
                  <c:v>0.32743529064455901</c:v>
                </c:pt>
                <c:pt idx="63">
                  <c:v>0.33456253794017909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C5-473B-902F-E8995E9DD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49536"/>
        <c:axId val="1"/>
      </c:scatterChart>
      <c:valAx>
        <c:axId val="31454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1454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1</xdr:row>
      <xdr:rowOff>133350</xdr:rowOff>
    </xdr:from>
    <xdr:to>
      <xdr:col>24</xdr:col>
      <xdr:colOff>371475</xdr:colOff>
      <xdr:row>213</xdr:row>
      <xdr:rowOff>38100</xdr:rowOff>
    </xdr:to>
    <xdr:graphicFrame macro="">
      <xdr:nvGraphicFramePr>
        <xdr:cNvPr id="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2</xdr:row>
      <xdr:rowOff>9525</xdr:rowOff>
    </xdr:from>
    <xdr:to>
      <xdr:col>17</xdr:col>
      <xdr:colOff>514350</xdr:colOff>
      <xdr:row>24</xdr:row>
      <xdr:rowOff>66675</xdr:rowOff>
    </xdr:to>
    <xdr:graphicFrame macro="">
      <xdr:nvGraphicFramePr>
        <xdr:cNvPr id="2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381000</xdr:colOff>
      <xdr:row>2</xdr:row>
      <xdr:rowOff>66675</xdr:rowOff>
    </xdr:from>
    <xdr:ext cx="6902161" cy="4219575"/>
    <xdr:pic>
      <xdr:nvPicPr>
        <xdr:cNvPr id="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47675"/>
          <a:ext cx="6902161" cy="421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18</xdr:row>
      <xdr:rowOff>57150</xdr:rowOff>
    </xdr:from>
    <xdr:to>
      <xdr:col>13</xdr:col>
      <xdr:colOff>342900</xdr:colOff>
      <xdr:row>35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0</xdr:row>
      <xdr:rowOff>133350</xdr:rowOff>
    </xdr:from>
    <xdr:to>
      <xdr:col>26</xdr:col>
      <xdr:colOff>104775</xdr:colOff>
      <xdr:row>24</xdr:row>
      <xdr:rowOff>85725</xdr:rowOff>
    </xdr:to>
    <xdr:graphicFrame macro="">
      <xdr:nvGraphicFramePr>
        <xdr:cNvPr id="2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1</xdr:row>
      <xdr:rowOff>95250</xdr:rowOff>
    </xdr:from>
    <xdr:to>
      <xdr:col>21</xdr:col>
      <xdr:colOff>495300</xdr:colOff>
      <xdr:row>22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104775</xdr:rowOff>
    </xdr:from>
    <xdr:to>
      <xdr:col>21</xdr:col>
      <xdr:colOff>419100</xdr:colOff>
      <xdr:row>15</xdr:row>
      <xdr:rowOff>180975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5</xdr:row>
      <xdr:rowOff>95250</xdr:rowOff>
    </xdr:from>
    <xdr:to>
      <xdr:col>18</xdr:col>
      <xdr:colOff>409575</xdr:colOff>
      <xdr:row>19</xdr:row>
      <xdr:rowOff>161925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25;lculo%20Num&#233;rico%20-%2004e%20-%20newton-raphson%20multivariad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2"/>
      <sheetName val="Plan3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J10"/>
  <sheetViews>
    <sheetView workbookViewId="0">
      <selection activeCell="F3" sqref="F3"/>
    </sheetView>
  </sheetViews>
  <sheetFormatPr defaultRowHeight="15" x14ac:dyDescent="0.25"/>
  <sheetData>
    <row r="1" spans="1:10" x14ac:dyDescent="0.25">
      <c r="A1" t="s">
        <v>110</v>
      </c>
      <c r="E1" t="s">
        <v>109</v>
      </c>
      <c r="F1" s="21">
        <v>9.9999999999999995E-7</v>
      </c>
    </row>
    <row r="2" spans="1:10" x14ac:dyDescent="0.25">
      <c r="A2" t="s">
        <v>108</v>
      </c>
      <c r="E2" t="s">
        <v>91</v>
      </c>
      <c r="F2" s="21" t="s">
        <v>81</v>
      </c>
      <c r="H2" s="21" t="s">
        <v>107</v>
      </c>
      <c r="I2" s="35" t="s">
        <v>106</v>
      </c>
      <c r="J2" s="34" t="s">
        <v>105</v>
      </c>
    </row>
    <row r="3" spans="1:10" x14ac:dyDescent="0.25">
      <c r="A3" t="s">
        <v>104</v>
      </c>
      <c r="I3" s="35" t="s">
        <v>103</v>
      </c>
      <c r="J3" s="34" t="s">
        <v>102</v>
      </c>
    </row>
    <row r="4" spans="1:10" x14ac:dyDescent="0.25">
      <c r="A4" s="38" t="s">
        <v>98</v>
      </c>
    </row>
    <row r="5" spans="1:10" x14ac:dyDescent="0.25">
      <c r="A5" s="36">
        <v>1</v>
      </c>
      <c r="H5" s="21" t="s">
        <v>101</v>
      </c>
      <c r="I5" s="36" t="s">
        <v>100</v>
      </c>
    </row>
    <row r="6" spans="1:10" x14ac:dyDescent="0.25">
      <c r="A6" s="36">
        <v>1</v>
      </c>
      <c r="I6" s="36" t="s">
        <v>99</v>
      </c>
    </row>
    <row r="8" spans="1:10" ht="17.25" x14ac:dyDescent="0.25">
      <c r="A8" s="38" t="s">
        <v>98</v>
      </c>
      <c r="C8" s="38" t="s">
        <v>97</v>
      </c>
      <c r="E8" s="37" t="s">
        <v>96</v>
      </c>
      <c r="H8" t="s">
        <v>95</v>
      </c>
    </row>
    <row r="9" spans="1:10" x14ac:dyDescent="0.25">
      <c r="A9" s="36">
        <f t="array" ref="A9:A10">IF(F2="n",A5:A6,H9:H10)</f>
        <v>1</v>
      </c>
      <c r="C9" s="36">
        <f>F1nrmv_(A9,A10)</f>
        <v>-5</v>
      </c>
      <c r="E9" s="35">
        <f t="array" ref="E9:F10">MINVERSE(J_(A9,A10,F1))</f>
        <v>0.49999950004213312</v>
      </c>
      <c r="F9" s="34">
        <v>-9.9999850022579423E-7</v>
      </c>
      <c r="H9" s="33">
        <f t="array" ref="H9:H10">A9:A10-E9:F10*C9:C10</f>
        <v>3.4999975002106654</v>
      </c>
    </row>
    <row r="10" spans="1:10" x14ac:dyDescent="0.25">
      <c r="A10" s="36">
        <v>1</v>
      </c>
      <c r="C10" s="36">
        <f>f2nrmv_(A9,A10)</f>
        <v>-3</v>
      </c>
      <c r="E10" s="35">
        <v>-0.49999900004313302</v>
      </c>
      <c r="F10" s="34">
        <v>1.9999970002295438E-6</v>
      </c>
      <c r="H10" s="33">
        <v>-0.49999700012939918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G23"/>
  <sheetViews>
    <sheetView zoomScale="220" zoomScaleNormal="220" workbookViewId="0">
      <selection activeCell="B9" sqref="B9"/>
    </sheetView>
  </sheetViews>
  <sheetFormatPr defaultRowHeight="15" x14ac:dyDescent="0.25"/>
  <sheetData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7" x14ac:dyDescent="0.25">
      <c r="A3" s="1">
        <v>-1.4</v>
      </c>
      <c r="B3" s="1">
        <f t="shared" ref="B3:B19" si="0">f_(A3)</f>
        <v>38.76</v>
      </c>
      <c r="C3" s="1">
        <v>6.1</v>
      </c>
      <c r="D3" s="1">
        <f t="shared" ref="D3:D19" si="1">f_(C3)</f>
        <v>-15.989999999999995</v>
      </c>
      <c r="E3" s="1">
        <f>(A3+C3)/2</f>
        <v>2.3499999999999996</v>
      </c>
      <c r="F3" s="1">
        <f t="shared" ref="F3:F19" si="2">f_(E3)</f>
        <v>-2.6774999999999984</v>
      </c>
    </row>
    <row r="4" spans="1:7" x14ac:dyDescent="0.25">
      <c r="A4" s="1">
        <f>IF(B3*F3&lt;0,A3,E3)</f>
        <v>-1.4</v>
      </c>
      <c r="B4" s="1">
        <f t="shared" si="0"/>
        <v>38.76</v>
      </c>
      <c r="C4" s="1">
        <f>IF(B3*F3&lt;0,E3,C3)</f>
        <v>2.3499999999999996</v>
      </c>
      <c r="D4" s="1">
        <f t="shared" si="1"/>
        <v>-2.6774999999999984</v>
      </c>
      <c r="E4" s="1">
        <f>(A4+C4)/2</f>
        <v>0.47499999999999987</v>
      </c>
      <c r="F4" s="1">
        <f t="shared" si="2"/>
        <v>14.525625000000002</v>
      </c>
      <c r="G4" s="2">
        <f t="shared" ref="G4:G19" si="3">E4/E3-1</f>
        <v>-0.7978723404255319</v>
      </c>
    </row>
    <row r="5" spans="1:7" x14ac:dyDescent="0.25">
      <c r="A5" s="1">
        <f t="shared" ref="A5:A13" si="4">IF(B4*F4&lt;0,A4,E4)</f>
        <v>0.47499999999999987</v>
      </c>
      <c r="B5" s="1">
        <f t="shared" si="0"/>
        <v>14.525625000000002</v>
      </c>
      <c r="C5" s="1">
        <f t="shared" ref="C5:C13" si="5">IF(B4*F4&lt;0,E4,C4)</f>
        <v>2.3499999999999996</v>
      </c>
      <c r="D5" s="1">
        <f t="shared" si="1"/>
        <v>-2.6774999999999984</v>
      </c>
      <c r="E5" s="1">
        <f t="shared" ref="E5:E13" si="6">(A5+C5)/2</f>
        <v>1.4124999999999996</v>
      </c>
      <c r="F5" s="1">
        <f t="shared" si="2"/>
        <v>5.0451562500000033</v>
      </c>
      <c r="G5" s="2">
        <f t="shared" si="3"/>
        <v>1.9736842105263159</v>
      </c>
    </row>
    <row r="6" spans="1:7" x14ac:dyDescent="0.25">
      <c r="A6" s="1">
        <f t="shared" si="4"/>
        <v>1.4124999999999996</v>
      </c>
      <c r="B6" s="1">
        <f t="shared" si="0"/>
        <v>5.0451562500000033</v>
      </c>
      <c r="C6" s="1">
        <f t="shared" si="5"/>
        <v>2.3499999999999996</v>
      </c>
      <c r="D6" s="1">
        <f t="shared" si="1"/>
        <v>-2.6774999999999984</v>
      </c>
      <c r="E6" s="1">
        <f t="shared" si="6"/>
        <v>1.8812499999999996</v>
      </c>
      <c r="F6" s="1">
        <f t="shared" si="2"/>
        <v>0.96410156250000156</v>
      </c>
      <c r="G6" s="2">
        <f t="shared" si="3"/>
        <v>0.3318584070796462</v>
      </c>
    </row>
    <row r="7" spans="1:7" x14ac:dyDescent="0.25">
      <c r="A7" s="1">
        <f t="shared" si="4"/>
        <v>1.8812499999999996</v>
      </c>
      <c r="B7" s="1">
        <f t="shared" si="0"/>
        <v>0.96410156250000156</v>
      </c>
      <c r="C7" s="1">
        <f t="shared" si="5"/>
        <v>2.3499999999999996</v>
      </c>
      <c r="D7" s="1">
        <f t="shared" si="1"/>
        <v>-2.6774999999999984</v>
      </c>
      <c r="E7" s="1">
        <f t="shared" si="6"/>
        <v>2.1156249999999996</v>
      </c>
      <c r="F7" s="1">
        <f t="shared" si="2"/>
        <v>-0.91163085937499844</v>
      </c>
      <c r="G7" s="2">
        <f t="shared" si="3"/>
        <v>0.12458471760797352</v>
      </c>
    </row>
    <row r="8" spans="1:7" x14ac:dyDescent="0.25">
      <c r="A8" s="1">
        <f t="shared" si="4"/>
        <v>1.8812499999999996</v>
      </c>
      <c r="B8" s="1">
        <f t="shared" si="0"/>
        <v>0.96410156250000156</v>
      </c>
      <c r="C8" s="1">
        <f t="shared" si="5"/>
        <v>2.1156249999999996</v>
      </c>
      <c r="D8" s="1">
        <f t="shared" si="1"/>
        <v>-0.91163085937499844</v>
      </c>
      <c r="E8" s="1">
        <f t="shared" si="6"/>
        <v>1.9984374999999996</v>
      </c>
      <c r="F8" s="1">
        <f t="shared" si="2"/>
        <v>1.2502441406251563E-2</v>
      </c>
      <c r="G8" s="2">
        <f t="shared" si="3"/>
        <v>-5.5391432791728201E-2</v>
      </c>
    </row>
    <row r="9" spans="1:7" x14ac:dyDescent="0.25">
      <c r="A9" s="1">
        <f t="shared" si="4"/>
        <v>1.9984374999999996</v>
      </c>
      <c r="B9" s="1">
        <f t="shared" si="0"/>
        <v>1.2502441406251563E-2</v>
      </c>
      <c r="C9" s="1">
        <f t="shared" si="5"/>
        <v>2.1156249999999996</v>
      </c>
      <c r="D9" s="1">
        <f t="shared" si="1"/>
        <v>-0.91163085937499844</v>
      </c>
      <c r="E9" s="1">
        <f t="shared" si="6"/>
        <v>2.0570312499999996</v>
      </c>
      <c r="F9" s="1">
        <f t="shared" si="2"/>
        <v>-0.45299743652343594</v>
      </c>
      <c r="G9" s="2">
        <f t="shared" si="3"/>
        <v>2.9319781078968044E-2</v>
      </c>
    </row>
    <row r="10" spans="1:7" x14ac:dyDescent="0.25">
      <c r="A10" s="1">
        <f t="shared" si="4"/>
        <v>1.9984374999999996</v>
      </c>
      <c r="B10" s="1">
        <f t="shared" si="0"/>
        <v>1.2502441406251563E-2</v>
      </c>
      <c r="C10" s="1">
        <f t="shared" si="5"/>
        <v>2.0570312499999996</v>
      </c>
      <c r="D10" s="1">
        <f t="shared" si="1"/>
        <v>-0.45299743652343594</v>
      </c>
      <c r="E10" s="1">
        <f t="shared" si="6"/>
        <v>2.0277343749999996</v>
      </c>
      <c r="F10" s="1">
        <f t="shared" si="2"/>
        <v>-0.22110580444335781</v>
      </c>
      <c r="G10" s="2">
        <f t="shared" si="3"/>
        <v>-1.4242309153057353E-2</v>
      </c>
    </row>
    <row r="11" spans="1:7" x14ac:dyDescent="0.25">
      <c r="A11" s="1">
        <f t="shared" si="4"/>
        <v>1.9984374999999996</v>
      </c>
      <c r="B11" s="1">
        <f t="shared" si="0"/>
        <v>1.2502441406251563E-2</v>
      </c>
      <c r="C11" s="1">
        <f t="shared" si="5"/>
        <v>2.0277343749999996</v>
      </c>
      <c r="D11" s="1">
        <f t="shared" si="1"/>
        <v>-0.22110580444335781</v>
      </c>
      <c r="E11" s="1">
        <f t="shared" si="6"/>
        <v>2.0130859374999996</v>
      </c>
      <c r="F11" s="1">
        <f t="shared" si="2"/>
        <v>-0.10451625823974453</v>
      </c>
      <c r="G11" s="2">
        <f t="shared" si="3"/>
        <v>-7.2240416104796257E-3</v>
      </c>
    </row>
    <row r="12" spans="1:7" x14ac:dyDescent="0.25">
      <c r="A12" s="1">
        <f t="shared" si="4"/>
        <v>1.9984374999999996</v>
      </c>
      <c r="B12" s="1">
        <f t="shared" si="0"/>
        <v>1.2502441406251563E-2</v>
      </c>
      <c r="C12" s="1">
        <f t="shared" si="5"/>
        <v>2.0130859374999996</v>
      </c>
      <c r="D12" s="1">
        <f t="shared" si="1"/>
        <v>-0.10451625823974453</v>
      </c>
      <c r="E12" s="1">
        <f t="shared" si="6"/>
        <v>2.0057617187499996</v>
      </c>
      <c r="F12" s="1">
        <f t="shared" si="2"/>
        <v>-4.6060552597044335E-2</v>
      </c>
      <c r="G12" s="2">
        <f t="shared" si="3"/>
        <v>-3.6383040651983833E-3</v>
      </c>
    </row>
    <row r="13" spans="1:7" x14ac:dyDescent="0.25">
      <c r="A13" s="1">
        <f t="shared" si="4"/>
        <v>1.9984374999999996</v>
      </c>
      <c r="B13" s="1">
        <f t="shared" si="0"/>
        <v>1.2502441406251563E-2</v>
      </c>
      <c r="C13" s="1">
        <f t="shared" si="5"/>
        <v>2.0057617187499996</v>
      </c>
      <c r="D13" s="1">
        <f t="shared" si="1"/>
        <v>-4.6060552597044335E-2</v>
      </c>
      <c r="E13" s="1">
        <f t="shared" si="6"/>
        <v>2.0020996093749996</v>
      </c>
      <c r="F13" s="1">
        <f t="shared" si="2"/>
        <v>-1.6792466640470849E-2</v>
      </c>
      <c r="G13" s="2">
        <f t="shared" si="3"/>
        <v>-1.8257948293490811E-3</v>
      </c>
    </row>
    <row r="14" spans="1:7" x14ac:dyDescent="0.25">
      <c r="A14" s="1">
        <f t="shared" ref="A14:A19" si="7">IF(B13*F13&lt;0,A13,E13)</f>
        <v>1.9984374999999996</v>
      </c>
      <c r="B14" s="1">
        <f t="shared" si="0"/>
        <v>1.2502441406251563E-2</v>
      </c>
      <c r="C14" s="1">
        <f t="shared" ref="C14:C19" si="8">IF(B13*F13&lt;0,E13,C13)</f>
        <v>2.0020996093749996</v>
      </c>
      <c r="D14" s="1">
        <f t="shared" si="1"/>
        <v>-1.6792466640470849E-2</v>
      </c>
      <c r="E14" s="1">
        <f t="shared" ref="E14:E19" si="9">(A14+C14)/2</f>
        <v>2.0002685546874996</v>
      </c>
      <c r="F14" s="1">
        <f t="shared" si="2"/>
        <v>-2.1483653783782586E-3</v>
      </c>
      <c r="G14" s="2">
        <f t="shared" si="3"/>
        <v>-9.1456722678828761E-4</v>
      </c>
    </row>
    <row r="15" spans="1:7" x14ac:dyDescent="0.25">
      <c r="A15" s="1">
        <f t="shared" si="7"/>
        <v>1.9984374999999996</v>
      </c>
      <c r="B15" s="1">
        <f t="shared" si="0"/>
        <v>1.2502441406251563E-2</v>
      </c>
      <c r="C15" s="1">
        <f t="shared" si="8"/>
        <v>2.0002685546874996</v>
      </c>
      <c r="D15" s="1">
        <f t="shared" si="1"/>
        <v>-2.1483653783782586E-3</v>
      </c>
      <c r="E15" s="1">
        <f t="shared" si="9"/>
        <v>1.9993530273437496</v>
      </c>
      <c r="F15" s="1">
        <f t="shared" si="2"/>
        <v>5.1761998236194984E-3</v>
      </c>
      <c r="G15" s="2">
        <f t="shared" si="3"/>
        <v>-4.5770221283758517E-4</v>
      </c>
    </row>
    <row r="16" spans="1:7" x14ac:dyDescent="0.25">
      <c r="A16" s="1">
        <f t="shared" si="7"/>
        <v>1.9993530273437496</v>
      </c>
      <c r="B16" s="1">
        <f t="shared" si="0"/>
        <v>5.1761998236194984E-3</v>
      </c>
      <c r="C16" s="1">
        <f t="shared" si="8"/>
        <v>2.0002685546874996</v>
      </c>
      <c r="D16" s="1">
        <f t="shared" si="1"/>
        <v>-2.1483653783782586E-3</v>
      </c>
      <c r="E16" s="1">
        <f t="shared" si="9"/>
        <v>1.9998107910156246</v>
      </c>
      <c r="F16" s="1">
        <f t="shared" si="2"/>
        <v>1.5137076750413314E-3</v>
      </c>
      <c r="G16" s="2">
        <f t="shared" si="3"/>
        <v>2.2895590004101685E-4</v>
      </c>
    </row>
    <row r="17" spans="1:7" x14ac:dyDescent="0.25">
      <c r="A17" s="1">
        <f t="shared" si="7"/>
        <v>1.9998107910156246</v>
      </c>
      <c r="B17" s="1">
        <f t="shared" si="0"/>
        <v>1.5137076750413314E-3</v>
      </c>
      <c r="C17" s="1">
        <f t="shared" si="8"/>
        <v>2.0002685546874996</v>
      </c>
      <c r="D17" s="1">
        <f t="shared" si="1"/>
        <v>-2.1483653783782586E-3</v>
      </c>
      <c r="E17" s="1">
        <f t="shared" si="9"/>
        <v>2.0000396728515621</v>
      </c>
      <c r="F17" s="1">
        <f t="shared" si="2"/>
        <v>-3.1738123856328571E-4</v>
      </c>
      <c r="G17" s="2">
        <f t="shared" si="3"/>
        <v>1.1445174561797167E-4</v>
      </c>
    </row>
    <row r="18" spans="1:7" x14ac:dyDescent="0.25">
      <c r="A18" s="1">
        <f t="shared" si="7"/>
        <v>1.9998107910156246</v>
      </c>
      <c r="B18" s="1">
        <f t="shared" si="0"/>
        <v>1.5137076750413314E-3</v>
      </c>
      <c r="C18" s="1">
        <f t="shared" si="8"/>
        <v>2.0000396728515621</v>
      </c>
      <c r="D18" s="1">
        <f t="shared" si="1"/>
        <v>-3.1738123856328571E-4</v>
      </c>
      <c r="E18" s="1">
        <f t="shared" si="9"/>
        <v>1.9999252319335934</v>
      </c>
      <c r="F18" s="1">
        <f t="shared" si="2"/>
        <v>5.9815012151531732E-4</v>
      </c>
      <c r="G18" s="2">
        <f t="shared" si="3"/>
        <v>-5.7219323957524715E-5</v>
      </c>
    </row>
    <row r="19" spans="1:7" x14ac:dyDescent="0.25">
      <c r="A19" s="1">
        <f t="shared" si="7"/>
        <v>1.9999252319335934</v>
      </c>
      <c r="B19" s="1">
        <f t="shared" si="0"/>
        <v>5.9815012151531732E-4</v>
      </c>
      <c r="C19" s="1">
        <f t="shared" si="8"/>
        <v>2.0000396728515621</v>
      </c>
      <c r="D19" s="1">
        <f t="shared" si="1"/>
        <v>-3.1738123856328571E-4</v>
      </c>
      <c r="E19" s="1">
        <f t="shared" si="9"/>
        <v>1.9999824523925778</v>
      </c>
      <c r="F19" s="1">
        <f t="shared" si="2"/>
        <v>1.4038116729508943E-4</v>
      </c>
      <c r="G19" s="2">
        <f t="shared" si="3"/>
        <v>2.8611299097924814E-5</v>
      </c>
    </row>
    <row r="20" spans="1:7" x14ac:dyDescent="0.25">
      <c r="A20" s="1"/>
      <c r="B20" s="1"/>
      <c r="C20" s="1"/>
      <c r="D20" s="1"/>
      <c r="E20" s="1"/>
      <c r="F20" s="1"/>
      <c r="G20" s="2"/>
    </row>
    <row r="21" spans="1:7" x14ac:dyDescent="0.25">
      <c r="A21" s="1"/>
      <c r="B21" s="1"/>
      <c r="C21" s="1"/>
      <c r="D21" s="1"/>
      <c r="E21" s="1"/>
      <c r="F21" s="1"/>
      <c r="G21" s="2"/>
    </row>
    <row r="22" spans="1:7" x14ac:dyDescent="0.25">
      <c r="A22" s="1"/>
      <c r="B22" s="1"/>
      <c r="C22" s="1"/>
      <c r="D22" s="1"/>
      <c r="E22" s="1"/>
      <c r="F22" s="1"/>
    </row>
    <row r="23" spans="1:7" x14ac:dyDescent="0.25">
      <c r="A23" s="1"/>
      <c r="B23" s="1"/>
      <c r="C23" s="1"/>
      <c r="D23" s="1"/>
      <c r="E23" s="1"/>
      <c r="F23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E23"/>
  <sheetViews>
    <sheetView zoomScale="220" zoomScaleNormal="220" workbookViewId="0">
      <selection activeCell="A4" sqref="A4"/>
    </sheetView>
  </sheetViews>
  <sheetFormatPr defaultRowHeight="15" x14ac:dyDescent="0.25"/>
  <sheetData>
    <row r="2" spans="1:5" x14ac:dyDescent="0.25">
      <c r="A2" t="s">
        <v>0</v>
      </c>
      <c r="B2" t="s">
        <v>2</v>
      </c>
      <c r="C2" t="s">
        <v>4</v>
      </c>
      <c r="D2" t="s">
        <v>5</v>
      </c>
    </row>
    <row r="3" spans="1:5" x14ac:dyDescent="0.25">
      <c r="A3" s="1">
        <v>-1.4</v>
      </c>
      <c r="B3" s="1">
        <v>6.1</v>
      </c>
      <c r="C3" s="1">
        <f t="shared" ref="C3:C17" si="0">(A3+B3)/2</f>
        <v>2.3499999999999996</v>
      </c>
      <c r="D3" s="1">
        <f t="shared" ref="D3:D17" si="1">f_(C3)</f>
        <v>-2.6774999999999984</v>
      </c>
    </row>
    <row r="4" spans="1:5" x14ac:dyDescent="0.25">
      <c r="A4" s="1">
        <f t="array" ref="A4:B4">bissec(A3:B3)</f>
        <v>-1.4</v>
      </c>
      <c r="B4" s="1">
        <v>2.3499999999999996</v>
      </c>
      <c r="C4" s="1">
        <f t="shared" si="0"/>
        <v>0.47499999999999987</v>
      </c>
      <c r="D4" s="1">
        <f t="shared" si="1"/>
        <v>14.525625000000002</v>
      </c>
      <c r="E4" s="2"/>
    </row>
    <row r="5" spans="1:5" x14ac:dyDescent="0.25">
      <c r="A5" s="1">
        <f t="array" ref="A5:B5">bissec(A4:B4)</f>
        <v>0.47499999999999987</v>
      </c>
      <c r="B5" s="1">
        <v>2.3499999999999996</v>
      </c>
      <c r="C5" s="1">
        <f t="shared" si="0"/>
        <v>1.4124999999999996</v>
      </c>
      <c r="D5" s="1">
        <f t="shared" si="1"/>
        <v>5.0451562500000033</v>
      </c>
      <c r="E5" s="2"/>
    </row>
    <row r="6" spans="1:5" x14ac:dyDescent="0.25">
      <c r="A6" s="1">
        <f t="array" ref="A6:B6">bissec(A5:B5)</f>
        <v>1.4124999999999996</v>
      </c>
      <c r="B6" s="1">
        <v>2.3499999999999996</v>
      </c>
      <c r="C6" s="1">
        <f t="shared" si="0"/>
        <v>1.8812499999999996</v>
      </c>
      <c r="D6" s="1">
        <f t="shared" si="1"/>
        <v>0.96410156250000156</v>
      </c>
      <c r="E6" s="2"/>
    </row>
    <row r="7" spans="1:5" x14ac:dyDescent="0.25">
      <c r="A7" s="1">
        <f t="array" ref="A7:B7">bissec(A6:B6)</f>
        <v>1.8812499999999996</v>
      </c>
      <c r="B7" s="1">
        <v>2.3499999999999996</v>
      </c>
      <c r="C7" s="1">
        <f t="shared" si="0"/>
        <v>2.1156249999999996</v>
      </c>
      <c r="D7" s="1">
        <f t="shared" si="1"/>
        <v>-0.91163085937499844</v>
      </c>
      <c r="E7" s="2"/>
    </row>
    <row r="8" spans="1:5" x14ac:dyDescent="0.25">
      <c r="A8" s="1">
        <f t="array" ref="A8:B8">bissec(A7:B7)</f>
        <v>1.8812499999999996</v>
      </c>
      <c r="B8" s="1">
        <v>2.1156249999999996</v>
      </c>
      <c r="C8" s="1">
        <f t="shared" si="0"/>
        <v>1.9984374999999996</v>
      </c>
      <c r="D8" s="1">
        <f t="shared" si="1"/>
        <v>1.2502441406251563E-2</v>
      </c>
      <c r="E8" s="2"/>
    </row>
    <row r="9" spans="1:5" x14ac:dyDescent="0.25">
      <c r="A9" s="1">
        <f t="array" ref="A9:B9">bissec(A8:B8)</f>
        <v>1.9984374999999996</v>
      </c>
      <c r="B9" s="1">
        <v>2.1156249999999996</v>
      </c>
      <c r="C9" s="1">
        <f t="shared" si="0"/>
        <v>2.0570312499999996</v>
      </c>
      <c r="D9" s="1">
        <f t="shared" si="1"/>
        <v>-0.45299743652343594</v>
      </c>
      <c r="E9" s="2"/>
    </row>
    <row r="10" spans="1:5" x14ac:dyDescent="0.25">
      <c r="A10" s="1">
        <f t="array" ref="A10:B10">bissec(A9:B9)</f>
        <v>1.9984374999999996</v>
      </c>
      <c r="B10" s="1">
        <v>2.0570312499999996</v>
      </c>
      <c r="C10" s="1">
        <f t="shared" si="0"/>
        <v>2.0277343749999996</v>
      </c>
      <c r="D10" s="1">
        <f t="shared" si="1"/>
        <v>-0.22110580444335781</v>
      </c>
      <c r="E10" s="2"/>
    </row>
    <row r="11" spans="1:5" x14ac:dyDescent="0.25">
      <c r="A11" s="1">
        <f t="array" ref="A11:B11">bissec(A10:B10)</f>
        <v>1.9984374999999996</v>
      </c>
      <c r="B11" s="1">
        <v>2.0277343749999996</v>
      </c>
      <c r="C11" s="1">
        <f t="shared" si="0"/>
        <v>2.0130859374999996</v>
      </c>
      <c r="D11" s="1">
        <f t="shared" si="1"/>
        <v>-0.10451625823974453</v>
      </c>
      <c r="E11" s="2"/>
    </row>
    <row r="12" spans="1:5" x14ac:dyDescent="0.25">
      <c r="A12" s="1">
        <f t="array" ref="A12:B12">bissec(A11:B11)</f>
        <v>1.9984374999999996</v>
      </c>
      <c r="B12" s="1">
        <v>2.0130859374999996</v>
      </c>
      <c r="C12" s="1">
        <f t="shared" si="0"/>
        <v>2.0057617187499996</v>
      </c>
      <c r="D12" s="1">
        <f t="shared" si="1"/>
        <v>-4.6060552597044335E-2</v>
      </c>
      <c r="E12" s="2"/>
    </row>
    <row r="13" spans="1:5" x14ac:dyDescent="0.25">
      <c r="A13" s="1">
        <f t="array" ref="A13:B13">bissec(A12:B12)</f>
        <v>1.9984374999999996</v>
      </c>
      <c r="B13" s="1">
        <v>2.0057617187499996</v>
      </c>
      <c r="C13" s="1">
        <f t="shared" si="0"/>
        <v>2.0020996093749996</v>
      </c>
      <c r="D13" s="1">
        <f t="shared" si="1"/>
        <v>-1.6792466640470849E-2</v>
      </c>
      <c r="E13" s="2"/>
    </row>
    <row r="14" spans="1:5" x14ac:dyDescent="0.25">
      <c r="A14" s="1">
        <f t="array" ref="A14:B14">bissec(A13:B13)</f>
        <v>1.9984374999999996</v>
      </c>
      <c r="B14" s="1">
        <v>2.0020996093749996</v>
      </c>
      <c r="C14" s="1">
        <f t="shared" si="0"/>
        <v>2.0002685546874996</v>
      </c>
      <c r="D14" s="1">
        <f t="shared" si="1"/>
        <v>-2.1483653783782586E-3</v>
      </c>
      <c r="E14" s="2"/>
    </row>
    <row r="15" spans="1:5" x14ac:dyDescent="0.25">
      <c r="A15" s="1">
        <f t="array" ref="A15:B15">bissec(A14:B14)</f>
        <v>1.9984374999999996</v>
      </c>
      <c r="B15" s="1">
        <v>2.0002685546874996</v>
      </c>
      <c r="C15" s="1">
        <f t="shared" si="0"/>
        <v>1.9993530273437496</v>
      </c>
      <c r="D15" s="1">
        <f t="shared" si="1"/>
        <v>5.1761998236194984E-3</v>
      </c>
      <c r="E15" s="2"/>
    </row>
    <row r="16" spans="1:5" x14ac:dyDescent="0.25">
      <c r="A16" s="1">
        <f t="array" ref="A16:B16">bissec(A15:B15)</f>
        <v>1.9993530273437496</v>
      </c>
      <c r="B16" s="1">
        <v>2.0002685546874996</v>
      </c>
      <c r="C16" s="1">
        <f t="shared" si="0"/>
        <v>1.9998107910156246</v>
      </c>
      <c r="D16" s="1">
        <f t="shared" si="1"/>
        <v>1.5137076750413314E-3</v>
      </c>
      <c r="E16" s="2"/>
    </row>
    <row r="17" spans="1:5" x14ac:dyDescent="0.25">
      <c r="A17" s="1">
        <f t="array" ref="A17:B17">bissec(A16:B16)</f>
        <v>1.9998107910156246</v>
      </c>
      <c r="B17" s="1">
        <v>2.0002685546874996</v>
      </c>
      <c r="C17" s="1">
        <f t="shared" si="0"/>
        <v>2.0000396728515621</v>
      </c>
      <c r="D17" s="1">
        <f t="shared" si="1"/>
        <v>-3.1738123856328571E-4</v>
      </c>
      <c r="E17" s="2"/>
    </row>
    <row r="18" spans="1:5" x14ac:dyDescent="0.25">
      <c r="A18" s="1"/>
      <c r="B18" s="1"/>
      <c r="C18" s="1"/>
      <c r="D18" s="1"/>
      <c r="E18" s="2"/>
    </row>
    <row r="19" spans="1:5" x14ac:dyDescent="0.25">
      <c r="A19" s="1"/>
      <c r="B19" s="1"/>
      <c r="C19" s="1"/>
      <c r="D19" s="1"/>
      <c r="E19" s="2"/>
    </row>
    <row r="20" spans="1:5" x14ac:dyDescent="0.25">
      <c r="A20" s="1"/>
      <c r="B20" s="1"/>
      <c r="C20" s="1"/>
      <c r="D20" s="1"/>
      <c r="E20" s="2"/>
    </row>
    <row r="21" spans="1:5" x14ac:dyDescent="0.25">
      <c r="A21" s="1"/>
      <c r="B21" s="1"/>
      <c r="C21" s="1"/>
      <c r="D21" s="1"/>
      <c r="E21" s="2"/>
    </row>
    <row r="22" spans="1:5" x14ac:dyDescent="0.25">
      <c r="A22" s="1"/>
      <c r="B22" s="1"/>
      <c r="C22" s="1"/>
      <c r="D22" s="1"/>
    </row>
    <row r="23" spans="1:5" x14ac:dyDescent="0.25">
      <c r="A23" s="1"/>
      <c r="B23" s="1"/>
      <c r="C23" s="1"/>
      <c r="D23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G14"/>
  <sheetViews>
    <sheetView workbookViewId="0">
      <selection activeCell="A5" sqref="A5:C5"/>
    </sheetView>
  </sheetViews>
  <sheetFormatPr defaultRowHeight="15" x14ac:dyDescent="0.25"/>
  <sheetData>
    <row r="3" spans="1:7" x14ac:dyDescent="0.25">
      <c r="A3" t="s">
        <v>14</v>
      </c>
      <c r="B3" t="s">
        <v>13</v>
      </c>
      <c r="C3" t="s">
        <v>12</v>
      </c>
      <c r="D3" t="s">
        <v>11</v>
      </c>
      <c r="E3" t="s">
        <v>9</v>
      </c>
      <c r="F3" t="s">
        <v>8</v>
      </c>
      <c r="G3" t="s">
        <v>6</v>
      </c>
    </row>
    <row r="4" spans="1:7" x14ac:dyDescent="0.25">
      <c r="A4" s="4">
        <v>1</v>
      </c>
      <c r="B4" s="4">
        <v>5</v>
      </c>
      <c r="C4" s="4">
        <f t="shared" ref="C4:C14" si="0">f_(A4)</f>
        <v>9</v>
      </c>
      <c r="D4" s="4">
        <f t="shared" ref="D4:D14" si="1">f_(B4)</f>
        <v>-15</v>
      </c>
      <c r="E4" s="4">
        <f t="shared" ref="E4:E14" si="2">AVERAGE(A4:B4)</f>
        <v>3</v>
      </c>
      <c r="F4" s="4">
        <f t="shared" ref="F4:F14" si="3">f_(E4)</f>
        <v>-7</v>
      </c>
    </row>
    <row r="5" spans="1:7" x14ac:dyDescent="0.25">
      <c r="A5" s="4">
        <f t="array" ref="A5:B5">bissec(A4:F4)</f>
        <v>1</v>
      </c>
      <c r="B5" s="4">
        <v>3</v>
      </c>
      <c r="C5" s="4">
        <f t="shared" si="0"/>
        <v>9</v>
      </c>
      <c r="D5" s="4">
        <f t="shared" si="1"/>
        <v>-7</v>
      </c>
      <c r="E5" s="4">
        <f t="shared" si="2"/>
        <v>2</v>
      </c>
      <c r="F5" s="4">
        <f t="shared" si="3"/>
        <v>0</v>
      </c>
      <c r="G5" s="3">
        <f t="shared" ref="G5:G14" si="4">E5/E4-1</f>
        <v>-0.33333333333333337</v>
      </c>
    </row>
    <row r="6" spans="1:7" x14ac:dyDescent="0.25">
      <c r="A6" s="4">
        <f t="array" ref="A6:B6">bissec(A5:F5)</f>
        <v>2</v>
      </c>
      <c r="B6" s="4">
        <v>3</v>
      </c>
      <c r="C6" s="4">
        <f t="shared" si="0"/>
        <v>0</v>
      </c>
      <c r="D6" s="4">
        <f t="shared" si="1"/>
        <v>-7</v>
      </c>
      <c r="E6" s="4">
        <f t="shared" si="2"/>
        <v>2.5</v>
      </c>
      <c r="F6" s="4">
        <f t="shared" si="3"/>
        <v>-3.75</v>
      </c>
      <c r="G6" s="3">
        <f t="shared" si="4"/>
        <v>0.25</v>
      </c>
    </row>
    <row r="7" spans="1:7" x14ac:dyDescent="0.25">
      <c r="A7" s="4">
        <f t="array" ref="A7:B7">bissec(A6:F6)</f>
        <v>2.5</v>
      </c>
      <c r="B7" s="4">
        <v>3</v>
      </c>
      <c r="C7" s="4">
        <f t="shared" si="0"/>
        <v>-3.75</v>
      </c>
      <c r="D7" s="4">
        <f t="shared" si="1"/>
        <v>-7</v>
      </c>
      <c r="E7" s="4">
        <f t="shared" si="2"/>
        <v>2.75</v>
      </c>
      <c r="F7" s="4">
        <f t="shared" si="3"/>
        <v>-5.4375</v>
      </c>
      <c r="G7" s="3">
        <f t="shared" si="4"/>
        <v>0.10000000000000009</v>
      </c>
    </row>
    <row r="8" spans="1:7" x14ac:dyDescent="0.25">
      <c r="A8" s="4">
        <f t="array" ref="A8:B8">bissec(A7:F7)</f>
        <v>2.75</v>
      </c>
      <c r="B8" s="4">
        <v>3</v>
      </c>
      <c r="C8" s="4">
        <f t="shared" si="0"/>
        <v>-5.4375</v>
      </c>
      <c r="D8" s="4">
        <f t="shared" si="1"/>
        <v>-7</v>
      </c>
      <c r="E8" s="4">
        <f t="shared" si="2"/>
        <v>2.875</v>
      </c>
      <c r="F8" s="4">
        <f t="shared" si="3"/>
        <v>-6.234375</v>
      </c>
      <c r="G8" s="3">
        <f t="shared" si="4"/>
        <v>4.5454545454545414E-2</v>
      </c>
    </row>
    <row r="9" spans="1:7" x14ac:dyDescent="0.25">
      <c r="A9" s="4">
        <f t="array" ref="A9:B9">bissec(A8:F8)</f>
        <v>2.875</v>
      </c>
      <c r="B9" s="4">
        <v>3</v>
      </c>
      <c r="C9" s="4">
        <f t="shared" si="0"/>
        <v>-6.234375</v>
      </c>
      <c r="D9" s="4">
        <f t="shared" si="1"/>
        <v>-7</v>
      </c>
      <c r="E9" s="4">
        <f t="shared" si="2"/>
        <v>2.9375</v>
      </c>
      <c r="F9" s="4">
        <f t="shared" si="3"/>
        <v>-6.62109375</v>
      </c>
      <c r="G9" s="3">
        <f t="shared" si="4"/>
        <v>2.1739130434782705E-2</v>
      </c>
    </row>
    <row r="10" spans="1:7" x14ac:dyDescent="0.25">
      <c r="A10" s="4">
        <f t="array" ref="A10:B10">bissec(A9:F9)</f>
        <v>2.9375</v>
      </c>
      <c r="B10" s="4">
        <v>3</v>
      </c>
      <c r="C10" s="4">
        <f t="shared" si="0"/>
        <v>-6.62109375</v>
      </c>
      <c r="D10" s="4">
        <f t="shared" si="1"/>
        <v>-7</v>
      </c>
      <c r="E10" s="4">
        <f t="shared" si="2"/>
        <v>2.96875</v>
      </c>
      <c r="F10" s="4">
        <f t="shared" si="3"/>
        <v>-6.8115234375</v>
      </c>
      <c r="G10" s="3">
        <f t="shared" si="4"/>
        <v>1.0638297872340496E-2</v>
      </c>
    </row>
    <row r="11" spans="1:7" x14ac:dyDescent="0.25">
      <c r="A11" s="4">
        <f t="array" ref="A11:B11">bissec(A10:F10)</f>
        <v>2.96875</v>
      </c>
      <c r="B11" s="4">
        <v>3</v>
      </c>
      <c r="C11" s="4">
        <f t="shared" si="0"/>
        <v>-6.8115234375</v>
      </c>
      <c r="D11" s="4">
        <f t="shared" si="1"/>
        <v>-7</v>
      </c>
      <c r="E11" s="4">
        <f t="shared" si="2"/>
        <v>2.984375</v>
      </c>
      <c r="F11" s="4">
        <f t="shared" si="3"/>
        <v>-6.906005859375</v>
      </c>
      <c r="G11" s="3">
        <f t="shared" si="4"/>
        <v>5.2631578947368585E-3</v>
      </c>
    </row>
    <row r="12" spans="1:7" x14ac:dyDescent="0.25">
      <c r="A12" s="4">
        <f t="array" ref="A12:B12">bissec(A11:F11)</f>
        <v>2.984375</v>
      </c>
      <c r="B12" s="4">
        <v>3</v>
      </c>
      <c r="C12" s="4">
        <f t="shared" si="0"/>
        <v>-6.906005859375</v>
      </c>
      <c r="D12" s="4">
        <f t="shared" si="1"/>
        <v>-7</v>
      </c>
      <c r="E12" s="4">
        <f t="shared" si="2"/>
        <v>2.9921875</v>
      </c>
      <c r="F12" s="4">
        <f t="shared" si="3"/>
        <v>-6.95306396484375</v>
      </c>
      <c r="G12" s="3">
        <f t="shared" si="4"/>
        <v>2.6178010471205049E-3</v>
      </c>
    </row>
    <row r="13" spans="1:7" x14ac:dyDescent="0.25">
      <c r="A13" s="4">
        <f t="array" ref="A13:B13">bissec(A12:F12)</f>
        <v>2.9921875</v>
      </c>
      <c r="B13" s="4">
        <v>3</v>
      </c>
      <c r="C13" s="4">
        <f t="shared" si="0"/>
        <v>-6.95306396484375</v>
      </c>
      <c r="D13" s="4">
        <f t="shared" si="1"/>
        <v>-7</v>
      </c>
      <c r="E13" s="4">
        <f t="shared" si="2"/>
        <v>2.99609375</v>
      </c>
      <c r="F13" s="4">
        <f t="shared" si="3"/>
        <v>-6.9765472412109375</v>
      </c>
      <c r="G13" s="3">
        <f t="shared" si="4"/>
        <v>1.3054830287206887E-3</v>
      </c>
    </row>
    <row r="14" spans="1:7" x14ac:dyDescent="0.25">
      <c r="A14" s="4">
        <f t="array" ref="A14:B14">bissec(A13:F13)</f>
        <v>2.99609375</v>
      </c>
      <c r="B14" s="4">
        <v>3</v>
      </c>
      <c r="C14" s="4">
        <f t="shared" si="0"/>
        <v>-6.9765472412109375</v>
      </c>
      <c r="D14" s="4">
        <f t="shared" si="1"/>
        <v>-7</v>
      </c>
      <c r="E14" s="4">
        <f t="shared" si="2"/>
        <v>2.998046875</v>
      </c>
      <c r="F14" s="4">
        <f t="shared" si="3"/>
        <v>-6.9882774353027344</v>
      </c>
      <c r="G14" s="3">
        <f t="shared" si="4"/>
        <v>6.5189048239888692E-4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D11"/>
  <sheetViews>
    <sheetView workbookViewId="0">
      <selection activeCell="C6" sqref="C6:C11"/>
    </sheetView>
  </sheetViews>
  <sheetFormatPr defaultRowHeight="15" x14ac:dyDescent="0.25"/>
  <sheetData>
    <row r="2" spans="1:4" x14ac:dyDescent="0.25">
      <c r="A2" s="5" t="s">
        <v>10</v>
      </c>
      <c r="B2">
        <v>0.1</v>
      </c>
    </row>
    <row r="4" spans="1:4" x14ac:dyDescent="0.25">
      <c r="A4" t="s">
        <v>9</v>
      </c>
      <c r="B4" t="s">
        <v>8</v>
      </c>
      <c r="C4" t="s">
        <v>7</v>
      </c>
      <c r="D4" t="s">
        <v>6</v>
      </c>
    </row>
    <row r="5" spans="1:4" x14ac:dyDescent="0.25">
      <c r="A5" s="4">
        <v>3</v>
      </c>
      <c r="B5" s="4">
        <f t="shared" ref="B5:B11" si="0">f_(A5)</f>
        <v>-7</v>
      </c>
      <c r="C5" s="4">
        <f>fl2_(A5,$B$2)</f>
        <v>-6.000000000000032</v>
      </c>
    </row>
    <row r="6" spans="1:4" x14ac:dyDescent="0.25">
      <c r="A6" s="4">
        <f t="shared" ref="A6:A11" si="1">A5-B5/C5</f>
        <v>1.8333333333333395</v>
      </c>
      <c r="B6" s="4">
        <f t="shared" si="0"/>
        <v>1.3611111111110574</v>
      </c>
      <c r="C6" s="4">
        <f>fl2_(A6,$B$2)</f>
        <v>-8.3333333333333393</v>
      </c>
      <c r="D6" s="3">
        <f t="shared" ref="D6:D11" si="2">C6/C5-1</f>
        <v>0.3888888888888824</v>
      </c>
    </row>
    <row r="7" spans="1:4" x14ac:dyDescent="0.25">
      <c r="A7" s="4">
        <f t="shared" si="1"/>
        <v>1.9966666666666661</v>
      </c>
      <c r="B7" s="4">
        <f t="shared" si="0"/>
        <v>2.6677777777781131E-2</v>
      </c>
      <c r="C7" s="4">
        <f t="shared" ref="C7:C11" si="3">fl2_(A7,$B$2)</f>
        <v>-8.0066666666666997</v>
      </c>
      <c r="D7" s="3">
        <f t="shared" si="2"/>
        <v>-3.9199999999996682E-2</v>
      </c>
    </row>
    <row r="8" spans="1:4" x14ac:dyDescent="0.25">
      <c r="A8" s="4">
        <f t="shared" si="1"/>
        <v>1.9999986122675546</v>
      </c>
      <c r="B8" s="4">
        <f t="shared" si="0"/>
        <v>1.1101861488782561E-5</v>
      </c>
      <c r="C8" s="4">
        <f t="shared" si="3"/>
        <v>-8.0000027754648961</v>
      </c>
      <c r="D8" s="3">
        <f t="shared" si="2"/>
        <v>-8.3229282287300421E-4</v>
      </c>
    </row>
    <row r="9" spans="1:4" x14ac:dyDescent="0.25">
      <c r="A9" s="4">
        <f t="shared" si="1"/>
        <v>1.9999999999997593</v>
      </c>
      <c r="B9" s="4">
        <f t="shared" si="0"/>
        <v>1.9255708139098715E-12</v>
      </c>
      <c r="C9" s="4">
        <f t="shared" si="3"/>
        <v>-8.0000000000004867</v>
      </c>
      <c r="D9" s="3">
        <f t="shared" si="2"/>
        <v>-3.4693293082810328E-7</v>
      </c>
    </row>
    <row r="10" spans="1:4" x14ac:dyDescent="0.25">
      <c r="A10" s="4">
        <f t="shared" si="1"/>
        <v>2</v>
      </c>
      <c r="B10" s="4">
        <f t="shared" si="0"/>
        <v>0</v>
      </c>
      <c r="C10" s="4">
        <f t="shared" si="3"/>
        <v>-8.0000000000000249</v>
      </c>
      <c r="D10" s="3">
        <f t="shared" si="2"/>
        <v>-5.773159728050814E-14</v>
      </c>
    </row>
    <row r="11" spans="1:4" x14ac:dyDescent="0.25">
      <c r="A11" s="4">
        <f t="shared" si="1"/>
        <v>2</v>
      </c>
      <c r="B11" s="4">
        <f t="shared" si="0"/>
        <v>0</v>
      </c>
      <c r="C11" s="4">
        <f t="shared" si="3"/>
        <v>-8.0000000000000249</v>
      </c>
      <c r="D11" s="3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Y25"/>
  <sheetViews>
    <sheetView topLeftCell="F1" workbookViewId="0">
      <selection activeCell="J14" sqref="J14"/>
    </sheetView>
  </sheetViews>
  <sheetFormatPr defaultRowHeight="15" x14ac:dyDescent="0.25"/>
  <sheetData>
    <row r="2" spans="2:25" x14ac:dyDescent="0.25">
      <c r="B2" s="5" t="s">
        <v>27</v>
      </c>
      <c r="C2">
        <v>8.2054000000000002E-2</v>
      </c>
      <c r="D2" t="s">
        <v>26</v>
      </c>
    </row>
    <row r="3" spans="2:25" x14ac:dyDescent="0.25">
      <c r="H3" t="s">
        <v>33</v>
      </c>
      <c r="R3" t="s">
        <v>33</v>
      </c>
    </row>
    <row r="4" spans="2:25" x14ac:dyDescent="0.25">
      <c r="B4" t="s">
        <v>32</v>
      </c>
      <c r="H4" t="s">
        <v>31</v>
      </c>
      <c r="R4" t="s">
        <v>30</v>
      </c>
    </row>
    <row r="5" spans="2:25" x14ac:dyDescent="0.25">
      <c r="B5" s="5" t="s">
        <v>29</v>
      </c>
      <c r="C5" s="6">
        <v>1</v>
      </c>
      <c r="H5" s="5" t="s">
        <v>28</v>
      </c>
      <c r="I5" s="6">
        <v>3.5920000000000001</v>
      </c>
      <c r="L5" s="5" t="s">
        <v>27</v>
      </c>
      <c r="M5">
        <v>8.2054000000000002E-2</v>
      </c>
      <c r="N5" t="s">
        <v>26</v>
      </c>
      <c r="R5" s="5" t="s">
        <v>28</v>
      </c>
      <c r="S5" s="6">
        <v>1.36</v>
      </c>
      <c r="V5" s="5" t="s">
        <v>27</v>
      </c>
      <c r="W5">
        <v>8.2054000000000002E-2</v>
      </c>
      <c r="X5" t="s">
        <v>26</v>
      </c>
    </row>
    <row r="6" spans="2:25" x14ac:dyDescent="0.25">
      <c r="B6" s="5" t="s">
        <v>24</v>
      </c>
      <c r="C6" s="6">
        <v>1</v>
      </c>
      <c r="H6" s="5" t="s">
        <v>25</v>
      </c>
      <c r="I6" s="6">
        <v>4.267E-2</v>
      </c>
      <c r="L6" s="5" t="s">
        <v>24</v>
      </c>
      <c r="M6" s="6">
        <v>1</v>
      </c>
      <c r="R6" s="5" t="s">
        <v>25</v>
      </c>
      <c r="S6" s="6">
        <v>3.1829999999999997E-2</v>
      </c>
      <c r="V6" s="5" t="s">
        <v>24</v>
      </c>
      <c r="W6" s="6">
        <v>1</v>
      </c>
    </row>
    <row r="7" spans="2:25" x14ac:dyDescent="0.25">
      <c r="B7" s="5" t="s">
        <v>23</v>
      </c>
      <c r="C7" s="6">
        <v>300</v>
      </c>
      <c r="L7" s="5" t="s">
        <v>23</v>
      </c>
      <c r="M7" s="6">
        <v>300</v>
      </c>
      <c r="V7" s="5" t="s">
        <v>23</v>
      </c>
      <c r="W7" s="6">
        <v>300</v>
      </c>
    </row>
    <row r="8" spans="2:25" x14ac:dyDescent="0.25">
      <c r="B8" s="5" t="s">
        <v>22</v>
      </c>
      <c r="C8" s="7">
        <f>C2*C7/C6</f>
        <v>24.616199999999999</v>
      </c>
      <c r="H8" t="s">
        <v>21</v>
      </c>
      <c r="R8" t="s">
        <v>21</v>
      </c>
    </row>
    <row r="9" spans="2:25" x14ac:dyDescent="0.25">
      <c r="H9" t="s">
        <v>20</v>
      </c>
      <c r="I9" s="6"/>
      <c r="R9" t="s">
        <v>20</v>
      </c>
      <c r="S9" s="6"/>
    </row>
    <row r="10" spans="2:25" x14ac:dyDescent="0.25">
      <c r="B10" t="s">
        <v>19</v>
      </c>
      <c r="C10" t="s">
        <v>18</v>
      </c>
      <c r="L10" t="s">
        <v>19</v>
      </c>
      <c r="M10" t="s">
        <v>18</v>
      </c>
      <c r="V10" t="s">
        <v>19</v>
      </c>
      <c r="W10" t="s">
        <v>18</v>
      </c>
    </row>
    <row r="11" spans="2:25" x14ac:dyDescent="0.25">
      <c r="B11" s="1">
        <f>C8</f>
        <v>24.616199999999999</v>
      </c>
      <c r="C11">
        <v>300</v>
      </c>
      <c r="D11">
        <v>500</v>
      </c>
      <c r="E11">
        <v>700</v>
      </c>
      <c r="L11" s="1">
        <f>G25</f>
        <v>24.512588128441504</v>
      </c>
      <c r="M11">
        <v>300</v>
      </c>
      <c r="N11">
        <v>500</v>
      </c>
      <c r="O11">
        <v>700</v>
      </c>
      <c r="V11" s="1">
        <f>R23</f>
        <v>24.592800838161377</v>
      </c>
      <c r="W11">
        <v>300</v>
      </c>
      <c r="X11">
        <v>500</v>
      </c>
      <c r="Y11">
        <v>700</v>
      </c>
    </row>
    <row r="12" spans="2:25" x14ac:dyDescent="0.25">
      <c r="B12">
        <v>1</v>
      </c>
      <c r="C12" s="1">
        <f t="dataTable" ref="C12:E14" dt2D="1" dtr="0" r1="C7" r2="C6"/>
        <v>24.616199999999999</v>
      </c>
      <c r="D12" s="1">
        <v>41.027000000000001</v>
      </c>
      <c r="E12" s="1">
        <v>57.437800000000003</v>
      </c>
      <c r="L12">
        <v>1</v>
      </c>
      <c r="M12" s="1">
        <f t="dataTable" ref="M12:O14" dt2D="1" dtr="0" r1="M7" r2="M6"/>
        <v>24.512588128441504</v>
      </c>
      <c r="N12" s="1">
        <v>40.982113264285218</v>
      </c>
      <c r="O12" s="1">
        <v>57.41795766481971</v>
      </c>
      <c r="R12" t="s">
        <v>17</v>
      </c>
      <c r="S12" t="s">
        <v>16</v>
      </c>
      <c r="T12" t="s">
        <v>15</v>
      </c>
      <c r="V12">
        <v>1</v>
      </c>
      <c r="W12" s="1">
        <f t="dataTable" ref="W12:Y14" dt2D="1" dtr="0" r1="W7" r2="W6"/>
        <v>24.592800838161377</v>
      </c>
      <c r="X12" s="1">
        <v>41.025705771870399</v>
      </c>
      <c r="Y12" s="1">
        <v>57.445968697492184</v>
      </c>
    </row>
    <row r="13" spans="2:25" x14ac:dyDescent="0.25">
      <c r="B13">
        <v>10</v>
      </c>
      <c r="C13" s="1">
        <v>2.4616199999999999</v>
      </c>
      <c r="D13" s="1">
        <v>4.1027000000000005</v>
      </c>
      <c r="E13" s="1">
        <v>5.7437800000000001</v>
      </c>
      <c r="L13">
        <v>10</v>
      </c>
      <c r="M13" s="1">
        <v>2.3544955807020411</v>
      </c>
      <c r="N13" s="1">
        <v>4.0577795352656931</v>
      </c>
      <c r="O13" s="1">
        <v>5.7241662757915881</v>
      </c>
      <c r="R13">
        <v>1</v>
      </c>
      <c r="S13">
        <f t="shared" ref="S13:S23" si="0">($W$6+$S$5/R13^2)*(R13-$S$6)-$C$2*$W$7</f>
        <v>-22.331318799999998</v>
      </c>
      <c r="T13">
        <f t="shared" ref="T13:T23" si="1">$W$6-$S$5/R13^2+2*$S$5*$S$6/R13^3</f>
        <v>-0.27342240000000007</v>
      </c>
      <c r="V13">
        <v>10</v>
      </c>
      <c r="W13" s="1">
        <v>2.4384038653351237</v>
      </c>
      <c r="X13" s="1">
        <v>4.1016297620544133</v>
      </c>
      <c r="Y13" s="1">
        <v>5.7520972847053953</v>
      </c>
    </row>
    <row r="14" spans="2:25" x14ac:dyDescent="0.25">
      <c r="B14">
        <v>100</v>
      </c>
      <c r="C14" s="1">
        <v>0.24616199999999999</v>
      </c>
      <c r="D14" s="1">
        <v>0.41027000000000002</v>
      </c>
      <c r="E14" s="1">
        <v>0.57437800000000006</v>
      </c>
      <c r="G14" t="s">
        <v>17</v>
      </c>
      <c r="H14" t="s">
        <v>16</v>
      </c>
      <c r="I14" t="s">
        <v>15</v>
      </c>
      <c r="L14">
        <v>100</v>
      </c>
      <c r="M14" s="1">
        <v>7.9510827813452672E-2</v>
      </c>
      <c r="N14" s="1">
        <v>0.36630180241687171</v>
      </c>
      <c r="O14" s="1">
        <v>0.55755419991383948</v>
      </c>
      <c r="R14">
        <f t="shared" ref="R14:R23" si="2">R13-S13/T13</f>
        <v>-80.673333274815789</v>
      </c>
      <c r="S14">
        <f t="shared" si="0"/>
        <v>-105.33822803716589</v>
      </c>
      <c r="T14">
        <f t="shared" si="1"/>
        <v>0.99979086752582069</v>
      </c>
      <c r="V14">
        <v>100</v>
      </c>
      <c r="W14" s="1">
        <v>0.22635894564230313</v>
      </c>
      <c r="X14" s="1">
        <v>0.41161438768692488</v>
      </c>
      <c r="Y14" s="1">
        <v>0.58419656834604994</v>
      </c>
    </row>
    <row r="15" spans="2:25" x14ac:dyDescent="0.25">
      <c r="G15">
        <v>1</v>
      </c>
      <c r="H15">
        <f t="shared" ref="H15:H25" si="3">($M$6+$I$5/G15^2)*(G15-$I$6)-$C$2*$M$7</f>
        <v>-20.220140639999997</v>
      </c>
      <c r="I15">
        <f t="shared" ref="I15:I25" si="4">$M$6-$I$5/G15^2+2*$I$5*$I$6/G15^3</f>
        <v>-2.2854587200000003</v>
      </c>
      <c r="R15">
        <f t="shared" si="2"/>
        <v>24.686929014682889</v>
      </c>
      <c r="S15">
        <f t="shared" si="0"/>
        <v>9.3917866491320723E-2</v>
      </c>
      <c r="T15">
        <f t="shared" si="1"/>
        <v>0.99777421396392152</v>
      </c>
    </row>
    <row r="16" spans="2:25" x14ac:dyDescent="0.25">
      <c r="G16">
        <f t="shared" ref="G16:G25" si="5">G15-H15/I15</f>
        <v>-7.8473007466964848</v>
      </c>
      <c r="H16">
        <f t="shared" si="3"/>
        <v>-32.96639672183116</v>
      </c>
      <c r="I16">
        <f t="shared" si="4"/>
        <v>0.94103514664429855</v>
      </c>
      <c r="R16">
        <f t="shared" si="2"/>
        <v>24.592801640797159</v>
      </c>
      <c r="S16">
        <f t="shared" si="0"/>
        <v>8.0083560405341814E-7</v>
      </c>
      <c r="T16">
        <f t="shared" si="1"/>
        <v>0.99775716544440107</v>
      </c>
    </row>
    <row r="17" spans="7:20" x14ac:dyDescent="0.25">
      <c r="G17">
        <f t="shared" si="5"/>
        <v>27.184756067959469</v>
      </c>
      <c r="H17">
        <f t="shared" si="3"/>
        <v>2.6578115441792889</v>
      </c>
      <c r="I17">
        <f t="shared" si="4"/>
        <v>0.99515470816781804</v>
      </c>
      <c r="R17">
        <f t="shared" si="2"/>
        <v>24.592800838161377</v>
      </c>
      <c r="S17">
        <f t="shared" si="0"/>
        <v>0</v>
      </c>
      <c r="T17">
        <f t="shared" si="1"/>
        <v>0.99775716529819225</v>
      </c>
    </row>
    <row r="18" spans="7:20" x14ac:dyDescent="0.25">
      <c r="G18">
        <f t="shared" si="5"/>
        <v>24.514003950358987</v>
      </c>
      <c r="H18">
        <f t="shared" si="3"/>
        <v>1.4073880463882915E-3</v>
      </c>
      <c r="I18">
        <f t="shared" si="4"/>
        <v>0.99404347062337184</v>
      </c>
      <c r="R18">
        <f t="shared" si="2"/>
        <v>24.592800838161377</v>
      </c>
      <c r="S18">
        <f t="shared" si="0"/>
        <v>0</v>
      </c>
      <c r="T18">
        <f t="shared" si="1"/>
        <v>0.99775716529819225</v>
      </c>
    </row>
    <row r="19" spans="7:20" x14ac:dyDescent="0.25">
      <c r="G19">
        <f t="shared" si="5"/>
        <v>24.51258812893067</v>
      </c>
      <c r="H19">
        <f t="shared" si="3"/>
        <v>4.8625281579006696E-10</v>
      </c>
      <c r="I19">
        <f t="shared" si="4"/>
        <v>0.99404278371972943</v>
      </c>
      <c r="R19">
        <f t="shared" si="2"/>
        <v>24.592800838161377</v>
      </c>
      <c r="S19">
        <f t="shared" si="0"/>
        <v>0</v>
      </c>
      <c r="T19">
        <f t="shared" si="1"/>
        <v>0.99775716529819225</v>
      </c>
    </row>
    <row r="20" spans="7:20" x14ac:dyDescent="0.25">
      <c r="G20">
        <f t="shared" si="5"/>
        <v>24.512588128441504</v>
      </c>
      <c r="H20">
        <f t="shared" si="3"/>
        <v>0</v>
      </c>
      <c r="I20">
        <f t="shared" si="4"/>
        <v>0.99404278371949206</v>
      </c>
      <c r="R20">
        <f t="shared" si="2"/>
        <v>24.592800838161377</v>
      </c>
      <c r="S20">
        <f t="shared" si="0"/>
        <v>0</v>
      </c>
      <c r="T20">
        <f t="shared" si="1"/>
        <v>0.99775716529819225</v>
      </c>
    </row>
    <row r="21" spans="7:20" x14ac:dyDescent="0.25">
      <c r="G21">
        <f t="shared" si="5"/>
        <v>24.512588128441504</v>
      </c>
      <c r="H21">
        <f t="shared" si="3"/>
        <v>0</v>
      </c>
      <c r="I21">
        <f t="shared" si="4"/>
        <v>0.99404278371949206</v>
      </c>
      <c r="R21">
        <f t="shared" si="2"/>
        <v>24.592800838161377</v>
      </c>
      <c r="S21">
        <f t="shared" si="0"/>
        <v>0</v>
      </c>
      <c r="T21">
        <f t="shared" si="1"/>
        <v>0.99775716529819225</v>
      </c>
    </row>
    <row r="22" spans="7:20" x14ac:dyDescent="0.25">
      <c r="G22">
        <f t="shared" si="5"/>
        <v>24.512588128441504</v>
      </c>
      <c r="H22">
        <f t="shared" si="3"/>
        <v>0</v>
      </c>
      <c r="I22">
        <f t="shared" si="4"/>
        <v>0.99404278371949206</v>
      </c>
      <c r="R22">
        <f t="shared" si="2"/>
        <v>24.592800838161377</v>
      </c>
      <c r="S22">
        <f t="shared" si="0"/>
        <v>0</v>
      </c>
      <c r="T22">
        <f t="shared" si="1"/>
        <v>0.99775716529819225</v>
      </c>
    </row>
    <row r="23" spans="7:20" x14ac:dyDescent="0.25">
      <c r="G23">
        <f t="shared" si="5"/>
        <v>24.512588128441504</v>
      </c>
      <c r="H23">
        <f t="shared" si="3"/>
        <v>0</v>
      </c>
      <c r="I23">
        <f t="shared" si="4"/>
        <v>0.99404278371949206</v>
      </c>
      <c r="R23">
        <f t="shared" si="2"/>
        <v>24.592800838161377</v>
      </c>
      <c r="S23">
        <f t="shared" si="0"/>
        <v>0</v>
      </c>
      <c r="T23">
        <f t="shared" si="1"/>
        <v>0.99775716529819225</v>
      </c>
    </row>
    <row r="24" spans="7:20" x14ac:dyDescent="0.25">
      <c r="G24">
        <f t="shared" si="5"/>
        <v>24.512588128441504</v>
      </c>
      <c r="H24">
        <f t="shared" si="3"/>
        <v>0</v>
      </c>
      <c r="I24">
        <f t="shared" si="4"/>
        <v>0.99404278371949206</v>
      </c>
    </row>
    <row r="25" spans="7:20" x14ac:dyDescent="0.25">
      <c r="G25">
        <f t="shared" si="5"/>
        <v>24.512588128441504</v>
      </c>
      <c r="H25">
        <f t="shared" si="3"/>
        <v>0</v>
      </c>
      <c r="I25">
        <f t="shared" si="4"/>
        <v>0.99404278371949206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2:Y17"/>
  <sheetViews>
    <sheetView topLeftCell="F3" workbookViewId="0">
      <selection activeCell="J14" sqref="J14"/>
    </sheetView>
  </sheetViews>
  <sheetFormatPr defaultRowHeight="15" x14ac:dyDescent="0.25"/>
  <sheetData>
    <row r="2" spans="2:25" x14ac:dyDescent="0.25">
      <c r="B2" s="5" t="s">
        <v>27</v>
      </c>
      <c r="C2">
        <v>8.2054000000000002E-2</v>
      </c>
      <c r="D2" t="s">
        <v>26</v>
      </c>
    </row>
    <row r="3" spans="2:25" x14ac:dyDescent="0.25">
      <c r="H3" t="s">
        <v>33</v>
      </c>
      <c r="R3" t="s">
        <v>33</v>
      </c>
    </row>
    <row r="4" spans="2:25" x14ac:dyDescent="0.25">
      <c r="B4" t="s">
        <v>32</v>
      </c>
      <c r="H4" t="s">
        <v>31</v>
      </c>
      <c r="R4" t="s">
        <v>30</v>
      </c>
    </row>
    <row r="5" spans="2:25" x14ac:dyDescent="0.25">
      <c r="B5" s="5" t="s">
        <v>29</v>
      </c>
      <c r="C5" s="6">
        <v>1</v>
      </c>
      <c r="H5" s="5" t="s">
        <v>28</v>
      </c>
      <c r="I5" s="6">
        <v>3.5920000000000001</v>
      </c>
      <c r="L5" s="5" t="s">
        <v>27</v>
      </c>
      <c r="M5">
        <v>8.2054000000000002E-2</v>
      </c>
      <c r="N5" t="s">
        <v>26</v>
      </c>
      <c r="R5" s="5" t="s">
        <v>28</v>
      </c>
      <c r="S5" s="6">
        <v>1.36</v>
      </c>
      <c r="V5" s="5" t="s">
        <v>27</v>
      </c>
      <c r="W5">
        <v>8.2054000000000002E-2</v>
      </c>
      <c r="X5" t="s">
        <v>26</v>
      </c>
    </row>
    <row r="6" spans="2:25" x14ac:dyDescent="0.25">
      <c r="B6" s="5" t="s">
        <v>24</v>
      </c>
      <c r="C6" s="6">
        <v>1</v>
      </c>
      <c r="H6" s="5" t="s">
        <v>25</v>
      </c>
      <c r="I6" s="6">
        <v>4.267E-2</v>
      </c>
      <c r="L6" s="5" t="s">
        <v>24</v>
      </c>
      <c r="M6" s="6">
        <v>1</v>
      </c>
      <c r="R6" s="5" t="s">
        <v>25</v>
      </c>
      <c r="S6" s="6">
        <v>3.1829999999999997E-2</v>
      </c>
      <c r="V6" s="5" t="s">
        <v>24</v>
      </c>
      <c r="W6" s="6">
        <v>1</v>
      </c>
    </row>
    <row r="7" spans="2:25" x14ac:dyDescent="0.25">
      <c r="B7" s="5" t="s">
        <v>23</v>
      </c>
      <c r="C7" s="6">
        <v>300</v>
      </c>
      <c r="L7" s="5" t="s">
        <v>23</v>
      </c>
      <c r="M7" s="6">
        <v>300</v>
      </c>
      <c r="V7" s="5" t="s">
        <v>23</v>
      </c>
      <c r="W7" s="6">
        <v>300</v>
      </c>
    </row>
    <row r="8" spans="2:25" x14ac:dyDescent="0.25">
      <c r="B8" s="5" t="s">
        <v>22</v>
      </c>
      <c r="C8" s="7">
        <f>C2*C7/C6</f>
        <v>24.616199999999999</v>
      </c>
      <c r="H8" t="s">
        <v>21</v>
      </c>
      <c r="R8" t="s">
        <v>21</v>
      </c>
    </row>
    <row r="9" spans="2:25" x14ac:dyDescent="0.25">
      <c r="H9" t="s">
        <v>20</v>
      </c>
      <c r="I9" s="6"/>
      <c r="R9" t="s">
        <v>20</v>
      </c>
      <c r="S9" s="6"/>
    </row>
    <row r="10" spans="2:25" x14ac:dyDescent="0.25">
      <c r="B10" t="s">
        <v>19</v>
      </c>
      <c r="C10" t="s">
        <v>18</v>
      </c>
      <c r="L10" t="s">
        <v>19</v>
      </c>
      <c r="M10" t="s">
        <v>18</v>
      </c>
      <c r="V10" t="s">
        <v>19</v>
      </c>
      <c r="W10" t="s">
        <v>18</v>
      </c>
    </row>
    <row r="11" spans="2:25" x14ac:dyDescent="0.25">
      <c r="B11" s="1">
        <f>C8</f>
        <v>24.616199999999999</v>
      </c>
      <c r="C11">
        <v>300</v>
      </c>
      <c r="D11">
        <v>500</v>
      </c>
      <c r="E11">
        <v>700</v>
      </c>
      <c r="L11" s="1">
        <f ca="1">G17</f>
        <v>24.512588128441504</v>
      </c>
      <c r="M11">
        <v>300</v>
      </c>
      <c r="N11">
        <v>500</v>
      </c>
      <c r="O11">
        <v>700</v>
      </c>
      <c r="V11" s="1">
        <f ca="1">R17</f>
        <v>24.592800838161381</v>
      </c>
      <c r="W11">
        <v>300</v>
      </c>
      <c r="X11">
        <v>500</v>
      </c>
      <c r="Y11">
        <v>700</v>
      </c>
    </row>
    <row r="12" spans="2:25" x14ac:dyDescent="0.25">
      <c r="B12">
        <v>1</v>
      </c>
      <c r="C12" s="1">
        <f t="dataTable" ref="C12:E14" dt2D="1" dtr="0" r1="C7" r2="C6"/>
        <v>24.616199999999999</v>
      </c>
      <c r="D12" s="1">
        <v>41.027000000000001</v>
      </c>
      <c r="E12" s="1">
        <v>57.437800000000003</v>
      </c>
      <c r="L12">
        <v>1</v>
      </c>
      <c r="M12" s="1">
        <f t="dataTable" ref="M12:O14" dt2D="1" dtr="0" r1="M7" r2="M6" ca="1"/>
        <v>24.512588128441504</v>
      </c>
      <c r="N12" s="1">
        <v>40.982113264285218</v>
      </c>
      <c r="O12" s="1">
        <v>57.417957664819703</v>
      </c>
      <c r="V12">
        <v>1</v>
      </c>
      <c r="W12" s="1">
        <f t="dataTable" ref="W12:Y14" dt2D="1" dtr="0" r1="W7" r2="W6" ca="1"/>
        <v>24.592800838161381</v>
      </c>
      <c r="X12" s="1">
        <v>41.025705771870406</v>
      </c>
      <c r="Y12" s="1">
        <v>57.445968697492184</v>
      </c>
    </row>
    <row r="13" spans="2:25" x14ac:dyDescent="0.25">
      <c r="B13">
        <v>10</v>
      </c>
      <c r="C13" s="1">
        <v>2.4616199999999999</v>
      </c>
      <c r="D13" s="1">
        <v>4.1027000000000005</v>
      </c>
      <c r="E13" s="1">
        <v>5.7437800000000001</v>
      </c>
      <c r="H13" t="s">
        <v>39</v>
      </c>
      <c r="I13" s="6">
        <v>1</v>
      </c>
      <c r="L13">
        <v>10</v>
      </c>
      <c r="M13" s="1">
        <v>2.3544955867374999</v>
      </c>
      <c r="N13" s="1">
        <v>4.057779535266385</v>
      </c>
      <c r="O13" s="1">
        <v>5.7241662757915881</v>
      </c>
      <c r="S13" t="s">
        <v>39</v>
      </c>
      <c r="T13" s="6">
        <v>1</v>
      </c>
      <c r="V13">
        <v>10</v>
      </c>
      <c r="W13" s="1">
        <v>2.4384038653397004</v>
      </c>
      <c r="X13" s="1">
        <v>4.1016297620544133</v>
      </c>
      <c r="Y13" s="1">
        <v>5.7520972847053962</v>
      </c>
    </row>
    <row r="14" spans="2:25" x14ac:dyDescent="0.25">
      <c r="B14">
        <v>100</v>
      </c>
      <c r="C14" s="1">
        <v>0.24616199999999999</v>
      </c>
      <c r="D14" s="1">
        <v>0.41027000000000002</v>
      </c>
      <c r="E14" s="1">
        <v>0.57437800000000006</v>
      </c>
      <c r="H14" s="5" t="s">
        <v>38</v>
      </c>
      <c r="I14" t="s">
        <v>37</v>
      </c>
      <c r="L14">
        <v>100</v>
      </c>
      <c r="M14" s="1">
        <v>7.9510807336546058E-2</v>
      </c>
      <c r="N14" s="1">
        <v>0.36630180241753224</v>
      </c>
      <c r="O14" s="1">
        <v>0.55755420017248947</v>
      </c>
      <c r="S14" s="5" t="s">
        <v>38</v>
      </c>
      <c r="T14" t="s">
        <v>37</v>
      </c>
      <c r="V14">
        <v>100</v>
      </c>
      <c r="W14" s="1">
        <v>0.22635894564002959</v>
      </c>
      <c r="X14" s="1">
        <v>0.41161438800514744</v>
      </c>
      <c r="Y14" s="1">
        <v>0.58419656834601252</v>
      </c>
    </row>
    <row r="15" spans="2:25" x14ac:dyDescent="0.25">
      <c r="H15" s="5" t="s">
        <v>10</v>
      </c>
      <c r="I15" s="6">
        <v>1E-3</v>
      </c>
      <c r="S15" s="5" t="s">
        <v>10</v>
      </c>
      <c r="T15" s="6">
        <v>1E-3</v>
      </c>
    </row>
    <row r="16" spans="2:25" x14ac:dyDescent="0.25">
      <c r="G16" t="s">
        <v>17</v>
      </c>
      <c r="H16" t="s">
        <v>16</v>
      </c>
      <c r="I16" t="s">
        <v>36</v>
      </c>
      <c r="J16" t="s">
        <v>35</v>
      </c>
      <c r="K16" t="s">
        <v>15</v>
      </c>
      <c r="L16" t="s">
        <v>34</v>
      </c>
      <c r="R16" t="s">
        <v>17</v>
      </c>
      <c r="S16" t="s">
        <v>16</v>
      </c>
      <c r="T16" t="s">
        <v>36</v>
      </c>
      <c r="U16" t="s">
        <v>35</v>
      </c>
      <c r="V16" t="s">
        <v>15</v>
      </c>
      <c r="W16" t="s">
        <v>34</v>
      </c>
    </row>
    <row r="17" spans="7:23" x14ac:dyDescent="0.25">
      <c r="G17">
        <f ca="1">IF(I14="n",I13,L17)</f>
        <v>24.512588128441504</v>
      </c>
      <c r="H17">
        <f ca="1">($M$6+$I$5/$G17^2)*($G17-$I$6)-$C$2*$M$7</f>
        <v>0</v>
      </c>
      <c r="I17">
        <f ca="1">($M$6+$I$5/($G17-$I$15)^2)*(($G17-$I$15)-$I$6)-$C$2*$M$7</f>
        <v>-9.940425411087972E-4</v>
      </c>
      <c r="J17">
        <f ca="1">($M$6+$I$5/($G17+$I$15)^2)*(($G17+$I$15)-$I$6)-$C$2*$M$7</f>
        <v>9.9404302631711516E-4</v>
      </c>
      <c r="K17">
        <f ca="1">(J17-I17)/(2*$I$15)</f>
        <v>0.99404278371295618</v>
      </c>
      <c r="L17">
        <f ca="1">G17-H17/K17</f>
        <v>24.512588128441504</v>
      </c>
      <c r="R17">
        <f ca="1">IF(T14="n",T13,W17)</f>
        <v>24.592800838161381</v>
      </c>
      <c r="S17">
        <f ca="1">(W6+S5/(R17)^2)*((R17)-S6)-C2*W7</f>
        <v>0</v>
      </c>
      <c r="T17">
        <f ca="1">(W6+S5/(R17-T15)^2)*((R17-T15)-S6)-C2*W7</f>
        <v>-9.9775707421301263E-4</v>
      </c>
      <c r="U17">
        <f ca="1">(W6+S5/(R17+T15)^2)*((R17+T15)-S6)-C2*W7</f>
        <v>9.9775725637840651E-4</v>
      </c>
      <c r="V17">
        <f ca="1">(U17-T17)/(2*T15)</f>
        <v>0.99775716529570957</v>
      </c>
      <c r="W17">
        <f ca="1">R17-S17/V17</f>
        <v>24.592800838161381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24"/>
  <sheetViews>
    <sheetView topLeftCell="A4" zoomScale="170" zoomScaleNormal="170" workbookViewId="0">
      <selection activeCell="J14" sqref="J14"/>
    </sheetView>
  </sheetViews>
  <sheetFormatPr defaultRowHeight="15" x14ac:dyDescent="0.25"/>
  <sheetData>
    <row r="1" spans="1:14" x14ac:dyDescent="0.25">
      <c r="A1" s="5" t="s">
        <v>27</v>
      </c>
      <c r="B1">
        <v>8.2054000000000002E-2</v>
      </c>
      <c r="C1" t="s">
        <v>56</v>
      </c>
      <c r="G1" s="25" t="s">
        <v>10</v>
      </c>
      <c r="H1" s="24">
        <v>0.1</v>
      </c>
    </row>
    <row r="2" spans="1:14" x14ac:dyDescent="0.25">
      <c r="A2" s="5" t="s">
        <v>55</v>
      </c>
      <c r="B2" s="23">
        <v>10</v>
      </c>
      <c r="C2" t="s">
        <v>54</v>
      </c>
    </row>
    <row r="3" spans="1:14" x14ac:dyDescent="0.25">
      <c r="A3" s="5" t="s">
        <v>23</v>
      </c>
      <c r="B3" s="23">
        <v>500</v>
      </c>
      <c r="C3" t="s">
        <v>53</v>
      </c>
      <c r="G3" s="5" t="s">
        <v>31</v>
      </c>
    </row>
    <row r="4" spans="1:14" x14ac:dyDescent="0.25">
      <c r="A4" s="5" t="s">
        <v>52</v>
      </c>
      <c r="B4" s="4">
        <f>R_*T_/P_</f>
        <v>4.1027000000000005</v>
      </c>
      <c r="C4" t="s">
        <v>51</v>
      </c>
      <c r="G4" s="5" t="s">
        <v>28</v>
      </c>
      <c r="H4" s="6">
        <v>3.5920000000000001</v>
      </c>
    </row>
    <row r="5" spans="1:14" x14ac:dyDescent="0.25">
      <c r="G5" s="5" t="s">
        <v>25</v>
      </c>
      <c r="H5" s="6">
        <v>4.267E-2</v>
      </c>
    </row>
    <row r="6" spans="1:14" x14ac:dyDescent="0.25">
      <c r="B6" t="s">
        <v>18</v>
      </c>
      <c r="C6" t="s">
        <v>40</v>
      </c>
    </row>
    <row r="7" spans="1:14" x14ac:dyDescent="0.25">
      <c r="A7" s="22" t="s">
        <v>50</v>
      </c>
      <c r="B7" s="16">
        <f>B4</f>
        <v>4.1027000000000005</v>
      </c>
      <c r="C7" s="15">
        <v>1</v>
      </c>
      <c r="D7" s="15">
        <v>10</v>
      </c>
      <c r="E7" s="14">
        <v>100</v>
      </c>
      <c r="G7" t="s">
        <v>49</v>
      </c>
      <c r="H7" t="s">
        <v>48</v>
      </c>
      <c r="I7" t="s">
        <v>47</v>
      </c>
      <c r="J7" t="s">
        <v>46</v>
      </c>
      <c r="K7" t="s">
        <v>45</v>
      </c>
      <c r="L7" t="s">
        <v>44</v>
      </c>
      <c r="M7" t="s">
        <v>43</v>
      </c>
    </row>
    <row r="8" spans="1:14" x14ac:dyDescent="0.25">
      <c r="B8" s="13">
        <v>300</v>
      </c>
      <c r="C8" s="20">
        <f t="dataTable" ref="C8:E10" dt2D="1" dtr="0" r1="B2" r2="B3"/>
        <v>24.616199999999999</v>
      </c>
      <c r="D8" s="20">
        <v>2.4616199999999999</v>
      </c>
      <c r="E8" s="19">
        <v>0.24616199999999999</v>
      </c>
      <c r="G8" s="4">
        <v>1</v>
      </c>
      <c r="H8" s="4">
        <f t="shared" ref="H8:H15" si="0">R_*T_-(P_+a_/(G8^2))*(G8-b_)</f>
        <v>28.014970640000001</v>
      </c>
      <c r="I8" s="4">
        <f t="shared" ref="I8:I15" si="1">G8+h_</f>
        <v>1.1000000000000001</v>
      </c>
      <c r="J8" s="4">
        <f t="shared" ref="J8:J15" si="2">R_*T_-(P_+a_/(I8^2))*(I8-b_)</f>
        <v>27.314915404958679</v>
      </c>
      <c r="K8" s="4">
        <f t="shared" ref="K8:K15" si="3">G8-h_</f>
        <v>0.9</v>
      </c>
      <c r="L8" s="4">
        <f t="shared" ref="L8:L15" si="4">R_*T_-(P_+a_/(K8^2))*(K8-b_)</f>
        <v>28.651811901234566</v>
      </c>
      <c r="M8" s="4">
        <f t="shared" ref="M8:M15" si="5">(J8-L8)/(2*h_)</f>
        <v>-6.6844824813794368</v>
      </c>
      <c r="N8" s="21" t="s">
        <v>42</v>
      </c>
    </row>
    <row r="9" spans="1:14" x14ac:dyDescent="0.25">
      <c r="B9" s="13">
        <v>500</v>
      </c>
      <c r="C9" s="20">
        <v>41.027000000000001</v>
      </c>
      <c r="D9" s="20">
        <v>4.1027000000000005</v>
      </c>
      <c r="E9" s="19">
        <v>0.41027000000000002</v>
      </c>
      <c r="G9" s="4">
        <f t="shared" ref="G9:G15" si="6">G8-H8/M8</f>
        <v>5.1910455623213361</v>
      </c>
      <c r="H9" s="4">
        <f t="shared" si="0"/>
        <v>-11.143028550357705</v>
      </c>
      <c r="I9" s="4">
        <f t="shared" si="1"/>
        <v>5.2910455623213357</v>
      </c>
      <c r="J9" s="4">
        <f t="shared" si="2"/>
        <v>-12.130163558857703</v>
      </c>
      <c r="K9" s="4">
        <f t="shared" si="3"/>
        <v>5.0910455623213364</v>
      </c>
      <c r="L9" s="4">
        <f t="shared" si="4"/>
        <v>-10.15639463264403</v>
      </c>
      <c r="M9" s="4">
        <f t="shared" si="5"/>
        <v>-9.8688446310683631</v>
      </c>
      <c r="N9" s="2">
        <f t="shared" ref="N9:N15" si="7">G9/G8-1</f>
        <v>4.1910455623213361</v>
      </c>
    </row>
    <row r="10" spans="1:14" x14ac:dyDescent="0.25">
      <c r="B10" s="10">
        <v>700</v>
      </c>
      <c r="C10" s="18">
        <v>57.437800000000003</v>
      </c>
      <c r="D10" s="18">
        <v>5.7437800000000001</v>
      </c>
      <c r="E10" s="17">
        <v>0.57437800000000006</v>
      </c>
      <c r="G10" s="4">
        <f t="shared" si="6"/>
        <v>4.0619338003144598</v>
      </c>
      <c r="H10" s="4">
        <f t="shared" si="0"/>
        <v>-4.0656346180114156E-2</v>
      </c>
      <c r="I10" s="4">
        <f t="shared" si="1"/>
        <v>4.1619338003144595</v>
      </c>
      <c r="J10" s="4">
        <f t="shared" si="2"/>
        <v>-1.0198498637540325</v>
      </c>
      <c r="K10" s="4">
        <f t="shared" si="3"/>
        <v>3.9619338003144597</v>
      </c>
      <c r="L10" s="4">
        <f t="shared" si="4"/>
        <v>0.93749840357084224</v>
      </c>
      <c r="M10" s="4">
        <f t="shared" si="5"/>
        <v>-9.7867413366243738</v>
      </c>
      <c r="N10" s="2">
        <f t="shared" si="7"/>
        <v>-0.21751143357369396</v>
      </c>
    </row>
    <row r="11" spans="1:14" x14ac:dyDescent="0.25">
      <c r="G11" s="4">
        <f t="shared" si="6"/>
        <v>4.0577795732043622</v>
      </c>
      <c r="H11" s="4">
        <f t="shared" si="0"/>
        <v>-3.7128435081967837E-7</v>
      </c>
      <c r="I11" s="4">
        <f t="shared" si="1"/>
        <v>4.1577795732043619</v>
      </c>
      <c r="J11" s="4">
        <f t="shared" si="2"/>
        <v>-0.97915222491118925</v>
      </c>
      <c r="K11" s="4">
        <f t="shared" si="3"/>
        <v>3.9577795732043621</v>
      </c>
      <c r="L11" s="4">
        <f t="shared" si="4"/>
        <v>0.97810955433820368</v>
      </c>
      <c r="M11" s="4">
        <f t="shared" si="5"/>
        <v>-9.7863088962469647</v>
      </c>
      <c r="N11" s="2">
        <f t="shared" si="7"/>
        <v>-1.0227215199263284E-3</v>
      </c>
    </row>
    <row r="12" spans="1:14" x14ac:dyDescent="0.25">
      <c r="G12" s="4">
        <f t="shared" si="6"/>
        <v>4.0577795352652011</v>
      </c>
      <c r="H12" s="4">
        <f t="shared" si="0"/>
        <v>4.8174797484534793E-12</v>
      </c>
      <c r="I12" s="4">
        <f t="shared" si="1"/>
        <v>4.1577795352652007</v>
      </c>
      <c r="J12" s="4">
        <f t="shared" si="2"/>
        <v>-0.97915185324094978</v>
      </c>
      <c r="K12" s="4">
        <f t="shared" si="3"/>
        <v>3.957779535265201</v>
      </c>
      <c r="L12" s="4">
        <f t="shared" si="4"/>
        <v>0.97810992521738171</v>
      </c>
      <c r="M12" s="4">
        <f t="shared" si="5"/>
        <v>-9.7863088922916575</v>
      </c>
      <c r="N12" s="2">
        <f t="shared" si="7"/>
        <v>-9.3497343200965588E-9</v>
      </c>
    </row>
    <row r="13" spans="1:14" x14ac:dyDescent="0.25">
      <c r="B13" t="s">
        <v>18</v>
      </c>
      <c r="C13" t="s">
        <v>40</v>
      </c>
      <c r="G13" s="4">
        <f t="shared" si="6"/>
        <v>4.0577795352656931</v>
      </c>
      <c r="H13" s="4">
        <f t="shared" si="0"/>
        <v>0</v>
      </c>
      <c r="I13" s="4">
        <f t="shared" si="1"/>
        <v>4.1577795352656928</v>
      </c>
      <c r="J13" s="4">
        <f t="shared" si="2"/>
        <v>-0.97915185324576726</v>
      </c>
      <c r="K13" s="4">
        <f t="shared" si="3"/>
        <v>3.957779535265693</v>
      </c>
      <c r="L13" s="4">
        <f t="shared" si="4"/>
        <v>0.97810992521257134</v>
      </c>
      <c r="M13" s="4">
        <f t="shared" si="5"/>
        <v>-9.786308892291693</v>
      </c>
      <c r="N13" s="2">
        <f t="shared" si="7"/>
        <v>1.2123635428906709E-13</v>
      </c>
    </row>
    <row r="14" spans="1:14" x14ac:dyDescent="0.25">
      <c r="A14" s="5" t="s">
        <v>41</v>
      </c>
      <c r="B14" s="16">
        <f>G15</f>
        <v>4.0577795352656931</v>
      </c>
      <c r="C14" s="15">
        <v>1</v>
      </c>
      <c r="D14" s="15">
        <v>10</v>
      </c>
      <c r="E14" s="14">
        <v>100</v>
      </c>
      <c r="G14" s="4">
        <f t="shared" si="6"/>
        <v>4.0577795352656931</v>
      </c>
      <c r="H14" s="4">
        <f t="shared" si="0"/>
        <v>0</v>
      </c>
      <c r="I14" s="4">
        <f t="shared" si="1"/>
        <v>4.1577795352656928</v>
      </c>
      <c r="J14" s="4">
        <f t="shared" si="2"/>
        <v>-0.97915185324576726</v>
      </c>
      <c r="K14" s="4">
        <f t="shared" si="3"/>
        <v>3.957779535265693</v>
      </c>
      <c r="L14" s="4">
        <f t="shared" si="4"/>
        <v>0.97810992521257134</v>
      </c>
      <c r="M14" s="4">
        <f t="shared" si="5"/>
        <v>-9.786308892291693</v>
      </c>
      <c r="N14" s="2">
        <f t="shared" si="7"/>
        <v>0</v>
      </c>
    </row>
    <row r="15" spans="1:14" x14ac:dyDescent="0.25">
      <c r="B15" s="13">
        <v>300</v>
      </c>
      <c r="C15" s="20">
        <f t="dataTable" ref="C15:E17" dt2D="1" dtr="0" r1="B2" r2="B3" ca="1"/>
        <v>24.5125881284415</v>
      </c>
      <c r="D15" s="20">
        <v>2.3544955807020385</v>
      </c>
      <c r="E15" s="19">
        <v>0.10394202009268788</v>
      </c>
      <c r="G15" s="4">
        <f t="shared" si="6"/>
        <v>4.0577795352656931</v>
      </c>
      <c r="H15" s="4">
        <f t="shared" si="0"/>
        <v>0</v>
      </c>
      <c r="I15" s="4">
        <f t="shared" si="1"/>
        <v>4.1577795352656928</v>
      </c>
      <c r="J15" s="4">
        <f t="shared" si="2"/>
        <v>-0.97915185324576726</v>
      </c>
      <c r="K15" s="4">
        <f t="shared" si="3"/>
        <v>3.957779535265693</v>
      </c>
      <c r="L15" s="4">
        <f t="shared" si="4"/>
        <v>0.97810992521257134</v>
      </c>
      <c r="M15" s="4">
        <f t="shared" si="5"/>
        <v>-9.786308892291693</v>
      </c>
      <c r="N15" s="2">
        <f t="shared" si="7"/>
        <v>0</v>
      </c>
    </row>
    <row r="16" spans="1:14" x14ac:dyDescent="0.25">
      <c r="B16" s="13">
        <v>500</v>
      </c>
      <c r="C16" s="20">
        <v>40.982113264285218</v>
      </c>
      <c r="D16" s="20">
        <v>4.0577795352656931</v>
      </c>
      <c r="E16" s="19">
        <v>0.36630180241676175</v>
      </c>
      <c r="G16" s="4"/>
      <c r="H16" s="4"/>
      <c r="I16" s="4"/>
      <c r="J16" s="4"/>
      <c r="K16" s="4"/>
      <c r="L16" s="4"/>
      <c r="M16" s="4"/>
    </row>
    <row r="17" spans="1:13" x14ac:dyDescent="0.25">
      <c r="B17" s="10">
        <v>700</v>
      </c>
      <c r="C17" s="18">
        <v>57.41795766481966</v>
      </c>
      <c r="D17" s="18">
        <v>5.7241662757915872</v>
      </c>
      <c r="E17" s="17">
        <v>0.55755419991383948</v>
      </c>
      <c r="G17" s="4"/>
      <c r="H17" s="4"/>
      <c r="I17" s="4"/>
      <c r="J17" s="4"/>
      <c r="K17" s="4"/>
      <c r="L17" s="4"/>
      <c r="M17" s="4"/>
    </row>
    <row r="18" spans="1:13" x14ac:dyDescent="0.25">
      <c r="G18" s="4"/>
      <c r="H18" s="4"/>
      <c r="I18" s="4"/>
      <c r="J18" s="4"/>
      <c r="K18" s="4"/>
      <c r="L18" s="4"/>
      <c r="M18" s="4"/>
    </row>
    <row r="19" spans="1:13" x14ac:dyDescent="0.25">
      <c r="G19" s="4"/>
      <c r="H19" s="4"/>
      <c r="I19" s="4"/>
      <c r="J19" s="4"/>
      <c r="K19" s="4"/>
      <c r="L19" s="4"/>
      <c r="M19" s="4"/>
    </row>
    <row r="20" spans="1:13" x14ac:dyDescent="0.25">
      <c r="B20" t="s">
        <v>18</v>
      </c>
      <c r="C20" t="s">
        <v>40</v>
      </c>
      <c r="G20" s="4"/>
      <c r="H20" s="4"/>
      <c r="I20" s="4"/>
      <c r="J20" s="4"/>
      <c r="K20" s="4"/>
      <c r="L20" s="4"/>
      <c r="M20" s="4"/>
    </row>
    <row r="21" spans="1:13" x14ac:dyDescent="0.25">
      <c r="A21" s="5" t="s">
        <v>6</v>
      </c>
      <c r="B21" s="16"/>
      <c r="C21" s="15">
        <v>1</v>
      </c>
      <c r="D21" s="15">
        <v>10</v>
      </c>
      <c r="E21" s="14">
        <v>100</v>
      </c>
    </row>
    <row r="22" spans="1:13" x14ac:dyDescent="0.25">
      <c r="B22" s="13">
        <v>300</v>
      </c>
      <c r="C22" s="12">
        <f t="shared" ref="C22:E24" si="8">C15/C8-1</f>
        <v>-4.209092855863128E-3</v>
      </c>
      <c r="D22" s="12">
        <f t="shared" si="8"/>
        <v>-4.3517853810889351E-2</v>
      </c>
      <c r="E22" s="11">
        <f t="shared" si="8"/>
        <v>-0.57774953042026023</v>
      </c>
    </row>
    <row r="23" spans="1:13" x14ac:dyDescent="0.25">
      <c r="B23" s="13">
        <v>500</v>
      </c>
      <c r="C23" s="12">
        <f t="shared" si="8"/>
        <v>-1.0940779417160096E-3</v>
      </c>
      <c r="D23" s="12">
        <f t="shared" si="8"/>
        <v>-1.0949000593342806E-2</v>
      </c>
      <c r="E23" s="11">
        <f t="shared" si="8"/>
        <v>-0.10716893163828278</v>
      </c>
    </row>
    <row r="24" spans="1:13" x14ac:dyDescent="0.25">
      <c r="B24" s="10">
        <v>700</v>
      </c>
      <c r="C24" s="9">
        <f t="shared" si="8"/>
        <v>-3.454577852971541E-4</v>
      </c>
      <c r="D24" s="9">
        <f t="shared" si="8"/>
        <v>-3.4147763682474963E-3</v>
      </c>
      <c r="E24" s="8">
        <f t="shared" si="8"/>
        <v>-2.9290467403279008E-2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I97"/>
  <sheetViews>
    <sheetView topLeftCell="A2" workbookViewId="0">
      <selection activeCell="B27" sqref="B27"/>
    </sheetView>
  </sheetViews>
  <sheetFormatPr defaultRowHeight="15" x14ac:dyDescent="0.25"/>
  <cols>
    <col min="2" max="9" width="9.140625" customWidth="1"/>
  </cols>
  <sheetData>
    <row r="2" spans="2:9" x14ac:dyDescent="0.25">
      <c r="B2" s="5" t="s">
        <v>27</v>
      </c>
      <c r="C2">
        <v>8.2054000000000002E-2</v>
      </c>
    </row>
    <row r="3" spans="2:9" x14ac:dyDescent="0.25">
      <c r="B3" s="5" t="s">
        <v>28</v>
      </c>
      <c r="C3">
        <v>3.5920000000000001</v>
      </c>
      <c r="E3" t="s">
        <v>72</v>
      </c>
    </row>
    <row r="4" spans="2:9" x14ac:dyDescent="0.25">
      <c r="B4" s="5" t="s">
        <v>25</v>
      </c>
      <c r="C4">
        <v>4.267E-2</v>
      </c>
    </row>
    <row r="5" spans="2:9" x14ac:dyDescent="0.25">
      <c r="B5" s="5" t="s">
        <v>24</v>
      </c>
      <c r="C5">
        <v>1</v>
      </c>
      <c r="E5" t="s">
        <v>49</v>
      </c>
      <c r="F5" t="s">
        <v>48</v>
      </c>
    </row>
    <row r="6" spans="2:9" x14ac:dyDescent="0.25">
      <c r="B6" s="5" t="s">
        <v>23</v>
      </c>
      <c r="C6">
        <v>300</v>
      </c>
      <c r="E6">
        <v>24.512586092337674</v>
      </c>
      <c r="F6">
        <f>($C$5+$C$3/E6^2)*(E6-$C$4)-$C$2*$C$6</f>
        <v>-2.0239743179217839E-6</v>
      </c>
    </row>
    <row r="8" spans="2:9" x14ac:dyDescent="0.25">
      <c r="B8" s="5" t="s">
        <v>71</v>
      </c>
    </row>
    <row r="9" spans="2:9" x14ac:dyDescent="0.25">
      <c r="B9" s="5" t="s">
        <v>10</v>
      </c>
      <c r="C9">
        <v>1</v>
      </c>
    </row>
    <row r="10" spans="2:9" x14ac:dyDescent="0.25">
      <c r="B10" t="s">
        <v>70</v>
      </c>
      <c r="C10" t="s">
        <v>69</v>
      </c>
      <c r="D10" t="s">
        <v>68</v>
      </c>
      <c r="E10" t="s">
        <v>67</v>
      </c>
      <c r="F10" t="s">
        <v>66</v>
      </c>
      <c r="G10" t="s">
        <v>65</v>
      </c>
      <c r="H10" t="s">
        <v>64</v>
      </c>
      <c r="I10" t="s">
        <v>57</v>
      </c>
    </row>
    <row r="11" spans="2:9" x14ac:dyDescent="0.25">
      <c r="B11">
        <v>-10000</v>
      </c>
      <c r="C11">
        <f t="shared" ref="C11:C18" si="0">($C$5+$C$3/B11^2)*(B11-$C$4)-$C$2*$C$6</f>
        <v>-10024.659229201534</v>
      </c>
      <c r="D11">
        <v>-10001</v>
      </c>
      <c r="E11">
        <f t="shared" ref="E11:E18" si="1">($C$5+$C$3/D11^2)*(D11-$C$4)-$C$2*$C$6</f>
        <v>-10025.659229165618</v>
      </c>
      <c r="F11">
        <f t="shared" ref="F11:F18" si="2">(E11-C11)/(D11-B11)</f>
        <v>0.99999996408405423</v>
      </c>
      <c r="G11">
        <f t="shared" ref="G11:G18" si="3">E11-F11*D11</f>
        <v>-24.65958836099162</v>
      </c>
      <c r="H11">
        <f t="shared" ref="H11:H18" si="4">-G11/F11</f>
        <v>24.65958924666409</v>
      </c>
    </row>
    <row r="12" spans="2:9" x14ac:dyDescent="0.25">
      <c r="B12">
        <f t="shared" ref="B12:B18" si="5">H11</f>
        <v>24.65958924666409</v>
      </c>
      <c r="C12">
        <f t="shared" si="0"/>
        <v>0.1461306120434287</v>
      </c>
      <c r="D12">
        <f t="shared" ref="D12:D18" si="6">B12+$C$9</f>
        <v>25.65958924666409</v>
      </c>
      <c r="E12">
        <f t="shared" si="1"/>
        <v>1.140473111586509</v>
      </c>
      <c r="F12">
        <f t="shared" si="2"/>
        <v>0.99434249954308029</v>
      </c>
      <c r="G12">
        <f t="shared" si="3"/>
        <v>-24.373946997190206</v>
      </c>
      <c r="H12">
        <f t="shared" si="4"/>
        <v>24.512627196756156</v>
      </c>
      <c r="I12" s="3">
        <f t="shared" ref="I12:I18" si="7">(B12-B11)/B12</f>
        <v>406.52175869485677</v>
      </c>
    </row>
    <row r="13" spans="2:9" x14ac:dyDescent="0.25">
      <c r="B13">
        <f t="shared" si="5"/>
        <v>24.512627196756156</v>
      </c>
      <c r="C13">
        <f t="shared" si="0"/>
        <v>3.883557662476278E-5</v>
      </c>
      <c r="D13">
        <f t="shared" si="6"/>
        <v>25.512627196756156</v>
      </c>
      <c r="E13">
        <f t="shared" si="1"/>
        <v>0.99431474631381533</v>
      </c>
      <c r="F13">
        <f t="shared" si="2"/>
        <v>0.99427591073719057</v>
      </c>
      <c r="G13">
        <f t="shared" si="3"/>
        <v>-24.37227589503933</v>
      </c>
      <c r="H13">
        <f t="shared" si="4"/>
        <v>24.512588137601444</v>
      </c>
      <c r="I13" s="3">
        <f t="shared" si="7"/>
        <v>-5.9953610328387016E-3</v>
      </c>
    </row>
    <row r="14" spans="2:9" x14ac:dyDescent="0.25">
      <c r="B14">
        <f t="shared" si="5"/>
        <v>24.512588137601444</v>
      </c>
      <c r="C14">
        <f t="shared" si="0"/>
        <v>9.1053777850902406E-9</v>
      </c>
      <c r="D14">
        <f t="shared" si="6"/>
        <v>25.512588137601444</v>
      </c>
      <c r="E14">
        <f t="shared" si="1"/>
        <v>0.99427590198880011</v>
      </c>
      <c r="F14">
        <f t="shared" si="2"/>
        <v>0.99427589288342233</v>
      </c>
      <c r="G14">
        <f t="shared" si="3"/>
        <v>-24.372275448291884</v>
      </c>
      <c r="H14">
        <f t="shared" si="4"/>
        <v>24.512588128443646</v>
      </c>
      <c r="I14" s="3">
        <f t="shared" si="7"/>
        <v>-1.5934325046830377E-6</v>
      </c>
    </row>
    <row r="15" spans="2:9" x14ac:dyDescent="0.25">
      <c r="B15">
        <f t="shared" si="5"/>
        <v>24.512588128443646</v>
      </c>
      <c r="C15">
        <f t="shared" si="0"/>
        <v>2.1316282072803006E-12</v>
      </c>
      <c r="D15">
        <f t="shared" si="6"/>
        <v>25.512588128443646</v>
      </c>
      <c r="E15">
        <f t="shared" si="1"/>
        <v>0.99427589288137241</v>
      </c>
      <c r="F15">
        <f t="shared" si="2"/>
        <v>0.99427589287924079</v>
      </c>
      <c r="G15">
        <f t="shared" si="3"/>
        <v>-24.372275448187253</v>
      </c>
      <c r="H15">
        <f t="shared" si="4"/>
        <v>24.512588128441504</v>
      </c>
      <c r="I15" s="3">
        <f t="shared" si="7"/>
        <v>-3.7359572263177375E-10</v>
      </c>
    </row>
    <row r="16" spans="2:9" x14ac:dyDescent="0.25">
      <c r="B16">
        <f t="shared" si="5"/>
        <v>24.512588128441504</v>
      </c>
      <c r="C16">
        <f t="shared" si="0"/>
        <v>0</v>
      </c>
      <c r="D16">
        <f t="shared" si="6"/>
        <v>25.512588128441504</v>
      </c>
      <c r="E16">
        <f t="shared" si="1"/>
        <v>0.99427589287924434</v>
      </c>
      <c r="F16">
        <f t="shared" si="2"/>
        <v>0.99427589287924434</v>
      </c>
      <c r="G16">
        <f t="shared" si="3"/>
        <v>-24.372275448187342</v>
      </c>
      <c r="H16">
        <f t="shared" si="4"/>
        <v>24.512588128441504</v>
      </c>
      <c r="I16" s="3">
        <f t="shared" si="7"/>
        <v>-8.7395355279969268E-14</v>
      </c>
    </row>
    <row r="17" spans="2:9" x14ac:dyDescent="0.25">
      <c r="B17">
        <f t="shared" si="5"/>
        <v>24.512588128441504</v>
      </c>
      <c r="C17">
        <f t="shared" si="0"/>
        <v>0</v>
      </c>
      <c r="D17">
        <f t="shared" si="6"/>
        <v>25.512588128441504</v>
      </c>
      <c r="E17">
        <f t="shared" si="1"/>
        <v>0.99427589287924434</v>
      </c>
      <c r="F17">
        <f t="shared" si="2"/>
        <v>0.99427589287924434</v>
      </c>
      <c r="G17">
        <f t="shared" si="3"/>
        <v>-24.372275448187342</v>
      </c>
      <c r="H17">
        <f t="shared" si="4"/>
        <v>24.512588128441504</v>
      </c>
      <c r="I17" s="3">
        <f t="shared" si="7"/>
        <v>0</v>
      </c>
    </row>
    <row r="18" spans="2:9" x14ac:dyDescent="0.25">
      <c r="B18">
        <f t="shared" si="5"/>
        <v>24.512588128441504</v>
      </c>
      <c r="C18">
        <f t="shared" si="0"/>
        <v>0</v>
      </c>
      <c r="D18">
        <f t="shared" si="6"/>
        <v>25.512588128441504</v>
      </c>
      <c r="E18">
        <f t="shared" si="1"/>
        <v>0.99427589287924434</v>
      </c>
      <c r="F18">
        <f t="shared" si="2"/>
        <v>0.99427589287924434</v>
      </c>
      <c r="G18">
        <f t="shared" si="3"/>
        <v>-24.372275448187342</v>
      </c>
      <c r="H18">
        <f t="shared" si="4"/>
        <v>24.512588128441504</v>
      </c>
      <c r="I18" s="3">
        <f t="shared" si="7"/>
        <v>0</v>
      </c>
    </row>
    <row r="20" spans="2:9" x14ac:dyDescent="0.25">
      <c r="B20" t="s">
        <v>63</v>
      </c>
    </row>
    <row r="21" spans="2:9" x14ac:dyDescent="0.25">
      <c r="B21" t="s">
        <v>62</v>
      </c>
      <c r="C21" t="s">
        <v>61</v>
      </c>
      <c r="D21" t="s">
        <v>60</v>
      </c>
      <c r="E21" t="s">
        <v>59</v>
      </c>
      <c r="F21" t="s">
        <v>58</v>
      </c>
      <c r="G21" t="s">
        <v>57</v>
      </c>
    </row>
    <row r="22" spans="2:9" x14ac:dyDescent="0.25">
      <c r="B22" s="27">
        <v>-10000</v>
      </c>
      <c r="C22">
        <f t="shared" ref="C22:C55" si="8">(B22+D22)/2</f>
        <v>20000</v>
      </c>
      <c r="D22" s="27">
        <v>50000</v>
      </c>
      <c r="E22">
        <f t="shared" ref="E22:E55" si="9">($C$5+$C$3/B22^2)*(B22-$C$4)-$C$2*$C$6</f>
        <v>-10024.659229201534</v>
      </c>
      <c r="F22">
        <f t="shared" ref="F22:F55" si="10">($C$5+$C$3/C22^2)*(C22-$C$4)-$C$2*$C$6</f>
        <v>19975.341309599618</v>
      </c>
    </row>
    <row r="23" spans="2:9" x14ac:dyDescent="0.25">
      <c r="B23">
        <f t="shared" ref="B23:B55" si="11">IF(E22*F22&lt;0,B22,C22)</f>
        <v>-10000</v>
      </c>
      <c r="C23">
        <f t="shared" si="8"/>
        <v>5000</v>
      </c>
      <c r="D23">
        <f t="shared" ref="D23:D55" si="12">IF(E22*F22&lt;0,C22,D22)</f>
        <v>20000</v>
      </c>
      <c r="E23">
        <f t="shared" si="9"/>
        <v>-10024.659229201534</v>
      </c>
      <c r="F23">
        <f t="shared" si="10"/>
        <v>4975.3418483938685</v>
      </c>
      <c r="G23" s="26">
        <f t="shared" ref="G23:G55" si="13">(C23-C22)/C23</f>
        <v>-3</v>
      </c>
    </row>
    <row r="24" spans="2:9" x14ac:dyDescent="0.25">
      <c r="B24">
        <f t="shared" si="11"/>
        <v>-10000</v>
      </c>
      <c r="C24">
        <f t="shared" si="8"/>
        <v>-2500</v>
      </c>
      <c r="D24">
        <f t="shared" si="12"/>
        <v>5000</v>
      </c>
      <c r="E24">
        <f t="shared" si="9"/>
        <v>-10024.659229201534</v>
      </c>
      <c r="F24">
        <f t="shared" si="10"/>
        <v>-2524.6603068245231</v>
      </c>
      <c r="G24" s="26">
        <f t="shared" si="13"/>
        <v>3</v>
      </c>
    </row>
    <row r="25" spans="2:9" x14ac:dyDescent="0.25">
      <c r="B25">
        <f t="shared" si="11"/>
        <v>-2500</v>
      </c>
      <c r="C25">
        <f t="shared" si="8"/>
        <v>1250</v>
      </c>
      <c r="D25">
        <f t="shared" si="12"/>
        <v>5000</v>
      </c>
      <c r="E25">
        <f t="shared" si="9"/>
        <v>-2524.6603068245231</v>
      </c>
      <c r="F25">
        <f t="shared" si="10"/>
        <v>1225.3440035019066</v>
      </c>
      <c r="G25" s="26">
        <f t="shared" si="13"/>
        <v>3</v>
      </c>
    </row>
    <row r="26" spans="2:9" x14ac:dyDescent="0.25">
      <c r="B26">
        <f t="shared" si="11"/>
        <v>-2500</v>
      </c>
      <c r="C26">
        <f t="shared" si="8"/>
        <v>-625</v>
      </c>
      <c r="D26">
        <f t="shared" si="12"/>
        <v>1250</v>
      </c>
      <c r="E26">
        <f t="shared" si="9"/>
        <v>-2524.6603068245231</v>
      </c>
      <c r="F26">
        <f t="shared" si="10"/>
        <v>-649.66461759237291</v>
      </c>
      <c r="G26" s="26">
        <f t="shared" si="13"/>
        <v>3</v>
      </c>
    </row>
    <row r="27" spans="2:9" x14ac:dyDescent="0.25">
      <c r="B27">
        <f t="shared" si="11"/>
        <v>-625</v>
      </c>
      <c r="C27">
        <f t="shared" si="8"/>
        <v>312.5</v>
      </c>
      <c r="D27">
        <f t="shared" si="12"/>
        <v>1250</v>
      </c>
      <c r="E27">
        <f t="shared" si="9"/>
        <v>-649.66461759237291</v>
      </c>
      <c r="F27">
        <f t="shared" si="10"/>
        <v>287.85262283050866</v>
      </c>
      <c r="G27" s="26">
        <f t="shared" si="13"/>
        <v>3</v>
      </c>
    </row>
    <row r="28" spans="2:9" x14ac:dyDescent="0.25">
      <c r="B28">
        <f t="shared" si="11"/>
        <v>-625</v>
      </c>
      <c r="C28">
        <f t="shared" si="8"/>
        <v>-156.25</v>
      </c>
      <c r="D28">
        <f t="shared" si="12"/>
        <v>312.5</v>
      </c>
      <c r="E28">
        <f t="shared" si="9"/>
        <v>-649.66461759237291</v>
      </c>
      <c r="F28">
        <f t="shared" si="10"/>
        <v>-180.9318650779654</v>
      </c>
      <c r="G28" s="26">
        <f t="shared" si="13"/>
        <v>3</v>
      </c>
    </row>
    <row r="29" spans="2:9" x14ac:dyDescent="0.25">
      <c r="B29">
        <f t="shared" si="11"/>
        <v>-156.25</v>
      </c>
      <c r="C29">
        <f t="shared" si="8"/>
        <v>78.125</v>
      </c>
      <c r="D29">
        <f t="shared" si="12"/>
        <v>312.5</v>
      </c>
      <c r="E29">
        <f t="shared" si="9"/>
        <v>-180.9318650779654</v>
      </c>
      <c r="F29">
        <f t="shared" si="10"/>
        <v>53.512082488138354</v>
      </c>
      <c r="G29" s="26">
        <f t="shared" si="13"/>
        <v>3</v>
      </c>
    </row>
    <row r="30" spans="2:9" x14ac:dyDescent="0.25">
      <c r="B30">
        <f t="shared" si="11"/>
        <v>-156.25</v>
      </c>
      <c r="C30">
        <f t="shared" si="8"/>
        <v>-39.0625</v>
      </c>
      <c r="D30">
        <f t="shared" si="12"/>
        <v>78.125</v>
      </c>
      <c r="E30">
        <f t="shared" si="9"/>
        <v>-180.9318650779654</v>
      </c>
      <c r="F30">
        <f t="shared" si="10"/>
        <v>-63.813425647446628</v>
      </c>
      <c r="G30" s="26">
        <f t="shared" si="13"/>
        <v>3</v>
      </c>
    </row>
    <row r="31" spans="2:9" x14ac:dyDescent="0.25">
      <c r="B31">
        <f t="shared" si="11"/>
        <v>-39.0625</v>
      </c>
      <c r="C31">
        <f t="shared" si="8"/>
        <v>19.53125</v>
      </c>
      <c r="D31">
        <f t="shared" si="12"/>
        <v>78.125</v>
      </c>
      <c r="E31">
        <f t="shared" si="9"/>
        <v>-63.813425647446628</v>
      </c>
      <c r="F31">
        <f t="shared" si="10"/>
        <v>-4.9441113897865243</v>
      </c>
      <c r="G31" s="26">
        <f t="shared" si="13"/>
        <v>3</v>
      </c>
    </row>
    <row r="32" spans="2:9" x14ac:dyDescent="0.25">
      <c r="B32">
        <f t="shared" si="11"/>
        <v>19.53125</v>
      </c>
      <c r="C32">
        <f t="shared" si="8"/>
        <v>48.828125</v>
      </c>
      <c r="D32">
        <f t="shared" si="12"/>
        <v>78.125</v>
      </c>
      <c r="E32">
        <f t="shared" si="9"/>
        <v>-4.9441113897865243</v>
      </c>
      <c r="F32">
        <f t="shared" si="10"/>
        <v>24.242754873634155</v>
      </c>
      <c r="G32" s="26">
        <f t="shared" si="13"/>
        <v>0.6</v>
      </c>
    </row>
    <row r="33" spans="2:7" x14ac:dyDescent="0.25">
      <c r="B33">
        <f t="shared" si="11"/>
        <v>19.53125</v>
      </c>
      <c r="C33">
        <f t="shared" si="8"/>
        <v>34.1796875</v>
      </c>
      <c r="D33">
        <f t="shared" si="12"/>
        <v>48.828125</v>
      </c>
      <c r="E33">
        <f t="shared" si="9"/>
        <v>-4.9441113897865243</v>
      </c>
      <c r="F33">
        <f t="shared" si="10"/>
        <v>9.625777960477869</v>
      </c>
      <c r="G33" s="26">
        <f t="shared" si="13"/>
        <v>-0.42857142857142855</v>
      </c>
    </row>
    <row r="34" spans="2:7" x14ac:dyDescent="0.25">
      <c r="B34">
        <f t="shared" si="11"/>
        <v>19.53125</v>
      </c>
      <c r="C34">
        <f t="shared" si="8"/>
        <v>26.85546875</v>
      </c>
      <c r="D34">
        <f t="shared" si="12"/>
        <v>34.1796875</v>
      </c>
      <c r="E34">
        <f t="shared" si="9"/>
        <v>-4.9441113897865243</v>
      </c>
      <c r="F34">
        <f t="shared" si="10"/>
        <v>2.3301392512699408</v>
      </c>
      <c r="G34" s="26">
        <f t="shared" si="13"/>
        <v>-0.27272727272727271</v>
      </c>
    </row>
    <row r="35" spans="2:7" x14ac:dyDescent="0.25">
      <c r="B35">
        <f t="shared" si="11"/>
        <v>19.53125</v>
      </c>
      <c r="C35">
        <f t="shared" si="8"/>
        <v>23.193359375</v>
      </c>
      <c r="D35">
        <f t="shared" si="12"/>
        <v>26.85546875</v>
      </c>
      <c r="E35">
        <f t="shared" si="9"/>
        <v>-4.9441113897865243</v>
      </c>
      <c r="F35">
        <f t="shared" si="10"/>
        <v>-1.310923634931715</v>
      </c>
      <c r="G35" s="26">
        <f t="shared" si="13"/>
        <v>-0.15789473684210525</v>
      </c>
    </row>
    <row r="36" spans="2:7" x14ac:dyDescent="0.25">
      <c r="B36">
        <f t="shared" si="11"/>
        <v>23.193359375</v>
      </c>
      <c r="C36">
        <f t="shared" si="8"/>
        <v>25.0244140625</v>
      </c>
      <c r="D36">
        <f t="shared" si="12"/>
        <v>26.85546875</v>
      </c>
      <c r="E36">
        <f t="shared" si="9"/>
        <v>-1.310923634931715</v>
      </c>
      <c r="F36">
        <f t="shared" si="10"/>
        <v>0.50883913213628773</v>
      </c>
      <c r="G36" s="26">
        <f t="shared" si="13"/>
        <v>7.3170731707317069E-2</v>
      </c>
    </row>
    <row r="37" spans="2:7" x14ac:dyDescent="0.25">
      <c r="B37">
        <f t="shared" si="11"/>
        <v>23.193359375</v>
      </c>
      <c r="C37">
        <f t="shared" si="8"/>
        <v>24.10888671875</v>
      </c>
      <c r="D37">
        <f t="shared" si="12"/>
        <v>25.0244140625</v>
      </c>
      <c r="E37">
        <f t="shared" si="9"/>
        <v>-1.310923634931715</v>
      </c>
      <c r="F37">
        <f t="shared" si="10"/>
        <v>-0.4012562741302439</v>
      </c>
      <c r="G37" s="26">
        <f t="shared" si="13"/>
        <v>-3.7974683544303799E-2</v>
      </c>
    </row>
    <row r="38" spans="2:7" x14ac:dyDescent="0.25">
      <c r="B38">
        <f t="shared" si="11"/>
        <v>24.10888671875</v>
      </c>
      <c r="C38">
        <f t="shared" si="8"/>
        <v>24.566650390625</v>
      </c>
      <c r="D38">
        <f t="shared" si="12"/>
        <v>25.0244140625</v>
      </c>
      <c r="E38">
        <f t="shared" si="9"/>
        <v>-0.4012562741302439</v>
      </c>
      <c r="F38">
        <f t="shared" si="10"/>
        <v>5.374090909796081E-2</v>
      </c>
      <c r="G38" s="26">
        <f t="shared" si="13"/>
        <v>1.8633540372670808E-2</v>
      </c>
    </row>
    <row r="39" spans="2:7" x14ac:dyDescent="0.25">
      <c r="B39">
        <f t="shared" si="11"/>
        <v>24.10888671875</v>
      </c>
      <c r="C39">
        <f t="shared" si="8"/>
        <v>24.3377685546875</v>
      </c>
      <c r="D39">
        <f t="shared" si="12"/>
        <v>24.566650390625</v>
      </c>
      <c r="E39">
        <f t="shared" si="9"/>
        <v>-0.4012562741302439</v>
      </c>
      <c r="F39">
        <f t="shared" si="10"/>
        <v>-0.17377066819601694</v>
      </c>
      <c r="G39" s="26">
        <f t="shared" si="13"/>
        <v>-9.4043887147335428E-3</v>
      </c>
    </row>
    <row r="40" spans="2:7" x14ac:dyDescent="0.25">
      <c r="B40">
        <f t="shared" si="11"/>
        <v>24.3377685546875</v>
      </c>
      <c r="C40">
        <f t="shared" si="8"/>
        <v>24.45220947265625</v>
      </c>
      <c r="D40">
        <f t="shared" si="12"/>
        <v>24.566650390625</v>
      </c>
      <c r="E40">
        <f t="shared" si="9"/>
        <v>-0.17377066819601694</v>
      </c>
      <c r="F40">
        <f t="shared" si="10"/>
        <v>-6.0018080467401091E-2</v>
      </c>
      <c r="G40" s="26">
        <f t="shared" si="13"/>
        <v>4.6801872074882997E-3</v>
      </c>
    </row>
    <row r="41" spans="2:7" x14ac:dyDescent="0.25">
      <c r="B41">
        <f t="shared" si="11"/>
        <v>24.45220947265625</v>
      </c>
      <c r="C41">
        <f t="shared" si="8"/>
        <v>24.509429931640625</v>
      </c>
      <c r="D41">
        <f t="shared" si="12"/>
        <v>24.566650390625</v>
      </c>
      <c r="E41">
        <f t="shared" si="9"/>
        <v>-6.0018080467401091E-2</v>
      </c>
      <c r="F41">
        <f t="shared" si="10"/>
        <v>-3.1393803193999759E-3</v>
      </c>
      <c r="G41" s="26">
        <f t="shared" si="13"/>
        <v>2.3346303501945525E-3</v>
      </c>
    </row>
    <row r="42" spans="2:7" x14ac:dyDescent="0.25">
      <c r="B42">
        <f t="shared" si="11"/>
        <v>24.509429931640625</v>
      </c>
      <c r="C42">
        <f t="shared" si="8"/>
        <v>24.538040161132813</v>
      </c>
      <c r="D42">
        <f t="shared" si="12"/>
        <v>24.566650390625</v>
      </c>
      <c r="E42">
        <f t="shared" si="9"/>
        <v>-3.1393803193999759E-3</v>
      </c>
      <c r="F42">
        <f t="shared" si="10"/>
        <v>2.5300566424274251E-2</v>
      </c>
      <c r="G42" s="26">
        <f t="shared" si="13"/>
        <v>1.165954139137194E-3</v>
      </c>
    </row>
    <row r="43" spans="2:7" x14ac:dyDescent="0.25">
      <c r="B43">
        <f t="shared" si="11"/>
        <v>24.509429931640625</v>
      </c>
      <c r="C43">
        <f t="shared" si="8"/>
        <v>24.523735046386719</v>
      </c>
      <c r="D43">
        <f t="shared" si="12"/>
        <v>24.538040161132813</v>
      </c>
      <c r="E43">
        <f t="shared" si="9"/>
        <v>-3.1393803193999759E-3</v>
      </c>
      <c r="F43">
        <f t="shared" si="10"/>
        <v>1.1080543474733417E-2</v>
      </c>
      <c r="G43" s="26">
        <f t="shared" si="13"/>
        <v>-5.8331713007971997E-4</v>
      </c>
    </row>
    <row r="44" spans="2:7" x14ac:dyDescent="0.25">
      <c r="B44">
        <f t="shared" si="11"/>
        <v>24.509429931640625</v>
      </c>
      <c r="C44">
        <f t="shared" si="8"/>
        <v>24.516582489013672</v>
      </c>
      <c r="D44">
        <f t="shared" si="12"/>
        <v>24.523735046386719</v>
      </c>
      <c r="E44">
        <f t="shared" si="9"/>
        <v>-3.1393803193999759E-3</v>
      </c>
      <c r="F44">
        <f t="shared" si="10"/>
        <v>3.9705691724094549E-3</v>
      </c>
      <c r="G44" s="26">
        <f t="shared" si="13"/>
        <v>-2.91743654575513E-4</v>
      </c>
    </row>
    <row r="45" spans="2:7" x14ac:dyDescent="0.25">
      <c r="B45">
        <f t="shared" si="11"/>
        <v>24.509429931640625</v>
      </c>
      <c r="C45">
        <f t="shared" si="8"/>
        <v>24.513006210327148</v>
      </c>
      <c r="D45">
        <f t="shared" si="12"/>
        <v>24.516582489013672</v>
      </c>
      <c r="E45">
        <f t="shared" si="9"/>
        <v>-3.1393803193999759E-3</v>
      </c>
      <c r="F45">
        <f t="shared" si="10"/>
        <v>4.1559132383639508E-4</v>
      </c>
      <c r="G45" s="26">
        <f t="shared" si="13"/>
        <v>-1.458931089821524E-4</v>
      </c>
    </row>
    <row r="46" spans="2:7" x14ac:dyDescent="0.25">
      <c r="B46">
        <f t="shared" si="11"/>
        <v>24.509429931640625</v>
      </c>
      <c r="C46">
        <f t="shared" si="8"/>
        <v>24.511218070983887</v>
      </c>
      <c r="D46">
        <f t="shared" si="12"/>
        <v>24.513006210327148</v>
      </c>
      <c r="E46">
        <f t="shared" si="9"/>
        <v>-3.1393803193999759E-3</v>
      </c>
      <c r="F46">
        <f t="shared" si="10"/>
        <v>-1.3618952736180745E-3</v>
      </c>
      <c r="G46" s="26">
        <f t="shared" si="13"/>
        <v>-7.2951876079079832E-5</v>
      </c>
    </row>
    <row r="47" spans="2:7" x14ac:dyDescent="0.25">
      <c r="B47">
        <f t="shared" si="11"/>
        <v>24.511218070983887</v>
      </c>
      <c r="C47">
        <f t="shared" si="8"/>
        <v>24.512112140655518</v>
      </c>
      <c r="D47">
        <f t="shared" si="12"/>
        <v>24.513006210327148</v>
      </c>
      <c r="E47">
        <f t="shared" si="9"/>
        <v>-1.3618952736180745E-3</v>
      </c>
      <c r="F47">
        <f t="shared" si="10"/>
        <v>-4.7315216882992672E-4</v>
      </c>
      <c r="G47" s="26">
        <f t="shared" si="13"/>
        <v>3.64746075940133E-5</v>
      </c>
    </row>
    <row r="48" spans="2:7" x14ac:dyDescent="0.25">
      <c r="B48">
        <f t="shared" si="11"/>
        <v>24.512112140655518</v>
      </c>
      <c r="C48">
        <f t="shared" si="8"/>
        <v>24.512559175491333</v>
      </c>
      <c r="D48">
        <f t="shared" si="12"/>
        <v>24.513006210327148</v>
      </c>
      <c r="E48">
        <f t="shared" si="9"/>
        <v>-4.7315216882992672E-4</v>
      </c>
      <c r="F48">
        <f t="shared" si="10"/>
        <v>-2.8780470977096684E-5</v>
      </c>
      <c r="G48" s="26">
        <f t="shared" si="13"/>
        <v>1.8236971203822469E-5</v>
      </c>
    </row>
    <row r="49" spans="2:7" x14ac:dyDescent="0.25">
      <c r="B49">
        <f t="shared" si="11"/>
        <v>24.512559175491333</v>
      </c>
      <c r="C49">
        <f t="shared" si="8"/>
        <v>24.512782692909241</v>
      </c>
      <c r="D49">
        <f t="shared" si="12"/>
        <v>24.513006210327148</v>
      </c>
      <c r="E49">
        <f t="shared" si="9"/>
        <v>-2.8780470977096684E-5</v>
      </c>
      <c r="F49">
        <f t="shared" si="10"/>
        <v>1.9340541431134284E-4</v>
      </c>
      <c r="G49" s="26">
        <f t="shared" si="13"/>
        <v>9.1184024558897284E-6</v>
      </c>
    </row>
    <row r="50" spans="2:7" x14ac:dyDescent="0.25">
      <c r="B50">
        <f t="shared" si="11"/>
        <v>24.512559175491333</v>
      </c>
      <c r="C50">
        <f t="shared" si="8"/>
        <v>24.512670934200287</v>
      </c>
      <c r="D50">
        <f t="shared" si="12"/>
        <v>24.512782692909241</v>
      </c>
      <c r="E50">
        <f t="shared" si="9"/>
        <v>-2.8780470977096684E-5</v>
      </c>
      <c r="F50">
        <f t="shared" si="10"/>
        <v>8.2312468634881952E-5</v>
      </c>
      <c r="G50" s="26">
        <f t="shared" si="13"/>
        <v>-4.55922201435547E-6</v>
      </c>
    </row>
    <row r="51" spans="2:7" x14ac:dyDescent="0.25">
      <c r="B51">
        <f t="shared" si="11"/>
        <v>24.512559175491333</v>
      </c>
      <c r="C51">
        <f t="shared" si="8"/>
        <v>24.51261505484581</v>
      </c>
      <c r="D51">
        <f t="shared" si="12"/>
        <v>24.512670934200287</v>
      </c>
      <c r="E51">
        <f t="shared" si="9"/>
        <v>-2.8780470977096684E-5</v>
      </c>
      <c r="F51">
        <f t="shared" si="10"/>
        <v>2.6765998068611907E-5</v>
      </c>
      <c r="G51" s="26">
        <f t="shared" si="13"/>
        <v>-2.2796162038159254E-6</v>
      </c>
    </row>
    <row r="52" spans="2:7" x14ac:dyDescent="0.25">
      <c r="B52">
        <f t="shared" si="11"/>
        <v>24.512559175491333</v>
      </c>
      <c r="C52">
        <f t="shared" si="8"/>
        <v>24.512587115168571</v>
      </c>
      <c r="D52">
        <f t="shared" si="12"/>
        <v>24.51261505484581</v>
      </c>
      <c r="E52">
        <f t="shared" si="9"/>
        <v>-2.8780470977096684E-5</v>
      </c>
      <c r="F52">
        <f t="shared" si="10"/>
        <v>-1.0072366443125702E-6</v>
      </c>
      <c r="G52" s="26">
        <f t="shared" si="13"/>
        <v>-1.1398094010719527E-6</v>
      </c>
    </row>
    <row r="53" spans="2:7" x14ac:dyDescent="0.25">
      <c r="B53">
        <f t="shared" si="11"/>
        <v>24.512587115168571</v>
      </c>
      <c r="C53">
        <f t="shared" si="8"/>
        <v>24.512601085007191</v>
      </c>
      <c r="D53">
        <f t="shared" si="12"/>
        <v>24.51261505484581</v>
      </c>
      <c r="E53">
        <f t="shared" si="9"/>
        <v>-1.0072366443125702E-6</v>
      </c>
      <c r="F53">
        <f t="shared" si="10"/>
        <v>1.2879380665964391E-5</v>
      </c>
      <c r="G53" s="26">
        <f t="shared" si="13"/>
        <v>5.6990437574479377E-7</v>
      </c>
    </row>
    <row r="54" spans="2:7" x14ac:dyDescent="0.25">
      <c r="B54">
        <f t="shared" si="11"/>
        <v>24.512587115168571</v>
      </c>
      <c r="C54">
        <f t="shared" si="8"/>
        <v>24.512594100087881</v>
      </c>
      <c r="D54">
        <f t="shared" si="12"/>
        <v>24.512601085007191</v>
      </c>
      <c r="E54">
        <f t="shared" si="9"/>
        <v>-1.0072366443125702E-6</v>
      </c>
      <c r="F54">
        <f t="shared" si="10"/>
        <v>5.9360720001677691E-6</v>
      </c>
      <c r="G54" s="26">
        <f t="shared" si="13"/>
        <v>-2.8495226907016942E-7</v>
      </c>
    </row>
    <row r="55" spans="2:7" x14ac:dyDescent="0.25">
      <c r="B55">
        <f t="shared" si="11"/>
        <v>24.512587115168571</v>
      </c>
      <c r="C55">
        <f t="shared" si="8"/>
        <v>24.512590607628226</v>
      </c>
      <c r="D55">
        <f t="shared" si="12"/>
        <v>24.512594100087881</v>
      </c>
      <c r="E55">
        <f t="shared" si="9"/>
        <v>-1.0072366443125702E-6</v>
      </c>
      <c r="F55">
        <f t="shared" si="10"/>
        <v>2.464417672598529E-6</v>
      </c>
      <c r="G55" s="26">
        <f t="shared" si="13"/>
        <v>-1.424761548345365E-7</v>
      </c>
    </row>
    <row r="56" spans="2:7" x14ac:dyDescent="0.25">
      <c r="G56" s="26"/>
    </row>
    <row r="57" spans="2:7" x14ac:dyDescent="0.25">
      <c r="G57" s="26"/>
    </row>
    <row r="58" spans="2:7" x14ac:dyDescent="0.25">
      <c r="G58" s="26"/>
    </row>
    <row r="59" spans="2:7" x14ac:dyDescent="0.25">
      <c r="G59" s="26"/>
    </row>
    <row r="60" spans="2:7" x14ac:dyDescent="0.25">
      <c r="G60" s="26"/>
    </row>
    <row r="61" spans="2:7" x14ac:dyDescent="0.25">
      <c r="G61" s="26"/>
    </row>
    <row r="62" spans="2:7" x14ac:dyDescent="0.25">
      <c r="G62" s="26"/>
    </row>
    <row r="63" spans="2:7" x14ac:dyDescent="0.25">
      <c r="G63" s="26"/>
    </row>
    <row r="64" spans="2:7" x14ac:dyDescent="0.25">
      <c r="G64" s="26"/>
    </row>
    <row r="65" spans="7:7" x14ac:dyDescent="0.25">
      <c r="G65" s="26"/>
    </row>
    <row r="66" spans="7:7" x14ac:dyDescent="0.25">
      <c r="G66" s="26"/>
    </row>
    <row r="67" spans="7:7" x14ac:dyDescent="0.25">
      <c r="G67" s="26"/>
    </row>
    <row r="68" spans="7:7" x14ac:dyDescent="0.25">
      <c r="G68" s="26"/>
    </row>
    <row r="69" spans="7:7" x14ac:dyDescent="0.25">
      <c r="G69" s="26"/>
    </row>
    <row r="70" spans="7:7" x14ac:dyDescent="0.25">
      <c r="G70" s="26"/>
    </row>
    <row r="71" spans="7:7" x14ac:dyDescent="0.25">
      <c r="G71" s="26"/>
    </row>
    <row r="72" spans="7:7" x14ac:dyDescent="0.25">
      <c r="G72" s="26"/>
    </row>
    <row r="73" spans="7:7" x14ac:dyDescent="0.25">
      <c r="G73" s="26"/>
    </row>
    <row r="74" spans="7:7" x14ac:dyDescent="0.25">
      <c r="G74" s="26"/>
    </row>
    <row r="75" spans="7:7" x14ac:dyDescent="0.25">
      <c r="G75" s="26"/>
    </row>
    <row r="76" spans="7:7" x14ac:dyDescent="0.25">
      <c r="G76" s="26"/>
    </row>
    <row r="77" spans="7:7" x14ac:dyDescent="0.25">
      <c r="G77" s="26"/>
    </row>
    <row r="78" spans="7:7" x14ac:dyDescent="0.25">
      <c r="G78" s="26"/>
    </row>
    <row r="79" spans="7:7" x14ac:dyDescent="0.25">
      <c r="G79" s="26"/>
    </row>
    <row r="80" spans="7:7" x14ac:dyDescent="0.25">
      <c r="G80" s="26"/>
    </row>
    <row r="81" spans="7:7" x14ac:dyDescent="0.25">
      <c r="G81" s="26"/>
    </row>
    <row r="82" spans="7:7" x14ac:dyDescent="0.25">
      <c r="G82" s="26"/>
    </row>
    <row r="83" spans="7:7" x14ac:dyDescent="0.25">
      <c r="G83" s="26"/>
    </row>
    <row r="84" spans="7:7" x14ac:dyDescent="0.25">
      <c r="G84" s="26"/>
    </row>
    <row r="85" spans="7:7" x14ac:dyDescent="0.25">
      <c r="G85" s="26"/>
    </row>
    <row r="86" spans="7:7" x14ac:dyDescent="0.25">
      <c r="G86" s="26"/>
    </row>
    <row r="87" spans="7:7" x14ac:dyDescent="0.25">
      <c r="G87" s="26"/>
    </row>
    <row r="88" spans="7:7" x14ac:dyDescent="0.25">
      <c r="G88" s="26"/>
    </row>
    <row r="89" spans="7:7" x14ac:dyDescent="0.25">
      <c r="G89" s="26"/>
    </row>
    <row r="90" spans="7:7" x14ac:dyDescent="0.25">
      <c r="G90" s="26"/>
    </row>
    <row r="91" spans="7:7" x14ac:dyDescent="0.25">
      <c r="G91" s="26"/>
    </row>
    <row r="92" spans="7:7" x14ac:dyDescent="0.25">
      <c r="G92" s="26"/>
    </row>
    <row r="93" spans="7:7" x14ac:dyDescent="0.25">
      <c r="G93" s="26"/>
    </row>
    <row r="94" spans="7:7" x14ac:dyDescent="0.25">
      <c r="G94" s="26"/>
    </row>
    <row r="95" spans="7:7" x14ac:dyDescent="0.25">
      <c r="G95" s="26"/>
    </row>
    <row r="96" spans="7:7" x14ac:dyDescent="0.25">
      <c r="G96" s="26"/>
    </row>
    <row r="97" spans="7:7" x14ac:dyDescent="0.25">
      <c r="G97" s="2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1:E16"/>
  <sheetViews>
    <sheetView zoomScale="200" workbookViewId="0">
      <selection activeCell="A15" sqref="A15"/>
    </sheetView>
  </sheetViews>
  <sheetFormatPr defaultRowHeight="12.75" x14ac:dyDescent="0.2"/>
  <cols>
    <col min="1" max="16384" width="9.140625" style="28"/>
  </cols>
  <sheetData>
    <row r="1" spans="2:5" x14ac:dyDescent="0.2">
      <c r="B1" s="28" t="s">
        <v>82</v>
      </c>
      <c r="C1" s="28" t="s">
        <v>81</v>
      </c>
    </row>
    <row r="3" spans="2:5" x14ac:dyDescent="0.2">
      <c r="B3" s="28" t="s">
        <v>80</v>
      </c>
      <c r="C3" s="28" t="s">
        <v>79</v>
      </c>
      <c r="E3" s="28" t="s">
        <v>78</v>
      </c>
    </row>
    <row r="4" spans="2:5" x14ac:dyDescent="0.2">
      <c r="B4" s="28">
        <f>IF($C$1="n",E13,E4)</f>
        <v>-1</v>
      </c>
      <c r="C4" s="28">
        <f>B4^3+2*B4-B4+1</f>
        <v>-1</v>
      </c>
      <c r="E4" s="28">
        <f>IF(C4*C10&gt;0,B10,B4)</f>
        <v>-1</v>
      </c>
    </row>
    <row r="6" spans="2:5" x14ac:dyDescent="0.2">
      <c r="B6" s="28" t="s">
        <v>77</v>
      </c>
      <c r="C6" s="28" t="s">
        <v>76</v>
      </c>
      <c r="E6" s="28" t="s">
        <v>75</v>
      </c>
    </row>
    <row r="7" spans="2:5" x14ac:dyDescent="0.2">
      <c r="B7" s="28">
        <f>IF($C$1="n",E16,E7)</f>
        <v>0</v>
      </c>
      <c r="C7" s="28">
        <f>B7^3+2*B7-B7+1</f>
        <v>1</v>
      </c>
      <c r="E7" s="28">
        <f>IF(C7*C10&gt;0,B10,B7)</f>
        <v>-0.5</v>
      </c>
    </row>
    <row r="9" spans="2:5" x14ac:dyDescent="0.2">
      <c r="B9" s="28" t="s">
        <v>4</v>
      </c>
      <c r="C9" s="28" t="s">
        <v>5</v>
      </c>
    </row>
    <row r="10" spans="2:5" x14ac:dyDescent="0.2">
      <c r="B10" s="28">
        <f>(B4+B7)/2</f>
        <v>-0.5</v>
      </c>
      <c r="C10" s="28">
        <f>B10^3+2*B10-B10+1</f>
        <v>0.375</v>
      </c>
    </row>
    <row r="12" spans="2:5" x14ac:dyDescent="0.2">
      <c r="E12" s="28" t="s">
        <v>74</v>
      </c>
    </row>
    <row r="13" spans="2:5" x14ac:dyDescent="0.2">
      <c r="E13" s="28">
        <v>-1</v>
      </c>
    </row>
    <row r="15" spans="2:5" x14ac:dyDescent="0.2">
      <c r="E15" s="28" t="s">
        <v>73</v>
      </c>
    </row>
    <row r="16" spans="2:5" x14ac:dyDescent="0.2">
      <c r="E16" s="28">
        <v>0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K207"/>
  <sheetViews>
    <sheetView workbookViewId="0">
      <selection activeCell="E8" sqref="E8"/>
    </sheetView>
  </sheetViews>
  <sheetFormatPr defaultRowHeight="15" x14ac:dyDescent="0.25"/>
  <cols>
    <col min="1" max="3" width="9.140625" style="4"/>
  </cols>
  <sheetData>
    <row r="2" spans="1:11" x14ac:dyDescent="0.25">
      <c r="A2" s="30" t="s">
        <v>10</v>
      </c>
      <c r="B2" s="29">
        <v>0.05</v>
      </c>
      <c r="E2" s="4"/>
    </row>
    <row r="5" spans="1:11" x14ac:dyDescent="0.25">
      <c r="E5" s="5" t="s">
        <v>10</v>
      </c>
      <c r="F5" s="6">
        <v>0.01</v>
      </c>
    </row>
    <row r="6" spans="1:11" x14ac:dyDescent="0.25">
      <c r="A6" s="4" t="s">
        <v>9</v>
      </c>
      <c r="B6" s="4" t="s">
        <v>8</v>
      </c>
      <c r="C6"/>
      <c r="D6" t="s">
        <v>87</v>
      </c>
      <c r="E6" t="s">
        <v>9</v>
      </c>
      <c r="F6" t="s">
        <v>8</v>
      </c>
      <c r="G6" t="s">
        <v>86</v>
      </c>
      <c r="H6" t="s">
        <v>85</v>
      </c>
      <c r="I6" t="s">
        <v>84</v>
      </c>
      <c r="J6" t="s">
        <v>83</v>
      </c>
      <c r="K6" t="s">
        <v>7</v>
      </c>
    </row>
    <row r="7" spans="1:11" x14ac:dyDescent="0.25">
      <c r="A7" s="4">
        <v>-5</v>
      </c>
      <c r="B7" s="4">
        <f t="shared" ref="B7:B38" si="0">A7^2+1/A7</f>
        <v>24.8</v>
      </c>
      <c r="C7"/>
      <c r="E7">
        <v>2</v>
      </c>
      <c r="F7">
        <f t="shared" ref="F7:F38" si="1">E7^2+1/E7</f>
        <v>4.5</v>
      </c>
      <c r="G7">
        <f t="shared" ref="G7:G38" si="2">E7+$F$5</f>
        <v>2.0099999999999998</v>
      </c>
      <c r="H7">
        <f t="shared" ref="H7:H38" si="3">G7^2+1/G7</f>
        <v>4.5376124378109441</v>
      </c>
      <c r="I7">
        <f t="shared" ref="I7:I38" si="4">E7-$F$5</f>
        <v>1.99</v>
      </c>
      <c r="J7">
        <f t="shared" ref="J7:J38" si="5">I7^2+1/I7</f>
        <v>4.4626125628140709</v>
      </c>
      <c r="K7">
        <f t="shared" ref="K7:K38" si="6">(H7-J7)/(2*$F$5)</f>
        <v>3.7499937498436609</v>
      </c>
    </row>
    <row r="8" spans="1:11" x14ac:dyDescent="0.25">
      <c r="A8" s="4">
        <f t="shared" ref="A8:A39" si="7">A7+$B$2</f>
        <v>-4.95</v>
      </c>
      <c r="B8" s="4">
        <f t="shared" si="0"/>
        <v>24.300479797979801</v>
      </c>
      <c r="C8"/>
      <c r="D8" s="3">
        <f t="shared" ref="D8:D39" si="8">E8/E7-1</f>
        <v>-0.600001000026681</v>
      </c>
      <c r="E8">
        <f t="shared" ref="E8:E39" si="9">E7-F7/K7</f>
        <v>0.79999799994663801</v>
      </c>
      <c r="F8">
        <f t="shared" si="1"/>
        <v>1.8899999250098123</v>
      </c>
      <c r="G8">
        <f t="shared" si="2"/>
        <v>0.80999799994663801</v>
      </c>
      <c r="H8">
        <f t="shared" si="3"/>
        <v>1.8906677095567863</v>
      </c>
      <c r="I8">
        <f t="shared" si="4"/>
        <v>0.789997999946638</v>
      </c>
      <c r="J8">
        <f t="shared" si="5"/>
        <v>1.8899228294380757</v>
      </c>
      <c r="K8">
        <f t="shared" si="6"/>
        <v>3.7244005935532787E-2</v>
      </c>
    </row>
    <row r="9" spans="1:11" x14ac:dyDescent="0.25">
      <c r="A9" s="4">
        <f t="shared" si="7"/>
        <v>-4.9000000000000004</v>
      </c>
      <c r="B9" s="4">
        <f t="shared" si="0"/>
        <v>23.805918367346944</v>
      </c>
      <c r="C9"/>
      <c r="D9" s="3">
        <f t="shared" si="8"/>
        <v>-63.433182154834327</v>
      </c>
      <c r="E9">
        <f t="shared" si="9"/>
        <v>-49.946420854171592</v>
      </c>
      <c r="F9">
        <f t="shared" si="1"/>
        <v>2494.6249346873778</v>
      </c>
      <c r="G9">
        <f t="shared" si="2"/>
        <v>-49.936420854171594</v>
      </c>
      <c r="H9">
        <f t="shared" si="3"/>
        <v>2493.6261022609056</v>
      </c>
      <c r="I9">
        <f t="shared" si="4"/>
        <v>-49.95642085417159</v>
      </c>
      <c r="J9">
        <f t="shared" si="5"/>
        <v>2495.6239671122457</v>
      </c>
      <c r="K9">
        <f t="shared" si="6"/>
        <v>-99.893242567009111</v>
      </c>
    </row>
    <row r="10" spans="1:11" hidden="1" x14ac:dyDescent="0.25">
      <c r="A10" s="4">
        <f t="shared" si="7"/>
        <v>-4.8500000000000005</v>
      </c>
      <c r="B10" s="4">
        <f t="shared" si="0"/>
        <v>23.316314432989696</v>
      </c>
      <c r="C10"/>
      <c r="D10" s="3">
        <f t="shared" si="8"/>
        <v>-0.49999398069415135</v>
      </c>
      <c r="E10">
        <f t="shared" si="9"/>
        <v>-24.973511069868962</v>
      </c>
      <c r="F10">
        <f t="shared" si="1"/>
        <v>623.6362127296253</v>
      </c>
      <c r="G10">
        <f t="shared" si="2"/>
        <v>-24.963511069868961</v>
      </c>
      <c r="H10">
        <f t="shared" si="3"/>
        <v>623.13682646784514</v>
      </c>
      <c r="I10">
        <f t="shared" si="4"/>
        <v>-24.983511069868964</v>
      </c>
      <c r="J10">
        <f t="shared" si="5"/>
        <v>624.13579897856471</v>
      </c>
      <c r="K10">
        <f t="shared" si="6"/>
        <v>-49.948625535978408</v>
      </c>
    </row>
    <row r="11" spans="1:11" hidden="1" x14ac:dyDescent="0.25">
      <c r="A11" s="4">
        <f t="shared" si="7"/>
        <v>-4.8000000000000007</v>
      </c>
      <c r="B11" s="4">
        <f t="shared" si="0"/>
        <v>22.831666666666674</v>
      </c>
      <c r="C11"/>
      <c r="D11" s="3">
        <f t="shared" si="8"/>
        <v>-0.49995184864300291</v>
      </c>
      <c r="E11">
        <f t="shared" si="9"/>
        <v>-12.487958043381477</v>
      </c>
      <c r="F11">
        <f t="shared" si="1"/>
        <v>155.86901895041771</v>
      </c>
      <c r="G11">
        <f t="shared" si="2"/>
        <v>-12.477958043381477</v>
      </c>
      <c r="H11">
        <f t="shared" si="3"/>
        <v>155.61929561467261</v>
      </c>
      <c r="I11">
        <f t="shared" si="4"/>
        <v>-12.497958043381477</v>
      </c>
      <c r="J11">
        <f t="shared" si="5"/>
        <v>156.1189421834662</v>
      </c>
      <c r="K11">
        <f t="shared" si="6"/>
        <v>-24.982328439679691</v>
      </c>
    </row>
    <row r="12" spans="1:11" hidden="1" x14ac:dyDescent="0.25">
      <c r="A12" s="4">
        <f t="shared" si="7"/>
        <v>-4.7500000000000009</v>
      </c>
      <c r="B12" s="4">
        <f t="shared" si="0"/>
        <v>22.351973684210535</v>
      </c>
      <c r="C12"/>
      <c r="D12" s="3">
        <f t="shared" si="8"/>
        <v>-0.49961498683812622</v>
      </c>
      <c r="E12">
        <f t="shared" si="9"/>
        <v>-6.2487870499023686</v>
      </c>
      <c r="F12">
        <f t="shared" si="1"/>
        <v>38.887308537477644</v>
      </c>
      <c r="G12">
        <f t="shared" si="2"/>
        <v>-6.2387870499023688</v>
      </c>
      <c r="H12">
        <f t="shared" si="3"/>
        <v>38.762176286590304</v>
      </c>
      <c r="I12">
        <f t="shared" si="4"/>
        <v>-6.2587870499023683</v>
      </c>
      <c r="J12">
        <f t="shared" si="5"/>
        <v>39.012639968685754</v>
      </c>
      <c r="K12">
        <f t="shared" si="6"/>
        <v>-12.523184104772511</v>
      </c>
    </row>
    <row r="13" spans="1:11" hidden="1" x14ac:dyDescent="0.25">
      <c r="A13" s="4">
        <f t="shared" si="7"/>
        <v>-4.7000000000000011</v>
      </c>
      <c r="B13" s="4">
        <f t="shared" si="0"/>
        <v>21.877234042553201</v>
      </c>
      <c r="C13"/>
      <c r="D13" s="3">
        <f t="shared" si="8"/>
        <v>-0.49693249404120898</v>
      </c>
      <c r="E13">
        <f t="shared" si="9"/>
        <v>-3.143561716461976</v>
      </c>
      <c r="F13">
        <f t="shared" si="1"/>
        <v>9.5638697618348498</v>
      </c>
      <c r="G13">
        <f t="shared" si="2"/>
        <v>-3.1335617164619762</v>
      </c>
      <c r="H13">
        <f t="shared" si="3"/>
        <v>9.5000833552123733</v>
      </c>
      <c r="I13">
        <f t="shared" si="4"/>
        <v>-3.1535617164619758</v>
      </c>
      <c r="J13">
        <f t="shared" si="5"/>
        <v>9.6278497301987187</v>
      </c>
      <c r="K13">
        <f t="shared" si="6"/>
        <v>-6.3883187493172677</v>
      </c>
    </row>
    <row r="14" spans="1:11" hidden="1" x14ac:dyDescent="0.25">
      <c r="A14" s="4">
        <f t="shared" si="7"/>
        <v>-4.6500000000000012</v>
      </c>
      <c r="B14" s="4">
        <f t="shared" si="0"/>
        <v>21.407446236559153</v>
      </c>
      <c r="C14"/>
      <c r="D14" s="3">
        <f t="shared" si="8"/>
        <v>-0.47623913951264207</v>
      </c>
      <c r="E14">
        <f t="shared" si="9"/>
        <v>-1.6464745896092403</v>
      </c>
      <c r="F14">
        <f t="shared" si="1"/>
        <v>2.1035202789288161</v>
      </c>
      <c r="G14">
        <f t="shared" si="2"/>
        <v>-1.6364745896092403</v>
      </c>
      <c r="H14">
        <f t="shared" si="3"/>
        <v>2.0669794047591932</v>
      </c>
      <c r="I14">
        <f t="shared" si="4"/>
        <v>-1.6564745896092403</v>
      </c>
      <c r="J14">
        <f t="shared" si="5"/>
        <v>2.1402163424819562</v>
      </c>
      <c r="K14">
        <f t="shared" si="6"/>
        <v>-3.6618468861381537</v>
      </c>
    </row>
    <row r="15" spans="1:11" hidden="1" x14ac:dyDescent="0.25">
      <c r="A15" s="4">
        <f t="shared" si="7"/>
        <v>-4.6000000000000014</v>
      </c>
      <c r="B15" s="4">
        <f t="shared" si="0"/>
        <v>20.94260869565219</v>
      </c>
      <c r="C15"/>
      <c r="D15" s="3">
        <f t="shared" si="8"/>
        <v>-0.34889238421619673</v>
      </c>
      <c r="E15">
        <f t="shared" si="9"/>
        <v>-1.0720321444890883</v>
      </c>
      <c r="F15">
        <f t="shared" si="1"/>
        <v>0.21644506866093405</v>
      </c>
      <c r="G15">
        <f t="shared" si="2"/>
        <v>-1.0620321444890883</v>
      </c>
      <c r="H15">
        <f t="shared" si="3"/>
        <v>0.18632119020716953</v>
      </c>
      <c r="I15">
        <f t="shared" si="4"/>
        <v>-1.0820321444890884</v>
      </c>
      <c r="J15">
        <f t="shared" si="5"/>
        <v>0.24660660007891577</v>
      </c>
      <c r="K15">
        <f t="shared" si="6"/>
        <v>-3.0142704935873121</v>
      </c>
    </row>
    <row r="16" spans="1:11" hidden="1" x14ac:dyDescent="0.25">
      <c r="A16" s="4">
        <f t="shared" si="7"/>
        <v>-4.5500000000000016</v>
      </c>
      <c r="B16" s="4">
        <f t="shared" si="0"/>
        <v>20.482719780219796</v>
      </c>
      <c r="C16"/>
      <c r="D16" s="3">
        <f t="shared" si="8"/>
        <v>-6.6981931317780297E-2</v>
      </c>
      <c r="E16">
        <f t="shared" si="9"/>
        <v>-1.0002253610164675</v>
      </c>
      <c r="F16">
        <f t="shared" si="1"/>
        <v>6.7608306084554481E-4</v>
      </c>
      <c r="G16">
        <f t="shared" si="2"/>
        <v>-0.99022536101646752</v>
      </c>
      <c r="H16">
        <f t="shared" si="3"/>
        <v>-2.9324860073157155E-2</v>
      </c>
      <c r="I16">
        <f t="shared" si="4"/>
        <v>-1.0102253610164675</v>
      </c>
      <c r="J16">
        <f t="shared" si="5"/>
        <v>3.0677141371059702E-2</v>
      </c>
      <c r="K16">
        <f t="shared" si="6"/>
        <v>-3.0001000722108428</v>
      </c>
    </row>
    <row r="17" spans="1:11" hidden="1" x14ac:dyDescent="0.25">
      <c r="A17" s="4">
        <f t="shared" si="7"/>
        <v>-4.5000000000000018</v>
      </c>
      <c r="B17" s="4">
        <f t="shared" si="0"/>
        <v>20.027777777777793</v>
      </c>
      <c r="C17"/>
      <c r="D17" s="3">
        <f t="shared" si="8"/>
        <v>-2.2530272862208989E-4</v>
      </c>
      <c r="E17">
        <f t="shared" si="9"/>
        <v>-1.0000000075133935</v>
      </c>
      <c r="F17">
        <f t="shared" si="1"/>
        <v>2.254018027780802E-8</v>
      </c>
      <c r="G17">
        <f t="shared" si="2"/>
        <v>-0.99000000751339345</v>
      </c>
      <c r="H17">
        <f t="shared" si="3"/>
        <v>-3.0000987558545189E-2</v>
      </c>
      <c r="I17">
        <f t="shared" si="4"/>
        <v>-1.0100000075133935</v>
      </c>
      <c r="J17">
        <f t="shared" si="5"/>
        <v>3.0001012641414748E-2</v>
      </c>
      <c r="K17">
        <f t="shared" si="6"/>
        <v>-3.0001000099979969</v>
      </c>
    </row>
    <row r="18" spans="1:11" hidden="1" x14ac:dyDescent="0.25">
      <c r="A18" s="4">
        <f t="shared" si="7"/>
        <v>-4.450000000000002</v>
      </c>
      <c r="B18" s="4">
        <f t="shared" si="0"/>
        <v>19.577780898876419</v>
      </c>
      <c r="C18"/>
      <c r="D18" s="3">
        <f t="shared" si="8"/>
        <v>-7.5131428856067828E-9</v>
      </c>
      <c r="E18">
        <f t="shared" si="9"/>
        <v>-1.0000000000002505</v>
      </c>
      <c r="F18">
        <f t="shared" si="1"/>
        <v>7.5139894306630595E-13</v>
      </c>
      <c r="G18">
        <f t="shared" si="2"/>
        <v>-0.99000000000025046</v>
      </c>
      <c r="H18">
        <f t="shared" si="3"/>
        <v>-3.0001010100258685E-2</v>
      </c>
      <c r="I18">
        <f t="shared" si="4"/>
        <v>-1.0100000000002505</v>
      </c>
      <c r="J18">
        <f t="shared" si="5"/>
        <v>3.0000990099761538E-2</v>
      </c>
      <c r="K18">
        <f t="shared" si="6"/>
        <v>-3.0001000100010109</v>
      </c>
    </row>
    <row r="19" spans="1:11" hidden="1" x14ac:dyDescent="0.25">
      <c r="A19" s="4">
        <f t="shared" si="7"/>
        <v>-4.4000000000000021</v>
      </c>
      <c r="B19" s="4">
        <f t="shared" si="0"/>
        <v>19.132727272727291</v>
      </c>
      <c r="C19"/>
      <c r="D19" s="3">
        <f t="shared" si="8"/>
        <v>-2.5046631435543532E-13</v>
      </c>
      <c r="E19">
        <f t="shared" si="9"/>
        <v>-1</v>
      </c>
      <c r="F19">
        <f t="shared" si="1"/>
        <v>0</v>
      </c>
      <c r="G19">
        <f t="shared" si="2"/>
        <v>-0.99</v>
      </c>
      <c r="H19">
        <f t="shared" si="3"/>
        <v>-3.0001010101010195E-2</v>
      </c>
      <c r="I19">
        <f t="shared" si="4"/>
        <v>-1.01</v>
      </c>
      <c r="J19">
        <f t="shared" si="5"/>
        <v>3.0000990099009917E-2</v>
      </c>
      <c r="K19">
        <f t="shared" si="6"/>
        <v>-3.0001000100010056</v>
      </c>
    </row>
    <row r="20" spans="1:11" hidden="1" x14ac:dyDescent="0.25">
      <c r="A20" s="4">
        <f t="shared" si="7"/>
        <v>-4.3500000000000023</v>
      </c>
      <c r="B20" s="4">
        <f t="shared" si="0"/>
        <v>18.692614942528756</v>
      </c>
      <c r="C20"/>
      <c r="D20" s="3">
        <f t="shared" si="8"/>
        <v>0</v>
      </c>
      <c r="E20">
        <f t="shared" si="9"/>
        <v>-1</v>
      </c>
      <c r="F20">
        <f t="shared" si="1"/>
        <v>0</v>
      </c>
      <c r="G20">
        <f t="shared" si="2"/>
        <v>-0.99</v>
      </c>
      <c r="H20">
        <f t="shared" si="3"/>
        <v>-3.0001010101010195E-2</v>
      </c>
      <c r="I20">
        <f t="shared" si="4"/>
        <v>-1.01</v>
      </c>
      <c r="J20">
        <f t="shared" si="5"/>
        <v>3.0000990099009917E-2</v>
      </c>
      <c r="K20">
        <f t="shared" si="6"/>
        <v>-3.0001000100010056</v>
      </c>
    </row>
    <row r="21" spans="1:11" hidden="1" x14ac:dyDescent="0.25">
      <c r="A21" s="4">
        <f t="shared" si="7"/>
        <v>-4.3000000000000025</v>
      </c>
      <c r="B21" s="4">
        <f t="shared" si="0"/>
        <v>18.257441860465136</v>
      </c>
      <c r="C21"/>
      <c r="D21" s="3">
        <f t="shared" si="8"/>
        <v>0</v>
      </c>
      <c r="E21">
        <f t="shared" si="9"/>
        <v>-1</v>
      </c>
      <c r="F21">
        <f t="shared" si="1"/>
        <v>0</v>
      </c>
      <c r="G21">
        <f t="shared" si="2"/>
        <v>-0.99</v>
      </c>
      <c r="H21">
        <f t="shared" si="3"/>
        <v>-3.0001010101010195E-2</v>
      </c>
      <c r="I21">
        <f t="shared" si="4"/>
        <v>-1.01</v>
      </c>
      <c r="J21">
        <f t="shared" si="5"/>
        <v>3.0000990099009917E-2</v>
      </c>
      <c r="K21">
        <f t="shared" si="6"/>
        <v>-3.0001000100010056</v>
      </c>
    </row>
    <row r="22" spans="1:11" hidden="1" x14ac:dyDescent="0.25">
      <c r="A22" s="4">
        <f t="shared" si="7"/>
        <v>-4.2500000000000027</v>
      </c>
      <c r="B22" s="4">
        <f t="shared" si="0"/>
        <v>17.827205882352963</v>
      </c>
      <c r="C22"/>
      <c r="D22" s="3">
        <f t="shared" si="8"/>
        <v>0</v>
      </c>
      <c r="E22">
        <f t="shared" si="9"/>
        <v>-1</v>
      </c>
      <c r="F22">
        <f t="shared" si="1"/>
        <v>0</v>
      </c>
      <c r="G22">
        <f t="shared" si="2"/>
        <v>-0.99</v>
      </c>
      <c r="H22">
        <f t="shared" si="3"/>
        <v>-3.0001010101010195E-2</v>
      </c>
      <c r="I22">
        <f t="shared" si="4"/>
        <v>-1.01</v>
      </c>
      <c r="J22">
        <f t="shared" si="5"/>
        <v>3.0000990099009917E-2</v>
      </c>
      <c r="K22">
        <f t="shared" si="6"/>
        <v>-3.0001000100010056</v>
      </c>
    </row>
    <row r="23" spans="1:11" hidden="1" x14ac:dyDescent="0.25">
      <c r="A23" s="4">
        <f t="shared" si="7"/>
        <v>-4.2000000000000028</v>
      </c>
      <c r="B23" s="4">
        <f t="shared" si="0"/>
        <v>17.401904761904788</v>
      </c>
      <c r="C23"/>
      <c r="D23" s="3">
        <f t="shared" si="8"/>
        <v>0</v>
      </c>
      <c r="E23">
        <f t="shared" si="9"/>
        <v>-1</v>
      </c>
      <c r="F23">
        <f t="shared" si="1"/>
        <v>0</v>
      </c>
      <c r="G23">
        <f t="shared" si="2"/>
        <v>-0.99</v>
      </c>
      <c r="H23">
        <f t="shared" si="3"/>
        <v>-3.0001010101010195E-2</v>
      </c>
      <c r="I23">
        <f t="shared" si="4"/>
        <v>-1.01</v>
      </c>
      <c r="J23">
        <f t="shared" si="5"/>
        <v>3.0000990099009917E-2</v>
      </c>
      <c r="K23">
        <f t="shared" si="6"/>
        <v>-3.0001000100010056</v>
      </c>
    </row>
    <row r="24" spans="1:11" hidden="1" x14ac:dyDescent="0.25">
      <c r="A24" s="4">
        <f t="shared" si="7"/>
        <v>-4.150000000000003</v>
      </c>
      <c r="B24" s="4">
        <f t="shared" si="0"/>
        <v>16.981536144578339</v>
      </c>
      <c r="C24"/>
      <c r="D24" s="3">
        <f t="shared" si="8"/>
        <v>0</v>
      </c>
      <c r="E24">
        <f t="shared" si="9"/>
        <v>-1</v>
      </c>
      <c r="F24">
        <f t="shared" si="1"/>
        <v>0</v>
      </c>
      <c r="G24">
        <f t="shared" si="2"/>
        <v>-0.99</v>
      </c>
      <c r="H24">
        <f t="shared" si="3"/>
        <v>-3.0001010101010195E-2</v>
      </c>
      <c r="I24">
        <f t="shared" si="4"/>
        <v>-1.01</v>
      </c>
      <c r="J24">
        <f t="shared" si="5"/>
        <v>3.0000990099009917E-2</v>
      </c>
      <c r="K24">
        <f t="shared" si="6"/>
        <v>-3.0001000100010056</v>
      </c>
    </row>
    <row r="25" spans="1:11" hidden="1" x14ac:dyDescent="0.25">
      <c r="A25" s="4">
        <f t="shared" si="7"/>
        <v>-4.1000000000000032</v>
      </c>
      <c r="B25" s="4">
        <f t="shared" si="0"/>
        <v>16.566097560975638</v>
      </c>
      <c r="C25"/>
      <c r="D25" s="3">
        <f t="shared" si="8"/>
        <v>0</v>
      </c>
      <c r="E25">
        <f t="shared" si="9"/>
        <v>-1</v>
      </c>
      <c r="F25">
        <f t="shared" si="1"/>
        <v>0</v>
      </c>
      <c r="G25">
        <f t="shared" si="2"/>
        <v>-0.99</v>
      </c>
      <c r="H25">
        <f t="shared" si="3"/>
        <v>-3.0001010101010195E-2</v>
      </c>
      <c r="I25">
        <f t="shared" si="4"/>
        <v>-1.01</v>
      </c>
      <c r="J25">
        <f t="shared" si="5"/>
        <v>3.0000990099009917E-2</v>
      </c>
      <c r="K25">
        <f t="shared" si="6"/>
        <v>-3.0001000100010056</v>
      </c>
    </row>
    <row r="26" spans="1:11" hidden="1" x14ac:dyDescent="0.25">
      <c r="A26" s="4">
        <f t="shared" si="7"/>
        <v>-4.0500000000000034</v>
      </c>
      <c r="B26" s="4">
        <f t="shared" si="0"/>
        <v>16.155586419753114</v>
      </c>
      <c r="C26"/>
      <c r="D26" s="3">
        <f t="shared" si="8"/>
        <v>0</v>
      </c>
      <c r="E26">
        <f t="shared" si="9"/>
        <v>-1</v>
      </c>
      <c r="F26">
        <f t="shared" si="1"/>
        <v>0</v>
      </c>
      <c r="G26">
        <f t="shared" si="2"/>
        <v>-0.99</v>
      </c>
      <c r="H26">
        <f t="shared" si="3"/>
        <v>-3.0001010101010195E-2</v>
      </c>
      <c r="I26">
        <f t="shared" si="4"/>
        <v>-1.01</v>
      </c>
      <c r="J26">
        <f t="shared" si="5"/>
        <v>3.0000990099009917E-2</v>
      </c>
      <c r="K26">
        <f t="shared" si="6"/>
        <v>-3.0001000100010056</v>
      </c>
    </row>
    <row r="27" spans="1:11" hidden="1" x14ac:dyDescent="0.25">
      <c r="A27" s="4">
        <f t="shared" si="7"/>
        <v>-4.0000000000000036</v>
      </c>
      <c r="B27" s="4">
        <f t="shared" si="0"/>
        <v>15.750000000000028</v>
      </c>
      <c r="C27"/>
      <c r="D27" s="3">
        <f t="shared" si="8"/>
        <v>0</v>
      </c>
      <c r="E27">
        <f t="shared" si="9"/>
        <v>-1</v>
      </c>
      <c r="F27">
        <f t="shared" si="1"/>
        <v>0</v>
      </c>
      <c r="G27">
        <f t="shared" si="2"/>
        <v>-0.99</v>
      </c>
      <c r="H27">
        <f t="shared" si="3"/>
        <v>-3.0001010101010195E-2</v>
      </c>
      <c r="I27">
        <f t="shared" si="4"/>
        <v>-1.01</v>
      </c>
      <c r="J27">
        <f t="shared" si="5"/>
        <v>3.0000990099009917E-2</v>
      </c>
      <c r="K27">
        <f t="shared" si="6"/>
        <v>-3.0001000100010056</v>
      </c>
    </row>
    <row r="28" spans="1:11" hidden="1" x14ac:dyDescent="0.25">
      <c r="A28" s="4">
        <f t="shared" si="7"/>
        <v>-3.9500000000000037</v>
      </c>
      <c r="B28" s="4">
        <f t="shared" si="0"/>
        <v>15.349335443038004</v>
      </c>
      <c r="C28"/>
      <c r="D28" s="3">
        <f t="shared" si="8"/>
        <v>0</v>
      </c>
      <c r="E28">
        <f t="shared" si="9"/>
        <v>-1</v>
      </c>
      <c r="F28">
        <f t="shared" si="1"/>
        <v>0</v>
      </c>
      <c r="G28">
        <f t="shared" si="2"/>
        <v>-0.99</v>
      </c>
      <c r="H28">
        <f t="shared" si="3"/>
        <v>-3.0001010101010195E-2</v>
      </c>
      <c r="I28">
        <f t="shared" si="4"/>
        <v>-1.01</v>
      </c>
      <c r="J28">
        <f t="shared" si="5"/>
        <v>3.0000990099009917E-2</v>
      </c>
      <c r="K28">
        <f t="shared" si="6"/>
        <v>-3.0001000100010056</v>
      </c>
    </row>
    <row r="29" spans="1:11" hidden="1" x14ac:dyDescent="0.25">
      <c r="A29" s="4">
        <f t="shared" si="7"/>
        <v>-3.9000000000000039</v>
      </c>
      <c r="B29" s="4">
        <f t="shared" si="0"/>
        <v>14.953589743589776</v>
      </c>
      <c r="C29"/>
      <c r="D29" s="3">
        <f t="shared" si="8"/>
        <v>0</v>
      </c>
      <c r="E29">
        <f t="shared" si="9"/>
        <v>-1</v>
      </c>
      <c r="F29">
        <f t="shared" si="1"/>
        <v>0</v>
      </c>
      <c r="G29">
        <f t="shared" si="2"/>
        <v>-0.99</v>
      </c>
      <c r="H29">
        <f t="shared" si="3"/>
        <v>-3.0001010101010195E-2</v>
      </c>
      <c r="I29">
        <f t="shared" si="4"/>
        <v>-1.01</v>
      </c>
      <c r="J29">
        <f t="shared" si="5"/>
        <v>3.0000990099009917E-2</v>
      </c>
      <c r="K29">
        <f t="shared" si="6"/>
        <v>-3.0001000100010056</v>
      </c>
    </row>
    <row r="30" spans="1:11" hidden="1" x14ac:dyDescent="0.25">
      <c r="A30" s="4">
        <f t="shared" si="7"/>
        <v>-3.8500000000000041</v>
      </c>
      <c r="B30" s="4">
        <f t="shared" si="0"/>
        <v>14.562759740259771</v>
      </c>
      <c r="C30"/>
      <c r="D30" s="3">
        <f t="shared" si="8"/>
        <v>0</v>
      </c>
      <c r="E30">
        <f t="shared" si="9"/>
        <v>-1</v>
      </c>
      <c r="F30">
        <f t="shared" si="1"/>
        <v>0</v>
      </c>
      <c r="G30">
        <f t="shared" si="2"/>
        <v>-0.99</v>
      </c>
      <c r="H30">
        <f t="shared" si="3"/>
        <v>-3.0001010101010195E-2</v>
      </c>
      <c r="I30">
        <f t="shared" si="4"/>
        <v>-1.01</v>
      </c>
      <c r="J30">
        <f t="shared" si="5"/>
        <v>3.0000990099009917E-2</v>
      </c>
      <c r="K30">
        <f t="shared" si="6"/>
        <v>-3.0001000100010056</v>
      </c>
    </row>
    <row r="31" spans="1:11" hidden="1" x14ac:dyDescent="0.25">
      <c r="A31" s="4">
        <f t="shared" si="7"/>
        <v>-3.8000000000000043</v>
      </c>
      <c r="B31" s="4">
        <f t="shared" si="0"/>
        <v>14.176842105263191</v>
      </c>
      <c r="C31"/>
      <c r="D31" s="3">
        <f t="shared" si="8"/>
        <v>0</v>
      </c>
      <c r="E31">
        <f t="shared" si="9"/>
        <v>-1</v>
      </c>
      <c r="F31">
        <f t="shared" si="1"/>
        <v>0</v>
      </c>
      <c r="G31">
        <f t="shared" si="2"/>
        <v>-0.99</v>
      </c>
      <c r="H31">
        <f t="shared" si="3"/>
        <v>-3.0001010101010195E-2</v>
      </c>
      <c r="I31">
        <f t="shared" si="4"/>
        <v>-1.01</v>
      </c>
      <c r="J31">
        <f t="shared" si="5"/>
        <v>3.0000990099009917E-2</v>
      </c>
      <c r="K31">
        <f t="shared" si="6"/>
        <v>-3.0001000100010056</v>
      </c>
    </row>
    <row r="32" spans="1:11" hidden="1" x14ac:dyDescent="0.25">
      <c r="A32" s="4">
        <f t="shared" si="7"/>
        <v>-3.7500000000000044</v>
      </c>
      <c r="B32" s="4">
        <f t="shared" si="0"/>
        <v>13.795833333333368</v>
      </c>
      <c r="C32"/>
      <c r="D32" s="3">
        <f t="shared" si="8"/>
        <v>0</v>
      </c>
      <c r="E32">
        <f t="shared" si="9"/>
        <v>-1</v>
      </c>
      <c r="F32">
        <f t="shared" si="1"/>
        <v>0</v>
      </c>
      <c r="G32">
        <f t="shared" si="2"/>
        <v>-0.99</v>
      </c>
      <c r="H32">
        <f t="shared" si="3"/>
        <v>-3.0001010101010195E-2</v>
      </c>
      <c r="I32">
        <f t="shared" si="4"/>
        <v>-1.01</v>
      </c>
      <c r="J32">
        <f t="shared" si="5"/>
        <v>3.0000990099009917E-2</v>
      </c>
      <c r="K32">
        <f t="shared" si="6"/>
        <v>-3.0001000100010056</v>
      </c>
    </row>
    <row r="33" spans="1:11" hidden="1" x14ac:dyDescent="0.25">
      <c r="A33" s="4">
        <f t="shared" si="7"/>
        <v>-3.7000000000000046</v>
      </c>
      <c r="B33" s="4">
        <f t="shared" si="0"/>
        <v>13.419729729729765</v>
      </c>
      <c r="C33"/>
      <c r="D33" s="3">
        <f t="shared" si="8"/>
        <v>0</v>
      </c>
      <c r="E33">
        <f t="shared" si="9"/>
        <v>-1</v>
      </c>
      <c r="F33">
        <f t="shared" si="1"/>
        <v>0</v>
      </c>
      <c r="G33">
        <f t="shared" si="2"/>
        <v>-0.99</v>
      </c>
      <c r="H33">
        <f t="shared" si="3"/>
        <v>-3.0001010101010195E-2</v>
      </c>
      <c r="I33">
        <f t="shared" si="4"/>
        <v>-1.01</v>
      </c>
      <c r="J33">
        <f t="shared" si="5"/>
        <v>3.0000990099009917E-2</v>
      </c>
      <c r="K33">
        <f t="shared" si="6"/>
        <v>-3.0001000100010056</v>
      </c>
    </row>
    <row r="34" spans="1:11" hidden="1" x14ac:dyDescent="0.25">
      <c r="A34" s="4">
        <f t="shared" si="7"/>
        <v>-3.6500000000000048</v>
      </c>
      <c r="B34" s="4">
        <f t="shared" si="0"/>
        <v>13.04852739726031</v>
      </c>
      <c r="C34"/>
      <c r="D34" s="3">
        <f t="shared" si="8"/>
        <v>0</v>
      </c>
      <c r="E34">
        <f t="shared" si="9"/>
        <v>-1</v>
      </c>
      <c r="F34">
        <f t="shared" si="1"/>
        <v>0</v>
      </c>
      <c r="G34">
        <f t="shared" si="2"/>
        <v>-0.99</v>
      </c>
      <c r="H34">
        <f t="shared" si="3"/>
        <v>-3.0001010101010195E-2</v>
      </c>
      <c r="I34">
        <f t="shared" si="4"/>
        <v>-1.01</v>
      </c>
      <c r="J34">
        <f t="shared" si="5"/>
        <v>3.0000990099009917E-2</v>
      </c>
      <c r="K34">
        <f t="shared" si="6"/>
        <v>-3.0001000100010056</v>
      </c>
    </row>
    <row r="35" spans="1:11" hidden="1" x14ac:dyDescent="0.25">
      <c r="A35" s="4">
        <f t="shared" si="7"/>
        <v>-3.600000000000005</v>
      </c>
      <c r="B35" s="4">
        <f t="shared" si="0"/>
        <v>12.68222222222226</v>
      </c>
      <c r="C35"/>
      <c r="D35" s="3">
        <f t="shared" si="8"/>
        <v>0</v>
      </c>
      <c r="E35">
        <f t="shared" si="9"/>
        <v>-1</v>
      </c>
      <c r="F35">
        <f t="shared" si="1"/>
        <v>0</v>
      </c>
      <c r="G35">
        <f t="shared" si="2"/>
        <v>-0.99</v>
      </c>
      <c r="H35">
        <f t="shared" si="3"/>
        <v>-3.0001010101010195E-2</v>
      </c>
      <c r="I35">
        <f t="shared" si="4"/>
        <v>-1.01</v>
      </c>
      <c r="J35">
        <f t="shared" si="5"/>
        <v>3.0000990099009917E-2</v>
      </c>
      <c r="K35">
        <f t="shared" si="6"/>
        <v>-3.0001000100010056</v>
      </c>
    </row>
    <row r="36" spans="1:11" hidden="1" x14ac:dyDescent="0.25">
      <c r="A36" s="4">
        <f t="shared" si="7"/>
        <v>-3.5500000000000052</v>
      </c>
      <c r="B36" s="4">
        <f t="shared" si="0"/>
        <v>12.320809859154966</v>
      </c>
      <c r="C36"/>
      <c r="D36" s="3">
        <f t="shared" si="8"/>
        <v>0</v>
      </c>
      <c r="E36">
        <f t="shared" si="9"/>
        <v>-1</v>
      </c>
      <c r="F36">
        <f t="shared" si="1"/>
        <v>0</v>
      </c>
      <c r="G36">
        <f t="shared" si="2"/>
        <v>-0.99</v>
      </c>
      <c r="H36">
        <f t="shared" si="3"/>
        <v>-3.0001010101010195E-2</v>
      </c>
      <c r="I36">
        <f t="shared" si="4"/>
        <v>-1.01</v>
      </c>
      <c r="J36">
        <f t="shared" si="5"/>
        <v>3.0000990099009917E-2</v>
      </c>
      <c r="K36">
        <f t="shared" si="6"/>
        <v>-3.0001000100010056</v>
      </c>
    </row>
    <row r="37" spans="1:11" hidden="1" x14ac:dyDescent="0.25">
      <c r="A37" s="4">
        <f t="shared" si="7"/>
        <v>-3.5000000000000053</v>
      </c>
      <c r="B37" s="4">
        <f t="shared" si="0"/>
        <v>11.964285714285753</v>
      </c>
      <c r="C37"/>
      <c r="D37" s="3">
        <f t="shared" si="8"/>
        <v>0</v>
      </c>
      <c r="E37">
        <f t="shared" si="9"/>
        <v>-1</v>
      </c>
      <c r="F37">
        <f t="shared" si="1"/>
        <v>0</v>
      </c>
      <c r="G37">
        <f t="shared" si="2"/>
        <v>-0.99</v>
      </c>
      <c r="H37">
        <f t="shared" si="3"/>
        <v>-3.0001010101010195E-2</v>
      </c>
      <c r="I37">
        <f t="shared" si="4"/>
        <v>-1.01</v>
      </c>
      <c r="J37">
        <f t="shared" si="5"/>
        <v>3.0000990099009917E-2</v>
      </c>
      <c r="K37">
        <f t="shared" si="6"/>
        <v>-3.0001000100010056</v>
      </c>
    </row>
    <row r="38" spans="1:11" hidden="1" x14ac:dyDescent="0.25">
      <c r="A38" s="4">
        <f t="shared" si="7"/>
        <v>-3.4500000000000055</v>
      </c>
      <c r="B38" s="4">
        <f t="shared" si="0"/>
        <v>11.61264492753627</v>
      </c>
      <c r="C38"/>
      <c r="D38" s="3">
        <f t="shared" si="8"/>
        <v>0</v>
      </c>
      <c r="E38">
        <f t="shared" si="9"/>
        <v>-1</v>
      </c>
      <c r="F38">
        <f t="shared" si="1"/>
        <v>0</v>
      </c>
      <c r="G38">
        <f t="shared" si="2"/>
        <v>-0.99</v>
      </c>
      <c r="H38">
        <f t="shared" si="3"/>
        <v>-3.0001010101010195E-2</v>
      </c>
      <c r="I38">
        <f t="shared" si="4"/>
        <v>-1.01</v>
      </c>
      <c r="J38">
        <f t="shared" si="5"/>
        <v>3.0000990099009917E-2</v>
      </c>
      <c r="K38">
        <f t="shared" si="6"/>
        <v>-3.0001000100010056</v>
      </c>
    </row>
    <row r="39" spans="1:11" hidden="1" x14ac:dyDescent="0.25">
      <c r="A39" s="4">
        <f t="shared" si="7"/>
        <v>-3.4000000000000057</v>
      </c>
      <c r="B39" s="4">
        <f t="shared" ref="B39:B70" si="10">A39^2+1/A39</f>
        <v>11.265882352941215</v>
      </c>
      <c r="C39"/>
      <c r="D39" s="3">
        <f t="shared" si="8"/>
        <v>0</v>
      </c>
      <c r="E39">
        <f t="shared" si="9"/>
        <v>-1</v>
      </c>
      <c r="F39">
        <f t="shared" ref="F39:F70" si="11">E39^2+1/E39</f>
        <v>0</v>
      </c>
      <c r="G39">
        <f t="shared" ref="G39:G70" si="12">E39+$F$5</f>
        <v>-0.99</v>
      </c>
      <c r="H39">
        <f t="shared" ref="H39:H70" si="13">G39^2+1/G39</f>
        <v>-3.0001010101010195E-2</v>
      </c>
      <c r="I39">
        <f t="shared" ref="I39:I70" si="14">E39-$F$5</f>
        <v>-1.01</v>
      </c>
      <c r="J39">
        <f t="shared" ref="J39:J70" si="15">I39^2+1/I39</f>
        <v>3.0000990099009917E-2</v>
      </c>
      <c r="K39">
        <f t="shared" ref="K39:K70" si="16">(H39-J39)/(2*$F$5)</f>
        <v>-3.0001000100010056</v>
      </c>
    </row>
    <row r="40" spans="1:11" hidden="1" x14ac:dyDescent="0.25">
      <c r="A40" s="4">
        <f t="shared" ref="A40:A71" si="17">A39+$B$2</f>
        <v>-3.3500000000000059</v>
      </c>
      <c r="B40" s="4">
        <f t="shared" si="10"/>
        <v>10.923992537313472</v>
      </c>
      <c r="C40"/>
      <c r="D40" s="3">
        <f t="shared" ref="D40:D71" si="18">E40/E39-1</f>
        <v>0</v>
      </c>
      <c r="E40">
        <f t="shared" ref="E40:E71" si="19">E39-F39/K39</f>
        <v>-1</v>
      </c>
      <c r="F40">
        <f t="shared" si="11"/>
        <v>0</v>
      </c>
      <c r="G40">
        <f t="shared" si="12"/>
        <v>-0.99</v>
      </c>
      <c r="H40">
        <f t="shared" si="13"/>
        <v>-3.0001010101010195E-2</v>
      </c>
      <c r="I40">
        <f t="shared" si="14"/>
        <v>-1.01</v>
      </c>
      <c r="J40">
        <f t="shared" si="15"/>
        <v>3.0000990099009917E-2</v>
      </c>
      <c r="K40">
        <f t="shared" si="16"/>
        <v>-3.0001000100010056</v>
      </c>
    </row>
    <row r="41" spans="1:11" hidden="1" x14ac:dyDescent="0.25">
      <c r="A41" s="4">
        <f t="shared" si="17"/>
        <v>-3.300000000000006</v>
      </c>
      <c r="B41" s="4">
        <f t="shared" si="10"/>
        <v>10.586969696969737</v>
      </c>
      <c r="C41"/>
      <c r="D41" s="3">
        <f t="shared" si="18"/>
        <v>0</v>
      </c>
      <c r="E41">
        <f t="shared" si="19"/>
        <v>-1</v>
      </c>
      <c r="F41">
        <f t="shared" si="11"/>
        <v>0</v>
      </c>
      <c r="G41">
        <f t="shared" si="12"/>
        <v>-0.99</v>
      </c>
      <c r="H41">
        <f t="shared" si="13"/>
        <v>-3.0001010101010195E-2</v>
      </c>
      <c r="I41">
        <f t="shared" si="14"/>
        <v>-1.01</v>
      </c>
      <c r="J41">
        <f t="shared" si="15"/>
        <v>3.0000990099009917E-2</v>
      </c>
      <c r="K41">
        <f t="shared" si="16"/>
        <v>-3.0001000100010056</v>
      </c>
    </row>
    <row r="42" spans="1:11" hidden="1" x14ac:dyDescent="0.25">
      <c r="A42" s="4">
        <f t="shared" si="17"/>
        <v>-3.2500000000000062</v>
      </c>
      <c r="B42" s="4">
        <f t="shared" si="10"/>
        <v>10.254807692307734</v>
      </c>
      <c r="C42"/>
      <c r="D42" s="3">
        <f t="shared" si="18"/>
        <v>0</v>
      </c>
      <c r="E42">
        <f t="shared" si="19"/>
        <v>-1</v>
      </c>
      <c r="F42">
        <f t="shared" si="11"/>
        <v>0</v>
      </c>
      <c r="G42">
        <f t="shared" si="12"/>
        <v>-0.99</v>
      </c>
      <c r="H42">
        <f t="shared" si="13"/>
        <v>-3.0001010101010195E-2</v>
      </c>
      <c r="I42">
        <f t="shared" si="14"/>
        <v>-1.01</v>
      </c>
      <c r="J42">
        <f t="shared" si="15"/>
        <v>3.0000990099009917E-2</v>
      </c>
      <c r="K42">
        <f t="shared" si="16"/>
        <v>-3.0001000100010056</v>
      </c>
    </row>
    <row r="43" spans="1:11" hidden="1" x14ac:dyDescent="0.25">
      <c r="A43" s="4">
        <f t="shared" si="17"/>
        <v>-3.2000000000000064</v>
      </c>
      <c r="B43" s="4">
        <f t="shared" si="10"/>
        <v>9.9275000000000411</v>
      </c>
      <c r="C43"/>
      <c r="D43" s="3">
        <f t="shared" si="18"/>
        <v>0</v>
      </c>
      <c r="E43">
        <f t="shared" si="19"/>
        <v>-1</v>
      </c>
      <c r="F43">
        <f t="shared" si="11"/>
        <v>0</v>
      </c>
      <c r="G43">
        <f t="shared" si="12"/>
        <v>-0.99</v>
      </c>
      <c r="H43">
        <f t="shared" si="13"/>
        <v>-3.0001010101010195E-2</v>
      </c>
      <c r="I43">
        <f t="shared" si="14"/>
        <v>-1.01</v>
      </c>
      <c r="J43">
        <f t="shared" si="15"/>
        <v>3.0000990099009917E-2</v>
      </c>
      <c r="K43">
        <f t="shared" si="16"/>
        <v>-3.0001000100010056</v>
      </c>
    </row>
    <row r="44" spans="1:11" hidden="1" x14ac:dyDescent="0.25">
      <c r="A44" s="4">
        <f t="shared" si="17"/>
        <v>-3.1500000000000066</v>
      </c>
      <c r="B44" s="4">
        <f t="shared" si="10"/>
        <v>9.6050396825397257</v>
      </c>
      <c r="C44"/>
      <c r="D44" s="3">
        <f t="shared" si="18"/>
        <v>0</v>
      </c>
      <c r="E44">
        <f t="shared" si="19"/>
        <v>-1</v>
      </c>
      <c r="F44">
        <f t="shared" si="11"/>
        <v>0</v>
      </c>
      <c r="G44">
        <f t="shared" si="12"/>
        <v>-0.99</v>
      </c>
      <c r="H44">
        <f t="shared" si="13"/>
        <v>-3.0001010101010195E-2</v>
      </c>
      <c r="I44">
        <f t="shared" si="14"/>
        <v>-1.01</v>
      </c>
      <c r="J44">
        <f t="shared" si="15"/>
        <v>3.0000990099009917E-2</v>
      </c>
      <c r="K44">
        <f t="shared" si="16"/>
        <v>-3.0001000100010056</v>
      </c>
    </row>
    <row r="45" spans="1:11" hidden="1" x14ac:dyDescent="0.25">
      <c r="A45" s="4">
        <f t="shared" si="17"/>
        <v>-3.1000000000000068</v>
      </c>
      <c r="B45" s="4">
        <f t="shared" si="10"/>
        <v>9.287419354838752</v>
      </c>
      <c r="C45"/>
      <c r="D45" s="3">
        <f t="shared" si="18"/>
        <v>0</v>
      </c>
      <c r="E45">
        <f t="shared" si="19"/>
        <v>-1</v>
      </c>
      <c r="F45">
        <f t="shared" si="11"/>
        <v>0</v>
      </c>
      <c r="G45">
        <f t="shared" si="12"/>
        <v>-0.99</v>
      </c>
      <c r="H45">
        <f t="shared" si="13"/>
        <v>-3.0001010101010195E-2</v>
      </c>
      <c r="I45">
        <f t="shared" si="14"/>
        <v>-1.01</v>
      </c>
      <c r="J45">
        <f t="shared" si="15"/>
        <v>3.0000990099009917E-2</v>
      </c>
      <c r="K45">
        <f t="shared" si="16"/>
        <v>-3.0001000100010056</v>
      </c>
    </row>
    <row r="46" spans="1:11" hidden="1" x14ac:dyDescent="0.25">
      <c r="A46" s="4">
        <f t="shared" si="17"/>
        <v>-3.0500000000000069</v>
      </c>
      <c r="B46" s="4">
        <f t="shared" si="10"/>
        <v>8.974631147541027</v>
      </c>
      <c r="C46"/>
      <c r="D46" s="3">
        <f t="shared" si="18"/>
        <v>0</v>
      </c>
      <c r="E46">
        <f t="shared" si="19"/>
        <v>-1</v>
      </c>
      <c r="F46">
        <f t="shared" si="11"/>
        <v>0</v>
      </c>
      <c r="G46">
        <f t="shared" si="12"/>
        <v>-0.99</v>
      </c>
      <c r="H46">
        <f t="shared" si="13"/>
        <v>-3.0001010101010195E-2</v>
      </c>
      <c r="I46">
        <f t="shared" si="14"/>
        <v>-1.01</v>
      </c>
      <c r="J46">
        <f t="shared" si="15"/>
        <v>3.0000990099009917E-2</v>
      </c>
      <c r="K46">
        <f t="shared" si="16"/>
        <v>-3.0001000100010056</v>
      </c>
    </row>
    <row r="47" spans="1:11" hidden="1" x14ac:dyDescent="0.25">
      <c r="A47" s="4">
        <f t="shared" si="17"/>
        <v>-3.0000000000000071</v>
      </c>
      <c r="B47" s="4">
        <f t="shared" si="10"/>
        <v>8.6666666666667105</v>
      </c>
      <c r="C47"/>
      <c r="D47" s="3">
        <f t="shared" si="18"/>
        <v>0</v>
      </c>
      <c r="E47">
        <f t="shared" si="19"/>
        <v>-1</v>
      </c>
      <c r="F47">
        <f t="shared" si="11"/>
        <v>0</v>
      </c>
      <c r="G47">
        <f t="shared" si="12"/>
        <v>-0.99</v>
      </c>
      <c r="H47">
        <f t="shared" si="13"/>
        <v>-3.0001010101010195E-2</v>
      </c>
      <c r="I47">
        <f t="shared" si="14"/>
        <v>-1.01</v>
      </c>
      <c r="J47">
        <f t="shared" si="15"/>
        <v>3.0000990099009917E-2</v>
      </c>
      <c r="K47">
        <f t="shared" si="16"/>
        <v>-3.0001000100010056</v>
      </c>
    </row>
    <row r="48" spans="1:11" hidden="1" x14ac:dyDescent="0.25">
      <c r="A48" s="4">
        <f t="shared" si="17"/>
        <v>-2.9500000000000073</v>
      </c>
      <c r="B48" s="4">
        <f t="shared" si="10"/>
        <v>8.3635169491525865</v>
      </c>
      <c r="C48"/>
      <c r="D48" s="3">
        <f t="shared" si="18"/>
        <v>0</v>
      </c>
      <c r="E48">
        <f t="shared" si="19"/>
        <v>-1</v>
      </c>
      <c r="F48">
        <f t="shared" si="11"/>
        <v>0</v>
      </c>
      <c r="G48">
        <f t="shared" si="12"/>
        <v>-0.99</v>
      </c>
      <c r="H48">
        <f t="shared" si="13"/>
        <v>-3.0001010101010195E-2</v>
      </c>
      <c r="I48">
        <f t="shared" si="14"/>
        <v>-1.01</v>
      </c>
      <c r="J48">
        <f t="shared" si="15"/>
        <v>3.0000990099009917E-2</v>
      </c>
      <c r="K48">
        <f t="shared" si="16"/>
        <v>-3.0001000100010056</v>
      </c>
    </row>
    <row r="49" spans="1:11" hidden="1" x14ac:dyDescent="0.25">
      <c r="A49" s="4">
        <f t="shared" si="17"/>
        <v>-2.9000000000000075</v>
      </c>
      <c r="B49" s="4">
        <f t="shared" si="10"/>
        <v>8.0651724137931478</v>
      </c>
      <c r="C49"/>
      <c r="D49" s="3">
        <f t="shared" si="18"/>
        <v>0</v>
      </c>
      <c r="E49">
        <f t="shared" si="19"/>
        <v>-1</v>
      </c>
      <c r="F49">
        <f t="shared" si="11"/>
        <v>0</v>
      </c>
      <c r="G49">
        <f t="shared" si="12"/>
        <v>-0.99</v>
      </c>
      <c r="H49">
        <f t="shared" si="13"/>
        <v>-3.0001010101010195E-2</v>
      </c>
      <c r="I49">
        <f t="shared" si="14"/>
        <v>-1.01</v>
      </c>
      <c r="J49">
        <f t="shared" si="15"/>
        <v>3.0000990099009917E-2</v>
      </c>
      <c r="K49">
        <f t="shared" si="16"/>
        <v>-3.0001000100010056</v>
      </c>
    </row>
    <row r="50" spans="1:11" hidden="1" x14ac:dyDescent="0.25">
      <c r="A50" s="4">
        <f t="shared" si="17"/>
        <v>-2.8500000000000076</v>
      </c>
      <c r="B50" s="4">
        <f t="shared" si="10"/>
        <v>7.7716228070175877</v>
      </c>
      <c r="C50"/>
      <c r="D50" s="3">
        <f t="shared" si="18"/>
        <v>0</v>
      </c>
      <c r="E50">
        <f t="shared" si="19"/>
        <v>-1</v>
      </c>
      <c r="F50">
        <f t="shared" si="11"/>
        <v>0</v>
      </c>
      <c r="G50">
        <f t="shared" si="12"/>
        <v>-0.99</v>
      </c>
      <c r="H50">
        <f t="shared" si="13"/>
        <v>-3.0001010101010195E-2</v>
      </c>
      <c r="I50">
        <f t="shared" si="14"/>
        <v>-1.01</v>
      </c>
      <c r="J50">
        <f t="shared" si="15"/>
        <v>3.0000990099009917E-2</v>
      </c>
      <c r="K50">
        <f t="shared" si="16"/>
        <v>-3.0001000100010056</v>
      </c>
    </row>
    <row r="51" spans="1:11" hidden="1" x14ac:dyDescent="0.25">
      <c r="A51" s="4">
        <f t="shared" si="17"/>
        <v>-2.8000000000000078</v>
      </c>
      <c r="B51" s="4">
        <f t="shared" si="10"/>
        <v>7.4828571428571875</v>
      </c>
      <c r="C51"/>
      <c r="D51" s="3">
        <f t="shared" si="18"/>
        <v>0</v>
      </c>
      <c r="E51">
        <f t="shared" si="19"/>
        <v>-1</v>
      </c>
      <c r="F51">
        <f t="shared" si="11"/>
        <v>0</v>
      </c>
      <c r="G51">
        <f t="shared" si="12"/>
        <v>-0.99</v>
      </c>
      <c r="H51">
        <f t="shared" si="13"/>
        <v>-3.0001010101010195E-2</v>
      </c>
      <c r="I51">
        <f t="shared" si="14"/>
        <v>-1.01</v>
      </c>
      <c r="J51">
        <f t="shared" si="15"/>
        <v>3.0000990099009917E-2</v>
      </c>
      <c r="K51">
        <f t="shared" si="16"/>
        <v>-3.0001000100010056</v>
      </c>
    </row>
    <row r="52" spans="1:11" hidden="1" x14ac:dyDescent="0.25">
      <c r="A52" s="4">
        <f t="shared" si="17"/>
        <v>-2.750000000000008</v>
      </c>
      <c r="B52" s="4">
        <f t="shared" si="10"/>
        <v>7.198863636363682</v>
      </c>
      <c r="C52"/>
      <c r="D52" s="3">
        <f t="shared" si="18"/>
        <v>0</v>
      </c>
      <c r="E52">
        <f t="shared" si="19"/>
        <v>-1</v>
      </c>
      <c r="F52">
        <f t="shared" si="11"/>
        <v>0</v>
      </c>
      <c r="G52">
        <f t="shared" si="12"/>
        <v>-0.99</v>
      </c>
      <c r="H52">
        <f t="shared" si="13"/>
        <v>-3.0001010101010195E-2</v>
      </c>
      <c r="I52">
        <f t="shared" si="14"/>
        <v>-1.01</v>
      </c>
      <c r="J52">
        <f t="shared" si="15"/>
        <v>3.0000990099009917E-2</v>
      </c>
      <c r="K52">
        <f t="shared" si="16"/>
        <v>-3.0001000100010056</v>
      </c>
    </row>
    <row r="53" spans="1:11" hidden="1" x14ac:dyDescent="0.25">
      <c r="A53" s="4">
        <f t="shared" si="17"/>
        <v>-2.7000000000000082</v>
      </c>
      <c r="B53" s="4">
        <f t="shared" si="10"/>
        <v>6.9196296296296751</v>
      </c>
      <c r="C53"/>
      <c r="D53" s="3">
        <f t="shared" si="18"/>
        <v>0</v>
      </c>
      <c r="E53">
        <f t="shared" si="19"/>
        <v>-1</v>
      </c>
      <c r="F53">
        <f t="shared" si="11"/>
        <v>0</v>
      </c>
      <c r="G53">
        <f t="shared" si="12"/>
        <v>-0.99</v>
      </c>
      <c r="H53">
        <f t="shared" si="13"/>
        <v>-3.0001010101010195E-2</v>
      </c>
      <c r="I53">
        <f t="shared" si="14"/>
        <v>-1.01</v>
      </c>
      <c r="J53">
        <f t="shared" si="15"/>
        <v>3.0000990099009917E-2</v>
      </c>
      <c r="K53">
        <f t="shared" si="16"/>
        <v>-3.0001000100010056</v>
      </c>
    </row>
    <row r="54" spans="1:11" hidden="1" x14ac:dyDescent="0.25">
      <c r="A54" s="4">
        <f t="shared" si="17"/>
        <v>-2.6500000000000083</v>
      </c>
      <c r="B54" s="4">
        <f t="shared" si="10"/>
        <v>6.6451415094340076</v>
      </c>
      <c r="C54"/>
      <c r="D54" s="3">
        <f t="shared" si="18"/>
        <v>0</v>
      </c>
      <c r="E54">
        <f t="shared" si="19"/>
        <v>-1</v>
      </c>
      <c r="F54">
        <f t="shared" si="11"/>
        <v>0</v>
      </c>
      <c r="G54">
        <f t="shared" si="12"/>
        <v>-0.99</v>
      </c>
      <c r="H54">
        <f t="shared" si="13"/>
        <v>-3.0001010101010195E-2</v>
      </c>
      <c r="I54">
        <f t="shared" si="14"/>
        <v>-1.01</v>
      </c>
      <c r="J54">
        <f t="shared" si="15"/>
        <v>3.0000990099009917E-2</v>
      </c>
      <c r="K54">
        <f t="shared" si="16"/>
        <v>-3.0001000100010056</v>
      </c>
    </row>
    <row r="55" spans="1:11" hidden="1" x14ac:dyDescent="0.25">
      <c r="A55" s="4">
        <f t="shared" si="17"/>
        <v>-2.6000000000000085</v>
      </c>
      <c r="B55" s="4">
        <f t="shared" si="10"/>
        <v>6.3753846153846609</v>
      </c>
      <c r="C55"/>
      <c r="D55" s="3">
        <f t="shared" si="18"/>
        <v>0</v>
      </c>
      <c r="E55">
        <f t="shared" si="19"/>
        <v>-1</v>
      </c>
      <c r="F55">
        <f t="shared" si="11"/>
        <v>0</v>
      </c>
      <c r="G55">
        <f t="shared" si="12"/>
        <v>-0.99</v>
      </c>
      <c r="H55">
        <f t="shared" si="13"/>
        <v>-3.0001010101010195E-2</v>
      </c>
      <c r="I55">
        <f t="shared" si="14"/>
        <v>-1.01</v>
      </c>
      <c r="J55">
        <f t="shared" si="15"/>
        <v>3.0000990099009917E-2</v>
      </c>
      <c r="K55">
        <f t="shared" si="16"/>
        <v>-3.0001000100010056</v>
      </c>
    </row>
    <row r="56" spans="1:11" hidden="1" x14ac:dyDescent="0.25">
      <c r="A56" s="4">
        <f t="shared" si="17"/>
        <v>-2.5500000000000087</v>
      </c>
      <c r="B56" s="4">
        <f t="shared" si="10"/>
        <v>6.1103431372549482</v>
      </c>
      <c r="C56"/>
      <c r="D56" s="3">
        <f t="shared" si="18"/>
        <v>0</v>
      </c>
      <c r="E56">
        <f t="shared" si="19"/>
        <v>-1</v>
      </c>
      <c r="F56">
        <f t="shared" si="11"/>
        <v>0</v>
      </c>
      <c r="G56">
        <f t="shared" si="12"/>
        <v>-0.99</v>
      </c>
      <c r="H56">
        <f t="shared" si="13"/>
        <v>-3.0001010101010195E-2</v>
      </c>
      <c r="I56">
        <f t="shared" si="14"/>
        <v>-1.01</v>
      </c>
      <c r="J56">
        <f t="shared" si="15"/>
        <v>3.0000990099009917E-2</v>
      </c>
      <c r="K56">
        <f t="shared" si="16"/>
        <v>-3.0001000100010056</v>
      </c>
    </row>
    <row r="57" spans="1:11" hidden="1" x14ac:dyDescent="0.25">
      <c r="A57" s="4">
        <f t="shared" si="17"/>
        <v>-2.5000000000000089</v>
      </c>
      <c r="B57" s="4">
        <f t="shared" si="10"/>
        <v>5.8500000000000458</v>
      </c>
      <c r="C57"/>
      <c r="D57" s="3">
        <f t="shared" si="18"/>
        <v>0</v>
      </c>
      <c r="E57">
        <f t="shared" si="19"/>
        <v>-1</v>
      </c>
      <c r="F57">
        <f t="shared" si="11"/>
        <v>0</v>
      </c>
      <c r="G57">
        <f t="shared" si="12"/>
        <v>-0.99</v>
      </c>
      <c r="H57">
        <f t="shared" si="13"/>
        <v>-3.0001010101010195E-2</v>
      </c>
      <c r="I57">
        <f t="shared" si="14"/>
        <v>-1.01</v>
      </c>
      <c r="J57">
        <f t="shared" si="15"/>
        <v>3.0000990099009917E-2</v>
      </c>
      <c r="K57">
        <f t="shared" si="16"/>
        <v>-3.0001000100010056</v>
      </c>
    </row>
    <row r="58" spans="1:11" hidden="1" x14ac:dyDescent="0.25">
      <c r="A58" s="4">
        <f t="shared" si="17"/>
        <v>-2.4500000000000091</v>
      </c>
      <c r="B58" s="4">
        <f t="shared" si="10"/>
        <v>5.5943367346939237</v>
      </c>
      <c r="C58"/>
      <c r="D58" s="3">
        <f t="shared" si="18"/>
        <v>0</v>
      </c>
      <c r="E58">
        <f t="shared" si="19"/>
        <v>-1</v>
      </c>
      <c r="F58">
        <f t="shared" si="11"/>
        <v>0</v>
      </c>
      <c r="G58">
        <f t="shared" si="12"/>
        <v>-0.99</v>
      </c>
      <c r="H58">
        <f t="shared" si="13"/>
        <v>-3.0001010101010195E-2</v>
      </c>
      <c r="I58">
        <f t="shared" si="14"/>
        <v>-1.01</v>
      </c>
      <c r="J58">
        <f t="shared" si="15"/>
        <v>3.0000990099009917E-2</v>
      </c>
      <c r="K58">
        <f t="shared" si="16"/>
        <v>-3.0001000100010056</v>
      </c>
    </row>
    <row r="59" spans="1:11" hidden="1" x14ac:dyDescent="0.25">
      <c r="A59" s="4">
        <f t="shared" si="17"/>
        <v>-2.4000000000000092</v>
      </c>
      <c r="B59" s="4">
        <f t="shared" si="10"/>
        <v>5.343333333333379</v>
      </c>
      <c r="C59"/>
      <c r="D59" s="3">
        <f t="shared" si="18"/>
        <v>0</v>
      </c>
      <c r="E59">
        <f t="shared" si="19"/>
        <v>-1</v>
      </c>
      <c r="F59">
        <f t="shared" si="11"/>
        <v>0</v>
      </c>
      <c r="G59">
        <f t="shared" si="12"/>
        <v>-0.99</v>
      </c>
      <c r="H59">
        <f t="shared" si="13"/>
        <v>-3.0001010101010195E-2</v>
      </c>
      <c r="I59">
        <f t="shared" si="14"/>
        <v>-1.01</v>
      </c>
      <c r="J59">
        <f t="shared" si="15"/>
        <v>3.0000990099009917E-2</v>
      </c>
      <c r="K59">
        <f t="shared" si="16"/>
        <v>-3.0001000100010056</v>
      </c>
    </row>
    <row r="60" spans="1:11" hidden="1" x14ac:dyDescent="0.25">
      <c r="A60" s="4">
        <f t="shared" si="17"/>
        <v>-2.3500000000000094</v>
      </c>
      <c r="B60" s="4">
        <f t="shared" si="10"/>
        <v>5.096968085106429</v>
      </c>
      <c r="C60"/>
      <c r="D60" s="3">
        <f t="shared" si="18"/>
        <v>0</v>
      </c>
      <c r="E60">
        <f t="shared" si="19"/>
        <v>-1</v>
      </c>
      <c r="F60">
        <f t="shared" si="11"/>
        <v>0</v>
      </c>
      <c r="G60">
        <f t="shared" si="12"/>
        <v>-0.99</v>
      </c>
      <c r="H60">
        <f t="shared" si="13"/>
        <v>-3.0001010101010195E-2</v>
      </c>
      <c r="I60">
        <f t="shared" si="14"/>
        <v>-1.01</v>
      </c>
      <c r="J60">
        <f t="shared" si="15"/>
        <v>3.0000990099009917E-2</v>
      </c>
      <c r="K60">
        <f t="shared" si="16"/>
        <v>-3.0001000100010056</v>
      </c>
    </row>
    <row r="61" spans="1:11" hidden="1" x14ac:dyDescent="0.25">
      <c r="A61" s="4">
        <f t="shared" si="17"/>
        <v>-2.3000000000000096</v>
      </c>
      <c r="B61" s="4">
        <f t="shared" si="10"/>
        <v>4.8552173913043939</v>
      </c>
      <c r="C61"/>
      <c r="D61" s="3">
        <f t="shared" si="18"/>
        <v>0</v>
      </c>
      <c r="E61">
        <f t="shared" si="19"/>
        <v>-1</v>
      </c>
      <c r="F61">
        <f t="shared" si="11"/>
        <v>0</v>
      </c>
      <c r="G61">
        <f t="shared" si="12"/>
        <v>-0.99</v>
      </c>
      <c r="H61">
        <f t="shared" si="13"/>
        <v>-3.0001010101010195E-2</v>
      </c>
      <c r="I61">
        <f t="shared" si="14"/>
        <v>-1.01</v>
      </c>
      <c r="J61">
        <f t="shared" si="15"/>
        <v>3.0000990099009917E-2</v>
      </c>
      <c r="K61">
        <f t="shared" si="16"/>
        <v>-3.0001000100010056</v>
      </c>
    </row>
    <row r="62" spans="1:11" hidden="1" x14ac:dyDescent="0.25">
      <c r="A62" s="4">
        <f t="shared" si="17"/>
        <v>-2.2500000000000098</v>
      </c>
      <c r="B62" s="4">
        <f t="shared" si="10"/>
        <v>4.6180555555556015</v>
      </c>
      <c r="C62"/>
      <c r="D62" s="3">
        <f t="shared" si="18"/>
        <v>0</v>
      </c>
      <c r="E62">
        <f t="shared" si="19"/>
        <v>-1</v>
      </c>
      <c r="F62">
        <f t="shared" si="11"/>
        <v>0</v>
      </c>
      <c r="G62">
        <f t="shared" si="12"/>
        <v>-0.99</v>
      </c>
      <c r="H62">
        <f t="shared" si="13"/>
        <v>-3.0001010101010195E-2</v>
      </c>
      <c r="I62">
        <f t="shared" si="14"/>
        <v>-1.01</v>
      </c>
      <c r="J62">
        <f t="shared" si="15"/>
        <v>3.0000990099009917E-2</v>
      </c>
      <c r="K62">
        <f t="shared" si="16"/>
        <v>-3.0001000100010056</v>
      </c>
    </row>
    <row r="63" spans="1:11" hidden="1" x14ac:dyDescent="0.25">
      <c r="A63" s="4">
        <f t="shared" si="17"/>
        <v>-2.2000000000000099</v>
      </c>
      <c r="B63" s="4">
        <f t="shared" si="10"/>
        <v>4.385454545454591</v>
      </c>
      <c r="C63"/>
      <c r="D63" s="3">
        <f t="shared" si="18"/>
        <v>0</v>
      </c>
      <c r="E63">
        <f t="shared" si="19"/>
        <v>-1</v>
      </c>
      <c r="F63">
        <f t="shared" si="11"/>
        <v>0</v>
      </c>
      <c r="G63">
        <f t="shared" si="12"/>
        <v>-0.99</v>
      </c>
      <c r="H63">
        <f t="shared" si="13"/>
        <v>-3.0001010101010195E-2</v>
      </c>
      <c r="I63">
        <f t="shared" si="14"/>
        <v>-1.01</v>
      </c>
      <c r="J63">
        <f t="shared" si="15"/>
        <v>3.0000990099009917E-2</v>
      </c>
      <c r="K63">
        <f t="shared" si="16"/>
        <v>-3.0001000100010056</v>
      </c>
    </row>
    <row r="64" spans="1:11" hidden="1" x14ac:dyDescent="0.25">
      <c r="A64" s="4">
        <f t="shared" si="17"/>
        <v>-2.1500000000000101</v>
      </c>
      <c r="B64" s="4">
        <f t="shared" si="10"/>
        <v>4.1573837209302775</v>
      </c>
      <c r="C64"/>
      <c r="D64" s="3">
        <f t="shared" si="18"/>
        <v>0</v>
      </c>
      <c r="E64">
        <f t="shared" si="19"/>
        <v>-1</v>
      </c>
      <c r="F64">
        <f t="shared" si="11"/>
        <v>0</v>
      </c>
      <c r="G64">
        <f t="shared" si="12"/>
        <v>-0.99</v>
      </c>
      <c r="H64">
        <f t="shared" si="13"/>
        <v>-3.0001010101010195E-2</v>
      </c>
      <c r="I64">
        <f t="shared" si="14"/>
        <v>-1.01</v>
      </c>
      <c r="J64">
        <f t="shared" si="15"/>
        <v>3.0000990099009917E-2</v>
      </c>
      <c r="K64">
        <f t="shared" si="16"/>
        <v>-3.0001000100010056</v>
      </c>
    </row>
    <row r="65" spans="1:11" hidden="1" x14ac:dyDescent="0.25">
      <c r="A65" s="4">
        <f t="shared" si="17"/>
        <v>-2.1000000000000103</v>
      </c>
      <c r="B65" s="4">
        <f t="shared" si="10"/>
        <v>3.9338095238095701</v>
      </c>
      <c r="C65"/>
      <c r="D65" s="3">
        <f t="shared" si="18"/>
        <v>0</v>
      </c>
      <c r="E65">
        <f t="shared" si="19"/>
        <v>-1</v>
      </c>
      <c r="F65">
        <f t="shared" si="11"/>
        <v>0</v>
      </c>
      <c r="G65">
        <f t="shared" si="12"/>
        <v>-0.99</v>
      </c>
      <c r="H65">
        <f t="shared" si="13"/>
        <v>-3.0001010101010195E-2</v>
      </c>
      <c r="I65">
        <f t="shared" si="14"/>
        <v>-1.01</v>
      </c>
      <c r="J65">
        <f t="shared" si="15"/>
        <v>3.0000990099009917E-2</v>
      </c>
      <c r="K65">
        <f t="shared" si="16"/>
        <v>-3.0001000100010056</v>
      </c>
    </row>
    <row r="66" spans="1:11" hidden="1" x14ac:dyDescent="0.25">
      <c r="A66" s="4">
        <f t="shared" si="17"/>
        <v>-2.0500000000000105</v>
      </c>
      <c r="B66" s="4">
        <f t="shared" si="10"/>
        <v>3.7146951219512654</v>
      </c>
      <c r="C66"/>
      <c r="D66" s="3">
        <f t="shared" si="18"/>
        <v>0</v>
      </c>
      <c r="E66">
        <f t="shared" si="19"/>
        <v>-1</v>
      </c>
      <c r="F66">
        <f t="shared" si="11"/>
        <v>0</v>
      </c>
      <c r="G66">
        <f t="shared" si="12"/>
        <v>-0.99</v>
      </c>
      <c r="H66">
        <f t="shared" si="13"/>
        <v>-3.0001010101010195E-2</v>
      </c>
      <c r="I66">
        <f t="shared" si="14"/>
        <v>-1.01</v>
      </c>
      <c r="J66">
        <f t="shared" si="15"/>
        <v>3.0000990099009917E-2</v>
      </c>
      <c r="K66">
        <f t="shared" si="16"/>
        <v>-3.0001000100010056</v>
      </c>
    </row>
    <row r="67" spans="1:11" hidden="1" x14ac:dyDescent="0.25">
      <c r="A67" s="4">
        <f t="shared" si="17"/>
        <v>-2.0000000000000107</v>
      </c>
      <c r="B67" s="4">
        <f t="shared" si="10"/>
        <v>3.5000000000000453</v>
      </c>
      <c r="C67"/>
      <c r="D67" s="3">
        <f t="shared" si="18"/>
        <v>0</v>
      </c>
      <c r="E67">
        <f t="shared" si="19"/>
        <v>-1</v>
      </c>
      <c r="F67">
        <f t="shared" si="11"/>
        <v>0</v>
      </c>
      <c r="G67">
        <f t="shared" si="12"/>
        <v>-0.99</v>
      </c>
      <c r="H67">
        <f t="shared" si="13"/>
        <v>-3.0001010101010195E-2</v>
      </c>
      <c r="I67">
        <f t="shared" si="14"/>
        <v>-1.01</v>
      </c>
      <c r="J67">
        <f t="shared" si="15"/>
        <v>3.0000990099009917E-2</v>
      </c>
      <c r="K67">
        <f t="shared" si="16"/>
        <v>-3.0001000100010056</v>
      </c>
    </row>
    <row r="68" spans="1:11" hidden="1" x14ac:dyDescent="0.25">
      <c r="A68" s="4">
        <f t="shared" si="17"/>
        <v>-1.9500000000000106</v>
      </c>
      <c r="B68" s="4">
        <f t="shared" si="10"/>
        <v>3.2896794871795314</v>
      </c>
      <c r="C68"/>
      <c r="D68" s="3">
        <f t="shared" si="18"/>
        <v>0</v>
      </c>
      <c r="E68">
        <f t="shared" si="19"/>
        <v>-1</v>
      </c>
      <c r="F68">
        <f t="shared" si="11"/>
        <v>0</v>
      </c>
      <c r="G68">
        <f t="shared" si="12"/>
        <v>-0.99</v>
      </c>
      <c r="H68">
        <f t="shared" si="13"/>
        <v>-3.0001010101010195E-2</v>
      </c>
      <c r="I68">
        <f t="shared" si="14"/>
        <v>-1.01</v>
      </c>
      <c r="J68">
        <f t="shared" si="15"/>
        <v>3.0000990099009917E-2</v>
      </c>
      <c r="K68">
        <f t="shared" si="16"/>
        <v>-3.0001000100010056</v>
      </c>
    </row>
    <row r="69" spans="1:11" hidden="1" x14ac:dyDescent="0.25">
      <c r="A69" s="4">
        <f t="shared" si="17"/>
        <v>-1.9000000000000106</v>
      </c>
      <c r="B69" s="4">
        <f t="shared" si="10"/>
        <v>3.0836842105263589</v>
      </c>
      <c r="C69"/>
      <c r="D69" s="3">
        <f t="shared" si="18"/>
        <v>0</v>
      </c>
      <c r="E69">
        <f t="shared" si="19"/>
        <v>-1</v>
      </c>
      <c r="F69">
        <f t="shared" si="11"/>
        <v>0</v>
      </c>
      <c r="G69">
        <f t="shared" si="12"/>
        <v>-0.99</v>
      </c>
      <c r="H69">
        <f t="shared" si="13"/>
        <v>-3.0001010101010195E-2</v>
      </c>
      <c r="I69">
        <f t="shared" si="14"/>
        <v>-1.01</v>
      </c>
      <c r="J69">
        <f t="shared" si="15"/>
        <v>3.0000990099009917E-2</v>
      </c>
      <c r="K69">
        <f t="shared" si="16"/>
        <v>-3.0001000100010056</v>
      </c>
    </row>
    <row r="70" spans="1:11" hidden="1" x14ac:dyDescent="0.25">
      <c r="A70" s="4">
        <f t="shared" si="17"/>
        <v>-1.8500000000000105</v>
      </c>
      <c r="B70" s="4">
        <f t="shared" si="10"/>
        <v>2.8819594594595017</v>
      </c>
      <c r="C70"/>
      <c r="D70" s="3">
        <f t="shared" si="18"/>
        <v>0</v>
      </c>
      <c r="E70">
        <f t="shared" si="19"/>
        <v>-1</v>
      </c>
      <c r="F70">
        <f t="shared" si="11"/>
        <v>0</v>
      </c>
      <c r="G70">
        <f t="shared" si="12"/>
        <v>-0.99</v>
      </c>
      <c r="H70">
        <f t="shared" si="13"/>
        <v>-3.0001010101010195E-2</v>
      </c>
      <c r="I70">
        <f t="shared" si="14"/>
        <v>-1.01</v>
      </c>
      <c r="J70">
        <f t="shared" si="15"/>
        <v>3.0000990099009917E-2</v>
      </c>
      <c r="K70">
        <f t="shared" si="16"/>
        <v>-3.0001000100010056</v>
      </c>
    </row>
    <row r="71" spans="1:11" hidden="1" x14ac:dyDescent="0.25">
      <c r="A71" s="4">
        <f t="shared" si="17"/>
        <v>-1.8000000000000105</v>
      </c>
      <c r="B71" s="4">
        <f t="shared" ref="B71:B102" si="20">A71^2+1/A71</f>
        <v>2.6844444444444853</v>
      </c>
      <c r="C71"/>
      <c r="D71" s="3">
        <f t="shared" si="18"/>
        <v>0</v>
      </c>
      <c r="E71">
        <f t="shared" si="19"/>
        <v>-1</v>
      </c>
      <c r="F71">
        <f t="shared" ref="F71:F102" si="21">E71^2+1/E71</f>
        <v>0</v>
      </c>
      <c r="G71">
        <f t="shared" ref="G71:G102" si="22">E71+$F$5</f>
        <v>-0.99</v>
      </c>
      <c r="H71">
        <f t="shared" ref="H71:H102" si="23">G71^2+1/G71</f>
        <v>-3.0001010101010195E-2</v>
      </c>
      <c r="I71">
        <f t="shared" ref="I71:I102" si="24">E71-$F$5</f>
        <v>-1.01</v>
      </c>
      <c r="J71">
        <f t="shared" ref="J71:J102" si="25">I71^2+1/I71</f>
        <v>3.0000990099009917E-2</v>
      </c>
      <c r="K71">
        <f t="shared" ref="K71:K102" si="26">(H71-J71)/(2*$F$5)</f>
        <v>-3.0001000100010056</v>
      </c>
    </row>
    <row r="72" spans="1:11" hidden="1" x14ac:dyDescent="0.25">
      <c r="A72" s="4">
        <f t="shared" ref="A72:A103" si="27">A71+$B$2</f>
        <v>-1.7500000000000104</v>
      </c>
      <c r="B72" s="4">
        <f t="shared" si="20"/>
        <v>2.4910714285714683</v>
      </c>
      <c r="C72"/>
      <c r="D72" s="3">
        <f t="shared" ref="D72:D103" si="28">E72/E71-1</f>
        <v>0</v>
      </c>
      <c r="E72">
        <f t="shared" ref="E72:E108" si="29">E71-F71/K71</f>
        <v>-1</v>
      </c>
      <c r="F72">
        <f t="shared" si="21"/>
        <v>0</v>
      </c>
      <c r="G72">
        <f t="shared" si="22"/>
        <v>-0.99</v>
      </c>
      <c r="H72">
        <f t="shared" si="23"/>
        <v>-3.0001010101010195E-2</v>
      </c>
      <c r="I72">
        <f t="shared" si="24"/>
        <v>-1.01</v>
      </c>
      <c r="J72">
        <f t="shared" si="25"/>
        <v>3.0000990099009917E-2</v>
      </c>
      <c r="K72">
        <f t="shared" si="26"/>
        <v>-3.0001000100010056</v>
      </c>
    </row>
    <row r="73" spans="1:11" hidden="1" x14ac:dyDescent="0.25">
      <c r="A73" s="4">
        <f t="shared" si="27"/>
        <v>-1.7000000000000104</v>
      </c>
      <c r="B73" s="4">
        <f t="shared" si="20"/>
        <v>2.301764705882392</v>
      </c>
      <c r="C73"/>
      <c r="D73" s="3">
        <f t="shared" si="28"/>
        <v>0</v>
      </c>
      <c r="E73">
        <f t="shared" si="29"/>
        <v>-1</v>
      </c>
      <c r="F73">
        <f t="shared" si="21"/>
        <v>0</v>
      </c>
      <c r="G73">
        <f t="shared" si="22"/>
        <v>-0.99</v>
      </c>
      <c r="H73">
        <f t="shared" si="23"/>
        <v>-3.0001010101010195E-2</v>
      </c>
      <c r="I73">
        <f t="shared" si="24"/>
        <v>-1.01</v>
      </c>
      <c r="J73">
        <f t="shared" si="25"/>
        <v>3.0000990099009917E-2</v>
      </c>
      <c r="K73">
        <f t="shared" si="26"/>
        <v>-3.0001000100010056</v>
      </c>
    </row>
    <row r="74" spans="1:11" hidden="1" x14ac:dyDescent="0.25">
      <c r="A74" s="4">
        <f t="shared" si="27"/>
        <v>-1.6500000000000103</v>
      </c>
      <c r="B74" s="4">
        <f t="shared" si="20"/>
        <v>2.1164393939394319</v>
      </c>
      <c r="C74"/>
      <c r="D74" s="3">
        <f t="shared" si="28"/>
        <v>0</v>
      </c>
      <c r="E74">
        <f t="shared" si="29"/>
        <v>-1</v>
      </c>
      <c r="F74">
        <f t="shared" si="21"/>
        <v>0</v>
      </c>
      <c r="G74">
        <f t="shared" si="22"/>
        <v>-0.99</v>
      </c>
      <c r="H74">
        <f t="shared" si="23"/>
        <v>-3.0001010101010195E-2</v>
      </c>
      <c r="I74">
        <f t="shared" si="24"/>
        <v>-1.01</v>
      </c>
      <c r="J74">
        <f t="shared" si="25"/>
        <v>3.0000990099009917E-2</v>
      </c>
      <c r="K74">
        <f t="shared" si="26"/>
        <v>-3.0001000100010056</v>
      </c>
    </row>
    <row r="75" spans="1:11" hidden="1" x14ac:dyDescent="0.25">
      <c r="A75" s="4">
        <f t="shared" si="27"/>
        <v>-1.6000000000000103</v>
      </c>
      <c r="B75" s="4">
        <f t="shared" si="20"/>
        <v>1.9350000000000369</v>
      </c>
      <c r="C75"/>
      <c r="D75" s="3">
        <f t="shared" si="28"/>
        <v>0</v>
      </c>
      <c r="E75">
        <f t="shared" si="29"/>
        <v>-1</v>
      </c>
      <c r="F75">
        <f t="shared" si="21"/>
        <v>0</v>
      </c>
      <c r="G75">
        <f t="shared" si="22"/>
        <v>-0.99</v>
      </c>
      <c r="H75">
        <f t="shared" si="23"/>
        <v>-3.0001010101010195E-2</v>
      </c>
      <c r="I75">
        <f t="shared" si="24"/>
        <v>-1.01</v>
      </c>
      <c r="J75">
        <f t="shared" si="25"/>
        <v>3.0000990099009917E-2</v>
      </c>
      <c r="K75">
        <f t="shared" si="26"/>
        <v>-3.0001000100010056</v>
      </c>
    </row>
    <row r="76" spans="1:11" hidden="1" x14ac:dyDescent="0.25">
      <c r="A76" s="4">
        <f t="shared" si="27"/>
        <v>-1.5500000000000103</v>
      </c>
      <c r="B76" s="4">
        <f t="shared" si="20"/>
        <v>1.7573387096774553</v>
      </c>
      <c r="C76"/>
      <c r="D76" s="3">
        <f t="shared" si="28"/>
        <v>0</v>
      </c>
      <c r="E76">
        <f t="shared" si="29"/>
        <v>-1</v>
      </c>
      <c r="F76">
        <f t="shared" si="21"/>
        <v>0</v>
      </c>
      <c r="G76">
        <f t="shared" si="22"/>
        <v>-0.99</v>
      </c>
      <c r="H76">
        <f t="shared" si="23"/>
        <v>-3.0001010101010195E-2</v>
      </c>
      <c r="I76">
        <f t="shared" si="24"/>
        <v>-1.01</v>
      </c>
      <c r="J76">
        <f t="shared" si="25"/>
        <v>3.0000990099009917E-2</v>
      </c>
      <c r="K76">
        <f t="shared" si="26"/>
        <v>-3.0001000100010056</v>
      </c>
    </row>
    <row r="77" spans="1:11" hidden="1" x14ac:dyDescent="0.25">
      <c r="A77" s="4">
        <f t="shared" si="27"/>
        <v>-1.5000000000000102</v>
      </c>
      <c r="B77" s="4">
        <f t="shared" si="20"/>
        <v>1.5833333333333686</v>
      </c>
      <c r="C77"/>
      <c r="D77" s="3">
        <f t="shared" si="28"/>
        <v>0</v>
      </c>
      <c r="E77">
        <f t="shared" si="29"/>
        <v>-1</v>
      </c>
      <c r="F77">
        <f t="shared" si="21"/>
        <v>0</v>
      </c>
      <c r="G77">
        <f t="shared" si="22"/>
        <v>-0.99</v>
      </c>
      <c r="H77">
        <f t="shared" si="23"/>
        <v>-3.0001010101010195E-2</v>
      </c>
      <c r="I77">
        <f t="shared" si="24"/>
        <v>-1.01</v>
      </c>
      <c r="J77">
        <f t="shared" si="25"/>
        <v>3.0000990099009917E-2</v>
      </c>
      <c r="K77">
        <f t="shared" si="26"/>
        <v>-3.0001000100010056</v>
      </c>
    </row>
    <row r="78" spans="1:11" hidden="1" x14ac:dyDescent="0.25">
      <c r="A78" s="4">
        <f t="shared" si="27"/>
        <v>-1.4500000000000102</v>
      </c>
      <c r="B78" s="4">
        <f t="shared" si="20"/>
        <v>1.4128448275862411</v>
      </c>
      <c r="C78"/>
      <c r="D78" s="3">
        <f t="shared" si="28"/>
        <v>0</v>
      </c>
      <c r="E78">
        <f t="shared" si="29"/>
        <v>-1</v>
      </c>
      <c r="F78">
        <f t="shared" si="21"/>
        <v>0</v>
      </c>
      <c r="G78">
        <f t="shared" si="22"/>
        <v>-0.99</v>
      </c>
      <c r="H78">
        <f t="shared" si="23"/>
        <v>-3.0001010101010195E-2</v>
      </c>
      <c r="I78">
        <f t="shared" si="24"/>
        <v>-1.01</v>
      </c>
      <c r="J78">
        <f t="shared" si="25"/>
        <v>3.0000990099009917E-2</v>
      </c>
      <c r="K78">
        <f t="shared" si="26"/>
        <v>-3.0001000100010056</v>
      </c>
    </row>
    <row r="79" spans="1:11" hidden="1" x14ac:dyDescent="0.25">
      <c r="A79" s="4">
        <f t="shared" si="27"/>
        <v>-1.4000000000000101</v>
      </c>
      <c r="B79" s="4">
        <f t="shared" si="20"/>
        <v>1.2457142857143193</v>
      </c>
      <c r="C79"/>
      <c r="D79" s="3">
        <f t="shared" si="28"/>
        <v>0</v>
      </c>
      <c r="E79">
        <f t="shared" si="29"/>
        <v>-1</v>
      </c>
      <c r="F79">
        <f t="shared" si="21"/>
        <v>0</v>
      </c>
      <c r="G79">
        <f t="shared" si="22"/>
        <v>-0.99</v>
      </c>
      <c r="H79">
        <f t="shared" si="23"/>
        <v>-3.0001010101010195E-2</v>
      </c>
      <c r="I79">
        <f t="shared" si="24"/>
        <v>-1.01</v>
      </c>
      <c r="J79">
        <f t="shared" si="25"/>
        <v>3.0000990099009917E-2</v>
      </c>
      <c r="K79">
        <f t="shared" si="26"/>
        <v>-3.0001000100010056</v>
      </c>
    </row>
    <row r="80" spans="1:11" hidden="1" x14ac:dyDescent="0.25">
      <c r="A80" s="4">
        <f t="shared" si="27"/>
        <v>-1.3500000000000101</v>
      </c>
      <c r="B80" s="4">
        <f t="shared" si="20"/>
        <v>1.0817592592592922</v>
      </c>
      <c r="C80"/>
      <c r="D80" s="3">
        <f t="shared" si="28"/>
        <v>0</v>
      </c>
      <c r="E80">
        <f t="shared" si="29"/>
        <v>-1</v>
      </c>
      <c r="F80">
        <f t="shared" si="21"/>
        <v>0</v>
      </c>
      <c r="G80">
        <f t="shared" si="22"/>
        <v>-0.99</v>
      </c>
      <c r="H80">
        <f t="shared" si="23"/>
        <v>-3.0001010101010195E-2</v>
      </c>
      <c r="I80">
        <f t="shared" si="24"/>
        <v>-1.01</v>
      </c>
      <c r="J80">
        <f t="shared" si="25"/>
        <v>3.0000990099009917E-2</v>
      </c>
      <c r="K80">
        <f t="shared" si="26"/>
        <v>-3.0001000100010056</v>
      </c>
    </row>
    <row r="81" spans="1:11" hidden="1" x14ac:dyDescent="0.25">
      <c r="A81" s="4">
        <f t="shared" si="27"/>
        <v>-1.30000000000001</v>
      </c>
      <c r="B81" s="4">
        <f t="shared" si="20"/>
        <v>0.92076923076926287</v>
      </c>
      <c r="C81"/>
      <c r="D81" s="3">
        <f t="shared" si="28"/>
        <v>0</v>
      </c>
      <c r="E81">
        <f t="shared" si="29"/>
        <v>-1</v>
      </c>
      <c r="F81">
        <f t="shared" si="21"/>
        <v>0</v>
      </c>
      <c r="G81">
        <f t="shared" si="22"/>
        <v>-0.99</v>
      </c>
      <c r="H81">
        <f t="shared" si="23"/>
        <v>-3.0001010101010195E-2</v>
      </c>
      <c r="I81">
        <f t="shared" si="24"/>
        <v>-1.01</v>
      </c>
      <c r="J81">
        <f t="shared" si="25"/>
        <v>3.0000990099009917E-2</v>
      </c>
      <c r="K81">
        <f t="shared" si="26"/>
        <v>-3.0001000100010056</v>
      </c>
    </row>
    <row r="82" spans="1:11" hidden="1" x14ac:dyDescent="0.25">
      <c r="A82" s="4">
        <f t="shared" si="27"/>
        <v>-1.25000000000001</v>
      </c>
      <c r="B82" s="4">
        <f t="shared" si="20"/>
        <v>0.76250000000003126</v>
      </c>
      <c r="C82"/>
      <c r="D82" s="3">
        <f t="shared" si="28"/>
        <v>0</v>
      </c>
      <c r="E82">
        <f t="shared" si="29"/>
        <v>-1</v>
      </c>
      <c r="F82">
        <f t="shared" si="21"/>
        <v>0</v>
      </c>
      <c r="G82">
        <f t="shared" si="22"/>
        <v>-0.99</v>
      </c>
      <c r="H82">
        <f t="shared" si="23"/>
        <v>-3.0001010101010195E-2</v>
      </c>
      <c r="I82">
        <f t="shared" si="24"/>
        <v>-1.01</v>
      </c>
      <c r="J82">
        <f t="shared" si="25"/>
        <v>3.0000990099009917E-2</v>
      </c>
      <c r="K82">
        <f t="shared" si="26"/>
        <v>-3.0001000100010056</v>
      </c>
    </row>
    <row r="83" spans="1:11" hidden="1" x14ac:dyDescent="0.25">
      <c r="A83" s="4">
        <f t="shared" si="27"/>
        <v>-1.2000000000000099</v>
      </c>
      <c r="B83" s="4">
        <f t="shared" si="20"/>
        <v>0.60666666666669755</v>
      </c>
      <c r="C83"/>
      <c r="D83" s="3">
        <f t="shared" si="28"/>
        <v>0</v>
      </c>
      <c r="E83">
        <f t="shared" si="29"/>
        <v>-1</v>
      </c>
      <c r="F83">
        <f t="shared" si="21"/>
        <v>0</v>
      </c>
      <c r="G83">
        <f t="shared" si="22"/>
        <v>-0.99</v>
      </c>
      <c r="H83">
        <f t="shared" si="23"/>
        <v>-3.0001010101010195E-2</v>
      </c>
      <c r="I83">
        <f t="shared" si="24"/>
        <v>-1.01</v>
      </c>
      <c r="J83">
        <f t="shared" si="25"/>
        <v>3.0000990099009917E-2</v>
      </c>
      <c r="K83">
        <f t="shared" si="26"/>
        <v>-3.0001000100010056</v>
      </c>
    </row>
    <row r="84" spans="1:11" hidden="1" x14ac:dyDescent="0.25">
      <c r="A84" s="4">
        <f t="shared" si="27"/>
        <v>-1.1500000000000099</v>
      </c>
      <c r="B84" s="4">
        <f t="shared" si="20"/>
        <v>0.45293478260872599</v>
      </c>
      <c r="C84"/>
      <c r="D84" s="3">
        <f t="shared" si="28"/>
        <v>0</v>
      </c>
      <c r="E84">
        <f t="shared" si="29"/>
        <v>-1</v>
      </c>
      <c r="F84">
        <f t="shared" si="21"/>
        <v>0</v>
      </c>
      <c r="G84">
        <f t="shared" si="22"/>
        <v>-0.99</v>
      </c>
      <c r="H84">
        <f t="shared" si="23"/>
        <v>-3.0001010101010195E-2</v>
      </c>
      <c r="I84">
        <f t="shared" si="24"/>
        <v>-1.01</v>
      </c>
      <c r="J84">
        <f t="shared" si="25"/>
        <v>3.0000990099009917E-2</v>
      </c>
      <c r="K84">
        <f t="shared" si="26"/>
        <v>-3.0001000100010056</v>
      </c>
    </row>
    <row r="85" spans="1:11" hidden="1" x14ac:dyDescent="0.25">
      <c r="A85" s="4">
        <f t="shared" si="27"/>
        <v>-1.1000000000000099</v>
      </c>
      <c r="B85" s="4">
        <f t="shared" si="20"/>
        <v>0.30090909090912077</v>
      </c>
      <c r="C85"/>
      <c r="D85" s="3">
        <f t="shared" si="28"/>
        <v>0</v>
      </c>
      <c r="E85">
        <f t="shared" si="29"/>
        <v>-1</v>
      </c>
      <c r="F85">
        <f t="shared" si="21"/>
        <v>0</v>
      </c>
      <c r="G85">
        <f t="shared" si="22"/>
        <v>-0.99</v>
      </c>
      <c r="H85">
        <f t="shared" si="23"/>
        <v>-3.0001010101010195E-2</v>
      </c>
      <c r="I85">
        <f t="shared" si="24"/>
        <v>-1.01</v>
      </c>
      <c r="J85">
        <f t="shared" si="25"/>
        <v>3.0000990099009917E-2</v>
      </c>
      <c r="K85">
        <f t="shared" si="26"/>
        <v>-3.0001000100010056</v>
      </c>
    </row>
    <row r="86" spans="1:11" hidden="1" x14ac:dyDescent="0.25">
      <c r="A86" s="4">
        <f t="shared" si="27"/>
        <v>-1.0500000000000098</v>
      </c>
      <c r="B86" s="4">
        <f t="shared" si="20"/>
        <v>0.15011904761907724</v>
      </c>
      <c r="C86"/>
      <c r="D86" s="3">
        <f t="shared" si="28"/>
        <v>0</v>
      </c>
      <c r="E86">
        <f t="shared" si="29"/>
        <v>-1</v>
      </c>
      <c r="F86">
        <f t="shared" si="21"/>
        <v>0</v>
      </c>
      <c r="G86">
        <f t="shared" si="22"/>
        <v>-0.99</v>
      </c>
      <c r="H86">
        <f t="shared" si="23"/>
        <v>-3.0001010101010195E-2</v>
      </c>
      <c r="I86">
        <f t="shared" si="24"/>
        <v>-1.01</v>
      </c>
      <c r="J86">
        <f t="shared" si="25"/>
        <v>3.0000990099009917E-2</v>
      </c>
      <c r="K86">
        <f t="shared" si="26"/>
        <v>-3.0001000100010056</v>
      </c>
    </row>
    <row r="87" spans="1:11" hidden="1" x14ac:dyDescent="0.25">
      <c r="A87" s="4">
        <f t="shared" si="27"/>
        <v>-1.0000000000000098</v>
      </c>
      <c r="B87" s="4">
        <f t="shared" si="20"/>
        <v>2.9309887850104133E-14</v>
      </c>
      <c r="C87"/>
      <c r="D87" s="3">
        <f t="shared" si="28"/>
        <v>0</v>
      </c>
      <c r="E87">
        <f t="shared" si="29"/>
        <v>-1</v>
      </c>
      <c r="F87">
        <f t="shared" si="21"/>
        <v>0</v>
      </c>
      <c r="G87">
        <f t="shared" si="22"/>
        <v>-0.99</v>
      </c>
      <c r="H87">
        <f t="shared" si="23"/>
        <v>-3.0001010101010195E-2</v>
      </c>
      <c r="I87">
        <f t="shared" si="24"/>
        <v>-1.01</v>
      </c>
      <c r="J87">
        <f t="shared" si="25"/>
        <v>3.0000990099009917E-2</v>
      </c>
      <c r="K87">
        <f t="shared" si="26"/>
        <v>-3.0001000100010056</v>
      </c>
    </row>
    <row r="88" spans="1:11" hidden="1" x14ac:dyDescent="0.25">
      <c r="A88" s="4">
        <f t="shared" si="27"/>
        <v>-0.95000000000000973</v>
      </c>
      <c r="B88" s="4">
        <f t="shared" si="20"/>
        <v>-0.15013157894733919</v>
      </c>
      <c r="C88"/>
      <c r="D88" s="3">
        <f t="shared" si="28"/>
        <v>0</v>
      </c>
      <c r="E88">
        <f t="shared" si="29"/>
        <v>-1</v>
      </c>
      <c r="F88">
        <f t="shared" si="21"/>
        <v>0</v>
      </c>
      <c r="G88">
        <f t="shared" si="22"/>
        <v>-0.99</v>
      </c>
      <c r="H88">
        <f t="shared" si="23"/>
        <v>-3.0001010101010195E-2</v>
      </c>
      <c r="I88">
        <f t="shared" si="24"/>
        <v>-1.01</v>
      </c>
      <c r="J88">
        <f t="shared" si="25"/>
        <v>3.0000990099009917E-2</v>
      </c>
      <c r="K88">
        <f t="shared" si="26"/>
        <v>-3.0001000100010056</v>
      </c>
    </row>
    <row r="89" spans="1:11" hidden="1" x14ac:dyDescent="0.25">
      <c r="A89" s="4">
        <f t="shared" si="27"/>
        <v>-0.90000000000000968</v>
      </c>
      <c r="B89" s="4">
        <f t="shared" si="20"/>
        <v>-0.3011111111110818</v>
      </c>
      <c r="C89"/>
      <c r="D89" s="3">
        <f t="shared" si="28"/>
        <v>0</v>
      </c>
      <c r="E89">
        <f t="shared" si="29"/>
        <v>-1</v>
      </c>
      <c r="F89">
        <f t="shared" si="21"/>
        <v>0</v>
      </c>
      <c r="G89">
        <f t="shared" si="22"/>
        <v>-0.99</v>
      </c>
      <c r="H89">
        <f t="shared" si="23"/>
        <v>-3.0001010101010195E-2</v>
      </c>
      <c r="I89">
        <f t="shared" si="24"/>
        <v>-1.01</v>
      </c>
      <c r="J89">
        <f t="shared" si="25"/>
        <v>3.0000990099009917E-2</v>
      </c>
      <c r="K89">
        <f t="shared" si="26"/>
        <v>-3.0001000100010056</v>
      </c>
    </row>
    <row r="90" spans="1:11" hidden="1" x14ac:dyDescent="0.25">
      <c r="A90" s="4">
        <f t="shared" si="27"/>
        <v>-0.85000000000000964</v>
      </c>
      <c r="B90" s="4">
        <f t="shared" si="20"/>
        <v>-0.45397058823526448</v>
      </c>
      <c r="C90"/>
      <c r="D90" s="3">
        <f t="shared" si="28"/>
        <v>0</v>
      </c>
      <c r="E90">
        <f t="shared" si="29"/>
        <v>-1</v>
      </c>
      <c r="F90">
        <f t="shared" si="21"/>
        <v>0</v>
      </c>
      <c r="G90">
        <f t="shared" si="22"/>
        <v>-0.99</v>
      </c>
      <c r="H90">
        <f t="shared" si="23"/>
        <v>-3.0001010101010195E-2</v>
      </c>
      <c r="I90">
        <f t="shared" si="24"/>
        <v>-1.01</v>
      </c>
      <c r="J90">
        <f t="shared" si="25"/>
        <v>3.0000990099009917E-2</v>
      </c>
      <c r="K90">
        <f t="shared" si="26"/>
        <v>-3.0001000100010056</v>
      </c>
    </row>
    <row r="91" spans="1:11" hidden="1" x14ac:dyDescent="0.25">
      <c r="A91" s="4">
        <f t="shared" si="27"/>
        <v>-0.80000000000000959</v>
      </c>
      <c r="B91" s="4">
        <f t="shared" si="20"/>
        <v>-0.60999999999996957</v>
      </c>
      <c r="C91"/>
      <c r="D91" s="3">
        <f t="shared" si="28"/>
        <v>0</v>
      </c>
      <c r="E91">
        <f t="shared" si="29"/>
        <v>-1</v>
      </c>
      <c r="F91">
        <f t="shared" si="21"/>
        <v>0</v>
      </c>
      <c r="G91">
        <f t="shared" si="22"/>
        <v>-0.99</v>
      </c>
      <c r="H91">
        <f t="shared" si="23"/>
        <v>-3.0001010101010195E-2</v>
      </c>
      <c r="I91">
        <f t="shared" si="24"/>
        <v>-1.01</v>
      </c>
      <c r="J91">
        <f t="shared" si="25"/>
        <v>3.0000990099009917E-2</v>
      </c>
      <c r="K91">
        <f t="shared" si="26"/>
        <v>-3.0001000100010056</v>
      </c>
    </row>
    <row r="92" spans="1:11" hidden="1" x14ac:dyDescent="0.25">
      <c r="A92" s="4">
        <f t="shared" si="27"/>
        <v>-0.75000000000000955</v>
      </c>
      <c r="B92" s="4">
        <f t="shared" si="20"/>
        <v>-0.77083333333330206</v>
      </c>
      <c r="C92"/>
      <c r="D92" s="3">
        <f t="shared" si="28"/>
        <v>0</v>
      </c>
      <c r="E92">
        <f t="shared" si="29"/>
        <v>-1</v>
      </c>
      <c r="F92">
        <f t="shared" si="21"/>
        <v>0</v>
      </c>
      <c r="G92">
        <f t="shared" si="22"/>
        <v>-0.99</v>
      </c>
      <c r="H92">
        <f t="shared" si="23"/>
        <v>-3.0001010101010195E-2</v>
      </c>
      <c r="I92">
        <f t="shared" si="24"/>
        <v>-1.01</v>
      </c>
      <c r="J92">
        <f t="shared" si="25"/>
        <v>3.0000990099009917E-2</v>
      </c>
      <c r="K92">
        <f t="shared" si="26"/>
        <v>-3.0001000100010056</v>
      </c>
    </row>
    <row r="93" spans="1:11" hidden="1" x14ac:dyDescent="0.25">
      <c r="A93" s="4">
        <f t="shared" si="27"/>
        <v>-0.7000000000000095</v>
      </c>
      <c r="B93" s="4">
        <f t="shared" si="20"/>
        <v>-0.93857142857139597</v>
      </c>
      <c r="C93"/>
      <c r="D93" s="3">
        <f t="shared" si="28"/>
        <v>0</v>
      </c>
      <c r="E93">
        <f t="shared" si="29"/>
        <v>-1</v>
      </c>
      <c r="F93">
        <f t="shared" si="21"/>
        <v>0</v>
      </c>
      <c r="G93">
        <f t="shared" si="22"/>
        <v>-0.99</v>
      </c>
      <c r="H93">
        <f t="shared" si="23"/>
        <v>-3.0001010101010195E-2</v>
      </c>
      <c r="I93">
        <f t="shared" si="24"/>
        <v>-1.01</v>
      </c>
      <c r="J93">
        <f t="shared" si="25"/>
        <v>3.0000990099009917E-2</v>
      </c>
      <c r="K93">
        <f t="shared" si="26"/>
        <v>-3.0001000100010056</v>
      </c>
    </row>
    <row r="94" spans="1:11" hidden="1" x14ac:dyDescent="0.25">
      <c r="A94" s="4">
        <f t="shared" si="27"/>
        <v>-0.65000000000000946</v>
      </c>
      <c r="B94" s="4">
        <f t="shared" si="20"/>
        <v>-1.1159615384615038</v>
      </c>
      <c r="C94"/>
      <c r="D94" s="3">
        <f t="shared" si="28"/>
        <v>0</v>
      </c>
      <c r="E94">
        <f t="shared" si="29"/>
        <v>-1</v>
      </c>
      <c r="F94">
        <f t="shared" si="21"/>
        <v>0</v>
      </c>
      <c r="G94">
        <f t="shared" si="22"/>
        <v>-0.99</v>
      </c>
      <c r="H94">
        <f t="shared" si="23"/>
        <v>-3.0001010101010195E-2</v>
      </c>
      <c r="I94">
        <f t="shared" si="24"/>
        <v>-1.01</v>
      </c>
      <c r="J94">
        <f t="shared" si="25"/>
        <v>3.0000990099009917E-2</v>
      </c>
      <c r="K94">
        <f t="shared" si="26"/>
        <v>-3.0001000100010056</v>
      </c>
    </row>
    <row r="95" spans="1:11" hidden="1" x14ac:dyDescent="0.25">
      <c r="A95" s="4">
        <f t="shared" si="27"/>
        <v>-0.60000000000000941</v>
      </c>
      <c r="B95" s="4">
        <f t="shared" si="20"/>
        <v>-1.3066666666666293</v>
      </c>
      <c r="C95"/>
      <c r="D95" s="3">
        <f t="shared" si="28"/>
        <v>0</v>
      </c>
      <c r="E95">
        <f t="shared" si="29"/>
        <v>-1</v>
      </c>
      <c r="F95">
        <f t="shared" si="21"/>
        <v>0</v>
      </c>
      <c r="G95">
        <f t="shared" si="22"/>
        <v>-0.99</v>
      </c>
      <c r="H95">
        <f t="shared" si="23"/>
        <v>-3.0001010101010195E-2</v>
      </c>
      <c r="I95">
        <f t="shared" si="24"/>
        <v>-1.01</v>
      </c>
      <c r="J95">
        <f t="shared" si="25"/>
        <v>3.0000990099009917E-2</v>
      </c>
      <c r="K95">
        <f t="shared" si="26"/>
        <v>-3.0001000100010056</v>
      </c>
    </row>
    <row r="96" spans="1:11" hidden="1" x14ac:dyDescent="0.25">
      <c r="A96" s="4">
        <f t="shared" si="27"/>
        <v>-0.55000000000000937</v>
      </c>
      <c r="B96" s="4">
        <f t="shared" si="20"/>
        <v>-1.5156818181817768</v>
      </c>
      <c r="C96"/>
      <c r="D96" s="3">
        <f t="shared" si="28"/>
        <v>0</v>
      </c>
      <c r="E96">
        <f t="shared" si="29"/>
        <v>-1</v>
      </c>
      <c r="F96">
        <f t="shared" si="21"/>
        <v>0</v>
      </c>
      <c r="G96">
        <f t="shared" si="22"/>
        <v>-0.99</v>
      </c>
      <c r="H96">
        <f t="shared" si="23"/>
        <v>-3.0001010101010195E-2</v>
      </c>
      <c r="I96">
        <f t="shared" si="24"/>
        <v>-1.01</v>
      </c>
      <c r="J96">
        <f t="shared" si="25"/>
        <v>3.0000990099009917E-2</v>
      </c>
      <c r="K96">
        <f t="shared" si="26"/>
        <v>-3.0001000100010056</v>
      </c>
    </row>
    <row r="97" spans="1:11" hidden="1" x14ac:dyDescent="0.25">
      <c r="A97" s="4">
        <f t="shared" si="27"/>
        <v>-0.50000000000000933</v>
      </c>
      <c r="B97" s="4">
        <f t="shared" si="20"/>
        <v>-1.7499999999999534</v>
      </c>
      <c r="C97"/>
      <c r="D97" s="3">
        <f t="shared" si="28"/>
        <v>0</v>
      </c>
      <c r="E97">
        <f t="shared" si="29"/>
        <v>-1</v>
      </c>
      <c r="F97">
        <f t="shared" si="21"/>
        <v>0</v>
      </c>
      <c r="G97">
        <f t="shared" si="22"/>
        <v>-0.99</v>
      </c>
      <c r="H97">
        <f t="shared" si="23"/>
        <v>-3.0001010101010195E-2</v>
      </c>
      <c r="I97">
        <f t="shared" si="24"/>
        <v>-1.01</v>
      </c>
      <c r="J97">
        <f t="shared" si="25"/>
        <v>3.0000990099009917E-2</v>
      </c>
      <c r="K97">
        <f t="shared" si="26"/>
        <v>-3.0001000100010056</v>
      </c>
    </row>
    <row r="98" spans="1:11" hidden="1" x14ac:dyDescent="0.25">
      <c r="A98" s="4">
        <f t="shared" si="27"/>
        <v>-0.45000000000000934</v>
      </c>
      <c r="B98" s="4">
        <f t="shared" si="20"/>
        <v>-2.0197222222221676</v>
      </c>
      <c r="C98"/>
      <c r="D98" s="3">
        <f t="shared" si="28"/>
        <v>0</v>
      </c>
      <c r="E98">
        <f t="shared" si="29"/>
        <v>-1</v>
      </c>
      <c r="F98">
        <f t="shared" si="21"/>
        <v>0</v>
      </c>
      <c r="G98">
        <f t="shared" si="22"/>
        <v>-0.99</v>
      </c>
      <c r="H98">
        <f t="shared" si="23"/>
        <v>-3.0001010101010195E-2</v>
      </c>
      <c r="I98">
        <f t="shared" si="24"/>
        <v>-1.01</v>
      </c>
      <c r="J98">
        <f t="shared" si="25"/>
        <v>3.0000990099009917E-2</v>
      </c>
      <c r="K98">
        <f t="shared" si="26"/>
        <v>-3.0001000100010056</v>
      </c>
    </row>
    <row r="99" spans="1:11" hidden="1" x14ac:dyDescent="0.25">
      <c r="A99" s="4">
        <f t="shared" si="27"/>
        <v>-0.40000000000000935</v>
      </c>
      <c r="B99" s="4">
        <f t="shared" si="20"/>
        <v>-2.3399999999999341</v>
      </c>
      <c r="C99"/>
      <c r="D99" s="3">
        <f t="shared" si="28"/>
        <v>0</v>
      </c>
      <c r="E99">
        <f t="shared" si="29"/>
        <v>-1</v>
      </c>
      <c r="F99">
        <f t="shared" si="21"/>
        <v>0</v>
      </c>
      <c r="G99">
        <f t="shared" si="22"/>
        <v>-0.99</v>
      </c>
      <c r="H99">
        <f t="shared" si="23"/>
        <v>-3.0001010101010195E-2</v>
      </c>
      <c r="I99">
        <f t="shared" si="24"/>
        <v>-1.01</v>
      </c>
      <c r="J99">
        <f t="shared" si="25"/>
        <v>3.0000990099009917E-2</v>
      </c>
      <c r="K99">
        <f t="shared" si="26"/>
        <v>-3.0001000100010056</v>
      </c>
    </row>
    <row r="100" spans="1:11" hidden="1" x14ac:dyDescent="0.25">
      <c r="A100" s="4">
        <f t="shared" si="27"/>
        <v>-0.35000000000000936</v>
      </c>
      <c r="B100" s="4">
        <f t="shared" si="20"/>
        <v>-2.7346428571427741</v>
      </c>
      <c r="C100"/>
      <c r="D100" s="3">
        <f t="shared" si="28"/>
        <v>0</v>
      </c>
      <c r="E100">
        <f t="shared" si="29"/>
        <v>-1</v>
      </c>
      <c r="F100">
        <f t="shared" si="21"/>
        <v>0</v>
      </c>
      <c r="G100">
        <f t="shared" si="22"/>
        <v>-0.99</v>
      </c>
      <c r="H100">
        <f t="shared" si="23"/>
        <v>-3.0001010101010195E-2</v>
      </c>
      <c r="I100">
        <f t="shared" si="24"/>
        <v>-1.01</v>
      </c>
      <c r="J100">
        <f t="shared" si="25"/>
        <v>3.0000990099009917E-2</v>
      </c>
      <c r="K100">
        <f t="shared" si="26"/>
        <v>-3.0001000100010056</v>
      </c>
    </row>
    <row r="101" spans="1:11" hidden="1" x14ac:dyDescent="0.25">
      <c r="A101" s="4">
        <f t="shared" si="27"/>
        <v>-0.30000000000000937</v>
      </c>
      <c r="B101" s="4">
        <f t="shared" si="20"/>
        <v>-3.2433333333332235</v>
      </c>
      <c r="C101"/>
      <c r="D101" s="3">
        <f t="shared" si="28"/>
        <v>0</v>
      </c>
      <c r="E101">
        <f t="shared" si="29"/>
        <v>-1</v>
      </c>
      <c r="F101">
        <f t="shared" si="21"/>
        <v>0</v>
      </c>
      <c r="G101">
        <f t="shared" si="22"/>
        <v>-0.99</v>
      </c>
      <c r="H101">
        <f t="shared" si="23"/>
        <v>-3.0001010101010195E-2</v>
      </c>
      <c r="I101">
        <f t="shared" si="24"/>
        <v>-1.01</v>
      </c>
      <c r="J101">
        <f t="shared" si="25"/>
        <v>3.0000990099009917E-2</v>
      </c>
      <c r="K101">
        <f t="shared" si="26"/>
        <v>-3.0001000100010056</v>
      </c>
    </row>
    <row r="102" spans="1:11" hidden="1" x14ac:dyDescent="0.25">
      <c r="A102" s="4">
        <f t="shared" si="27"/>
        <v>-0.25000000000000938</v>
      </c>
      <c r="B102" s="4">
        <f t="shared" si="20"/>
        <v>-3.937499999999845</v>
      </c>
      <c r="C102"/>
      <c r="D102" s="3">
        <f t="shared" si="28"/>
        <v>0</v>
      </c>
      <c r="E102">
        <f t="shared" si="29"/>
        <v>-1</v>
      </c>
      <c r="F102">
        <f t="shared" si="21"/>
        <v>0</v>
      </c>
      <c r="G102">
        <f t="shared" si="22"/>
        <v>-0.99</v>
      </c>
      <c r="H102">
        <f t="shared" si="23"/>
        <v>-3.0001010101010195E-2</v>
      </c>
      <c r="I102">
        <f t="shared" si="24"/>
        <v>-1.01</v>
      </c>
      <c r="J102">
        <f t="shared" si="25"/>
        <v>3.0000990099009917E-2</v>
      </c>
      <c r="K102">
        <f t="shared" si="26"/>
        <v>-3.0001000100010056</v>
      </c>
    </row>
    <row r="103" spans="1:11" hidden="1" x14ac:dyDescent="0.25">
      <c r="A103" s="4">
        <f t="shared" si="27"/>
        <v>-0.20000000000000939</v>
      </c>
      <c r="B103" s="4">
        <f t="shared" ref="B103:B106" si="30">A103^2+1/A103</f>
        <v>-4.9599999999997619</v>
      </c>
      <c r="C103"/>
      <c r="D103" s="3">
        <f t="shared" si="28"/>
        <v>0</v>
      </c>
      <c r="E103">
        <f t="shared" si="29"/>
        <v>-1</v>
      </c>
      <c r="F103">
        <f t="shared" ref="F103:F108" si="31">E103^2+1/E103</f>
        <v>0</v>
      </c>
      <c r="G103">
        <f t="shared" ref="G103:G108" si="32">E103+$F$5</f>
        <v>-0.99</v>
      </c>
      <c r="H103">
        <f t="shared" ref="H103:H108" si="33">G103^2+1/G103</f>
        <v>-3.0001010101010195E-2</v>
      </c>
      <c r="I103">
        <f t="shared" ref="I103:I108" si="34">E103-$F$5</f>
        <v>-1.01</v>
      </c>
      <c r="J103">
        <f t="shared" ref="J103:J108" si="35">I103^2+1/I103</f>
        <v>3.0000990099009917E-2</v>
      </c>
      <c r="K103">
        <f t="shared" ref="K103:K108" si="36">(H103-J103)/(2*$F$5)</f>
        <v>-3.0001000100010056</v>
      </c>
    </row>
    <row r="104" spans="1:11" hidden="1" x14ac:dyDescent="0.25">
      <c r="A104" s="4">
        <f t="shared" ref="A104:A135" si="37">A103+$B$2</f>
        <v>-0.1500000000000094</v>
      </c>
      <c r="B104" s="4">
        <f t="shared" si="30"/>
        <v>-6.644166666666246</v>
      </c>
      <c r="C104"/>
      <c r="D104" s="3">
        <f t="shared" ref="D104:D108" si="38">E104/E103-1</f>
        <v>0</v>
      </c>
      <c r="E104">
        <f t="shared" si="29"/>
        <v>-1</v>
      </c>
      <c r="F104">
        <f t="shared" si="31"/>
        <v>0</v>
      </c>
      <c r="G104">
        <f t="shared" si="32"/>
        <v>-0.99</v>
      </c>
      <c r="H104">
        <f t="shared" si="33"/>
        <v>-3.0001010101010195E-2</v>
      </c>
      <c r="I104">
        <f t="shared" si="34"/>
        <v>-1.01</v>
      </c>
      <c r="J104">
        <f t="shared" si="35"/>
        <v>3.0000990099009917E-2</v>
      </c>
      <c r="K104">
        <f t="shared" si="36"/>
        <v>-3.0001000100010056</v>
      </c>
    </row>
    <row r="105" spans="1:11" x14ac:dyDescent="0.25">
      <c r="A105" s="4">
        <f t="shared" si="37"/>
        <v>-0.1000000000000094</v>
      </c>
      <c r="B105" s="4">
        <f t="shared" si="30"/>
        <v>-9.9899999999990587</v>
      </c>
      <c r="C105"/>
      <c r="D105" s="3">
        <f t="shared" si="38"/>
        <v>0</v>
      </c>
      <c r="E105">
        <f t="shared" si="29"/>
        <v>-1</v>
      </c>
      <c r="F105">
        <f t="shared" si="31"/>
        <v>0</v>
      </c>
      <c r="G105">
        <f t="shared" si="32"/>
        <v>-0.99</v>
      </c>
      <c r="H105">
        <f t="shared" si="33"/>
        <v>-3.0001010101010195E-2</v>
      </c>
      <c r="I105">
        <f t="shared" si="34"/>
        <v>-1.01</v>
      </c>
      <c r="J105">
        <f t="shared" si="35"/>
        <v>3.0000990099009917E-2</v>
      </c>
      <c r="K105">
        <f t="shared" si="36"/>
        <v>-3.0001000100010056</v>
      </c>
    </row>
    <row r="106" spans="1:11" x14ac:dyDescent="0.25">
      <c r="A106" s="4">
        <f t="shared" si="37"/>
        <v>-5.0000000000009398E-2</v>
      </c>
      <c r="B106" s="4">
        <f t="shared" si="30"/>
        <v>-19.99749999999624</v>
      </c>
      <c r="C106"/>
      <c r="D106" s="3">
        <f t="shared" si="38"/>
        <v>0</v>
      </c>
      <c r="E106">
        <f t="shared" si="29"/>
        <v>-1</v>
      </c>
      <c r="F106">
        <f t="shared" si="31"/>
        <v>0</v>
      </c>
      <c r="G106">
        <f t="shared" si="32"/>
        <v>-0.99</v>
      </c>
      <c r="H106">
        <f t="shared" si="33"/>
        <v>-3.0001010101010195E-2</v>
      </c>
      <c r="I106">
        <f t="shared" si="34"/>
        <v>-1.01</v>
      </c>
      <c r="J106">
        <f t="shared" si="35"/>
        <v>3.0000990099009917E-2</v>
      </c>
      <c r="K106">
        <f t="shared" si="36"/>
        <v>-3.0001000100010056</v>
      </c>
    </row>
    <row r="107" spans="1:11" x14ac:dyDescent="0.25">
      <c r="A107" s="4">
        <f t="shared" si="37"/>
        <v>-9.3952623458903872E-15</v>
      </c>
      <c r="C107" s="4" t="str">
        <f>IF(ABS(A107)&lt;10^(-5),"",A107^2+1/A107)</f>
        <v/>
      </c>
      <c r="D107" s="3">
        <f t="shared" si="38"/>
        <v>0</v>
      </c>
      <c r="E107">
        <f t="shared" si="29"/>
        <v>-1</v>
      </c>
      <c r="F107">
        <f t="shared" si="31"/>
        <v>0</v>
      </c>
      <c r="G107">
        <f t="shared" si="32"/>
        <v>-0.99</v>
      </c>
      <c r="H107">
        <f t="shared" si="33"/>
        <v>-3.0001010101010195E-2</v>
      </c>
      <c r="I107">
        <f t="shared" si="34"/>
        <v>-1.01</v>
      </c>
      <c r="J107">
        <f t="shared" si="35"/>
        <v>3.0000990099009917E-2</v>
      </c>
      <c r="K107">
        <f t="shared" si="36"/>
        <v>-3.0001000100010056</v>
      </c>
    </row>
    <row r="108" spans="1:11" x14ac:dyDescent="0.25">
      <c r="A108" s="4">
        <f t="shared" si="37"/>
        <v>4.9999999999990608E-2</v>
      </c>
      <c r="B108" s="4">
        <f t="shared" ref="B108:B139" si="39">A108^2+1/A108</f>
        <v>20.002500000003756</v>
      </c>
      <c r="D108" s="3">
        <f t="shared" si="38"/>
        <v>0</v>
      </c>
      <c r="E108">
        <f t="shared" si="29"/>
        <v>-1</v>
      </c>
      <c r="F108">
        <f t="shared" si="31"/>
        <v>0</v>
      </c>
      <c r="G108">
        <f t="shared" si="32"/>
        <v>-0.99</v>
      </c>
      <c r="H108">
        <f t="shared" si="33"/>
        <v>-3.0001010101010195E-2</v>
      </c>
      <c r="I108">
        <f t="shared" si="34"/>
        <v>-1.01</v>
      </c>
      <c r="J108">
        <f t="shared" si="35"/>
        <v>3.0000990099009917E-2</v>
      </c>
      <c r="K108">
        <f t="shared" si="36"/>
        <v>-3.0001000100010056</v>
      </c>
    </row>
    <row r="109" spans="1:11" x14ac:dyDescent="0.25">
      <c r="A109" s="4">
        <f t="shared" si="37"/>
        <v>9.999999999999061E-2</v>
      </c>
      <c r="B109" s="4">
        <f t="shared" si="39"/>
        <v>10.010000000000938</v>
      </c>
    </row>
    <row r="110" spans="1:11" x14ac:dyDescent="0.25">
      <c r="A110" s="4">
        <f t="shared" si="37"/>
        <v>0.14999999999999061</v>
      </c>
      <c r="B110" s="4">
        <f t="shared" si="39"/>
        <v>6.6891666666670808</v>
      </c>
    </row>
    <row r="111" spans="1:11" hidden="1" x14ac:dyDescent="0.25">
      <c r="A111" s="4">
        <f t="shared" si="37"/>
        <v>0.19999999999999063</v>
      </c>
      <c r="B111" s="4">
        <f t="shared" si="39"/>
        <v>5.040000000000231</v>
      </c>
    </row>
    <row r="112" spans="1:11" hidden="1" x14ac:dyDescent="0.25">
      <c r="A112" s="4">
        <f t="shared" si="37"/>
        <v>0.24999999999999062</v>
      </c>
      <c r="B112" s="4">
        <f t="shared" si="39"/>
        <v>4.0625000000001457</v>
      </c>
    </row>
    <row r="113" spans="1:2" hidden="1" x14ac:dyDescent="0.25">
      <c r="A113" s="4">
        <f t="shared" si="37"/>
        <v>0.29999999999999061</v>
      </c>
      <c r="B113" s="4">
        <f t="shared" si="39"/>
        <v>3.4233333333334324</v>
      </c>
    </row>
    <row r="114" spans="1:2" hidden="1" x14ac:dyDescent="0.25">
      <c r="A114" s="4">
        <f t="shared" si="37"/>
        <v>0.3499999999999906</v>
      </c>
      <c r="B114" s="4">
        <f t="shared" si="39"/>
        <v>2.9796428571429274</v>
      </c>
    </row>
    <row r="115" spans="1:2" hidden="1" x14ac:dyDescent="0.25">
      <c r="A115" s="4">
        <f t="shared" si="37"/>
        <v>0.39999999999999059</v>
      </c>
      <c r="B115" s="4">
        <f t="shared" si="39"/>
        <v>2.6600000000000512</v>
      </c>
    </row>
    <row r="116" spans="1:2" hidden="1" x14ac:dyDescent="0.25">
      <c r="A116" s="4">
        <f t="shared" si="37"/>
        <v>0.44999999999999057</v>
      </c>
      <c r="B116" s="4">
        <f t="shared" si="39"/>
        <v>2.4247222222222606</v>
      </c>
    </row>
    <row r="117" spans="1:2" hidden="1" x14ac:dyDescent="0.25">
      <c r="A117" s="4">
        <f t="shared" si="37"/>
        <v>0.49999999999999056</v>
      </c>
      <c r="B117" s="4">
        <f t="shared" si="39"/>
        <v>2.2500000000000284</v>
      </c>
    </row>
    <row r="118" spans="1:2" hidden="1" x14ac:dyDescent="0.25">
      <c r="A118" s="4">
        <f t="shared" si="37"/>
        <v>0.54999999999999061</v>
      </c>
      <c r="B118" s="4">
        <f t="shared" si="39"/>
        <v>2.120681818181839</v>
      </c>
    </row>
    <row r="119" spans="1:2" hidden="1" x14ac:dyDescent="0.25">
      <c r="A119" s="4">
        <f t="shared" si="37"/>
        <v>0.59999999999999065</v>
      </c>
      <c r="B119" s="4">
        <f t="shared" si="39"/>
        <v>2.0266666666666815</v>
      </c>
    </row>
    <row r="120" spans="1:2" hidden="1" x14ac:dyDescent="0.25">
      <c r="A120" s="4">
        <f t="shared" si="37"/>
        <v>0.6499999999999907</v>
      </c>
      <c r="B120" s="4">
        <f t="shared" si="39"/>
        <v>1.9609615384615484</v>
      </c>
    </row>
    <row r="121" spans="1:2" hidden="1" x14ac:dyDescent="0.25">
      <c r="A121" s="4">
        <f t="shared" si="37"/>
        <v>0.69999999999999074</v>
      </c>
      <c r="B121" s="4">
        <f t="shared" si="39"/>
        <v>1.9185714285714346</v>
      </c>
    </row>
    <row r="122" spans="1:2" hidden="1" x14ac:dyDescent="0.25">
      <c r="A122" s="4">
        <f t="shared" si="37"/>
        <v>0.74999999999999079</v>
      </c>
      <c r="B122" s="4">
        <f t="shared" si="39"/>
        <v>1.8958333333333359</v>
      </c>
    </row>
    <row r="123" spans="1:2" hidden="1" x14ac:dyDescent="0.25">
      <c r="A123" s="4">
        <f t="shared" si="37"/>
        <v>0.79999999999999083</v>
      </c>
      <c r="B123" s="4">
        <f t="shared" si="39"/>
        <v>1.8899999999999997</v>
      </c>
    </row>
    <row r="124" spans="1:2" hidden="1" x14ac:dyDescent="0.25">
      <c r="A124" s="4">
        <f t="shared" si="37"/>
        <v>0.84999999999999087</v>
      </c>
      <c r="B124" s="4">
        <f t="shared" si="39"/>
        <v>1.8989705882352914</v>
      </c>
    </row>
    <row r="125" spans="1:2" hidden="1" x14ac:dyDescent="0.25">
      <c r="A125" s="4">
        <f t="shared" si="37"/>
        <v>0.89999999999999092</v>
      </c>
      <c r="B125" s="4">
        <f t="shared" si="39"/>
        <v>1.9211111111111059</v>
      </c>
    </row>
    <row r="126" spans="1:2" hidden="1" x14ac:dyDescent="0.25">
      <c r="A126" s="4">
        <f t="shared" si="37"/>
        <v>0.94999999999999096</v>
      </c>
      <c r="B126" s="4">
        <f t="shared" si="39"/>
        <v>1.9551315789473613</v>
      </c>
    </row>
    <row r="127" spans="1:2" hidden="1" x14ac:dyDescent="0.25">
      <c r="A127" s="4">
        <f t="shared" si="37"/>
        <v>0.99999999999999101</v>
      </c>
      <c r="B127" s="4">
        <f t="shared" si="39"/>
        <v>1.9999999999999909</v>
      </c>
    </row>
    <row r="128" spans="1:2" hidden="1" x14ac:dyDescent="0.25">
      <c r="A128" s="4">
        <f t="shared" si="37"/>
        <v>1.0499999999999909</v>
      </c>
      <c r="B128" s="4">
        <f t="shared" si="39"/>
        <v>2.0548809523809415</v>
      </c>
    </row>
    <row r="129" spans="1:2" hidden="1" x14ac:dyDescent="0.25">
      <c r="A129" s="4">
        <f t="shared" si="37"/>
        <v>1.099999999999991</v>
      </c>
      <c r="B129" s="4">
        <f t="shared" si="39"/>
        <v>2.1190909090908967</v>
      </c>
    </row>
    <row r="130" spans="1:2" hidden="1" x14ac:dyDescent="0.25">
      <c r="A130" s="4">
        <f t="shared" si="37"/>
        <v>1.149999999999991</v>
      </c>
      <c r="B130" s="4">
        <f t="shared" si="39"/>
        <v>2.1920652173912902</v>
      </c>
    </row>
    <row r="131" spans="1:2" hidden="1" x14ac:dyDescent="0.25">
      <c r="A131" s="4">
        <f t="shared" si="37"/>
        <v>1.1999999999999911</v>
      </c>
      <c r="B131" s="4">
        <f t="shared" si="39"/>
        <v>2.2733333333333183</v>
      </c>
    </row>
    <row r="132" spans="1:2" hidden="1" x14ac:dyDescent="0.25">
      <c r="A132" s="4">
        <f t="shared" si="37"/>
        <v>1.2499999999999911</v>
      </c>
      <c r="B132" s="4">
        <f t="shared" si="39"/>
        <v>2.3624999999999834</v>
      </c>
    </row>
    <row r="133" spans="1:2" hidden="1" x14ac:dyDescent="0.25">
      <c r="A133" s="4">
        <f t="shared" si="37"/>
        <v>1.2999999999999912</v>
      </c>
      <c r="B133" s="4">
        <f t="shared" si="39"/>
        <v>2.4592307692307518</v>
      </c>
    </row>
    <row r="134" spans="1:2" hidden="1" x14ac:dyDescent="0.25">
      <c r="A134" s="4">
        <f t="shared" si="37"/>
        <v>1.3499999999999912</v>
      </c>
      <c r="B134" s="4">
        <f t="shared" si="39"/>
        <v>2.5632407407407216</v>
      </c>
    </row>
    <row r="135" spans="1:2" hidden="1" x14ac:dyDescent="0.25">
      <c r="A135" s="4">
        <f t="shared" si="37"/>
        <v>1.3999999999999913</v>
      </c>
      <c r="B135" s="4">
        <f t="shared" si="39"/>
        <v>2.6742857142856944</v>
      </c>
    </row>
    <row r="136" spans="1:2" hidden="1" x14ac:dyDescent="0.25">
      <c r="A136" s="4">
        <f t="shared" ref="A136:A167" si="40">A135+$B$2</f>
        <v>1.4499999999999913</v>
      </c>
      <c r="B136" s="4">
        <f t="shared" si="39"/>
        <v>2.7921551724137719</v>
      </c>
    </row>
    <row r="137" spans="1:2" hidden="1" x14ac:dyDescent="0.25">
      <c r="A137" s="4">
        <f t="shared" si="40"/>
        <v>1.4999999999999913</v>
      </c>
      <c r="B137" s="4">
        <f t="shared" si="39"/>
        <v>2.9166666666666448</v>
      </c>
    </row>
    <row r="138" spans="1:2" hidden="1" x14ac:dyDescent="0.25">
      <c r="A138" s="4">
        <f t="shared" si="40"/>
        <v>1.5499999999999914</v>
      </c>
      <c r="B138" s="4">
        <f t="shared" si="39"/>
        <v>3.0476612903225573</v>
      </c>
    </row>
    <row r="139" spans="1:2" hidden="1" x14ac:dyDescent="0.25">
      <c r="A139" s="4">
        <f t="shared" si="40"/>
        <v>1.5999999999999914</v>
      </c>
      <c r="B139" s="4">
        <f t="shared" si="39"/>
        <v>3.1849999999999756</v>
      </c>
    </row>
    <row r="140" spans="1:2" hidden="1" x14ac:dyDescent="0.25">
      <c r="A140" s="4">
        <f t="shared" si="40"/>
        <v>1.6499999999999915</v>
      </c>
      <c r="B140" s="4">
        <f t="shared" ref="B140:B171" si="41">A140^2+1/A140</f>
        <v>3.3285606060605808</v>
      </c>
    </row>
    <row r="141" spans="1:2" hidden="1" x14ac:dyDescent="0.25">
      <c r="A141" s="4">
        <f t="shared" si="40"/>
        <v>1.6999999999999915</v>
      </c>
      <c r="B141" s="4">
        <f t="shared" si="41"/>
        <v>3.4782352941176211</v>
      </c>
    </row>
    <row r="142" spans="1:2" hidden="1" x14ac:dyDescent="0.25">
      <c r="A142" s="4">
        <f t="shared" si="40"/>
        <v>1.7499999999999916</v>
      </c>
      <c r="B142" s="4">
        <f t="shared" si="41"/>
        <v>3.633928571428545</v>
      </c>
    </row>
    <row r="143" spans="1:2" hidden="1" x14ac:dyDescent="0.25">
      <c r="A143" s="4">
        <f t="shared" si="40"/>
        <v>1.7999999999999916</v>
      </c>
      <c r="B143" s="4">
        <f t="shared" si="41"/>
        <v>3.7955555555555276</v>
      </c>
    </row>
    <row r="144" spans="1:2" hidden="1" x14ac:dyDescent="0.25">
      <c r="A144" s="4">
        <f t="shared" si="40"/>
        <v>1.8499999999999917</v>
      </c>
      <c r="B144" s="4">
        <f t="shared" si="41"/>
        <v>3.9630405405405122</v>
      </c>
    </row>
    <row r="145" spans="1:2" hidden="1" x14ac:dyDescent="0.25">
      <c r="A145" s="4">
        <f t="shared" si="40"/>
        <v>1.8999999999999917</v>
      </c>
      <c r="B145" s="4">
        <f t="shared" si="41"/>
        <v>4.1363157894736551</v>
      </c>
    </row>
    <row r="146" spans="1:2" hidden="1" x14ac:dyDescent="0.25">
      <c r="A146" s="4">
        <f t="shared" si="40"/>
        <v>1.9499999999999917</v>
      </c>
      <c r="B146" s="4">
        <f t="shared" si="41"/>
        <v>4.3153205128204828</v>
      </c>
    </row>
    <row r="147" spans="1:2" hidden="1" x14ac:dyDescent="0.25">
      <c r="A147" s="4">
        <f t="shared" si="40"/>
        <v>1.9999999999999918</v>
      </c>
      <c r="B147" s="4">
        <f t="shared" si="41"/>
        <v>4.4999999999999689</v>
      </c>
    </row>
    <row r="148" spans="1:2" hidden="1" x14ac:dyDescent="0.25">
      <c r="A148" s="4">
        <f t="shared" si="40"/>
        <v>2.0499999999999918</v>
      </c>
      <c r="B148" s="4">
        <f t="shared" si="41"/>
        <v>4.6903048780487495</v>
      </c>
    </row>
    <row r="149" spans="1:2" hidden="1" x14ac:dyDescent="0.25">
      <c r="A149" s="4">
        <f t="shared" si="40"/>
        <v>2.0999999999999917</v>
      </c>
      <c r="B149" s="4">
        <f t="shared" si="41"/>
        <v>4.8861904761904427</v>
      </c>
    </row>
    <row r="150" spans="1:2" hidden="1" x14ac:dyDescent="0.25">
      <c r="A150" s="4">
        <f t="shared" si="40"/>
        <v>2.1499999999999915</v>
      </c>
      <c r="B150" s="4">
        <f t="shared" si="41"/>
        <v>5.0876162790697324</v>
      </c>
    </row>
    <row r="151" spans="1:2" hidden="1" x14ac:dyDescent="0.25">
      <c r="A151" s="4">
        <f t="shared" si="40"/>
        <v>2.1999999999999913</v>
      </c>
      <c r="B151" s="4">
        <f t="shared" si="41"/>
        <v>5.2945454545454176</v>
      </c>
    </row>
    <row r="152" spans="1:2" hidden="1" x14ac:dyDescent="0.25">
      <c r="A152" s="4">
        <f t="shared" si="40"/>
        <v>2.2499999999999911</v>
      </c>
      <c r="B152" s="4">
        <f t="shared" si="41"/>
        <v>5.5069444444444065</v>
      </c>
    </row>
    <row r="153" spans="1:2" hidden="1" x14ac:dyDescent="0.25">
      <c r="A153" s="4">
        <f t="shared" si="40"/>
        <v>2.2999999999999909</v>
      </c>
      <c r="B153" s="4">
        <f t="shared" si="41"/>
        <v>5.7247826086956124</v>
      </c>
    </row>
    <row r="154" spans="1:2" hidden="1" x14ac:dyDescent="0.25">
      <c r="A154" s="4">
        <f t="shared" si="40"/>
        <v>2.3499999999999908</v>
      </c>
      <c r="B154" s="4">
        <f t="shared" si="41"/>
        <v>5.9480319148935754</v>
      </c>
    </row>
    <row r="155" spans="1:2" hidden="1" x14ac:dyDescent="0.25">
      <c r="A155" s="4">
        <f t="shared" si="40"/>
        <v>2.3999999999999906</v>
      </c>
      <c r="B155" s="4">
        <f t="shared" si="41"/>
        <v>6.1766666666666232</v>
      </c>
    </row>
    <row r="156" spans="1:2" hidden="1" x14ac:dyDescent="0.25">
      <c r="A156" s="4">
        <f t="shared" si="40"/>
        <v>2.4499999999999904</v>
      </c>
      <c r="B156" s="4">
        <f t="shared" si="41"/>
        <v>6.4106632653060771</v>
      </c>
    </row>
    <row r="157" spans="1:2" hidden="1" x14ac:dyDescent="0.25">
      <c r="A157" s="4">
        <f t="shared" si="40"/>
        <v>2.4999999999999902</v>
      </c>
      <c r="B157" s="4">
        <f t="shared" si="41"/>
        <v>6.6499999999999524</v>
      </c>
    </row>
    <row r="158" spans="1:2" hidden="1" x14ac:dyDescent="0.25">
      <c r="A158" s="4">
        <f t="shared" si="40"/>
        <v>2.5499999999999901</v>
      </c>
      <c r="B158" s="4">
        <f t="shared" si="41"/>
        <v>6.8946568627450482</v>
      </c>
    </row>
    <row r="159" spans="1:2" hidden="1" x14ac:dyDescent="0.25">
      <c r="A159" s="4">
        <f t="shared" si="40"/>
        <v>2.5999999999999899</v>
      </c>
      <c r="B159" s="4">
        <f t="shared" si="41"/>
        <v>7.1446153846153333</v>
      </c>
    </row>
    <row r="160" spans="1:2" hidden="1" x14ac:dyDescent="0.25">
      <c r="A160" s="4">
        <f t="shared" si="40"/>
        <v>2.6499999999999897</v>
      </c>
      <c r="B160" s="4">
        <f t="shared" si="41"/>
        <v>7.3998584905659852</v>
      </c>
    </row>
    <row r="161" spans="1:2" hidden="1" x14ac:dyDescent="0.25">
      <c r="A161" s="4">
        <f t="shared" si="40"/>
        <v>2.6999999999999895</v>
      </c>
      <c r="B161" s="4">
        <f t="shared" si="41"/>
        <v>7.6603703703703152</v>
      </c>
    </row>
    <row r="162" spans="1:2" hidden="1" x14ac:dyDescent="0.25">
      <c r="A162" s="4">
        <f t="shared" si="40"/>
        <v>2.7499999999999893</v>
      </c>
      <c r="B162" s="4">
        <f t="shared" si="41"/>
        <v>7.9261363636363065</v>
      </c>
    </row>
    <row r="163" spans="1:2" hidden="1" x14ac:dyDescent="0.25">
      <c r="A163" s="4">
        <f t="shared" si="40"/>
        <v>2.7999999999999892</v>
      </c>
      <c r="B163" s="4">
        <f t="shared" si="41"/>
        <v>8.1971428571427971</v>
      </c>
    </row>
    <row r="164" spans="1:2" hidden="1" x14ac:dyDescent="0.25">
      <c r="A164" s="4">
        <f t="shared" si="40"/>
        <v>2.849999999999989</v>
      </c>
      <c r="B164" s="4">
        <f t="shared" si="41"/>
        <v>8.4733771929823938</v>
      </c>
    </row>
    <row r="165" spans="1:2" hidden="1" x14ac:dyDescent="0.25">
      <c r="A165" s="4">
        <f t="shared" si="40"/>
        <v>2.8999999999999888</v>
      </c>
      <c r="B165" s="4">
        <f t="shared" si="41"/>
        <v>8.754827586206833</v>
      </c>
    </row>
    <row r="166" spans="1:2" hidden="1" x14ac:dyDescent="0.25">
      <c r="A166" s="4">
        <f t="shared" si="40"/>
        <v>2.9499999999999886</v>
      </c>
      <c r="B166" s="4">
        <f t="shared" si="41"/>
        <v>9.0414830508473916</v>
      </c>
    </row>
    <row r="167" spans="1:2" hidden="1" x14ac:dyDescent="0.25">
      <c r="A167" s="4">
        <f t="shared" si="40"/>
        <v>2.9999999999999885</v>
      </c>
      <c r="B167" s="4">
        <f t="shared" si="41"/>
        <v>9.3333333333332646</v>
      </c>
    </row>
    <row r="168" spans="1:2" hidden="1" x14ac:dyDescent="0.25">
      <c r="A168" s="4">
        <f t="shared" ref="A168:A199" si="42">A167+$B$2</f>
        <v>3.0499999999999883</v>
      </c>
      <c r="B168" s="4">
        <f t="shared" si="41"/>
        <v>9.6303688524589468</v>
      </c>
    </row>
    <row r="169" spans="1:2" hidden="1" x14ac:dyDescent="0.25">
      <c r="A169" s="4">
        <f t="shared" si="42"/>
        <v>3.0999999999999881</v>
      </c>
      <c r="B169" s="4">
        <f t="shared" si="41"/>
        <v>9.9325806451612184</v>
      </c>
    </row>
    <row r="170" spans="1:2" hidden="1" x14ac:dyDescent="0.25">
      <c r="A170" s="4">
        <f t="shared" si="42"/>
        <v>3.1499999999999879</v>
      </c>
      <c r="B170" s="4">
        <f t="shared" si="41"/>
        <v>10.239960317460241</v>
      </c>
    </row>
    <row r="171" spans="1:2" hidden="1" x14ac:dyDescent="0.25">
      <c r="A171" s="4">
        <f t="shared" si="42"/>
        <v>3.1999999999999877</v>
      </c>
      <c r="B171" s="4">
        <f t="shared" si="41"/>
        <v>10.552499999999924</v>
      </c>
    </row>
    <row r="172" spans="1:2" hidden="1" x14ac:dyDescent="0.25">
      <c r="A172" s="4">
        <f t="shared" si="42"/>
        <v>3.2499999999999876</v>
      </c>
      <c r="B172" s="4">
        <f t="shared" ref="B172:B203" si="43">A172^2+1/A172</f>
        <v>10.870192307692227</v>
      </c>
    </row>
    <row r="173" spans="1:2" hidden="1" x14ac:dyDescent="0.25">
      <c r="A173" s="4">
        <f t="shared" si="42"/>
        <v>3.2999999999999874</v>
      </c>
      <c r="B173" s="4">
        <f t="shared" si="43"/>
        <v>11.193030303030222</v>
      </c>
    </row>
    <row r="174" spans="1:2" hidden="1" x14ac:dyDescent="0.25">
      <c r="A174" s="4">
        <f t="shared" si="42"/>
        <v>3.3499999999999872</v>
      </c>
      <c r="B174" s="4">
        <f t="shared" si="43"/>
        <v>11.521007462686484</v>
      </c>
    </row>
    <row r="175" spans="1:2" hidden="1" x14ac:dyDescent="0.25">
      <c r="A175" s="4">
        <f t="shared" si="42"/>
        <v>3.399999999999987</v>
      </c>
      <c r="B175" s="4">
        <f t="shared" si="43"/>
        <v>11.854117647058736</v>
      </c>
    </row>
    <row r="176" spans="1:2" hidden="1" x14ac:dyDescent="0.25">
      <c r="A176" s="4">
        <f t="shared" si="42"/>
        <v>3.4499999999999869</v>
      </c>
      <c r="B176" s="4">
        <f t="shared" si="43"/>
        <v>12.192355072463679</v>
      </c>
    </row>
    <row r="177" spans="1:2" hidden="1" x14ac:dyDescent="0.25">
      <c r="A177" s="4">
        <f t="shared" si="42"/>
        <v>3.4999999999999867</v>
      </c>
      <c r="B177" s="4">
        <f t="shared" si="43"/>
        <v>12.535714285714194</v>
      </c>
    </row>
    <row r="178" spans="1:2" hidden="1" x14ac:dyDescent="0.25">
      <c r="A178" s="4">
        <f t="shared" si="42"/>
        <v>3.5499999999999865</v>
      </c>
      <c r="B178" s="4">
        <f t="shared" si="43"/>
        <v>12.884190140844977</v>
      </c>
    </row>
    <row r="179" spans="1:2" hidden="1" x14ac:dyDescent="0.25">
      <c r="A179" s="4">
        <f t="shared" si="42"/>
        <v>3.5999999999999863</v>
      </c>
      <c r="B179" s="4">
        <f t="shared" si="43"/>
        <v>13.23777777777768</v>
      </c>
    </row>
    <row r="180" spans="1:2" hidden="1" x14ac:dyDescent="0.25">
      <c r="A180" s="4">
        <f t="shared" si="42"/>
        <v>3.6499999999999861</v>
      </c>
      <c r="B180" s="4">
        <f t="shared" si="43"/>
        <v>13.596472602739626</v>
      </c>
    </row>
    <row r="181" spans="1:2" hidden="1" x14ac:dyDescent="0.25">
      <c r="A181" s="4">
        <f t="shared" si="42"/>
        <v>3.699999999999986</v>
      </c>
      <c r="B181" s="4">
        <f t="shared" si="43"/>
        <v>13.960270270270168</v>
      </c>
    </row>
    <row r="182" spans="1:2" hidden="1" x14ac:dyDescent="0.25">
      <c r="A182" s="4">
        <f t="shared" si="42"/>
        <v>3.7499999999999858</v>
      </c>
      <c r="B182" s="4">
        <f t="shared" si="43"/>
        <v>14.329166666666561</v>
      </c>
    </row>
    <row r="183" spans="1:2" hidden="1" x14ac:dyDescent="0.25">
      <c r="A183" s="4">
        <f t="shared" si="42"/>
        <v>3.7999999999999856</v>
      </c>
      <c r="B183" s="4">
        <f t="shared" si="43"/>
        <v>14.703157894736734</v>
      </c>
    </row>
    <row r="184" spans="1:2" hidden="1" x14ac:dyDescent="0.25">
      <c r="A184" s="4">
        <f t="shared" si="42"/>
        <v>3.8499999999999854</v>
      </c>
      <c r="B184" s="4">
        <f t="shared" si="43"/>
        <v>15.082240259740148</v>
      </c>
    </row>
    <row r="185" spans="1:2" hidden="1" x14ac:dyDescent="0.25">
      <c r="A185" s="4">
        <f t="shared" si="42"/>
        <v>3.8999999999999853</v>
      </c>
      <c r="B185" s="4">
        <f t="shared" si="43"/>
        <v>15.466410256410143</v>
      </c>
    </row>
    <row r="186" spans="1:2" hidden="1" x14ac:dyDescent="0.25">
      <c r="A186" s="4">
        <f t="shared" si="42"/>
        <v>3.9499999999999851</v>
      </c>
      <c r="B186" s="4">
        <f t="shared" si="43"/>
        <v>15.855664556961909</v>
      </c>
    </row>
    <row r="187" spans="1:2" hidden="1" x14ac:dyDescent="0.25">
      <c r="A187" s="4">
        <f t="shared" si="42"/>
        <v>3.9999999999999849</v>
      </c>
      <c r="B187" s="4">
        <f t="shared" si="43"/>
        <v>16.249999999999879</v>
      </c>
    </row>
    <row r="188" spans="1:2" hidden="1" x14ac:dyDescent="0.25">
      <c r="A188" s="4">
        <f t="shared" si="42"/>
        <v>4.0499999999999847</v>
      </c>
      <c r="B188" s="4">
        <f t="shared" si="43"/>
        <v>16.64941358024679</v>
      </c>
    </row>
    <row r="189" spans="1:2" hidden="1" x14ac:dyDescent="0.25">
      <c r="A189" s="4">
        <f t="shared" si="42"/>
        <v>4.0999999999999845</v>
      </c>
      <c r="B189" s="4">
        <f t="shared" si="43"/>
        <v>17.053902439024267</v>
      </c>
    </row>
    <row r="190" spans="1:2" hidden="1" x14ac:dyDescent="0.25">
      <c r="A190" s="4">
        <f t="shared" si="42"/>
        <v>4.1499999999999844</v>
      </c>
      <c r="B190" s="4">
        <f t="shared" si="43"/>
        <v>17.463463855421555</v>
      </c>
    </row>
    <row r="191" spans="1:2" hidden="1" x14ac:dyDescent="0.25">
      <c r="A191" s="4">
        <f t="shared" si="42"/>
        <v>4.1999999999999842</v>
      </c>
      <c r="B191" s="4">
        <f t="shared" si="43"/>
        <v>17.878095238095103</v>
      </c>
    </row>
    <row r="192" spans="1:2" hidden="1" x14ac:dyDescent="0.25">
      <c r="A192" s="4">
        <f t="shared" si="42"/>
        <v>4.249999999999984</v>
      </c>
      <c r="B192" s="4">
        <f t="shared" si="43"/>
        <v>18.297794117646923</v>
      </c>
    </row>
    <row r="193" spans="1:2" hidden="1" x14ac:dyDescent="0.25">
      <c r="A193" s="4">
        <f t="shared" si="42"/>
        <v>4.2999999999999838</v>
      </c>
      <c r="B193" s="4">
        <f t="shared" si="43"/>
        <v>18.722558139534744</v>
      </c>
    </row>
    <row r="194" spans="1:2" hidden="1" x14ac:dyDescent="0.25">
      <c r="A194" s="4">
        <f t="shared" si="42"/>
        <v>4.3499999999999837</v>
      </c>
      <c r="B194" s="4">
        <f t="shared" si="43"/>
        <v>19.152385057471122</v>
      </c>
    </row>
    <row r="195" spans="1:2" hidden="1" x14ac:dyDescent="0.25">
      <c r="A195" s="4">
        <f t="shared" si="42"/>
        <v>4.3999999999999835</v>
      </c>
      <c r="B195" s="4">
        <f t="shared" si="43"/>
        <v>19.58727272727258</v>
      </c>
    </row>
    <row r="196" spans="1:2" hidden="1" x14ac:dyDescent="0.25">
      <c r="A196" s="4">
        <f t="shared" si="42"/>
        <v>4.4499999999999833</v>
      </c>
      <c r="B196" s="4">
        <f t="shared" si="43"/>
        <v>20.02721910112345</v>
      </c>
    </row>
    <row r="197" spans="1:2" hidden="1" x14ac:dyDescent="0.25">
      <c r="A197" s="4">
        <f t="shared" si="42"/>
        <v>4.4999999999999831</v>
      </c>
      <c r="B197" s="4">
        <f t="shared" si="43"/>
        <v>20.472222222222069</v>
      </c>
    </row>
    <row r="198" spans="1:2" hidden="1" x14ac:dyDescent="0.25">
      <c r="A198" s="4">
        <f t="shared" si="42"/>
        <v>4.5499999999999829</v>
      </c>
      <c r="B198" s="4">
        <f t="shared" si="43"/>
        <v>20.922280219780063</v>
      </c>
    </row>
    <row r="199" spans="1:2" hidden="1" x14ac:dyDescent="0.25">
      <c r="A199" s="4">
        <f t="shared" si="42"/>
        <v>4.5999999999999828</v>
      </c>
      <c r="B199" s="4">
        <f t="shared" si="43"/>
        <v>21.377391304347668</v>
      </c>
    </row>
    <row r="200" spans="1:2" hidden="1" x14ac:dyDescent="0.25">
      <c r="A200" s="4">
        <f t="shared" ref="A200:A207" si="44">A199+$B$2</f>
        <v>4.6499999999999826</v>
      </c>
      <c r="B200" s="4">
        <f t="shared" si="43"/>
        <v>21.837553763440699</v>
      </c>
    </row>
    <row r="201" spans="1:2" hidden="1" x14ac:dyDescent="0.25">
      <c r="A201" s="4">
        <f t="shared" si="44"/>
        <v>4.6999999999999824</v>
      </c>
      <c r="B201" s="4">
        <f t="shared" si="43"/>
        <v>22.302765957446645</v>
      </c>
    </row>
    <row r="202" spans="1:2" hidden="1" x14ac:dyDescent="0.25">
      <c r="A202" s="4">
        <f t="shared" si="44"/>
        <v>4.7499999999999822</v>
      </c>
      <c r="B202" s="4">
        <f t="shared" si="43"/>
        <v>22.773026315789306</v>
      </c>
    </row>
    <row r="203" spans="1:2" hidden="1" x14ac:dyDescent="0.25">
      <c r="A203" s="4">
        <f t="shared" si="44"/>
        <v>4.7999999999999821</v>
      </c>
      <c r="B203" s="4">
        <f t="shared" si="43"/>
        <v>23.248333333333164</v>
      </c>
    </row>
    <row r="204" spans="1:2" hidden="1" x14ac:dyDescent="0.25">
      <c r="A204" s="4">
        <f t="shared" si="44"/>
        <v>4.8499999999999819</v>
      </c>
      <c r="B204" s="4">
        <f t="shared" ref="B204:B207" si="45">A204^2+1/A204</f>
        <v>23.728685567010132</v>
      </c>
    </row>
    <row r="205" spans="1:2" x14ac:dyDescent="0.25">
      <c r="A205" s="4">
        <f t="shared" si="44"/>
        <v>4.8999999999999817</v>
      </c>
      <c r="B205" s="4">
        <f t="shared" si="45"/>
        <v>24.214081632652881</v>
      </c>
    </row>
    <row r="206" spans="1:2" x14ac:dyDescent="0.25">
      <c r="A206" s="4">
        <f t="shared" si="44"/>
        <v>4.9499999999999815</v>
      </c>
      <c r="B206" s="4">
        <f t="shared" si="45"/>
        <v>24.704520202020021</v>
      </c>
    </row>
    <row r="207" spans="1:2" x14ac:dyDescent="0.25">
      <c r="A207" s="4">
        <f t="shared" si="44"/>
        <v>4.9999999999999813</v>
      </c>
      <c r="B207" s="4">
        <f t="shared" si="45"/>
        <v>25.199999999999815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2:E207"/>
  <sheetViews>
    <sheetView workbookViewId="0">
      <selection activeCell="E8" sqref="E8"/>
    </sheetView>
  </sheetViews>
  <sheetFormatPr defaultRowHeight="15" x14ac:dyDescent="0.25"/>
  <cols>
    <col min="1" max="3" width="9.140625" style="4"/>
  </cols>
  <sheetData>
    <row r="2" spans="1:5" x14ac:dyDescent="0.25">
      <c r="A2" s="30" t="s">
        <v>10</v>
      </c>
      <c r="B2" s="29">
        <v>2.0000000000000032E-2</v>
      </c>
      <c r="E2" s="4">
        <f>B207</f>
        <v>2.000000000000004</v>
      </c>
    </row>
    <row r="6" spans="1:5" x14ac:dyDescent="0.25">
      <c r="A6" s="4" t="s">
        <v>9</v>
      </c>
      <c r="B6" s="4" t="s">
        <v>9</v>
      </c>
      <c r="C6" s="4" t="s">
        <v>8</v>
      </c>
    </row>
    <row r="7" spans="1:5" x14ac:dyDescent="0.25">
      <c r="A7" s="4">
        <v>-2</v>
      </c>
      <c r="B7" s="4">
        <f t="shared" ref="B7:B70" si="0">IF(ABS(A7)&lt;10^(-5),"",A7)</f>
        <v>-2</v>
      </c>
      <c r="C7" s="4">
        <f t="shared" ref="C7:C70" si="1">IF(ABS(A7)&lt;10^(-5),"",A7^2+1/A7)</f>
        <v>3.5</v>
      </c>
    </row>
    <row r="8" spans="1:5" x14ac:dyDescent="0.25">
      <c r="A8" s="4">
        <f t="shared" ref="A8:A39" si="2">A7+$B$2</f>
        <v>-1.98</v>
      </c>
      <c r="B8" s="4">
        <f t="shared" si="0"/>
        <v>-1.98</v>
      </c>
      <c r="C8" s="4">
        <f t="shared" si="1"/>
        <v>3.4153494949494947</v>
      </c>
    </row>
    <row r="9" spans="1:5" x14ac:dyDescent="0.25">
      <c r="A9" s="4">
        <f t="shared" si="2"/>
        <v>-1.96</v>
      </c>
      <c r="B9" s="4">
        <f t="shared" si="0"/>
        <v>-1.96</v>
      </c>
      <c r="C9" s="4">
        <f t="shared" si="1"/>
        <v>3.3313959183673467</v>
      </c>
    </row>
    <row r="10" spans="1:5" x14ac:dyDescent="0.25">
      <c r="A10" s="4">
        <f t="shared" si="2"/>
        <v>-1.94</v>
      </c>
      <c r="B10" s="4">
        <f t="shared" si="0"/>
        <v>-1.94</v>
      </c>
      <c r="C10" s="4">
        <f t="shared" si="1"/>
        <v>3.2481360824742267</v>
      </c>
    </row>
    <row r="11" spans="1:5" x14ac:dyDescent="0.25">
      <c r="A11" s="4">
        <f t="shared" si="2"/>
        <v>-1.92</v>
      </c>
      <c r="B11" s="4">
        <f t="shared" si="0"/>
        <v>-1.92</v>
      </c>
      <c r="C11" s="4">
        <f t="shared" si="1"/>
        <v>3.1655666666666664</v>
      </c>
    </row>
    <row r="12" spans="1:5" x14ac:dyDescent="0.25">
      <c r="A12" s="4">
        <f t="shared" si="2"/>
        <v>-1.9</v>
      </c>
      <c r="B12" s="4">
        <f t="shared" si="0"/>
        <v>-1.9</v>
      </c>
      <c r="C12" s="4">
        <f t="shared" si="1"/>
        <v>3.0836842105263158</v>
      </c>
    </row>
    <row r="13" spans="1:5" x14ac:dyDescent="0.25">
      <c r="A13" s="4">
        <f t="shared" si="2"/>
        <v>-1.88</v>
      </c>
      <c r="B13" s="4">
        <f t="shared" si="0"/>
        <v>-1.88</v>
      </c>
      <c r="C13" s="4">
        <f t="shared" si="1"/>
        <v>3.0024851063829785</v>
      </c>
    </row>
    <row r="14" spans="1:5" x14ac:dyDescent="0.25">
      <c r="A14" s="4">
        <f t="shared" si="2"/>
        <v>-1.8599999999999999</v>
      </c>
      <c r="B14" s="4">
        <f t="shared" si="0"/>
        <v>-1.8599999999999999</v>
      </c>
      <c r="C14" s="4">
        <f t="shared" si="1"/>
        <v>2.9219655913978491</v>
      </c>
    </row>
    <row r="15" spans="1:5" x14ac:dyDescent="0.25">
      <c r="A15" s="4">
        <f t="shared" si="2"/>
        <v>-1.8399999999999999</v>
      </c>
      <c r="B15" s="4">
        <f t="shared" si="0"/>
        <v>-1.8399999999999999</v>
      </c>
      <c r="C15" s="4">
        <f t="shared" si="1"/>
        <v>2.8421217391304339</v>
      </c>
    </row>
    <row r="16" spans="1:5" x14ac:dyDescent="0.25">
      <c r="A16" s="4">
        <f t="shared" si="2"/>
        <v>-1.8199999999999998</v>
      </c>
      <c r="B16" s="4">
        <f t="shared" si="0"/>
        <v>-1.8199999999999998</v>
      </c>
      <c r="C16" s="4">
        <f t="shared" si="1"/>
        <v>2.7629494505494501</v>
      </c>
    </row>
    <row r="17" spans="1:3" x14ac:dyDescent="0.25">
      <c r="A17" s="4">
        <f t="shared" si="2"/>
        <v>-1.7999999999999998</v>
      </c>
      <c r="B17" s="4">
        <f t="shared" si="0"/>
        <v>-1.7999999999999998</v>
      </c>
      <c r="C17" s="4">
        <f t="shared" si="1"/>
        <v>2.684444444444444</v>
      </c>
    </row>
    <row r="18" spans="1:3" x14ac:dyDescent="0.25">
      <c r="A18" s="4">
        <f t="shared" si="2"/>
        <v>-1.7799999999999998</v>
      </c>
      <c r="B18" s="4">
        <f t="shared" si="0"/>
        <v>-1.7799999999999998</v>
      </c>
      <c r="C18" s="4">
        <f t="shared" si="1"/>
        <v>2.6066022471910104</v>
      </c>
    </row>
    <row r="19" spans="1:3" x14ac:dyDescent="0.25">
      <c r="A19" s="4">
        <f t="shared" si="2"/>
        <v>-1.7599999999999998</v>
      </c>
      <c r="B19" s="4">
        <f t="shared" si="0"/>
        <v>-1.7599999999999998</v>
      </c>
      <c r="C19" s="4">
        <f t="shared" si="1"/>
        <v>2.5294181818181811</v>
      </c>
    </row>
    <row r="20" spans="1:3" x14ac:dyDescent="0.25">
      <c r="A20" s="4">
        <f t="shared" si="2"/>
        <v>-1.7399999999999998</v>
      </c>
      <c r="B20" s="4">
        <f t="shared" si="0"/>
        <v>-1.7399999999999998</v>
      </c>
      <c r="C20" s="4">
        <f t="shared" si="1"/>
        <v>2.4528873563218383</v>
      </c>
    </row>
    <row r="21" spans="1:3" x14ac:dyDescent="0.25">
      <c r="A21" s="4">
        <f t="shared" si="2"/>
        <v>-1.7199999999999998</v>
      </c>
      <c r="B21" s="4">
        <f t="shared" si="0"/>
        <v>-1.7199999999999998</v>
      </c>
      <c r="C21" s="4">
        <f t="shared" si="1"/>
        <v>2.3770046511627898</v>
      </c>
    </row>
    <row r="22" spans="1:3" x14ac:dyDescent="0.25">
      <c r="A22" s="4">
        <f t="shared" si="2"/>
        <v>-1.6999999999999997</v>
      </c>
      <c r="B22" s="4">
        <f t="shared" si="0"/>
        <v>-1.6999999999999997</v>
      </c>
      <c r="C22" s="4">
        <f t="shared" si="1"/>
        <v>2.301764705882352</v>
      </c>
    </row>
    <row r="23" spans="1:3" x14ac:dyDescent="0.25">
      <c r="A23" s="4">
        <f t="shared" si="2"/>
        <v>-1.6799999999999997</v>
      </c>
      <c r="B23" s="4">
        <f t="shared" si="0"/>
        <v>-1.6799999999999997</v>
      </c>
      <c r="C23" s="4">
        <f t="shared" si="1"/>
        <v>2.2271619047619038</v>
      </c>
    </row>
    <row r="24" spans="1:3" x14ac:dyDescent="0.25">
      <c r="A24" s="4">
        <f t="shared" si="2"/>
        <v>-1.6599999999999997</v>
      </c>
      <c r="B24" s="4">
        <f t="shared" si="0"/>
        <v>-1.6599999999999997</v>
      </c>
      <c r="C24" s="4">
        <f t="shared" si="1"/>
        <v>2.1531903614457821</v>
      </c>
    </row>
    <row r="25" spans="1:3" x14ac:dyDescent="0.25">
      <c r="A25" s="4">
        <f t="shared" si="2"/>
        <v>-1.6399999999999997</v>
      </c>
      <c r="B25" s="4">
        <f t="shared" si="0"/>
        <v>-1.6399999999999997</v>
      </c>
      <c r="C25" s="4">
        <f t="shared" si="1"/>
        <v>2.0798439024390234</v>
      </c>
    </row>
    <row r="26" spans="1:3" x14ac:dyDescent="0.25">
      <c r="A26" s="4">
        <f t="shared" si="2"/>
        <v>-1.6199999999999997</v>
      </c>
      <c r="B26" s="4">
        <f t="shared" si="0"/>
        <v>-1.6199999999999997</v>
      </c>
      <c r="C26" s="4">
        <f t="shared" si="1"/>
        <v>2.0071160493827147</v>
      </c>
    </row>
    <row r="27" spans="1:3" x14ac:dyDescent="0.25">
      <c r="A27" s="4">
        <f t="shared" si="2"/>
        <v>-1.5999999999999996</v>
      </c>
      <c r="B27" s="4">
        <f t="shared" si="0"/>
        <v>-1.5999999999999996</v>
      </c>
      <c r="C27" s="4">
        <f t="shared" si="1"/>
        <v>1.9349999999999987</v>
      </c>
    </row>
    <row r="28" spans="1:3" x14ac:dyDescent="0.25">
      <c r="A28" s="4">
        <f t="shared" si="2"/>
        <v>-1.5799999999999996</v>
      </c>
      <c r="B28" s="4">
        <f t="shared" si="0"/>
        <v>-1.5799999999999996</v>
      </c>
      <c r="C28" s="4">
        <f t="shared" si="1"/>
        <v>1.8634886075949351</v>
      </c>
    </row>
    <row r="29" spans="1:3" x14ac:dyDescent="0.25">
      <c r="A29" s="4">
        <f t="shared" si="2"/>
        <v>-1.5599999999999996</v>
      </c>
      <c r="B29" s="4">
        <f t="shared" si="0"/>
        <v>-1.5599999999999996</v>
      </c>
      <c r="C29" s="4">
        <f t="shared" si="1"/>
        <v>1.7925743589743577</v>
      </c>
    </row>
    <row r="30" spans="1:3" x14ac:dyDescent="0.25">
      <c r="A30" s="4">
        <f t="shared" si="2"/>
        <v>-1.5399999999999996</v>
      </c>
      <c r="B30" s="4">
        <f t="shared" si="0"/>
        <v>-1.5399999999999996</v>
      </c>
      <c r="C30" s="4">
        <f t="shared" si="1"/>
        <v>1.722249350649349</v>
      </c>
    </row>
    <row r="31" spans="1:3" x14ac:dyDescent="0.25">
      <c r="A31" s="4">
        <f t="shared" si="2"/>
        <v>-1.5199999999999996</v>
      </c>
      <c r="B31" s="4">
        <f t="shared" si="0"/>
        <v>-1.5199999999999996</v>
      </c>
      <c r="C31" s="4">
        <f t="shared" si="1"/>
        <v>1.6525052631578934</v>
      </c>
    </row>
    <row r="32" spans="1:3" x14ac:dyDescent="0.25">
      <c r="A32" s="4">
        <f t="shared" si="2"/>
        <v>-1.4999999999999996</v>
      </c>
      <c r="B32" s="4">
        <f t="shared" si="0"/>
        <v>-1.4999999999999996</v>
      </c>
      <c r="C32" s="4">
        <f t="shared" si="1"/>
        <v>1.5833333333333317</v>
      </c>
    </row>
    <row r="33" spans="1:3" x14ac:dyDescent="0.25">
      <c r="A33" s="4">
        <f t="shared" si="2"/>
        <v>-1.4799999999999995</v>
      </c>
      <c r="B33" s="4">
        <f t="shared" si="0"/>
        <v>-1.4799999999999995</v>
      </c>
      <c r="C33" s="4">
        <f t="shared" si="1"/>
        <v>1.5147243243243227</v>
      </c>
    </row>
    <row r="34" spans="1:3" x14ac:dyDescent="0.25">
      <c r="A34" s="4">
        <f t="shared" si="2"/>
        <v>-1.4599999999999995</v>
      </c>
      <c r="B34" s="4">
        <f t="shared" si="0"/>
        <v>-1.4599999999999995</v>
      </c>
      <c r="C34" s="4">
        <f t="shared" si="1"/>
        <v>1.4466684931506832</v>
      </c>
    </row>
    <row r="35" spans="1:3" x14ac:dyDescent="0.25">
      <c r="A35" s="4">
        <f t="shared" si="2"/>
        <v>-1.4399999999999995</v>
      </c>
      <c r="B35" s="4">
        <f t="shared" si="0"/>
        <v>-1.4399999999999995</v>
      </c>
      <c r="C35" s="4">
        <f t="shared" si="1"/>
        <v>1.3791555555555539</v>
      </c>
    </row>
    <row r="36" spans="1:3" x14ac:dyDescent="0.25">
      <c r="A36" s="4">
        <f t="shared" si="2"/>
        <v>-1.4199999999999995</v>
      </c>
      <c r="B36" s="4">
        <f t="shared" si="0"/>
        <v>-1.4199999999999995</v>
      </c>
      <c r="C36" s="4">
        <f t="shared" si="1"/>
        <v>1.3121746478873222</v>
      </c>
    </row>
    <row r="37" spans="1:3" x14ac:dyDescent="0.25">
      <c r="A37" s="4">
        <f t="shared" si="2"/>
        <v>-1.3999999999999995</v>
      </c>
      <c r="B37" s="4">
        <f t="shared" si="0"/>
        <v>-1.3999999999999995</v>
      </c>
      <c r="C37" s="4">
        <f t="shared" si="1"/>
        <v>1.2457142857142838</v>
      </c>
    </row>
    <row r="38" spans="1:3" x14ac:dyDescent="0.25">
      <c r="A38" s="4">
        <f t="shared" si="2"/>
        <v>-1.3799999999999994</v>
      </c>
      <c r="B38" s="4">
        <f t="shared" si="0"/>
        <v>-1.3799999999999994</v>
      </c>
      <c r="C38" s="4">
        <f t="shared" si="1"/>
        <v>1.1797623188405779</v>
      </c>
    </row>
    <row r="39" spans="1:3" x14ac:dyDescent="0.25">
      <c r="A39" s="4">
        <f t="shared" si="2"/>
        <v>-1.3599999999999994</v>
      </c>
      <c r="B39" s="4">
        <f t="shared" si="0"/>
        <v>-1.3599999999999994</v>
      </c>
      <c r="C39" s="4">
        <f t="shared" si="1"/>
        <v>1.1143058823529393</v>
      </c>
    </row>
    <row r="40" spans="1:3" x14ac:dyDescent="0.25">
      <c r="A40" s="4">
        <f t="shared" ref="A40:A71" si="3">A39+$B$2</f>
        <v>-1.3399999999999994</v>
      </c>
      <c r="B40" s="4">
        <f t="shared" si="0"/>
        <v>-1.3399999999999994</v>
      </c>
      <c r="C40" s="4">
        <f t="shared" si="1"/>
        <v>1.0493313432835802</v>
      </c>
    </row>
    <row r="41" spans="1:3" x14ac:dyDescent="0.25">
      <c r="A41" s="4">
        <f t="shared" si="3"/>
        <v>-1.3199999999999994</v>
      </c>
      <c r="B41" s="4">
        <f t="shared" si="0"/>
        <v>-1.3199999999999994</v>
      </c>
      <c r="C41" s="4">
        <f t="shared" si="1"/>
        <v>0.98482424242424049</v>
      </c>
    </row>
    <row r="42" spans="1:3" x14ac:dyDescent="0.25">
      <c r="A42" s="4">
        <f t="shared" si="3"/>
        <v>-1.2999999999999994</v>
      </c>
      <c r="B42" s="4">
        <f t="shared" si="0"/>
        <v>-1.2999999999999994</v>
      </c>
      <c r="C42" s="4">
        <f t="shared" si="1"/>
        <v>0.92076923076922879</v>
      </c>
    </row>
    <row r="43" spans="1:3" x14ac:dyDescent="0.25">
      <c r="A43" s="4">
        <f t="shared" si="3"/>
        <v>-1.2799999999999994</v>
      </c>
      <c r="B43" s="4">
        <f t="shared" si="0"/>
        <v>-1.2799999999999994</v>
      </c>
      <c r="C43" s="4">
        <f t="shared" si="1"/>
        <v>0.85714999999999786</v>
      </c>
    </row>
    <row r="44" spans="1:3" x14ac:dyDescent="0.25">
      <c r="A44" s="4">
        <f t="shared" si="3"/>
        <v>-1.2599999999999993</v>
      </c>
      <c r="B44" s="4">
        <f t="shared" si="0"/>
        <v>-1.2599999999999993</v>
      </c>
      <c r="C44" s="4">
        <f t="shared" si="1"/>
        <v>0.7939492063492043</v>
      </c>
    </row>
    <row r="45" spans="1:3" x14ac:dyDescent="0.25">
      <c r="A45" s="4">
        <f t="shared" si="3"/>
        <v>-1.2399999999999993</v>
      </c>
      <c r="B45" s="4">
        <f t="shared" si="0"/>
        <v>-1.2399999999999993</v>
      </c>
      <c r="C45" s="4">
        <f t="shared" si="1"/>
        <v>0.7311483870967721</v>
      </c>
    </row>
    <row r="46" spans="1:3" x14ac:dyDescent="0.25">
      <c r="A46" s="4">
        <f t="shared" si="3"/>
        <v>-1.2199999999999993</v>
      </c>
      <c r="B46" s="4">
        <f t="shared" si="0"/>
        <v>-1.2199999999999993</v>
      </c>
      <c r="C46" s="4">
        <f t="shared" si="1"/>
        <v>0.66872786885245694</v>
      </c>
    </row>
    <row r="47" spans="1:3" x14ac:dyDescent="0.25">
      <c r="A47" s="4">
        <f t="shared" si="3"/>
        <v>-1.1999999999999993</v>
      </c>
      <c r="B47" s="4">
        <f t="shared" si="0"/>
        <v>-1.1999999999999993</v>
      </c>
      <c r="C47" s="4">
        <f t="shared" si="1"/>
        <v>0.60666666666666458</v>
      </c>
    </row>
    <row r="48" spans="1:3" x14ac:dyDescent="0.25">
      <c r="A48" s="4">
        <f t="shared" si="3"/>
        <v>-1.1799999999999993</v>
      </c>
      <c r="B48" s="4">
        <f t="shared" si="0"/>
        <v>-1.1799999999999993</v>
      </c>
      <c r="C48" s="4">
        <f t="shared" si="1"/>
        <v>0.54494237288135372</v>
      </c>
    </row>
    <row r="49" spans="1:3" x14ac:dyDescent="0.25">
      <c r="A49" s="4">
        <f t="shared" si="3"/>
        <v>-1.1599999999999993</v>
      </c>
      <c r="B49" s="4">
        <f t="shared" si="0"/>
        <v>-1.1599999999999993</v>
      </c>
      <c r="C49" s="4">
        <f t="shared" si="1"/>
        <v>0.48353103448275647</v>
      </c>
    </row>
    <row r="50" spans="1:3" x14ac:dyDescent="0.25">
      <c r="A50" s="4">
        <f t="shared" si="3"/>
        <v>-1.1399999999999992</v>
      </c>
      <c r="B50" s="4">
        <f t="shared" si="0"/>
        <v>-1.1399999999999992</v>
      </c>
      <c r="C50" s="4">
        <f t="shared" si="1"/>
        <v>0.42240701754385734</v>
      </c>
    </row>
    <row r="51" spans="1:3" x14ac:dyDescent="0.25">
      <c r="A51" s="4">
        <f t="shared" si="3"/>
        <v>-1.1199999999999992</v>
      </c>
      <c r="B51" s="4">
        <f t="shared" si="0"/>
        <v>-1.1199999999999992</v>
      </c>
      <c r="C51" s="4">
        <f t="shared" si="1"/>
        <v>0.36154285714285472</v>
      </c>
    </row>
    <row r="52" spans="1:3" x14ac:dyDescent="0.25">
      <c r="A52" s="4">
        <f t="shared" si="3"/>
        <v>-1.0999999999999992</v>
      </c>
      <c r="B52" s="4">
        <f t="shared" si="0"/>
        <v>-1.0999999999999992</v>
      </c>
      <c r="C52" s="4">
        <f t="shared" si="1"/>
        <v>0.30090909090908846</v>
      </c>
    </row>
    <row r="53" spans="1:3" x14ac:dyDescent="0.25">
      <c r="A53" s="4">
        <f t="shared" si="3"/>
        <v>-1.0799999999999992</v>
      </c>
      <c r="B53" s="4">
        <f t="shared" si="0"/>
        <v>-1.0799999999999992</v>
      </c>
      <c r="C53" s="4">
        <f t="shared" si="1"/>
        <v>0.24047407407407173</v>
      </c>
    </row>
    <row r="54" spans="1:3" x14ac:dyDescent="0.25">
      <c r="A54" s="4">
        <f t="shared" si="3"/>
        <v>-1.0599999999999992</v>
      </c>
      <c r="B54" s="4">
        <f t="shared" si="0"/>
        <v>-1.0599999999999992</v>
      </c>
      <c r="C54" s="4">
        <f t="shared" si="1"/>
        <v>0.18020377358490303</v>
      </c>
    </row>
    <row r="55" spans="1:3" x14ac:dyDescent="0.25">
      <c r="A55" s="4">
        <f t="shared" si="3"/>
        <v>-1.0399999999999991</v>
      </c>
      <c r="B55" s="4">
        <f t="shared" si="0"/>
        <v>-1.0399999999999991</v>
      </c>
      <c r="C55" s="4">
        <f t="shared" si="1"/>
        <v>0.12006153846153578</v>
      </c>
    </row>
    <row r="56" spans="1:3" x14ac:dyDescent="0.25">
      <c r="A56" s="4">
        <f t="shared" si="3"/>
        <v>-1.0199999999999991</v>
      </c>
      <c r="B56" s="4">
        <f t="shared" si="0"/>
        <v>-1.0199999999999991</v>
      </c>
      <c r="C56" s="4">
        <f t="shared" si="1"/>
        <v>6.000784313725227E-2</v>
      </c>
    </row>
    <row r="57" spans="1:3" x14ac:dyDescent="0.25">
      <c r="A57" s="4">
        <f t="shared" si="3"/>
        <v>-0.99999999999999911</v>
      </c>
      <c r="B57" s="4">
        <f t="shared" si="0"/>
        <v>-0.99999999999999911</v>
      </c>
      <c r="C57" s="4">
        <f t="shared" si="1"/>
        <v>-2.6645352591003757E-15</v>
      </c>
    </row>
    <row r="58" spans="1:3" x14ac:dyDescent="0.25">
      <c r="A58" s="4">
        <f t="shared" si="3"/>
        <v>-0.97999999999999909</v>
      </c>
      <c r="B58" s="4">
        <f t="shared" si="0"/>
        <v>-0.97999999999999909</v>
      </c>
      <c r="C58" s="4">
        <f t="shared" si="1"/>
        <v>-6.0008163265308778E-2</v>
      </c>
    </row>
    <row r="59" spans="1:3" x14ac:dyDescent="0.25">
      <c r="A59" s="4">
        <f t="shared" si="3"/>
        <v>-0.95999999999999908</v>
      </c>
      <c r="B59" s="4">
        <f t="shared" si="0"/>
        <v>-0.95999999999999908</v>
      </c>
      <c r="C59" s="4">
        <f t="shared" si="1"/>
        <v>-0.12006666666666943</v>
      </c>
    </row>
    <row r="60" spans="1:3" x14ac:dyDescent="0.25">
      <c r="A60" s="4">
        <f t="shared" si="3"/>
        <v>-0.93999999999999906</v>
      </c>
      <c r="B60" s="4">
        <f t="shared" si="0"/>
        <v>-0.93999999999999906</v>
      </c>
      <c r="C60" s="4">
        <f t="shared" si="1"/>
        <v>-0.18022978723404537</v>
      </c>
    </row>
    <row r="61" spans="1:3" x14ac:dyDescent="0.25">
      <c r="A61" s="4">
        <f t="shared" si="3"/>
        <v>-0.91999999999999904</v>
      </c>
      <c r="B61" s="4">
        <f t="shared" si="0"/>
        <v>-0.91999999999999904</v>
      </c>
      <c r="C61" s="4">
        <f t="shared" si="1"/>
        <v>-0.24055652173913322</v>
      </c>
    </row>
    <row r="62" spans="1:3" x14ac:dyDescent="0.25">
      <c r="A62" s="4">
        <f t="shared" si="3"/>
        <v>-0.89999999999999902</v>
      </c>
      <c r="B62" s="4">
        <f t="shared" si="0"/>
        <v>-0.89999999999999902</v>
      </c>
      <c r="C62" s="4">
        <f t="shared" si="1"/>
        <v>-0.30111111111111399</v>
      </c>
    </row>
    <row r="63" spans="1:3" x14ac:dyDescent="0.25">
      <c r="A63" s="4">
        <f t="shared" si="3"/>
        <v>-0.87999999999999901</v>
      </c>
      <c r="B63" s="4">
        <f t="shared" si="0"/>
        <v>-0.87999999999999901</v>
      </c>
      <c r="C63" s="4">
        <f t="shared" si="1"/>
        <v>-0.36196363636363937</v>
      </c>
    </row>
    <row r="64" spans="1:3" x14ac:dyDescent="0.25">
      <c r="A64" s="4">
        <f t="shared" si="3"/>
        <v>-0.85999999999999899</v>
      </c>
      <c r="B64" s="4">
        <f t="shared" si="0"/>
        <v>-0.85999999999999899</v>
      </c>
      <c r="C64" s="4">
        <f t="shared" si="1"/>
        <v>-0.42319069767442175</v>
      </c>
    </row>
    <row r="65" spans="1:3" x14ac:dyDescent="0.25">
      <c r="A65" s="4">
        <f t="shared" si="3"/>
        <v>-0.83999999999999897</v>
      </c>
      <c r="B65" s="4">
        <f t="shared" si="0"/>
        <v>-0.83999999999999897</v>
      </c>
      <c r="C65" s="4">
        <f t="shared" si="1"/>
        <v>-0.48487619047619379</v>
      </c>
    </row>
    <row r="66" spans="1:3" x14ac:dyDescent="0.25">
      <c r="A66" s="4">
        <f t="shared" si="3"/>
        <v>-0.81999999999999895</v>
      </c>
      <c r="B66" s="4">
        <f t="shared" si="0"/>
        <v>-0.81999999999999895</v>
      </c>
      <c r="C66" s="4">
        <f t="shared" si="1"/>
        <v>-0.54711219512195441</v>
      </c>
    </row>
    <row r="67" spans="1:3" x14ac:dyDescent="0.25">
      <c r="A67" s="4">
        <f t="shared" si="3"/>
        <v>-0.79999999999999893</v>
      </c>
      <c r="B67" s="4">
        <f t="shared" si="0"/>
        <v>-0.79999999999999893</v>
      </c>
      <c r="C67" s="4">
        <f t="shared" si="1"/>
        <v>-0.61000000000000343</v>
      </c>
    </row>
    <row r="68" spans="1:3" x14ac:dyDescent="0.25">
      <c r="A68" s="4">
        <f t="shared" si="3"/>
        <v>-0.77999999999999892</v>
      </c>
      <c r="B68" s="4">
        <f t="shared" si="0"/>
        <v>-0.77999999999999892</v>
      </c>
      <c r="C68" s="4">
        <f t="shared" si="1"/>
        <v>-0.67365128205128566</v>
      </c>
    </row>
    <row r="69" spans="1:3" x14ac:dyDescent="0.25">
      <c r="A69" s="4">
        <f t="shared" si="3"/>
        <v>-0.7599999999999989</v>
      </c>
      <c r="B69" s="4">
        <f t="shared" si="0"/>
        <v>-0.7599999999999989</v>
      </c>
      <c r="C69" s="4">
        <f t="shared" si="1"/>
        <v>-0.73818947368421406</v>
      </c>
    </row>
    <row r="70" spans="1:3" x14ac:dyDescent="0.25">
      <c r="A70" s="4">
        <f t="shared" si="3"/>
        <v>-0.73999999999999888</v>
      </c>
      <c r="B70" s="4">
        <f t="shared" si="0"/>
        <v>-0.73999999999999888</v>
      </c>
      <c r="C70" s="4">
        <f t="shared" si="1"/>
        <v>-0.803751351351355</v>
      </c>
    </row>
    <row r="71" spans="1:3" x14ac:dyDescent="0.25">
      <c r="A71" s="4">
        <f t="shared" si="3"/>
        <v>-0.71999999999999886</v>
      </c>
      <c r="B71" s="4">
        <f t="shared" ref="B71:B134" si="4">IF(ABS(A71)&lt;10^(-5),"",A71)</f>
        <v>-0.71999999999999886</v>
      </c>
      <c r="C71" s="4">
        <f t="shared" ref="C71:C134" si="5">IF(ABS(A71)&lt;10^(-5),"",A71^2+1/A71)</f>
        <v>-0.87048888888889264</v>
      </c>
    </row>
    <row r="72" spans="1:3" x14ac:dyDescent="0.25">
      <c r="A72" s="4">
        <f t="shared" ref="A72:A103" si="6">A71+$B$2</f>
        <v>-0.69999999999999885</v>
      </c>
      <c r="B72" s="4">
        <f t="shared" si="4"/>
        <v>-0.69999999999999885</v>
      </c>
      <c r="C72" s="4">
        <f t="shared" si="5"/>
        <v>-0.93857142857143239</v>
      </c>
    </row>
    <row r="73" spans="1:3" x14ac:dyDescent="0.25">
      <c r="A73" s="4">
        <f t="shared" si="6"/>
        <v>-0.67999999999999883</v>
      </c>
      <c r="B73" s="4">
        <f t="shared" si="4"/>
        <v>-0.67999999999999883</v>
      </c>
      <c r="C73" s="4">
        <f t="shared" si="5"/>
        <v>-1.0081882352941218</v>
      </c>
    </row>
    <row r="74" spans="1:3" x14ac:dyDescent="0.25">
      <c r="A74" s="4">
        <f t="shared" si="6"/>
        <v>-0.65999999999999881</v>
      </c>
      <c r="B74" s="4">
        <f t="shared" si="4"/>
        <v>-0.65999999999999881</v>
      </c>
      <c r="C74" s="4">
        <f t="shared" si="5"/>
        <v>-1.0795515151515194</v>
      </c>
    </row>
    <row r="75" spans="1:3" x14ac:dyDescent="0.25">
      <c r="A75" s="4">
        <f t="shared" si="6"/>
        <v>-0.63999999999999879</v>
      </c>
      <c r="B75" s="4">
        <f t="shared" si="4"/>
        <v>-0.63999999999999879</v>
      </c>
      <c r="C75" s="4">
        <f t="shared" si="5"/>
        <v>-1.1529000000000045</v>
      </c>
    </row>
    <row r="76" spans="1:3" x14ac:dyDescent="0.25">
      <c r="A76" s="4">
        <f t="shared" si="6"/>
        <v>-0.61999999999999877</v>
      </c>
      <c r="B76" s="4">
        <f t="shared" si="4"/>
        <v>-0.61999999999999877</v>
      </c>
      <c r="C76" s="4">
        <f t="shared" si="5"/>
        <v>-1.2285032258064563</v>
      </c>
    </row>
    <row r="77" spans="1:3" x14ac:dyDescent="0.25">
      <c r="A77" s="4">
        <f t="shared" si="6"/>
        <v>-0.59999999999999876</v>
      </c>
      <c r="B77" s="4">
        <f t="shared" si="4"/>
        <v>-0.59999999999999876</v>
      </c>
      <c r="C77" s="4">
        <f t="shared" si="5"/>
        <v>-1.3066666666666715</v>
      </c>
    </row>
    <row r="78" spans="1:3" x14ac:dyDescent="0.25">
      <c r="A78" s="4">
        <f t="shared" si="6"/>
        <v>-0.57999999999999874</v>
      </c>
      <c r="B78" s="4">
        <f t="shared" si="4"/>
        <v>-0.57999999999999874</v>
      </c>
      <c r="C78" s="4">
        <f t="shared" si="5"/>
        <v>-1.3877379310344879</v>
      </c>
    </row>
    <row r="79" spans="1:3" x14ac:dyDescent="0.25">
      <c r="A79" s="4">
        <f t="shared" si="6"/>
        <v>-0.55999999999999872</v>
      </c>
      <c r="B79" s="4">
        <f t="shared" si="4"/>
        <v>-0.55999999999999872</v>
      </c>
      <c r="C79" s="4">
        <f t="shared" si="5"/>
        <v>-1.4721142857142913</v>
      </c>
    </row>
    <row r="80" spans="1:3" x14ac:dyDescent="0.25">
      <c r="A80" s="4">
        <f t="shared" si="6"/>
        <v>-0.5399999999999987</v>
      </c>
      <c r="B80" s="4">
        <f t="shared" si="4"/>
        <v>-0.5399999999999987</v>
      </c>
      <c r="C80" s="4">
        <f t="shared" si="5"/>
        <v>-1.5602518518518578</v>
      </c>
    </row>
    <row r="81" spans="1:3" x14ac:dyDescent="0.25">
      <c r="A81" s="4">
        <f t="shared" si="6"/>
        <v>-0.51999999999999869</v>
      </c>
      <c r="B81" s="4">
        <f t="shared" si="4"/>
        <v>-0.51999999999999869</v>
      </c>
      <c r="C81" s="4">
        <f t="shared" si="5"/>
        <v>-1.6526769230769294</v>
      </c>
    </row>
    <row r="82" spans="1:3" x14ac:dyDescent="0.25">
      <c r="A82" s="4">
        <f t="shared" si="6"/>
        <v>-0.49999999999999867</v>
      </c>
      <c r="B82" s="4">
        <f t="shared" si="4"/>
        <v>-0.49999999999999867</v>
      </c>
      <c r="C82" s="4">
        <f t="shared" si="5"/>
        <v>-1.7500000000000067</v>
      </c>
    </row>
    <row r="83" spans="1:3" x14ac:dyDescent="0.25">
      <c r="A83" s="4">
        <f t="shared" si="6"/>
        <v>-0.47999999999999865</v>
      </c>
      <c r="B83" s="4">
        <f t="shared" si="4"/>
        <v>-0.47999999999999865</v>
      </c>
      <c r="C83" s="4">
        <f t="shared" si="5"/>
        <v>-1.8529333333333406</v>
      </c>
    </row>
    <row r="84" spans="1:3" x14ac:dyDescent="0.25">
      <c r="A84" s="4">
        <f t="shared" si="6"/>
        <v>-0.45999999999999863</v>
      </c>
      <c r="B84" s="4">
        <f t="shared" si="4"/>
        <v>-0.45999999999999863</v>
      </c>
      <c r="C84" s="4">
        <f t="shared" si="5"/>
        <v>-1.9623130434782687</v>
      </c>
    </row>
    <row r="85" spans="1:3" x14ac:dyDescent="0.25">
      <c r="A85" s="4">
        <f t="shared" si="6"/>
        <v>-0.43999999999999861</v>
      </c>
      <c r="B85" s="4">
        <f t="shared" si="4"/>
        <v>-0.43999999999999861</v>
      </c>
      <c r="C85" s="4">
        <f t="shared" si="5"/>
        <v>-2.0791272727272814</v>
      </c>
    </row>
    <row r="86" spans="1:3" x14ac:dyDescent="0.25">
      <c r="A86" s="4">
        <f t="shared" si="6"/>
        <v>-0.4199999999999986</v>
      </c>
      <c r="B86" s="4">
        <f t="shared" si="4"/>
        <v>-0.4199999999999986</v>
      </c>
      <c r="C86" s="4">
        <f t="shared" si="5"/>
        <v>-2.2045523809523901</v>
      </c>
    </row>
    <row r="87" spans="1:3" x14ac:dyDescent="0.25">
      <c r="A87" s="4">
        <f t="shared" si="6"/>
        <v>-0.39999999999999858</v>
      </c>
      <c r="B87" s="4">
        <f t="shared" si="4"/>
        <v>-0.39999999999999858</v>
      </c>
      <c r="C87" s="4">
        <f t="shared" si="5"/>
        <v>-2.3400000000000101</v>
      </c>
    </row>
    <row r="88" spans="1:3" x14ac:dyDescent="0.25">
      <c r="A88" s="4">
        <f t="shared" si="6"/>
        <v>-0.37999999999999856</v>
      </c>
      <c r="B88" s="4">
        <f t="shared" si="4"/>
        <v>-0.37999999999999856</v>
      </c>
      <c r="C88" s="4">
        <f t="shared" si="5"/>
        <v>-2.4871789473684323</v>
      </c>
    </row>
    <row r="89" spans="1:3" x14ac:dyDescent="0.25">
      <c r="A89" s="4">
        <f t="shared" si="6"/>
        <v>-0.35999999999999854</v>
      </c>
      <c r="B89" s="4">
        <f t="shared" si="4"/>
        <v>-0.35999999999999854</v>
      </c>
      <c r="C89" s="4">
        <f t="shared" si="5"/>
        <v>-2.6481777777777902</v>
      </c>
    </row>
    <row r="90" spans="1:3" x14ac:dyDescent="0.25">
      <c r="A90" s="4">
        <f t="shared" si="6"/>
        <v>-0.33999999999999853</v>
      </c>
      <c r="B90" s="4">
        <f t="shared" si="4"/>
        <v>-0.33999999999999853</v>
      </c>
      <c r="C90" s="4">
        <f t="shared" si="5"/>
        <v>-2.8255764705882491</v>
      </c>
    </row>
    <row r="91" spans="1:3" x14ac:dyDescent="0.25">
      <c r="A91" s="4">
        <f t="shared" si="6"/>
        <v>-0.31999999999999851</v>
      </c>
      <c r="B91" s="4">
        <f t="shared" si="4"/>
        <v>-0.31999999999999851</v>
      </c>
      <c r="C91" s="4">
        <f t="shared" si="5"/>
        <v>-3.0226000000000157</v>
      </c>
    </row>
    <row r="92" spans="1:3" x14ac:dyDescent="0.25">
      <c r="A92" s="4">
        <f t="shared" si="6"/>
        <v>-0.29999999999999849</v>
      </c>
      <c r="B92" s="4">
        <f t="shared" si="4"/>
        <v>-0.29999999999999849</v>
      </c>
      <c r="C92" s="4">
        <f t="shared" si="5"/>
        <v>-3.2433333333333509</v>
      </c>
    </row>
    <row r="93" spans="1:3" x14ac:dyDescent="0.25">
      <c r="A93" s="4">
        <f t="shared" si="6"/>
        <v>-0.27999999999999847</v>
      </c>
      <c r="B93" s="4">
        <f t="shared" si="4"/>
        <v>-0.27999999999999847</v>
      </c>
      <c r="C93" s="4">
        <f t="shared" si="5"/>
        <v>-3.4930285714285914</v>
      </c>
    </row>
    <row r="94" spans="1:3" x14ac:dyDescent="0.25">
      <c r="A94" s="4">
        <f t="shared" si="6"/>
        <v>-0.25999999999999845</v>
      </c>
      <c r="B94" s="4">
        <f t="shared" si="4"/>
        <v>-0.25999999999999845</v>
      </c>
      <c r="C94" s="4">
        <f t="shared" si="5"/>
        <v>-3.7785538461538697</v>
      </c>
    </row>
    <row r="95" spans="1:3" x14ac:dyDescent="0.25">
      <c r="A95" s="4">
        <f t="shared" si="6"/>
        <v>-0.23999999999999844</v>
      </c>
      <c r="B95" s="4">
        <f t="shared" si="4"/>
        <v>-0.23999999999999844</v>
      </c>
      <c r="C95" s="4">
        <f t="shared" si="5"/>
        <v>-4.1090666666666946</v>
      </c>
    </row>
    <row r="96" spans="1:3" x14ac:dyDescent="0.25">
      <c r="A96" s="4">
        <f t="shared" si="6"/>
        <v>-0.21999999999999842</v>
      </c>
      <c r="B96" s="4">
        <f t="shared" si="4"/>
        <v>-0.21999999999999842</v>
      </c>
      <c r="C96" s="4">
        <f t="shared" si="5"/>
        <v>-4.4970545454545787</v>
      </c>
    </row>
    <row r="97" spans="1:3" x14ac:dyDescent="0.25">
      <c r="A97" s="4">
        <f t="shared" si="6"/>
        <v>-0.1999999999999984</v>
      </c>
      <c r="B97" s="4">
        <f t="shared" si="4"/>
        <v>-0.1999999999999984</v>
      </c>
      <c r="C97" s="4">
        <f t="shared" si="5"/>
        <v>-4.9600000000000408</v>
      </c>
    </row>
    <row r="98" spans="1:3" x14ac:dyDescent="0.25">
      <c r="A98" s="4">
        <f t="shared" si="6"/>
        <v>-0.17999999999999838</v>
      </c>
      <c r="B98" s="4">
        <f t="shared" si="4"/>
        <v>-0.17999999999999838</v>
      </c>
      <c r="C98" s="4">
        <f t="shared" si="5"/>
        <v>-5.523155555555606</v>
      </c>
    </row>
    <row r="99" spans="1:3" x14ac:dyDescent="0.25">
      <c r="A99" s="4">
        <f t="shared" si="6"/>
        <v>-0.15999999999999837</v>
      </c>
      <c r="B99" s="4">
        <f t="shared" si="4"/>
        <v>-0.15999999999999837</v>
      </c>
      <c r="C99" s="4">
        <f t="shared" si="5"/>
        <v>-6.2244000000000641</v>
      </c>
    </row>
    <row r="100" spans="1:3" x14ac:dyDescent="0.25">
      <c r="A100" s="4">
        <f t="shared" si="6"/>
        <v>-0.13999999999999835</v>
      </c>
      <c r="B100" s="4">
        <f t="shared" si="4"/>
        <v>-0.13999999999999835</v>
      </c>
      <c r="C100" s="4">
        <f t="shared" si="5"/>
        <v>-7.1232571428572271</v>
      </c>
    </row>
    <row r="101" spans="1:3" x14ac:dyDescent="0.25">
      <c r="A101" s="4">
        <f t="shared" si="6"/>
        <v>-0.11999999999999832</v>
      </c>
      <c r="B101" s="4">
        <f t="shared" si="4"/>
        <v>-0.11999999999999832</v>
      </c>
      <c r="C101" s="4">
        <f t="shared" si="5"/>
        <v>-8.3189333333334492</v>
      </c>
    </row>
    <row r="102" spans="1:3" x14ac:dyDescent="0.25">
      <c r="A102" s="4">
        <f t="shared" si="6"/>
        <v>-9.9999999999998285E-2</v>
      </c>
      <c r="B102" s="4">
        <f t="shared" si="4"/>
        <v>-9.9999999999998285E-2</v>
      </c>
      <c r="C102" s="4">
        <f t="shared" si="5"/>
        <v>-9.9900000000001725</v>
      </c>
    </row>
    <row r="103" spans="1:3" x14ac:dyDescent="0.25">
      <c r="A103" s="4">
        <f t="shared" si="6"/>
        <v>-7.9999999999998253E-2</v>
      </c>
      <c r="B103" s="4">
        <f t="shared" si="4"/>
        <v>-7.9999999999998253E-2</v>
      </c>
      <c r="C103" s="4">
        <f t="shared" si="5"/>
        <v>-12.493600000000274</v>
      </c>
    </row>
    <row r="104" spans="1:3" x14ac:dyDescent="0.25">
      <c r="A104" s="4">
        <f t="shared" ref="A104:A135" si="7">A103+$B$2</f>
        <v>-5.9999999999998221E-2</v>
      </c>
      <c r="B104" s="4">
        <f t="shared" si="4"/>
        <v>-5.9999999999998221E-2</v>
      </c>
      <c r="C104" s="4">
        <f t="shared" si="5"/>
        <v>-16.663066666667163</v>
      </c>
    </row>
    <row r="105" spans="1:3" x14ac:dyDescent="0.25">
      <c r="A105" s="4">
        <f t="shared" si="7"/>
        <v>-3.999999999999819E-2</v>
      </c>
      <c r="B105" s="4">
        <f t="shared" si="4"/>
        <v>-3.999999999999819E-2</v>
      </c>
      <c r="C105" s="4">
        <f t="shared" si="5"/>
        <v>-24.99840000000113</v>
      </c>
    </row>
    <row r="106" spans="1:3" x14ac:dyDescent="0.25">
      <c r="A106" s="4">
        <f t="shared" si="7"/>
        <v>-1.9999999999998158E-2</v>
      </c>
      <c r="B106" s="4">
        <f t="shared" si="4"/>
        <v>-1.9999999999998158E-2</v>
      </c>
      <c r="C106" s="4">
        <f t="shared" si="5"/>
        <v>-49.999600000004605</v>
      </c>
    </row>
    <row r="107" spans="1:3" x14ac:dyDescent="0.25">
      <c r="A107" s="4">
        <f t="shared" si="7"/>
        <v>1.8735013540549517E-15</v>
      </c>
      <c r="B107" s="4" t="str">
        <f t="shared" si="4"/>
        <v/>
      </c>
      <c r="C107" s="4" t="str">
        <f t="shared" si="5"/>
        <v/>
      </c>
    </row>
    <row r="108" spans="1:3" x14ac:dyDescent="0.25">
      <c r="A108" s="4">
        <f t="shared" si="7"/>
        <v>2.0000000000001905E-2</v>
      </c>
      <c r="B108" s="4">
        <f t="shared" si="4"/>
        <v>2.0000000000001905E-2</v>
      </c>
      <c r="C108" s="4">
        <f t="shared" si="5"/>
        <v>50.000399999995238</v>
      </c>
    </row>
    <row r="109" spans="1:3" x14ac:dyDescent="0.25">
      <c r="A109" s="4">
        <f t="shared" si="7"/>
        <v>4.0000000000001937E-2</v>
      </c>
      <c r="B109" s="4">
        <f t="shared" si="4"/>
        <v>4.0000000000001937E-2</v>
      </c>
      <c r="C109" s="4">
        <f t="shared" si="5"/>
        <v>25.001599999998788</v>
      </c>
    </row>
    <row r="110" spans="1:3" x14ac:dyDescent="0.25">
      <c r="A110" s="4">
        <f t="shared" si="7"/>
        <v>6.0000000000001968E-2</v>
      </c>
      <c r="B110" s="4">
        <f t="shared" si="4"/>
        <v>6.0000000000001968E-2</v>
      </c>
      <c r="C110" s="4">
        <f t="shared" si="5"/>
        <v>16.670266666666119</v>
      </c>
    </row>
    <row r="111" spans="1:3" x14ac:dyDescent="0.25">
      <c r="A111" s="4">
        <f t="shared" si="7"/>
        <v>8.0000000000002E-2</v>
      </c>
      <c r="B111" s="4">
        <f t="shared" si="4"/>
        <v>8.0000000000002E-2</v>
      </c>
      <c r="C111" s="4">
        <f t="shared" si="5"/>
        <v>12.506399999999688</v>
      </c>
    </row>
    <row r="112" spans="1:3" x14ac:dyDescent="0.25">
      <c r="A112" s="4">
        <f t="shared" si="7"/>
        <v>0.10000000000000203</v>
      </c>
      <c r="B112" s="4">
        <f t="shared" si="4"/>
        <v>0.10000000000000203</v>
      </c>
      <c r="C112" s="4">
        <f t="shared" si="5"/>
        <v>10.009999999999797</v>
      </c>
    </row>
    <row r="113" spans="1:3" x14ac:dyDescent="0.25">
      <c r="A113" s="4">
        <f t="shared" si="7"/>
        <v>0.12000000000000206</v>
      </c>
      <c r="B113" s="4">
        <f t="shared" si="4"/>
        <v>0.12000000000000206</v>
      </c>
      <c r="C113" s="4">
        <f t="shared" si="5"/>
        <v>8.3477333333331902</v>
      </c>
    </row>
    <row r="114" spans="1:3" x14ac:dyDescent="0.25">
      <c r="A114" s="4">
        <f t="shared" si="7"/>
        <v>0.14000000000000209</v>
      </c>
      <c r="B114" s="4">
        <f t="shared" si="4"/>
        <v>0.14000000000000209</v>
      </c>
      <c r="C114" s="4">
        <f t="shared" si="5"/>
        <v>7.1624571428570363</v>
      </c>
    </row>
    <row r="115" spans="1:3" x14ac:dyDescent="0.25">
      <c r="A115" s="4">
        <f t="shared" si="7"/>
        <v>0.16000000000000214</v>
      </c>
      <c r="B115" s="4">
        <f t="shared" si="4"/>
        <v>0.16000000000000214</v>
      </c>
      <c r="C115" s="4">
        <f t="shared" si="5"/>
        <v>6.2755999999999172</v>
      </c>
    </row>
    <row r="116" spans="1:3" x14ac:dyDescent="0.25">
      <c r="A116" s="4">
        <f t="shared" si="7"/>
        <v>0.18000000000000216</v>
      </c>
      <c r="B116" s="4">
        <f t="shared" si="4"/>
        <v>0.18000000000000216</v>
      </c>
      <c r="C116" s="4">
        <f t="shared" si="5"/>
        <v>5.5879555555554896</v>
      </c>
    </row>
    <row r="117" spans="1:3" x14ac:dyDescent="0.25">
      <c r="A117" s="4">
        <f t="shared" si="7"/>
        <v>0.20000000000000218</v>
      </c>
      <c r="B117" s="4">
        <f t="shared" si="4"/>
        <v>0.20000000000000218</v>
      </c>
      <c r="C117" s="4">
        <f t="shared" si="5"/>
        <v>5.0399999999999467</v>
      </c>
    </row>
    <row r="118" spans="1:3" x14ac:dyDescent="0.25">
      <c r="A118" s="4">
        <f t="shared" si="7"/>
        <v>0.22000000000000219</v>
      </c>
      <c r="B118" s="4">
        <f t="shared" si="4"/>
        <v>0.22000000000000219</v>
      </c>
      <c r="C118" s="4">
        <f t="shared" si="5"/>
        <v>4.5938545454545014</v>
      </c>
    </row>
    <row r="119" spans="1:3" x14ac:dyDescent="0.25">
      <c r="A119" s="4">
        <f t="shared" si="7"/>
        <v>0.24000000000000221</v>
      </c>
      <c r="B119" s="4">
        <f t="shared" si="4"/>
        <v>0.24000000000000221</v>
      </c>
      <c r="C119" s="4">
        <f t="shared" si="5"/>
        <v>4.2242666666666286</v>
      </c>
    </row>
    <row r="120" spans="1:3" x14ac:dyDescent="0.25">
      <c r="A120" s="4">
        <f t="shared" si="7"/>
        <v>0.26000000000000223</v>
      </c>
      <c r="B120" s="4">
        <f t="shared" si="4"/>
        <v>0.26000000000000223</v>
      </c>
      <c r="C120" s="4">
        <f t="shared" si="5"/>
        <v>3.9137538461538144</v>
      </c>
    </row>
    <row r="121" spans="1:3" x14ac:dyDescent="0.25">
      <c r="A121" s="4">
        <f t="shared" si="7"/>
        <v>0.28000000000000225</v>
      </c>
      <c r="B121" s="4">
        <f t="shared" si="4"/>
        <v>0.28000000000000225</v>
      </c>
      <c r="C121" s="4">
        <f t="shared" si="5"/>
        <v>3.6498285714285439</v>
      </c>
    </row>
    <row r="122" spans="1:3" x14ac:dyDescent="0.25">
      <c r="A122" s="4">
        <f t="shared" si="7"/>
        <v>0.30000000000000226</v>
      </c>
      <c r="B122" s="4">
        <f t="shared" si="4"/>
        <v>0.30000000000000226</v>
      </c>
      <c r="C122" s="4">
        <f t="shared" si="5"/>
        <v>3.4233333333333094</v>
      </c>
    </row>
    <row r="123" spans="1:3" x14ac:dyDescent="0.25">
      <c r="A123" s="4">
        <f t="shared" si="7"/>
        <v>0.32000000000000228</v>
      </c>
      <c r="B123" s="4">
        <f t="shared" si="4"/>
        <v>0.32000000000000228</v>
      </c>
      <c r="C123" s="4">
        <f t="shared" si="5"/>
        <v>3.2273999999999794</v>
      </c>
    </row>
    <row r="124" spans="1:3" x14ac:dyDescent="0.25">
      <c r="A124" s="4">
        <f t="shared" si="7"/>
        <v>0.3400000000000023</v>
      </c>
      <c r="B124" s="4">
        <f t="shared" si="4"/>
        <v>0.3400000000000023</v>
      </c>
      <c r="C124" s="4">
        <f t="shared" si="5"/>
        <v>3.056776470588217</v>
      </c>
    </row>
    <row r="125" spans="1:3" x14ac:dyDescent="0.25">
      <c r="A125" s="4">
        <f t="shared" si="7"/>
        <v>0.36000000000000232</v>
      </c>
      <c r="B125" s="4">
        <f t="shared" si="4"/>
        <v>0.36000000000000232</v>
      </c>
      <c r="C125" s="4">
        <f t="shared" si="5"/>
        <v>2.9073777777777616</v>
      </c>
    </row>
    <row r="126" spans="1:3" x14ac:dyDescent="0.25">
      <c r="A126" s="4">
        <f t="shared" si="7"/>
        <v>0.38000000000000234</v>
      </c>
      <c r="B126" s="4">
        <f t="shared" si="4"/>
        <v>0.38000000000000234</v>
      </c>
      <c r="C126" s="4">
        <f t="shared" si="5"/>
        <v>2.7759789473684067</v>
      </c>
    </row>
    <row r="127" spans="1:3" x14ac:dyDescent="0.25">
      <c r="A127" s="4">
        <f t="shared" si="7"/>
        <v>0.40000000000000235</v>
      </c>
      <c r="B127" s="4">
        <f t="shared" si="4"/>
        <v>0.40000000000000235</v>
      </c>
      <c r="C127" s="4">
        <f t="shared" si="5"/>
        <v>2.6599999999999873</v>
      </c>
    </row>
    <row r="128" spans="1:3" x14ac:dyDescent="0.25">
      <c r="A128" s="4">
        <f t="shared" si="7"/>
        <v>0.42000000000000237</v>
      </c>
      <c r="B128" s="4">
        <f t="shared" si="4"/>
        <v>0.42000000000000237</v>
      </c>
      <c r="C128" s="4">
        <f t="shared" si="5"/>
        <v>2.5573523809523695</v>
      </c>
    </row>
    <row r="129" spans="1:3" x14ac:dyDescent="0.25">
      <c r="A129" s="4">
        <f t="shared" si="7"/>
        <v>0.44000000000000239</v>
      </c>
      <c r="B129" s="4">
        <f t="shared" si="4"/>
        <v>0.44000000000000239</v>
      </c>
      <c r="C129" s="4">
        <f t="shared" si="5"/>
        <v>2.4663272727272627</v>
      </c>
    </row>
    <row r="130" spans="1:3" x14ac:dyDescent="0.25">
      <c r="A130" s="4">
        <f t="shared" si="7"/>
        <v>0.46000000000000241</v>
      </c>
      <c r="B130" s="4">
        <f t="shared" si="4"/>
        <v>0.46000000000000241</v>
      </c>
      <c r="C130" s="4">
        <f t="shared" si="5"/>
        <v>2.3855130434782517</v>
      </c>
    </row>
    <row r="131" spans="1:3" x14ac:dyDescent="0.25">
      <c r="A131" s="4">
        <f t="shared" si="7"/>
        <v>0.48000000000000242</v>
      </c>
      <c r="B131" s="4">
        <f t="shared" si="4"/>
        <v>0.48000000000000242</v>
      </c>
      <c r="C131" s="4">
        <f t="shared" si="5"/>
        <v>2.313733333333325</v>
      </c>
    </row>
    <row r="132" spans="1:3" x14ac:dyDescent="0.25">
      <c r="A132" s="4">
        <f t="shared" si="7"/>
        <v>0.50000000000000244</v>
      </c>
      <c r="B132" s="4">
        <f t="shared" si="4"/>
        <v>0.50000000000000244</v>
      </c>
      <c r="C132" s="4">
        <f t="shared" si="5"/>
        <v>2.2499999999999929</v>
      </c>
    </row>
    <row r="133" spans="1:3" x14ac:dyDescent="0.25">
      <c r="A133" s="4">
        <f t="shared" si="7"/>
        <v>0.52000000000000246</v>
      </c>
      <c r="B133" s="4">
        <f t="shared" si="4"/>
        <v>0.52000000000000246</v>
      </c>
      <c r="C133" s="4">
        <f t="shared" si="5"/>
        <v>2.1934769230769167</v>
      </c>
    </row>
    <row r="134" spans="1:3" x14ac:dyDescent="0.25">
      <c r="A134" s="4">
        <f t="shared" si="7"/>
        <v>0.54000000000000248</v>
      </c>
      <c r="B134" s="4">
        <f t="shared" si="4"/>
        <v>0.54000000000000248</v>
      </c>
      <c r="C134" s="4">
        <f t="shared" si="5"/>
        <v>2.1434518518518462</v>
      </c>
    </row>
    <row r="135" spans="1:3" x14ac:dyDescent="0.25">
      <c r="A135" s="4">
        <f t="shared" si="7"/>
        <v>0.5600000000000025</v>
      </c>
      <c r="B135" s="4">
        <f t="shared" ref="B135:B198" si="8">IF(ABS(A135)&lt;10^(-5),"",A135)</f>
        <v>0.5600000000000025</v>
      </c>
      <c r="C135" s="4">
        <f t="shared" ref="C135:C198" si="9">IF(ABS(A135)&lt;10^(-5),"",A135^2+1/A135)</f>
        <v>2.0993142857142808</v>
      </c>
    </row>
    <row r="136" spans="1:3" x14ac:dyDescent="0.25">
      <c r="A136" s="4">
        <f t="shared" ref="A136:A167" si="10">A135+$B$2</f>
        <v>0.58000000000000251</v>
      </c>
      <c r="B136" s="4">
        <f t="shared" si="8"/>
        <v>0.58000000000000251</v>
      </c>
      <c r="C136" s="4">
        <f t="shared" si="9"/>
        <v>2.060537931034478</v>
      </c>
    </row>
    <row r="137" spans="1:3" x14ac:dyDescent="0.25">
      <c r="A137" s="4">
        <f t="shared" si="10"/>
        <v>0.60000000000000253</v>
      </c>
      <c r="B137" s="4">
        <f t="shared" si="8"/>
        <v>0.60000000000000253</v>
      </c>
      <c r="C137" s="4">
        <f t="shared" si="9"/>
        <v>2.0266666666666628</v>
      </c>
    </row>
    <row r="138" spans="1:3" x14ac:dyDescent="0.25">
      <c r="A138" s="4">
        <f t="shared" si="10"/>
        <v>0.62000000000000255</v>
      </c>
      <c r="B138" s="4">
        <f t="shared" si="8"/>
        <v>0.62000000000000255</v>
      </c>
      <c r="C138" s="4">
        <f t="shared" si="9"/>
        <v>1.9973032258064483</v>
      </c>
    </row>
    <row r="139" spans="1:3" x14ac:dyDescent="0.25">
      <c r="A139" s="4">
        <f t="shared" si="10"/>
        <v>0.64000000000000257</v>
      </c>
      <c r="B139" s="4">
        <f t="shared" si="8"/>
        <v>0.64000000000000257</v>
      </c>
      <c r="C139" s="4">
        <f t="shared" si="9"/>
        <v>1.9720999999999971</v>
      </c>
    </row>
    <row r="140" spans="1:3" x14ac:dyDescent="0.25">
      <c r="A140" s="4">
        <f t="shared" si="10"/>
        <v>0.66000000000000258</v>
      </c>
      <c r="B140" s="4">
        <f t="shared" si="8"/>
        <v>0.66000000000000258</v>
      </c>
      <c r="C140" s="4">
        <f t="shared" si="9"/>
        <v>1.9507515151515125</v>
      </c>
    </row>
    <row r="141" spans="1:3" x14ac:dyDescent="0.25">
      <c r="A141" s="4">
        <f t="shared" si="10"/>
        <v>0.6800000000000026</v>
      </c>
      <c r="B141" s="4">
        <f t="shared" si="8"/>
        <v>0.6800000000000026</v>
      </c>
      <c r="C141" s="4">
        <f t="shared" si="9"/>
        <v>1.9329882352941155</v>
      </c>
    </row>
    <row r="142" spans="1:3" x14ac:dyDescent="0.25">
      <c r="A142" s="4">
        <f t="shared" si="10"/>
        <v>0.70000000000000262</v>
      </c>
      <c r="B142" s="4">
        <f t="shared" si="8"/>
        <v>0.70000000000000262</v>
      </c>
      <c r="C142" s="4">
        <f t="shared" si="9"/>
        <v>1.9185714285714268</v>
      </c>
    </row>
    <row r="143" spans="1:3" x14ac:dyDescent="0.25">
      <c r="A143" s="4">
        <f t="shared" si="10"/>
        <v>0.72000000000000264</v>
      </c>
      <c r="B143" s="4">
        <f t="shared" si="8"/>
        <v>0.72000000000000264</v>
      </c>
      <c r="C143" s="4">
        <f t="shared" si="9"/>
        <v>1.9072888888888875</v>
      </c>
    </row>
    <row r="144" spans="1:3" x14ac:dyDescent="0.25">
      <c r="A144" s="4">
        <f t="shared" si="10"/>
        <v>0.74000000000000266</v>
      </c>
      <c r="B144" s="4">
        <f t="shared" si="8"/>
        <v>0.74000000000000266</v>
      </c>
      <c r="C144" s="4">
        <f t="shared" si="9"/>
        <v>1.8989513513513505</v>
      </c>
    </row>
    <row r="145" spans="1:3" x14ac:dyDescent="0.25">
      <c r="A145" s="4">
        <f t="shared" si="10"/>
        <v>0.76000000000000267</v>
      </c>
      <c r="B145" s="4">
        <f t="shared" si="8"/>
        <v>0.76000000000000267</v>
      </c>
      <c r="C145" s="4">
        <f t="shared" si="9"/>
        <v>1.8933894736842101</v>
      </c>
    </row>
    <row r="146" spans="1:3" x14ac:dyDescent="0.25">
      <c r="A146" s="4">
        <f t="shared" si="10"/>
        <v>0.78000000000000269</v>
      </c>
      <c r="B146" s="4">
        <f t="shared" si="8"/>
        <v>0.78000000000000269</v>
      </c>
      <c r="C146" s="4">
        <f t="shared" si="9"/>
        <v>1.890451282051282</v>
      </c>
    </row>
    <row r="147" spans="1:3" x14ac:dyDescent="0.25">
      <c r="A147" s="4">
        <f t="shared" si="10"/>
        <v>0.80000000000000271</v>
      </c>
      <c r="B147" s="4">
        <f t="shared" si="8"/>
        <v>0.80000000000000271</v>
      </c>
      <c r="C147" s="4">
        <f t="shared" si="9"/>
        <v>1.8900000000000001</v>
      </c>
    </row>
    <row r="148" spans="1:3" x14ac:dyDescent="0.25">
      <c r="A148" s="4">
        <f t="shared" si="10"/>
        <v>0.82000000000000273</v>
      </c>
      <c r="B148" s="4">
        <f t="shared" si="8"/>
        <v>0.82000000000000273</v>
      </c>
      <c r="C148" s="4">
        <f t="shared" si="9"/>
        <v>1.8919121951219515</v>
      </c>
    </row>
    <row r="149" spans="1:3" x14ac:dyDescent="0.25">
      <c r="A149" s="4">
        <f t="shared" si="10"/>
        <v>0.84000000000000274</v>
      </c>
      <c r="B149" s="4">
        <f t="shared" si="8"/>
        <v>0.84000000000000274</v>
      </c>
      <c r="C149" s="4">
        <f t="shared" si="9"/>
        <v>1.8960761904761911</v>
      </c>
    </row>
    <row r="150" spans="1:3" x14ac:dyDescent="0.25">
      <c r="A150" s="4">
        <f t="shared" si="10"/>
        <v>0.86000000000000276</v>
      </c>
      <c r="B150" s="4">
        <f t="shared" si="8"/>
        <v>0.86000000000000276</v>
      </c>
      <c r="C150" s="4">
        <f t="shared" si="9"/>
        <v>1.9023906976744196</v>
      </c>
    </row>
    <row r="151" spans="1:3" x14ac:dyDescent="0.25">
      <c r="A151" s="4">
        <f t="shared" si="10"/>
        <v>0.88000000000000278</v>
      </c>
      <c r="B151" s="4">
        <f t="shared" si="8"/>
        <v>0.88000000000000278</v>
      </c>
      <c r="C151" s="4">
        <f t="shared" si="9"/>
        <v>1.9107636363636376</v>
      </c>
    </row>
    <row r="152" spans="1:3" x14ac:dyDescent="0.25">
      <c r="A152" s="4">
        <f t="shared" si="10"/>
        <v>0.9000000000000028</v>
      </c>
      <c r="B152" s="4">
        <f t="shared" si="8"/>
        <v>0.9000000000000028</v>
      </c>
      <c r="C152" s="4">
        <f t="shared" si="9"/>
        <v>1.9211111111111125</v>
      </c>
    </row>
    <row r="153" spans="1:3" x14ac:dyDescent="0.25">
      <c r="A153" s="4">
        <f t="shared" si="10"/>
        <v>0.92000000000000282</v>
      </c>
      <c r="B153" s="4">
        <f t="shared" si="8"/>
        <v>0.92000000000000282</v>
      </c>
      <c r="C153" s="4">
        <f t="shared" si="9"/>
        <v>1.9333565217391322</v>
      </c>
    </row>
    <row r="154" spans="1:3" x14ac:dyDescent="0.25">
      <c r="A154" s="4">
        <f t="shared" si="10"/>
        <v>0.94000000000000283</v>
      </c>
      <c r="B154" s="4">
        <f t="shared" si="8"/>
        <v>0.94000000000000283</v>
      </c>
      <c r="C154" s="4">
        <f t="shared" si="9"/>
        <v>1.9474297872340447</v>
      </c>
    </row>
    <row r="155" spans="1:3" x14ac:dyDescent="0.25">
      <c r="A155" s="4">
        <f t="shared" si="10"/>
        <v>0.96000000000000285</v>
      </c>
      <c r="B155" s="4">
        <f t="shared" si="8"/>
        <v>0.96000000000000285</v>
      </c>
      <c r="C155" s="4">
        <f t="shared" si="9"/>
        <v>1.9632666666666692</v>
      </c>
    </row>
    <row r="156" spans="1:3" x14ac:dyDescent="0.25">
      <c r="A156" s="4">
        <f t="shared" si="10"/>
        <v>0.98000000000000287</v>
      </c>
      <c r="B156" s="4">
        <f t="shared" si="8"/>
        <v>0.98000000000000287</v>
      </c>
      <c r="C156" s="4">
        <f t="shared" si="9"/>
        <v>1.9808081632653085</v>
      </c>
    </row>
    <row r="157" spans="1:3" x14ac:dyDescent="0.25">
      <c r="A157" s="4">
        <f t="shared" si="10"/>
        <v>1.0000000000000029</v>
      </c>
      <c r="B157" s="4">
        <f t="shared" si="8"/>
        <v>1.0000000000000029</v>
      </c>
      <c r="C157" s="4">
        <f t="shared" si="9"/>
        <v>2.0000000000000027</v>
      </c>
    </row>
    <row r="158" spans="1:3" x14ac:dyDescent="0.25">
      <c r="A158" s="4">
        <f t="shared" si="10"/>
        <v>1.0200000000000029</v>
      </c>
      <c r="B158" s="4">
        <f t="shared" si="8"/>
        <v>1.0200000000000029</v>
      </c>
      <c r="C158" s="4">
        <f t="shared" si="9"/>
        <v>2.0207921568627483</v>
      </c>
    </row>
    <row r="159" spans="1:3" x14ac:dyDescent="0.25">
      <c r="A159" s="4">
        <f t="shared" si="10"/>
        <v>1.0400000000000029</v>
      </c>
      <c r="B159" s="4">
        <f t="shared" si="8"/>
        <v>1.0400000000000029</v>
      </c>
      <c r="C159" s="4">
        <f t="shared" si="9"/>
        <v>2.0431384615384651</v>
      </c>
    </row>
    <row r="160" spans="1:3" x14ac:dyDescent="0.25">
      <c r="A160" s="4">
        <f t="shared" si="10"/>
        <v>1.0600000000000029</v>
      </c>
      <c r="B160" s="4">
        <f t="shared" si="8"/>
        <v>1.0600000000000029</v>
      </c>
      <c r="C160" s="4">
        <f t="shared" si="9"/>
        <v>2.0669962264150978</v>
      </c>
    </row>
    <row r="161" spans="1:3" x14ac:dyDescent="0.25">
      <c r="A161" s="4">
        <f t="shared" si="10"/>
        <v>1.080000000000003</v>
      </c>
      <c r="B161" s="4">
        <f t="shared" si="8"/>
        <v>1.080000000000003</v>
      </c>
      <c r="C161" s="4">
        <f t="shared" si="9"/>
        <v>2.0923259259259295</v>
      </c>
    </row>
    <row r="162" spans="1:3" x14ac:dyDescent="0.25">
      <c r="A162" s="4">
        <f t="shared" si="10"/>
        <v>1.100000000000003</v>
      </c>
      <c r="B162" s="4">
        <f t="shared" si="8"/>
        <v>1.100000000000003</v>
      </c>
      <c r="C162" s="4">
        <f t="shared" si="9"/>
        <v>2.1190909090909131</v>
      </c>
    </row>
    <row r="163" spans="1:3" x14ac:dyDescent="0.25">
      <c r="A163" s="4">
        <f t="shared" si="10"/>
        <v>1.120000000000003</v>
      </c>
      <c r="B163" s="4">
        <f t="shared" si="8"/>
        <v>1.120000000000003</v>
      </c>
      <c r="C163" s="4">
        <f t="shared" si="9"/>
        <v>2.1472571428571472</v>
      </c>
    </row>
    <row r="164" spans="1:3" x14ac:dyDescent="0.25">
      <c r="A164" s="4">
        <f t="shared" si="10"/>
        <v>1.140000000000003</v>
      </c>
      <c r="B164" s="4">
        <f t="shared" si="8"/>
        <v>1.140000000000003</v>
      </c>
      <c r="C164" s="4">
        <f t="shared" si="9"/>
        <v>2.1767929824561452</v>
      </c>
    </row>
    <row r="165" spans="1:3" x14ac:dyDescent="0.25">
      <c r="A165" s="4">
        <f t="shared" si="10"/>
        <v>1.160000000000003</v>
      </c>
      <c r="B165" s="4">
        <f t="shared" si="8"/>
        <v>1.160000000000003</v>
      </c>
      <c r="C165" s="4">
        <f t="shared" si="9"/>
        <v>2.2076689655172461</v>
      </c>
    </row>
    <row r="166" spans="1:3" x14ac:dyDescent="0.25">
      <c r="A166" s="4">
        <f t="shared" si="10"/>
        <v>1.180000000000003</v>
      </c>
      <c r="B166" s="4">
        <f t="shared" si="8"/>
        <v>1.180000000000003</v>
      </c>
      <c r="C166" s="4">
        <f t="shared" si="9"/>
        <v>2.2398576271186492</v>
      </c>
    </row>
    <row r="167" spans="1:3" x14ac:dyDescent="0.25">
      <c r="A167" s="4">
        <f t="shared" si="10"/>
        <v>1.2000000000000031</v>
      </c>
      <c r="B167" s="4">
        <f t="shared" si="8"/>
        <v>1.2000000000000031</v>
      </c>
      <c r="C167" s="4">
        <f t="shared" si="9"/>
        <v>2.2733333333333388</v>
      </c>
    </row>
    <row r="168" spans="1:3" x14ac:dyDescent="0.25">
      <c r="A168" s="4">
        <f t="shared" ref="A168:A199" si="11">A167+$B$2</f>
        <v>1.2200000000000031</v>
      </c>
      <c r="B168" s="4">
        <f t="shared" si="8"/>
        <v>1.2200000000000031</v>
      </c>
      <c r="C168" s="4">
        <f t="shared" si="9"/>
        <v>2.3080721311475463</v>
      </c>
    </row>
    <row r="169" spans="1:3" x14ac:dyDescent="0.25">
      <c r="A169" s="4">
        <f t="shared" si="11"/>
        <v>1.2400000000000031</v>
      </c>
      <c r="B169" s="4">
        <f t="shared" si="8"/>
        <v>1.2400000000000031</v>
      </c>
      <c r="C169" s="4">
        <f t="shared" si="9"/>
        <v>2.3440516129032316</v>
      </c>
    </row>
    <row r="170" spans="1:3" x14ac:dyDescent="0.25">
      <c r="A170" s="4">
        <f t="shared" si="11"/>
        <v>1.2600000000000031</v>
      </c>
      <c r="B170" s="4">
        <f t="shared" si="8"/>
        <v>1.2600000000000031</v>
      </c>
      <c r="C170" s="4">
        <f t="shared" si="9"/>
        <v>2.3812507936507998</v>
      </c>
    </row>
    <row r="171" spans="1:3" x14ac:dyDescent="0.25">
      <c r="A171" s="4">
        <f t="shared" si="11"/>
        <v>1.2800000000000031</v>
      </c>
      <c r="B171" s="4">
        <f t="shared" si="8"/>
        <v>1.2800000000000031</v>
      </c>
      <c r="C171" s="4">
        <f t="shared" si="9"/>
        <v>2.4196500000000061</v>
      </c>
    </row>
    <row r="172" spans="1:3" x14ac:dyDescent="0.25">
      <c r="A172" s="4">
        <f t="shared" si="11"/>
        <v>1.3000000000000032</v>
      </c>
      <c r="B172" s="4">
        <f t="shared" si="8"/>
        <v>1.3000000000000032</v>
      </c>
      <c r="C172" s="4">
        <f t="shared" si="9"/>
        <v>2.4592307692307758</v>
      </c>
    </row>
    <row r="173" spans="1:3" x14ac:dyDescent="0.25">
      <c r="A173" s="4">
        <f t="shared" si="11"/>
        <v>1.3200000000000032</v>
      </c>
      <c r="B173" s="4">
        <f t="shared" si="8"/>
        <v>1.3200000000000032</v>
      </c>
      <c r="C173" s="4">
        <f t="shared" si="9"/>
        <v>2.499975757575764</v>
      </c>
    </row>
    <row r="174" spans="1:3" x14ac:dyDescent="0.25">
      <c r="A174" s="4">
        <f t="shared" si="11"/>
        <v>1.3400000000000032</v>
      </c>
      <c r="B174" s="4">
        <f t="shared" si="8"/>
        <v>1.3400000000000032</v>
      </c>
      <c r="C174" s="4">
        <f t="shared" si="9"/>
        <v>2.5418686567164248</v>
      </c>
    </row>
    <row r="175" spans="1:3" x14ac:dyDescent="0.25">
      <c r="A175" s="4">
        <f t="shared" si="11"/>
        <v>1.3600000000000032</v>
      </c>
      <c r="B175" s="4">
        <f t="shared" si="8"/>
        <v>1.3600000000000032</v>
      </c>
      <c r="C175" s="4">
        <f t="shared" si="9"/>
        <v>2.5848941176470657</v>
      </c>
    </row>
    <row r="176" spans="1:3" x14ac:dyDescent="0.25">
      <c r="A176" s="4">
        <f t="shared" si="11"/>
        <v>1.3800000000000032</v>
      </c>
      <c r="B176" s="4">
        <f t="shared" si="8"/>
        <v>1.3800000000000032</v>
      </c>
      <c r="C176" s="4">
        <f t="shared" si="9"/>
        <v>2.6290376811594278</v>
      </c>
    </row>
    <row r="177" spans="1:3" x14ac:dyDescent="0.25">
      <c r="A177" s="4">
        <f t="shared" si="11"/>
        <v>1.4000000000000032</v>
      </c>
      <c r="B177" s="4">
        <f t="shared" si="8"/>
        <v>1.4000000000000032</v>
      </c>
      <c r="C177" s="4">
        <f t="shared" si="9"/>
        <v>2.6742857142857215</v>
      </c>
    </row>
    <row r="178" spans="1:3" x14ac:dyDescent="0.25">
      <c r="A178" s="4">
        <f t="shared" si="11"/>
        <v>1.4200000000000033</v>
      </c>
      <c r="B178" s="4">
        <f t="shared" si="8"/>
        <v>1.4200000000000033</v>
      </c>
      <c r="C178" s="4">
        <f t="shared" si="9"/>
        <v>2.720625352112684</v>
      </c>
    </row>
    <row r="179" spans="1:3" x14ac:dyDescent="0.25">
      <c r="A179" s="4">
        <f t="shared" si="11"/>
        <v>1.4400000000000033</v>
      </c>
      <c r="B179" s="4">
        <f t="shared" si="8"/>
        <v>1.4400000000000033</v>
      </c>
      <c r="C179" s="4">
        <f t="shared" si="9"/>
        <v>2.7680444444444525</v>
      </c>
    </row>
    <row r="180" spans="1:3" x14ac:dyDescent="0.25">
      <c r="A180" s="4">
        <f t="shared" si="11"/>
        <v>1.4600000000000033</v>
      </c>
      <c r="B180" s="4">
        <f t="shared" si="8"/>
        <v>1.4600000000000033</v>
      </c>
      <c r="C180" s="4">
        <f t="shared" si="9"/>
        <v>2.8165315068493229</v>
      </c>
    </row>
    <row r="181" spans="1:3" x14ac:dyDescent="0.25">
      <c r="A181" s="4">
        <f t="shared" si="11"/>
        <v>1.4800000000000033</v>
      </c>
      <c r="B181" s="4">
        <f t="shared" si="8"/>
        <v>1.4800000000000033</v>
      </c>
      <c r="C181" s="4">
        <f t="shared" si="9"/>
        <v>2.8660756756756838</v>
      </c>
    </row>
    <row r="182" spans="1:3" x14ac:dyDescent="0.25">
      <c r="A182" s="4">
        <f t="shared" si="11"/>
        <v>1.5000000000000033</v>
      </c>
      <c r="B182" s="4">
        <f t="shared" si="8"/>
        <v>1.5000000000000033</v>
      </c>
      <c r="C182" s="4">
        <f t="shared" si="9"/>
        <v>2.916666666666675</v>
      </c>
    </row>
    <row r="183" spans="1:3" x14ac:dyDescent="0.25">
      <c r="A183" s="4">
        <f t="shared" si="11"/>
        <v>1.5200000000000033</v>
      </c>
      <c r="B183" s="4">
        <f t="shared" si="8"/>
        <v>1.5200000000000033</v>
      </c>
      <c r="C183" s="4">
        <f t="shared" si="9"/>
        <v>2.9682947368421142</v>
      </c>
    </row>
    <row r="184" spans="1:3" x14ac:dyDescent="0.25">
      <c r="A184" s="4">
        <f t="shared" si="11"/>
        <v>1.5400000000000034</v>
      </c>
      <c r="B184" s="4">
        <f t="shared" si="8"/>
        <v>1.5400000000000034</v>
      </c>
      <c r="C184" s="4">
        <f t="shared" si="9"/>
        <v>3.0209506493506586</v>
      </c>
    </row>
    <row r="185" spans="1:3" x14ac:dyDescent="0.25">
      <c r="A185" s="4">
        <f t="shared" si="11"/>
        <v>1.5600000000000034</v>
      </c>
      <c r="B185" s="4">
        <f t="shared" si="8"/>
        <v>1.5600000000000034</v>
      </c>
      <c r="C185" s="4">
        <f t="shared" si="9"/>
        <v>3.0746256410256501</v>
      </c>
    </row>
    <row r="186" spans="1:3" x14ac:dyDescent="0.25">
      <c r="A186" s="4">
        <f t="shared" si="11"/>
        <v>1.5800000000000034</v>
      </c>
      <c r="B186" s="4">
        <f t="shared" si="8"/>
        <v>1.5800000000000034</v>
      </c>
      <c r="C186" s="4">
        <f t="shared" si="9"/>
        <v>3.1293113924050724</v>
      </c>
    </row>
    <row r="187" spans="1:3" x14ac:dyDescent="0.25">
      <c r="A187" s="4">
        <f t="shared" si="11"/>
        <v>1.6000000000000034</v>
      </c>
      <c r="B187" s="4">
        <f t="shared" si="8"/>
        <v>1.6000000000000034</v>
      </c>
      <c r="C187" s="4">
        <f t="shared" si="9"/>
        <v>3.1850000000000098</v>
      </c>
    </row>
    <row r="188" spans="1:3" x14ac:dyDescent="0.25">
      <c r="A188" s="4">
        <f t="shared" si="11"/>
        <v>1.6200000000000034</v>
      </c>
      <c r="B188" s="4">
        <f t="shared" si="8"/>
        <v>1.6200000000000034</v>
      </c>
      <c r="C188" s="4">
        <f t="shared" si="9"/>
        <v>3.2416839506172939</v>
      </c>
    </row>
    <row r="189" spans="1:3" x14ac:dyDescent="0.25">
      <c r="A189" s="4">
        <f t="shared" si="11"/>
        <v>1.6400000000000035</v>
      </c>
      <c r="B189" s="4">
        <f t="shared" si="8"/>
        <v>1.6400000000000035</v>
      </c>
      <c r="C189" s="4">
        <f t="shared" si="9"/>
        <v>3.2993560975609859</v>
      </c>
    </row>
    <row r="190" spans="1:3" x14ac:dyDescent="0.25">
      <c r="A190" s="4">
        <f t="shared" si="11"/>
        <v>1.6600000000000035</v>
      </c>
      <c r="B190" s="4">
        <f t="shared" si="8"/>
        <v>1.6600000000000035</v>
      </c>
      <c r="C190" s="4">
        <f t="shared" si="9"/>
        <v>3.3580096385542269</v>
      </c>
    </row>
    <row r="191" spans="1:3" x14ac:dyDescent="0.25">
      <c r="A191" s="4">
        <f t="shared" si="11"/>
        <v>1.6800000000000035</v>
      </c>
      <c r="B191" s="4">
        <f t="shared" si="8"/>
        <v>1.6800000000000035</v>
      </c>
      <c r="C191" s="4">
        <f t="shared" si="9"/>
        <v>3.4176380952381056</v>
      </c>
    </row>
    <row r="192" spans="1:3" x14ac:dyDescent="0.25">
      <c r="A192" s="4">
        <f t="shared" si="11"/>
        <v>1.7000000000000035</v>
      </c>
      <c r="B192" s="4">
        <f t="shared" si="8"/>
        <v>1.7000000000000035</v>
      </c>
      <c r="C192" s="4">
        <f t="shared" si="9"/>
        <v>3.478235294117658</v>
      </c>
    </row>
    <row r="193" spans="1:3" x14ac:dyDescent="0.25">
      <c r="A193" s="4">
        <f t="shared" si="11"/>
        <v>1.7200000000000035</v>
      </c>
      <c r="B193" s="4">
        <f t="shared" si="8"/>
        <v>1.7200000000000035</v>
      </c>
      <c r="C193" s="4">
        <f t="shared" si="9"/>
        <v>3.5397953488372202</v>
      </c>
    </row>
    <row r="194" spans="1:3" x14ac:dyDescent="0.25">
      <c r="A194" s="4">
        <f t="shared" si="11"/>
        <v>1.7400000000000035</v>
      </c>
      <c r="B194" s="4">
        <f t="shared" si="8"/>
        <v>1.7400000000000035</v>
      </c>
      <c r="C194" s="4">
        <f t="shared" si="9"/>
        <v>3.6023126436781725</v>
      </c>
    </row>
    <row r="195" spans="1:3" x14ac:dyDescent="0.25">
      <c r="A195" s="4">
        <f t="shared" si="11"/>
        <v>1.7600000000000036</v>
      </c>
      <c r="B195" s="4">
        <f t="shared" si="8"/>
        <v>1.7600000000000036</v>
      </c>
      <c r="C195" s="4">
        <f t="shared" si="9"/>
        <v>3.6657818181818294</v>
      </c>
    </row>
    <row r="196" spans="1:3" x14ac:dyDescent="0.25">
      <c r="A196" s="4">
        <f t="shared" si="11"/>
        <v>1.7800000000000036</v>
      </c>
      <c r="B196" s="4">
        <f t="shared" si="8"/>
        <v>1.7800000000000036</v>
      </c>
      <c r="C196" s="4">
        <f t="shared" si="9"/>
        <v>3.730197752809</v>
      </c>
    </row>
    <row r="197" spans="1:3" x14ac:dyDescent="0.25">
      <c r="A197" s="4">
        <f t="shared" si="11"/>
        <v>1.8000000000000036</v>
      </c>
      <c r="B197" s="4">
        <f t="shared" si="8"/>
        <v>1.8000000000000036</v>
      </c>
      <c r="C197" s="4">
        <f t="shared" si="9"/>
        <v>3.7955555555555676</v>
      </c>
    </row>
    <row r="198" spans="1:3" x14ac:dyDescent="0.25">
      <c r="A198" s="4">
        <f t="shared" si="11"/>
        <v>1.8200000000000036</v>
      </c>
      <c r="B198" s="4">
        <f t="shared" si="8"/>
        <v>1.8200000000000036</v>
      </c>
      <c r="C198" s="4">
        <f t="shared" si="9"/>
        <v>3.8618505494505615</v>
      </c>
    </row>
    <row r="199" spans="1:3" x14ac:dyDescent="0.25">
      <c r="A199" s="4">
        <f t="shared" si="11"/>
        <v>1.8400000000000036</v>
      </c>
      <c r="B199" s="4">
        <f t="shared" ref="B199:B207" si="12">IF(ABS(A199)&lt;10^(-5),"",A199)</f>
        <v>1.8400000000000036</v>
      </c>
      <c r="C199" s="4">
        <f t="shared" ref="C199:C207" si="13">IF(ABS(A199)&lt;10^(-5),"",A199^2+1/A199)</f>
        <v>3.9290782608695776</v>
      </c>
    </row>
    <row r="200" spans="1:3" x14ac:dyDescent="0.25">
      <c r="A200" s="4">
        <f t="shared" ref="A200:A207" si="14">A199+$B$2</f>
        <v>1.8600000000000037</v>
      </c>
      <c r="B200" s="4">
        <f t="shared" si="12"/>
        <v>1.8600000000000037</v>
      </c>
      <c r="C200" s="4">
        <f t="shared" si="13"/>
        <v>3.9972344086021634</v>
      </c>
    </row>
    <row r="201" spans="1:3" x14ac:dyDescent="0.25">
      <c r="A201" s="4">
        <f t="shared" si="14"/>
        <v>1.8800000000000037</v>
      </c>
      <c r="B201" s="4">
        <f t="shared" si="12"/>
        <v>1.8800000000000037</v>
      </c>
      <c r="C201" s="4">
        <f t="shared" si="13"/>
        <v>4.0663148936170339</v>
      </c>
    </row>
    <row r="202" spans="1:3" x14ac:dyDescent="0.25">
      <c r="A202" s="4">
        <f t="shared" si="14"/>
        <v>1.9000000000000037</v>
      </c>
      <c r="B202" s="4">
        <f t="shared" si="12"/>
        <v>1.9000000000000037</v>
      </c>
      <c r="C202" s="4">
        <f t="shared" si="13"/>
        <v>4.1363157894736968</v>
      </c>
    </row>
    <row r="203" spans="1:3" x14ac:dyDescent="0.25">
      <c r="A203" s="4">
        <f t="shared" si="14"/>
        <v>1.9200000000000037</v>
      </c>
      <c r="B203" s="4">
        <f t="shared" si="12"/>
        <v>1.9200000000000037</v>
      </c>
      <c r="C203" s="4">
        <f t="shared" si="13"/>
        <v>4.2072333333333463</v>
      </c>
    </row>
    <row r="204" spans="1:3" x14ac:dyDescent="0.25">
      <c r="A204" s="4">
        <f t="shared" si="14"/>
        <v>1.9400000000000037</v>
      </c>
      <c r="B204" s="4">
        <f t="shared" si="12"/>
        <v>1.9400000000000037</v>
      </c>
      <c r="C204" s="4">
        <f t="shared" si="13"/>
        <v>4.2790639175257867</v>
      </c>
    </row>
    <row r="205" spans="1:3" x14ac:dyDescent="0.25">
      <c r="A205" s="4">
        <f t="shared" si="14"/>
        <v>1.9600000000000037</v>
      </c>
      <c r="B205" s="4">
        <f t="shared" si="12"/>
        <v>1.9600000000000037</v>
      </c>
      <c r="C205" s="4">
        <f t="shared" si="13"/>
        <v>4.3518040816326664</v>
      </c>
    </row>
    <row r="206" spans="1:3" x14ac:dyDescent="0.25">
      <c r="A206" s="4">
        <f t="shared" si="14"/>
        <v>1.9800000000000038</v>
      </c>
      <c r="B206" s="4">
        <f t="shared" si="12"/>
        <v>1.9800000000000038</v>
      </c>
      <c r="C206" s="4">
        <f t="shared" si="13"/>
        <v>4.4254505050505193</v>
      </c>
    </row>
    <row r="207" spans="1:3" x14ac:dyDescent="0.25">
      <c r="A207" s="4">
        <f t="shared" si="14"/>
        <v>2.000000000000004</v>
      </c>
      <c r="B207" s="4">
        <f t="shared" si="12"/>
        <v>2.000000000000004</v>
      </c>
      <c r="C207" s="4">
        <f t="shared" si="13"/>
        <v>4.5000000000000151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E12"/>
  <sheetViews>
    <sheetView zoomScale="110" zoomScaleNormal="110" workbookViewId="0">
      <selection activeCell="C11" sqref="C11"/>
    </sheetView>
  </sheetViews>
  <sheetFormatPr defaultRowHeight="15" x14ac:dyDescent="0.25"/>
  <sheetData>
    <row r="1" spans="1:5" x14ac:dyDescent="0.25">
      <c r="A1" t="s">
        <v>94</v>
      </c>
      <c r="B1">
        <v>4580</v>
      </c>
      <c r="D1" t="s">
        <v>28</v>
      </c>
      <c r="E1">
        <f>0.427*R_^2*Tc_^(2.5)/Pc_</f>
        <v>12.612620678614379</v>
      </c>
    </row>
    <row r="2" spans="1:5" x14ac:dyDescent="0.25">
      <c r="A2" t="s">
        <v>93</v>
      </c>
      <c r="B2">
        <v>191</v>
      </c>
      <c r="D2" t="s">
        <v>25</v>
      </c>
      <c r="E2">
        <f>0.00866*R_*Tc_/Pc_</f>
        <v>1.8707490829694318E-4</v>
      </c>
    </row>
    <row r="3" spans="1:5" x14ac:dyDescent="0.25">
      <c r="A3" t="s">
        <v>92</v>
      </c>
      <c r="B3">
        <v>0.51800000000000002</v>
      </c>
    </row>
    <row r="4" spans="1:5" x14ac:dyDescent="0.25">
      <c r="D4" t="s">
        <v>10</v>
      </c>
      <c r="E4">
        <v>2E-3</v>
      </c>
    </row>
    <row r="5" spans="1:5" x14ac:dyDescent="0.25">
      <c r="A5" t="s">
        <v>18</v>
      </c>
      <c r="B5">
        <v>223</v>
      </c>
    </row>
    <row r="6" spans="1:5" x14ac:dyDescent="0.25">
      <c r="A6" t="s">
        <v>40</v>
      </c>
      <c r="B6">
        <v>65</v>
      </c>
    </row>
    <row r="8" spans="1:5" x14ac:dyDescent="0.25">
      <c r="A8" t="s">
        <v>91</v>
      </c>
      <c r="B8" s="32" t="s">
        <v>81</v>
      </c>
    </row>
    <row r="9" spans="1:5" x14ac:dyDescent="0.25">
      <c r="A9" t="s">
        <v>90</v>
      </c>
      <c r="B9" s="32">
        <v>1</v>
      </c>
    </row>
    <row r="10" spans="1:5" x14ac:dyDescent="0.25">
      <c r="B10" t="s">
        <v>49</v>
      </c>
      <c r="C10" t="s">
        <v>48</v>
      </c>
      <c r="D10" t="s">
        <v>89</v>
      </c>
      <c r="E10" t="s">
        <v>34</v>
      </c>
    </row>
    <row r="11" spans="1:5" x14ac:dyDescent="0.25">
      <c r="B11" s="31">
        <f>IF(Inicia_="n",Inicio_,E11)</f>
        <v>1</v>
      </c>
      <c r="C11" t="e">
        <f ca="1">fv_(B11,R_,T_,b_,a_,P_)</f>
        <v>#NAME?</v>
      </c>
      <c r="D11" t="e">
        <f ca="1">flv_(B11,R_,T_,b_,a_,P_,h_)</f>
        <v>#NAME?</v>
      </c>
      <c r="E11" t="e">
        <f ca="1">B11-C11/D11</f>
        <v>#NAME?</v>
      </c>
    </row>
    <row r="12" spans="1:5" x14ac:dyDescent="0.25">
      <c r="A12" t="s">
        <v>88</v>
      </c>
      <c r="B12" s="2" t="e">
        <f ca="1">E11/B11-1</f>
        <v>#NAME?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N35"/>
  <sheetViews>
    <sheetView zoomScale="120" zoomScaleNormal="120" workbookViewId="0">
      <selection activeCell="L17" sqref="L17"/>
    </sheetView>
  </sheetViews>
  <sheetFormatPr defaultRowHeight="15" x14ac:dyDescent="0.25"/>
  <cols>
    <col min="1" max="15" width="10.140625" customWidth="1"/>
  </cols>
  <sheetData>
    <row r="1" spans="1:14" x14ac:dyDescent="0.25">
      <c r="A1" t="s">
        <v>126</v>
      </c>
    </row>
    <row r="3" spans="1:14" x14ac:dyDescent="0.25">
      <c r="B3" s="5" t="s">
        <v>10</v>
      </c>
      <c r="C3">
        <v>9.9999999999999995E-7</v>
      </c>
    </row>
    <row r="4" spans="1:14" x14ac:dyDescent="0.25">
      <c r="C4" s="38" t="s">
        <v>125</v>
      </c>
      <c r="J4" t="s">
        <v>27</v>
      </c>
      <c r="K4">
        <v>0.51800000000000002</v>
      </c>
      <c r="M4" t="s">
        <v>124</v>
      </c>
    </row>
    <row r="5" spans="1:14" x14ac:dyDescent="0.25">
      <c r="A5" s="45" t="s">
        <v>45</v>
      </c>
      <c r="B5" s="45" t="s">
        <v>44</v>
      </c>
      <c r="C5" s="55">
        <v>2E-3</v>
      </c>
      <c r="D5" s="44" t="s">
        <v>48</v>
      </c>
      <c r="E5" s="43" t="s">
        <v>47</v>
      </c>
      <c r="F5" s="43" t="s">
        <v>46</v>
      </c>
      <c r="G5" t="s">
        <v>89</v>
      </c>
      <c r="H5" s="21" t="s">
        <v>6</v>
      </c>
      <c r="J5" t="s">
        <v>23</v>
      </c>
      <c r="K5">
        <f>M5+273</f>
        <v>223</v>
      </c>
      <c r="M5">
        <v>-50</v>
      </c>
    </row>
    <row r="6" spans="1:14" x14ac:dyDescent="0.25">
      <c r="A6" s="53">
        <f>C6-$C$3</f>
        <v>1.9989999999999999E-3</v>
      </c>
      <c r="B6" s="52">
        <f>$K$4*$K$5/(A6-$N$13)-$N$10/(A6*(A6+$N$13)*SQRT($K$5))-$K$6</f>
        <v>726503.94373809942</v>
      </c>
      <c r="C6" s="55">
        <f>C5</f>
        <v>2E-3</v>
      </c>
      <c r="D6" s="50">
        <f>$K$4*$K$5/(C6-$N$13)-$N$10/(C6*(C6+$N$13)*SQRT($K$5))-$K$6</f>
        <v>719618.20941638411</v>
      </c>
      <c r="E6" s="49">
        <f>C6+$C$3</f>
        <v>2.0010000000000002E-3</v>
      </c>
      <c r="F6" s="48">
        <f>$K$4*$K$5/(E6-$N$13)-$N$10/(E6*(E6+$N$13)*SQRT($K$5))-$K$6</f>
        <v>712839.37925794069</v>
      </c>
      <c r="G6" s="42">
        <f>(F6-B6)/(2*$C$3)</f>
        <v>-6832282240.0793667</v>
      </c>
      <c r="J6" t="s">
        <v>24</v>
      </c>
      <c r="K6">
        <v>65000</v>
      </c>
    </row>
    <row r="7" spans="1:14" x14ac:dyDescent="0.25">
      <c r="A7" s="53">
        <f>C7-$C$3</f>
        <v>2.1043261829839198E-3</v>
      </c>
      <c r="B7" s="52">
        <f>$K$4*$K$5/(A7-$N$13)-$N$10/(A7*(A7+$N$13)*SQRT($K$5))-$K$6</f>
        <v>328572.84786176623</v>
      </c>
      <c r="C7" s="51">
        <f>C6-D6/G6</f>
        <v>2.1053261829839199E-3</v>
      </c>
      <c r="D7" s="50">
        <f>$K$4*$K$5/(C7-$N$13)-$N$10/(C7*(C7+$N$13)*SQRT($K$5))-$K$6</f>
        <v>326537.95617969404</v>
      </c>
      <c r="E7" s="49">
        <f>C7+$C$3</f>
        <v>2.1063261829839201E-3</v>
      </c>
      <c r="F7" s="48">
        <f>$K$4*$K$5/(E7-$N$13)-$N$10/(E7*(E7+$N$13)*SQRT($K$5))-$K$6</f>
        <v>324520.88055983663</v>
      </c>
      <c r="G7" s="42">
        <f>(F7-B7)/(2*$C$3)</f>
        <v>-2025983650.9648013</v>
      </c>
      <c r="H7" s="3">
        <f>C7/C6-1</f>
        <v>5.2663091491959912E-2</v>
      </c>
    </row>
    <row r="8" spans="1:14" x14ac:dyDescent="0.25">
      <c r="A8" s="53">
        <f>C8-$C$3</f>
        <v>2.2655012033372143E-3</v>
      </c>
      <c r="B8" s="52">
        <f>$K$4*$K$5/(A8-$N$13)-$N$10/(A8*(A8+$N$13)*SQRT($K$5))-$K$6</f>
        <v>137491.56212681334</v>
      </c>
      <c r="C8" s="51">
        <f>C7-D7/G7</f>
        <v>2.2665012033372144E-3</v>
      </c>
      <c r="D8" s="50">
        <f>$K$4*$K$5/(C8-$N$13)-$N$10/(C8*(C8+$N$13)*SQRT($K$5))-$K$6</f>
        <v>136813.69272254541</v>
      </c>
      <c r="E8" s="49">
        <f>C8+$C$3</f>
        <v>2.2675012033372146E-3</v>
      </c>
      <c r="F8" s="48">
        <f>$K$4*$K$5/(E8-$N$13)-$N$10/(E8*(E8+$N$13)*SQRT($K$5))-$K$6</f>
        <v>136139.48584398683</v>
      </c>
      <c r="G8" s="42">
        <f>(F8-B8)/(2*$C$3)</f>
        <v>-676038141.41325712</v>
      </c>
      <c r="H8" s="3">
        <f>C8/C7-1</f>
        <v>7.6555842821874664E-2</v>
      </c>
      <c r="J8" t="s">
        <v>123</v>
      </c>
    </row>
    <row r="9" spans="1:14" x14ac:dyDescent="0.25">
      <c r="A9" s="53">
        <f>C9-$C$3</f>
        <v>2.4678769042651774E-3</v>
      </c>
      <c r="B9" s="52">
        <f>$K$4*$K$5/(A9-$N$13)-$N$10/(A9*(A9+$N$13)*SQRT($K$5))-$K$6</f>
        <v>49567.498840419648</v>
      </c>
      <c r="C9" s="51">
        <f>C8-D8/G8</f>
        <v>2.4688769042651776E-3</v>
      </c>
      <c r="D9" s="50">
        <f>$K$4*$K$5/(C9-$N$13)-$N$10/(C9*(C9+$N$13)*SQRT($K$5))-$K$6</f>
        <v>49294.194301776268</v>
      </c>
      <c r="E9" s="49">
        <f>C9+$C$3</f>
        <v>2.4698769042651777E-3</v>
      </c>
      <c r="F9" s="48">
        <f>$K$4*$K$5/(E9-$N$13)-$N$10/(E9*(E9+$N$13)*SQRT($K$5))-$K$6</f>
        <v>49021.920461415735</v>
      </c>
      <c r="G9" s="42">
        <f>(F9-B9)/(2*$C$3)</f>
        <v>-272789189.50195658</v>
      </c>
      <c r="H9" s="3">
        <f>C9/C8-1</f>
        <v>8.9289915500589068E-2</v>
      </c>
      <c r="J9" t="s">
        <v>122</v>
      </c>
      <c r="K9">
        <v>4580</v>
      </c>
      <c r="M9" t="s">
        <v>121</v>
      </c>
    </row>
    <row r="10" spans="1:14" x14ac:dyDescent="0.25">
      <c r="A10" s="53">
        <f>C10-$C$3</f>
        <v>2.648581258392168E-3</v>
      </c>
      <c r="B10" s="52">
        <f>$K$4*$K$5/(A10-$N$13)-$N$10/(A10*(A10+$N$13)*SQRT($K$5))-$K$6</f>
        <v>12946.485519193666</v>
      </c>
      <c r="C10" s="51">
        <f>C9-D9/G9</f>
        <v>2.6495812583921682E-3</v>
      </c>
      <c r="D10" s="50">
        <f>$K$4*$K$5/(C10-$N$13)-$N$10/(C10*(C10+$N$13)*SQRT($K$5))-$K$6</f>
        <v>12798.040540660601</v>
      </c>
      <c r="E10" s="49">
        <f>C10+$C$3</f>
        <v>2.6505812583921683E-3</v>
      </c>
      <c r="F10" s="48">
        <f>$K$4*$K$5/(E10-$N$13)-$N$10/(E10*(E10+$N$13)*SQRT($K$5))-$K$6</f>
        <v>12650.045821963038</v>
      </c>
      <c r="G10" s="42">
        <f>(F10-B10)/(2*$C$3)</f>
        <v>-148219848.61531383</v>
      </c>
      <c r="H10" s="3">
        <f>C10/C9-1</f>
        <v>7.319293797710591E-2</v>
      </c>
      <c r="J10" t="s">
        <v>120</v>
      </c>
      <c r="K10">
        <v>191</v>
      </c>
      <c r="M10" t="s">
        <v>28</v>
      </c>
      <c r="N10" s="54">
        <f>0.427*K4^2*K10^2.5/K9</f>
        <v>12.612620678614379</v>
      </c>
    </row>
    <row r="11" spans="1:14" x14ac:dyDescent="0.25">
      <c r="A11" s="53">
        <f>C11-$C$3</f>
        <v>2.7349262429554456E-3</v>
      </c>
      <c r="B11" s="52">
        <f>$K$4*$K$5/(A11-$N$13)-$N$10/(A11*(A11+$N$13)*SQRT($K$5))-$K$6</f>
        <v>1617.0067385169968</v>
      </c>
      <c r="C11" s="51">
        <f>C10-D10/G10</f>
        <v>2.7359262429554458E-3</v>
      </c>
      <c r="D11" s="50">
        <f>$K$4*$K$5/(C11-$N$13)-$N$10/(C11*(C11+$N$13)*SQRT($K$5))-$K$6</f>
        <v>1501.5655905028689</v>
      </c>
      <c r="E11" s="49">
        <f>C11+$C$3</f>
        <v>2.7369262429554459E-3</v>
      </c>
      <c r="F11" s="48">
        <f>$K$4*$K$5/(E11-$N$13)-$N$10/(E11*(E11+$N$13)*SQRT($K$5))-$K$6</f>
        <v>1386.4463260550547</v>
      </c>
      <c r="G11" s="42">
        <f>(F11-B11)/(2*$C$3)</f>
        <v>-115280206.2309711</v>
      </c>
      <c r="H11" s="3">
        <f>C11/C10-1</f>
        <v>3.2588162484087801E-2</v>
      </c>
    </row>
    <row r="12" spans="1:14" x14ac:dyDescent="0.25">
      <c r="A12" s="53">
        <f>C12-$C$3</f>
        <v>2.7479515977808385E-3</v>
      </c>
      <c r="B12" s="52">
        <f>$K$4*$K$5/(A12-$N$13)-$N$10/(A12*(A12+$N$13)*SQRT($K$5))-$K$6</f>
        <v>138.21483383917075</v>
      </c>
      <c r="C12" s="51">
        <f>C11-D11/G11</f>
        <v>2.7489515977808386E-3</v>
      </c>
      <c r="D12" s="50">
        <f>$K$4*$K$5/(C12-$N$13)-$N$10/(C12*(C12+$N$13)*SQRT($K$5))-$K$6</f>
        <v>26.874586596240988</v>
      </c>
      <c r="E12" s="49">
        <f>C12+$C$3</f>
        <v>2.7499515977808388E-3</v>
      </c>
      <c r="F12" s="48">
        <f>$K$4*$K$5/(E12-$N$13)-$N$10/(E12*(E12+$N$13)*SQRT($K$5))-$K$6</f>
        <v>-84.158870207596919</v>
      </c>
      <c r="G12" s="42">
        <f>(F12-B12)/(2*$C$3)</f>
        <v>-111186852.02338384</v>
      </c>
      <c r="H12" s="3">
        <f>C12/C11-1</f>
        <v>4.7608574459676589E-3</v>
      </c>
      <c r="M12" t="s">
        <v>119</v>
      </c>
    </row>
    <row r="13" spans="1:14" x14ac:dyDescent="0.25">
      <c r="A13" s="53">
        <f>C13-$C$3</f>
        <v>2.7481933042965566E-3</v>
      </c>
      <c r="B13" s="52">
        <f>$K$4*$K$5/(A13-$N$13)-$N$10/(A13*(A13+$N$13)*SQRT($K$5))-$K$6</f>
        <v>111.27499524601444</v>
      </c>
      <c r="C13" s="51">
        <f>C12-D12/G12</f>
        <v>2.7491933042965567E-3</v>
      </c>
      <c r="D13" s="50">
        <f>$K$4*$K$5/(C13-$N$13)-$N$10/(C13*(C13+$N$13)*SQRT($K$5))-$K$6</f>
        <v>9.0042737137991935E-3</v>
      </c>
      <c r="E13" s="49">
        <f>C13+$C$3</f>
        <v>2.7501933042965569E-3</v>
      </c>
      <c r="F13" s="48">
        <f>$K$4*$K$5/(E13-$N$13)-$N$10/(E13*(E13+$N$13)*SQRT($K$5))-$K$6</f>
        <v>-110.95046771943453</v>
      </c>
      <c r="G13" s="42">
        <f>(F13-B13)/(2*$C$3)</f>
        <v>-111112731.48272449</v>
      </c>
      <c r="H13" s="3">
        <f>C13/C12-1</f>
        <v>8.7926799407167522E-5</v>
      </c>
      <c r="M13" t="s">
        <v>25</v>
      </c>
      <c r="N13" s="54">
        <f>0.0866*K4*K10/K9</f>
        <v>1.870749082969432E-3</v>
      </c>
    </row>
    <row r="14" spans="1:14" x14ac:dyDescent="0.25">
      <c r="A14" s="53">
        <f>C14-$C$3</f>
        <v>2.7481933853338381E-3</v>
      </c>
      <c r="B14" s="52">
        <f>$K$4*$K$5/(A14-$N$13)-$N$10/(A14*(A14+$N$13)*SQRT($K$5))-$K$6</f>
        <v>111.26596610352863</v>
      </c>
      <c r="C14" s="51">
        <f>C13-D13/G13</f>
        <v>2.7491933853338382E-3</v>
      </c>
      <c r="D14" s="50">
        <f>$K$4*$K$5/(C14-$N$13)-$N$10/(C14*(C14+$N$13)*SQRT($K$5))-$K$6</f>
        <v>1.6152625903487206E-8</v>
      </c>
      <c r="E14" s="49">
        <f>C14+$C$3</f>
        <v>2.7501933853338384E-3</v>
      </c>
      <c r="F14" s="48">
        <f>$K$4*$K$5/(E14-$N$13)-$N$10/(E14*(E14+$N$13)*SQRT($K$5))-$K$6</f>
        <v>-110.95944718294777</v>
      </c>
      <c r="G14" s="42">
        <f>(F14-B14)/(2*$C$3)</f>
        <v>-111112706.6432382</v>
      </c>
      <c r="H14" s="3">
        <f>C14/C13-1</f>
        <v>2.947674926367938E-8</v>
      </c>
    </row>
    <row r="15" spans="1:14" x14ac:dyDescent="0.25">
      <c r="A15" s="53">
        <f>C15-$C$3</f>
        <v>2.7481933853339834E-3</v>
      </c>
      <c r="B15" s="52">
        <f>$K$4*$K$5/(A15-$N$13)-$N$10/(A15*(A15+$N$13)*SQRT($K$5))-$K$6</f>
        <v>111.26596608733234</v>
      </c>
      <c r="C15" s="51">
        <f>C14-D14/G14</f>
        <v>2.7491933853339835E-3</v>
      </c>
      <c r="D15" s="50">
        <f>$K$4*$K$5/(C15-$N$13)-$N$10/(C15*(C15+$N$13)*SQRT($K$5))-$K$6</f>
        <v>0</v>
      </c>
      <c r="E15" s="49">
        <f>C15+$C$3</f>
        <v>2.7501933853339836E-3</v>
      </c>
      <c r="F15" s="48">
        <f>$K$4*$K$5/(E15-$N$13)-$N$10/(E15*(E15+$N$13)*SQRT($K$5))-$K$6</f>
        <v>-110.95944719902764</v>
      </c>
      <c r="G15" s="42">
        <f>(F15-B15)/(2*$C$3)</f>
        <v>-111112706.64318</v>
      </c>
      <c r="H15" s="3">
        <f>C15/C14-1</f>
        <v>5.2846615972157451E-14</v>
      </c>
      <c r="J15" t="s">
        <v>118</v>
      </c>
      <c r="L15" s="5">
        <v>3</v>
      </c>
    </row>
    <row r="16" spans="1:14" x14ac:dyDescent="0.25">
      <c r="A16" s="53">
        <f>C16-$C$3</f>
        <v>2.7481933853339834E-3</v>
      </c>
      <c r="B16" s="52">
        <f>$K$4*$K$5/(A16-$N$13)-$N$10/(A16*(A16+$N$13)*SQRT($K$5))-$K$6</f>
        <v>111.26596608733234</v>
      </c>
      <c r="C16" s="51">
        <f>C15-D15/G15</f>
        <v>2.7491933853339835E-3</v>
      </c>
      <c r="D16" s="50">
        <f>$K$4*$K$5/(C16-$N$13)-$N$10/(C16*(C16+$N$13)*SQRT($K$5))-$K$6</f>
        <v>0</v>
      </c>
      <c r="E16" s="49">
        <f>C16+$C$3</f>
        <v>2.7501933853339836E-3</v>
      </c>
      <c r="F16" s="48">
        <f>$K$4*$K$5/(E16-$N$13)-$N$10/(E16*(E16+$N$13)*SQRT($K$5))-$K$6</f>
        <v>-110.95944719902764</v>
      </c>
      <c r="G16" s="42">
        <f>(F16-B16)/(2*$C$3)</f>
        <v>-111112706.64318</v>
      </c>
      <c r="H16" s="3">
        <f>C16/C15-1</f>
        <v>0</v>
      </c>
      <c r="J16" t="s">
        <v>117</v>
      </c>
      <c r="L16">
        <f>C17</f>
        <v>2.7491933853339835E-3</v>
      </c>
    </row>
    <row r="17" spans="1:12" x14ac:dyDescent="0.25">
      <c r="A17" s="53">
        <f>C17-$C$3</f>
        <v>2.7481933853339834E-3</v>
      </c>
      <c r="B17" s="52">
        <f>$K$4*$K$5/(A17-$N$13)-$N$10/(A17*(A17+$N$13)*SQRT($K$5))-$K$6</f>
        <v>111.26596608733234</v>
      </c>
      <c r="C17" s="51">
        <f>C16-D16/G16</f>
        <v>2.7491933853339835E-3</v>
      </c>
      <c r="D17" s="50">
        <f>$K$4*$K$5/(C17-$N$13)-$N$10/(C17*(C17+$N$13)*SQRT($K$5))-$K$6</f>
        <v>0</v>
      </c>
      <c r="E17" s="49">
        <f>C17+$C$3</f>
        <v>2.7501933853339836E-3</v>
      </c>
      <c r="F17" s="48">
        <f>$K$4*$K$5/(E17-$N$13)-$N$10/(E17*(E17+$N$13)*SQRT($K$5))-$K$6</f>
        <v>-110.95944719902764</v>
      </c>
      <c r="G17" s="42">
        <f>(F17-B17)/(2*$C$3)</f>
        <v>-111112706.64318</v>
      </c>
      <c r="H17" s="3">
        <f>C17/C16-1</f>
        <v>0</v>
      </c>
      <c r="J17" s="47" t="s">
        <v>116</v>
      </c>
      <c r="L17" s="46">
        <f>L15/L16</f>
        <v>1091.2291641628358</v>
      </c>
    </row>
    <row r="18" spans="1:12" x14ac:dyDescent="0.25">
      <c r="A18" s="45"/>
      <c r="B18" s="45"/>
      <c r="D18" s="44"/>
      <c r="E18" s="43"/>
      <c r="F18" s="43"/>
      <c r="G18" s="42"/>
    </row>
    <row r="20" spans="1:12" x14ac:dyDescent="0.25">
      <c r="A20" t="s">
        <v>115</v>
      </c>
    </row>
    <row r="21" spans="1:12" x14ac:dyDescent="0.25">
      <c r="A21" t="s">
        <v>114</v>
      </c>
      <c r="B21">
        <v>1E-4</v>
      </c>
    </row>
    <row r="23" spans="1:12" x14ac:dyDescent="0.25">
      <c r="A23" t="s">
        <v>113</v>
      </c>
      <c r="B23" t="s">
        <v>112</v>
      </c>
      <c r="C23" t="s">
        <v>111</v>
      </c>
    </row>
    <row r="24" spans="1:12" x14ac:dyDescent="0.25">
      <c r="A24" s="41">
        <f>B24*1000</f>
        <v>2</v>
      </c>
      <c r="B24" s="40">
        <v>2E-3</v>
      </c>
      <c r="C24" s="39">
        <f>$K$4*$K$5/(B24-$N$13)-$N$10/(B24*(B24+$N$13)*SQRT($K$5))-$K$6</f>
        <v>719618.20941638411</v>
      </c>
    </row>
    <row r="25" spans="1:12" x14ac:dyDescent="0.25">
      <c r="A25" s="41">
        <f>B25*1000</f>
        <v>2.1</v>
      </c>
      <c r="B25" s="40">
        <f>B24+$B$21</f>
        <v>2.0999999999999999E-3</v>
      </c>
      <c r="C25" s="39">
        <f>$K$4*$K$5/(B25-$N$13)-$N$10/(B25*(B25+$N$13)*SQRT($K$5))-$K$6</f>
        <v>337587.10809300753</v>
      </c>
    </row>
    <row r="26" spans="1:12" x14ac:dyDescent="0.25">
      <c r="A26" s="41">
        <f>B26*1000</f>
        <v>2.1999999999999997</v>
      </c>
      <c r="B26" s="40">
        <f>B25+$B$21</f>
        <v>2.1999999999999997E-3</v>
      </c>
      <c r="C26" s="39">
        <f>$K$4*$K$5/(B26-$N$13)-$N$10/(B26*(B26+$N$13)*SQRT($K$5))-$K$6</f>
        <v>191529.21333906759</v>
      </c>
    </row>
    <row r="27" spans="1:12" x14ac:dyDescent="0.25">
      <c r="A27" s="41">
        <f>B27*1000</f>
        <v>2.2999999999999994</v>
      </c>
      <c r="B27" s="40">
        <f>B26+$B$21</f>
        <v>2.2999999999999995E-3</v>
      </c>
      <c r="C27" s="39">
        <f>$K$4*$K$5/(B27-$N$13)-$N$10/(B27*(B27+$N$13)*SQRT($K$5))-$K$6</f>
        <v>116059.72784434713</v>
      </c>
    </row>
    <row r="28" spans="1:12" x14ac:dyDescent="0.25">
      <c r="A28" s="41">
        <f>B28*1000</f>
        <v>2.3999999999999995</v>
      </c>
      <c r="B28" s="40">
        <f>B27+$B$21</f>
        <v>2.3999999999999994E-3</v>
      </c>
      <c r="C28" s="39">
        <f>$K$4*$K$5/(B28-$N$13)-$N$10/(B28*(B28+$N$13)*SQRT($K$5))-$K$6</f>
        <v>70857.451435046445</v>
      </c>
    </row>
    <row r="29" spans="1:12" x14ac:dyDescent="0.25">
      <c r="A29" s="41">
        <f>B29*1000</f>
        <v>2.4999999999999991</v>
      </c>
      <c r="B29" s="40">
        <f>B28+$B$21</f>
        <v>2.4999999999999992E-3</v>
      </c>
      <c r="C29" s="39">
        <f>$K$4*$K$5/(B29-$N$13)-$N$10/(B29*(B29+$N$13)*SQRT($K$5))-$K$6</f>
        <v>41277.828764494625</v>
      </c>
    </row>
    <row r="30" spans="1:12" x14ac:dyDescent="0.25">
      <c r="A30" s="41">
        <f>B30*1000</f>
        <v>2.5999999999999992</v>
      </c>
      <c r="B30" s="40">
        <f>B29+$B$21</f>
        <v>2.599999999999999E-3</v>
      </c>
      <c r="C30" s="39">
        <f>$K$4*$K$5/(B30-$N$13)-$N$10/(B30*(B30+$N$13)*SQRT($K$5))-$K$6</f>
        <v>20740.251110129611</v>
      </c>
    </row>
    <row r="31" spans="1:12" x14ac:dyDescent="0.25">
      <c r="A31" s="41">
        <f>B31*1000</f>
        <v>2.6999999999999988</v>
      </c>
      <c r="B31" s="40">
        <f>B30+$B$21</f>
        <v>2.6999999999999988E-3</v>
      </c>
      <c r="C31" s="39">
        <f>$K$4*$K$5/(B31-$N$13)-$N$10/(B31*(B31+$N$13)*SQRT($K$5))-$K$6</f>
        <v>5860.5118023861432</v>
      </c>
    </row>
    <row r="32" spans="1:12" x14ac:dyDescent="0.25">
      <c r="A32" s="41">
        <f>B32*1000</f>
        <v>2.7999999999999985</v>
      </c>
      <c r="B32" s="40">
        <f>B31+$B$21</f>
        <v>2.7999999999999987E-3</v>
      </c>
      <c r="C32" s="39">
        <f>$K$4*$K$5/(B32-$N$13)-$N$10/(B32*(B32+$N$13)*SQRT($K$5))-$K$6</f>
        <v>-5272.8021773433793</v>
      </c>
    </row>
    <row r="33" spans="1:3" x14ac:dyDescent="0.25">
      <c r="A33" s="41">
        <f>B33*1000</f>
        <v>2.8999999999999986</v>
      </c>
      <c r="B33" s="40">
        <f>B32+$B$21</f>
        <v>2.8999999999999985E-3</v>
      </c>
      <c r="C33" s="39">
        <f>$K$4*$K$5/(B33-$N$13)-$N$10/(B33*(B33+$N$13)*SQRT($K$5))-$K$6</f>
        <v>-13816.426375585339</v>
      </c>
    </row>
    <row r="34" spans="1:3" x14ac:dyDescent="0.25">
      <c r="A34" s="41">
        <f>B34*1000</f>
        <v>2.9999999999999982</v>
      </c>
      <c r="B34" s="40">
        <f>B33+$B$21</f>
        <v>2.9999999999999983E-3</v>
      </c>
      <c r="C34" s="39">
        <f>$K$4*$K$5/(B34-$N$13)-$N$10/(B34*(B34+$N$13)*SQRT($K$5))-$K$6</f>
        <v>-20508.482658247034</v>
      </c>
    </row>
    <row r="35" spans="1:3" x14ac:dyDescent="0.25">
      <c r="A35" s="41">
        <f>B35*1000</f>
        <v>3.0999999999999983</v>
      </c>
      <c r="B35" s="40">
        <f>B34+$B$21</f>
        <v>3.0999999999999982E-3</v>
      </c>
      <c r="C35" s="39">
        <f>$K$4*$K$5/(B35-$N$13)-$N$10/(B35*(B35+$N$13)*SQRT($K$5))-$K$6</f>
        <v>-25840.156805675229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1:Q33"/>
  <sheetViews>
    <sheetView zoomScale="120" zoomScaleNormal="120" workbookViewId="0">
      <selection activeCell="L17" sqref="L17"/>
    </sheetView>
  </sheetViews>
  <sheetFormatPr defaultRowHeight="15" x14ac:dyDescent="0.25"/>
  <cols>
    <col min="12" max="12" width="11.85546875" bestFit="1" customWidth="1"/>
  </cols>
  <sheetData>
    <row r="1" spans="2:17" x14ac:dyDescent="0.25">
      <c r="C1" s="47" t="s">
        <v>140</v>
      </c>
      <c r="H1" s="37" t="s">
        <v>139</v>
      </c>
      <c r="I1" s="58">
        <v>2</v>
      </c>
      <c r="K1" s="47" t="s">
        <v>138</v>
      </c>
      <c r="O1" s="37"/>
      <c r="P1" s="58"/>
    </row>
    <row r="2" spans="2:17" x14ac:dyDescent="0.25">
      <c r="H2" s="37" t="s">
        <v>137</v>
      </c>
      <c r="I2" s="58">
        <v>5</v>
      </c>
      <c r="O2" s="37"/>
      <c r="P2" s="58"/>
    </row>
    <row r="3" spans="2:17" x14ac:dyDescent="0.25">
      <c r="B3" t="s">
        <v>135</v>
      </c>
      <c r="H3" s="37" t="s">
        <v>136</v>
      </c>
      <c r="I3" s="58">
        <v>8.5</v>
      </c>
      <c r="J3" t="s">
        <v>135</v>
      </c>
      <c r="O3" s="37"/>
      <c r="P3" s="58"/>
    </row>
    <row r="5" spans="2:17" x14ac:dyDescent="0.25">
      <c r="C5" s="5"/>
      <c r="K5" s="5" t="s">
        <v>134</v>
      </c>
      <c r="L5">
        <v>1E-4</v>
      </c>
    </row>
    <row r="6" spans="2:17" x14ac:dyDescent="0.25">
      <c r="D6" s="38" t="s">
        <v>125</v>
      </c>
      <c r="L6" s="38" t="s">
        <v>125</v>
      </c>
    </row>
    <row r="7" spans="2:17" x14ac:dyDescent="0.25">
      <c r="B7" s="45" t="s">
        <v>80</v>
      </c>
      <c r="C7" s="45" t="s">
        <v>79</v>
      </c>
      <c r="D7" s="56" t="s">
        <v>4</v>
      </c>
      <c r="E7" s="44" t="s">
        <v>5</v>
      </c>
      <c r="F7" s="43" t="s">
        <v>77</v>
      </c>
      <c r="G7" s="43" t="s">
        <v>76</v>
      </c>
      <c r="H7" s="21" t="s">
        <v>42</v>
      </c>
      <c r="J7" s="45" t="s">
        <v>133</v>
      </c>
      <c r="K7" s="45" t="s">
        <v>132</v>
      </c>
      <c r="L7" s="56" t="s">
        <v>131</v>
      </c>
      <c r="M7" s="44" t="s">
        <v>130</v>
      </c>
      <c r="N7" s="43" t="s">
        <v>129</v>
      </c>
      <c r="O7" s="43" t="s">
        <v>128</v>
      </c>
      <c r="P7" t="s">
        <v>127</v>
      </c>
      <c r="Q7" s="21" t="s">
        <v>42</v>
      </c>
    </row>
    <row r="8" spans="2:17" x14ac:dyDescent="0.25">
      <c r="B8" s="45">
        <v>0</v>
      </c>
      <c r="C8" s="45">
        <f>(r_^2*ACOS((r_-B8)/r_)-(r_-B8)*SQRT(2*r_*B8-B8^2))*L_-V_</f>
        <v>-8.5</v>
      </c>
      <c r="D8" s="56">
        <f>(B8+F8)/2</f>
        <v>0.95</v>
      </c>
      <c r="E8" s="44">
        <f>(r_^2*ACOS((r_-D8)/r_)-(r_-D8)*SQRT(2*r_*D8-D8^2))*L_-V_</f>
        <v>2.9250508954239383</v>
      </c>
      <c r="F8" s="43">
        <v>1.9</v>
      </c>
      <c r="G8" s="43">
        <f>(r_^2*ACOS((r_-F8)/r_)-(r_-F8)*SQRT(2*r_*F8-F8^2))*L_-V_</f>
        <v>20.91676018201062</v>
      </c>
      <c r="H8" s="42"/>
      <c r="J8" s="45">
        <f>L8-$L$5</f>
        <v>0.99990000000000001</v>
      </c>
      <c r="K8" s="45">
        <f>(r_^2*ACOS((r_-J8)/r_)-(r_-J8)*SQRT(2*r_*J8-J8^2))*L_-V_</f>
        <v>3.7819649641487949</v>
      </c>
      <c r="L8" s="56">
        <v>1</v>
      </c>
      <c r="M8" s="44">
        <f>(r_^2*ACOS((r_-L8)/r_)-(r_-L8)*SQRT(2*r_*L8-L8^2))*L_-V_</f>
        <v>3.7836969860875662</v>
      </c>
      <c r="N8" s="43">
        <f>L8+$L$5</f>
        <v>1.0001</v>
      </c>
      <c r="O8" s="43">
        <f>(r_^2*ACOS((r_-N8)/r_)-(r_-N8)*SQRT(2*r_*N8-N8^2))*L_-V_</f>
        <v>3.7854290657613685</v>
      </c>
      <c r="P8" s="42">
        <f>(O8-K8)/(2*$L$5)</f>
        <v>17.320508062868001</v>
      </c>
    </row>
    <row r="9" spans="2:17" x14ac:dyDescent="0.25">
      <c r="B9" s="45">
        <f>IF(C8*E8&gt;0,D8,B8)</f>
        <v>0</v>
      </c>
      <c r="C9" s="45">
        <f>(r_^2*ACOS((r_-B9)/r_)-(r_-B9)*SQRT(2*r_*B9-B9^2))*L_-V_</f>
        <v>-8.5</v>
      </c>
      <c r="D9" s="56">
        <f>(B9+F9)/2</f>
        <v>0.47499999999999998</v>
      </c>
      <c r="E9" s="44">
        <f>(r_^2*ACOS((r_-D9)/r_)-(r_-D9)*SQRT(2*r_*D9-D9^2))*L_-V_</f>
        <v>-4.2940122198154898</v>
      </c>
      <c r="F9" s="43">
        <f>IF(C8*E8&lt;0,D8,F8)</f>
        <v>0.95</v>
      </c>
      <c r="G9" s="43">
        <f>(r_^2*ACOS((r_-F9)/r_)-(r_-F9)*SQRT(2*r_*F9-F9^2))*L_-V_</f>
        <v>2.9250508954239383</v>
      </c>
      <c r="H9" s="57">
        <f>D9/D8-1</f>
        <v>-0.5</v>
      </c>
      <c r="J9" s="45">
        <f>L9-$L$5</f>
        <v>0.7814481524933371</v>
      </c>
      <c r="K9" s="45">
        <f>(r_^2*ACOS((r_-J9)/r_)-(r_-J9)*SQRT(2*r_*J9-J9^2))*L_-V_</f>
        <v>0.15037590220411623</v>
      </c>
      <c r="L9">
        <f>L8-M8/P8</f>
        <v>0.78154815249333709</v>
      </c>
      <c r="M9" s="44">
        <f>(r_^2*ACOS((r_-L9)/r_)-(r_-L9)*SQRT(2*r_*L9-L9^2))*L_-V_</f>
        <v>0.15196185719915256</v>
      </c>
      <c r="N9" s="43">
        <f>L9+$L$5</f>
        <v>0.78164815249333708</v>
      </c>
      <c r="O9" s="43">
        <f>(r_^2*ACOS((r_-N9)/r_)-(r_-N9)*SQRT(2*r_*N9-N9^2))*L_-V_</f>
        <v>0.15354788901998084</v>
      </c>
      <c r="P9" s="42">
        <f>(O9-K9)/(2*$L$5)</f>
        <v>15.859934079323068</v>
      </c>
      <c r="Q9" s="3">
        <f>L9/L8-1</f>
        <v>-0.21845184750666291</v>
      </c>
    </row>
    <row r="10" spans="2:17" x14ac:dyDescent="0.25">
      <c r="B10" s="45">
        <f>IF(C9*E9&gt;0,D9,B9)</f>
        <v>0.47499999999999998</v>
      </c>
      <c r="C10" s="45">
        <f>(r_^2*ACOS((r_-B10)/r_)-(r_-B10)*SQRT(2*r_*B10-B10^2))*L_-V_</f>
        <v>-4.2940122198154898</v>
      </c>
      <c r="D10" s="56">
        <f>(B10+F10)/2</f>
        <v>0.71249999999999991</v>
      </c>
      <c r="E10" s="44">
        <f>(r_^2*ACOS((r_-D10)/r_)-(r_-D10)*SQRT(2*r_*D10-D10^2))*L_-V_</f>
        <v>-0.92425880361919166</v>
      </c>
      <c r="F10" s="43">
        <f>IF(C9*E9&lt;0,D9,F9)</f>
        <v>0.95</v>
      </c>
      <c r="G10" s="43">
        <f>(r_^2*ACOS((r_-F10)/r_)-(r_-F10)*SQRT(2*r_*F10-F10^2))*L_-V_</f>
        <v>2.9250508954239383</v>
      </c>
      <c r="H10" s="57">
        <f>D10/D9-1</f>
        <v>0.49999999999999978</v>
      </c>
      <c r="J10" s="45">
        <f>L10-$L$5</f>
        <v>0.7718666588730535</v>
      </c>
      <c r="K10" s="45">
        <f>(r_^2*ACOS((r_-J10)/r_)-(r_-J10)*SQRT(2*r_*J10-J10^2))*L_-V_</f>
        <v>-1.2244226443058892E-3</v>
      </c>
      <c r="L10">
        <f>L9-M9/P9</f>
        <v>0.77196665887305349</v>
      </c>
      <c r="M10" s="44">
        <f>(r_^2*ACOS((r_-L10)/r_)-(r_-L10)*SQRT(2*r_*L10-L10^2))*L_-V_</f>
        <v>3.541245693998718E-4</v>
      </c>
      <c r="N10" s="43">
        <f>L10+$L$5</f>
        <v>0.77206665887305348</v>
      </c>
      <c r="O10" s="43">
        <f>(r_^2*ACOS((r_-N10)/r_)-(r_-N10)*SQRT(2*r_*N10-N10^2))*L_-V_</f>
        <v>1.9327495763583613E-3</v>
      </c>
      <c r="P10" s="42">
        <f>(O10-K10)/(2*$L$5)</f>
        <v>15.785861103321253</v>
      </c>
      <c r="Q10" s="3">
        <f>L10/L9-1</f>
        <v>-1.2259633126527447E-2</v>
      </c>
    </row>
    <row r="11" spans="2:17" x14ac:dyDescent="0.25">
      <c r="B11" s="45">
        <f>IF(C10*E10&gt;0,D10,B10)</f>
        <v>0.71249999999999991</v>
      </c>
      <c r="C11" s="45">
        <f>(r_^2*ACOS((r_-B11)/r_)-(r_-B11)*SQRT(2*r_*B11-B11^2))*L_-V_</f>
        <v>-0.92425880361919166</v>
      </c>
      <c r="D11" s="56">
        <f>(B11+F11)/2</f>
        <v>0.83124999999999993</v>
      </c>
      <c r="E11" s="44">
        <f>(r_^2*ACOS((r_-D11)/r_)-(r_-D11)*SQRT(2*r_*D11-D11^2))*L_-V_</f>
        <v>0.94951733396581162</v>
      </c>
      <c r="F11" s="43">
        <f>IF(C10*E10&lt;0,D10,F10)</f>
        <v>0.95</v>
      </c>
      <c r="G11" s="43">
        <f>(r_^2*ACOS((r_-F11)/r_)-(r_-F11)*SQRT(2*r_*F11-F11^2))*L_-V_</f>
        <v>2.9250508954239383</v>
      </c>
      <c r="H11" s="57">
        <f>D11/D10-1</f>
        <v>0.16666666666666674</v>
      </c>
      <c r="J11" s="45">
        <f>L11-$L$5</f>
        <v>0.77184422585105472</v>
      </c>
      <c r="K11" s="45">
        <f>(r_^2*ACOS((r_-J11)/r_)-(r_-J11)*SQRT(2*r_*J11-J11^2))*L_-V_</f>
        <v>-1.5785278038613626E-3</v>
      </c>
      <c r="L11">
        <f>L10-M10/P10</f>
        <v>0.77194422585105471</v>
      </c>
      <c r="M11" s="44">
        <f>(r_^2*ACOS((r_-L11)/r_)-(r_-L11)*SQRT(2*r_*L11-L11^2))*L_-V_</f>
        <v>1.9570762788134743E-9</v>
      </c>
      <c r="N11" s="43">
        <f>L11+$L$5</f>
        <v>0.7720442258510547</v>
      </c>
      <c r="O11" s="43">
        <f>(r_^2*ACOS((r_-N11)/r_)-(r_-N11)*SQRT(2*r_*N11-N11^2))*L_-V_</f>
        <v>1.5786095135403855E-3</v>
      </c>
      <c r="P11" s="42">
        <f>(O11-K11)/(2*$L$5)</f>
        <v>15.78568658700874</v>
      </c>
      <c r="Q11" s="3">
        <f>L11/L10-1</f>
        <v>-2.9059573675827011E-5</v>
      </c>
    </row>
    <row r="12" spans="2:17" x14ac:dyDescent="0.25">
      <c r="B12" s="45">
        <f>IF(C11*E11&gt;0,D11,B11)</f>
        <v>0.71249999999999991</v>
      </c>
      <c r="C12" s="45">
        <f>(r_^2*ACOS((r_-B12)/r_)-(r_-B12)*SQRT(2*r_*B12-B12^2))*L_-V_</f>
        <v>-0.92425880361919166</v>
      </c>
      <c r="D12" s="56">
        <f>(B12+F12)/2</f>
        <v>0.77187499999999987</v>
      </c>
      <c r="E12" s="44">
        <f>(r_^2*ACOS((r_-D12)/r_)-(r_-D12)*SQRT(2*r_*D12-D12^2))*L_-V_</f>
        <v>-1.0927569913459223E-3</v>
      </c>
      <c r="F12" s="43">
        <f>IF(C11*E11&lt;0,D11,F11)</f>
        <v>0.83124999999999993</v>
      </c>
      <c r="G12" s="43">
        <f>(r_^2*ACOS((r_-F12)/r_)-(r_-F12)*SQRT(2*r_*F12-F12^2))*L_-V_</f>
        <v>0.94951733396581162</v>
      </c>
      <c r="H12" s="57">
        <f>D12/D11-1</f>
        <v>-7.1428571428571508E-2</v>
      </c>
      <c r="J12" s="45">
        <f>L12-$L$5</f>
        <v>0.77184422572707678</v>
      </c>
      <c r="K12" s="45">
        <f>(r_^2*ACOS((r_-J12)/r_)-(r_-J12)*SQRT(2*r_*J12-J12^2))*L_-V_</f>
        <v>-1.5785297608417181E-3</v>
      </c>
      <c r="L12">
        <f>L11-M11/P11</f>
        <v>0.77194422572707677</v>
      </c>
      <c r="M12" s="44">
        <f>(r_^2*ACOS((r_-L12)/r_)-(r_-L12)*SQRT(2*r_*L12-L12^2))*L_-V_</f>
        <v>0</v>
      </c>
      <c r="N12" s="43">
        <f>L12+$L$5</f>
        <v>0.77204422572707676</v>
      </c>
      <c r="O12" s="43">
        <f>(r_^2*ACOS((r_-N12)/r_)-(r_-N12)*SQRT(2*r_*N12-N12^2))*L_-V_</f>
        <v>1.578607556366407E-3</v>
      </c>
      <c r="P12" s="42">
        <f>(O12-K12)/(2*$L$5)</f>
        <v>15.785686586040626</v>
      </c>
      <c r="Q12" s="3">
        <f>L12/L11-1</f>
        <v>-1.6060475171997268E-10</v>
      </c>
    </row>
    <row r="13" spans="2:17" x14ac:dyDescent="0.25">
      <c r="B13" s="45">
        <f>IF(C12*E12&gt;0,D12,B12)</f>
        <v>0.77187499999999987</v>
      </c>
      <c r="C13" s="45">
        <f>(r_^2*ACOS((r_-B13)/r_)-(r_-B13)*SQRT(2*r_*B13-B13^2))*L_-V_</f>
        <v>-1.0927569913459223E-3</v>
      </c>
      <c r="D13" s="56">
        <f>(B13+F13)/2</f>
        <v>0.80156249999999996</v>
      </c>
      <c r="E13" s="44">
        <f>(r_^2*ACOS((r_-D13)/r_)-(r_-D13)*SQRT(2*r_*D13-D13^2))*L_-V_</f>
        <v>0.47091350910027074</v>
      </c>
      <c r="F13" s="43">
        <f>IF(C12*E12&lt;0,D12,F12)</f>
        <v>0.83124999999999993</v>
      </c>
      <c r="G13" s="43">
        <f>(r_^2*ACOS((r_-F13)/r_)-(r_-F13)*SQRT(2*r_*F13-F13^2))*L_-V_</f>
        <v>0.94951733396581162</v>
      </c>
      <c r="H13" s="57">
        <f>D13/D12-1</f>
        <v>3.8461538461538547E-2</v>
      </c>
      <c r="J13" s="45"/>
      <c r="K13" s="45"/>
      <c r="M13" s="44"/>
      <c r="N13" s="43"/>
      <c r="O13" s="43"/>
      <c r="P13" s="42"/>
      <c r="Q13" s="3"/>
    </row>
    <row r="14" spans="2:17" x14ac:dyDescent="0.25">
      <c r="B14" s="45">
        <f>IF(C13*E13&gt;0,D13,B13)</f>
        <v>0.77187499999999987</v>
      </c>
      <c r="C14" s="45">
        <f>(r_^2*ACOS((r_-B14)/r_)-(r_-B14)*SQRT(2*r_*B14-B14^2))*L_-V_</f>
        <v>-1.0927569913459223E-3</v>
      </c>
      <c r="D14" s="56">
        <f>(B14+F14)/2</f>
        <v>0.78671874999999991</v>
      </c>
      <c r="E14" s="44">
        <f>(r_^2*ACOS((r_-D14)/r_)-(r_-D14)*SQRT(2*r_*D14-D14^2))*L_-V_</f>
        <v>0.23406965948319325</v>
      </c>
      <c r="F14" s="43">
        <f>IF(C13*E13&lt;0,D13,F13)</f>
        <v>0.80156249999999996</v>
      </c>
      <c r="G14" s="43">
        <f>(r_^2*ACOS((r_-F14)/r_)-(r_-F14)*SQRT(2*r_*F14-F14^2))*L_-V_</f>
        <v>0.47091350910027074</v>
      </c>
      <c r="H14" s="57">
        <f>D14/D13-1</f>
        <v>-1.8518518518518601E-2</v>
      </c>
      <c r="J14" s="45"/>
      <c r="K14" s="45"/>
      <c r="M14" s="44"/>
      <c r="N14" s="43"/>
      <c r="O14" s="43"/>
      <c r="P14" s="42"/>
    </row>
    <row r="15" spans="2:17" x14ac:dyDescent="0.25">
      <c r="B15" s="45">
        <f>IF(C14*E14&gt;0,D14,B14)</f>
        <v>0.77187499999999987</v>
      </c>
      <c r="C15" s="45">
        <f>(r_^2*ACOS((r_-B15)/r_)-(r_-B15)*SQRT(2*r_*B15-B15^2))*L_-V_</f>
        <v>-1.0927569913459223E-3</v>
      </c>
      <c r="D15" s="56">
        <f>(B15+F15)/2</f>
        <v>0.77929687499999989</v>
      </c>
      <c r="E15" s="44">
        <f>(r_^2*ACOS((r_-D15)/r_)-(r_-D15)*SQRT(2*r_*D15-D15^2))*L_-V_</f>
        <v>0.11627623222091898</v>
      </c>
      <c r="F15" s="43">
        <f>IF(C14*E14&lt;0,D14,F14)</f>
        <v>0.78671874999999991</v>
      </c>
      <c r="G15" s="43">
        <f>(r_^2*ACOS((r_-F15)/r_)-(r_-F15)*SQRT(2*r_*F15-F15^2))*L_-V_</f>
        <v>0.23406965948319325</v>
      </c>
      <c r="H15" s="57">
        <f>D15/D14-1</f>
        <v>-9.4339622641509413E-3</v>
      </c>
      <c r="J15" s="45"/>
      <c r="K15" s="45"/>
      <c r="M15" s="44"/>
      <c r="N15" s="43"/>
      <c r="O15" s="43"/>
      <c r="P15" s="42"/>
    </row>
    <row r="16" spans="2:17" x14ac:dyDescent="0.25">
      <c r="B16" s="45">
        <f>IF(C15*E15&gt;0,D15,B15)</f>
        <v>0.77187499999999987</v>
      </c>
      <c r="C16" s="45">
        <f>(r_^2*ACOS((r_-B16)/r_)-(r_-B16)*SQRT(2*r_*B16-B16^2))*L_-V_</f>
        <v>-1.0927569913459223E-3</v>
      </c>
      <c r="D16" s="56">
        <f>(B16+F16)/2</f>
        <v>0.77558593749999982</v>
      </c>
      <c r="E16" s="44">
        <f>(r_^2*ACOS((r_-D16)/r_)-(r_-D16)*SQRT(2*r_*D16-D16^2))*L_-V_</f>
        <v>5.7538425466526988E-2</v>
      </c>
      <c r="F16" s="43">
        <f>IF(C15*E15&lt;0,D15,F15)</f>
        <v>0.77929687499999989</v>
      </c>
      <c r="G16" s="43">
        <f>(r_^2*ACOS((r_-F16)/r_)-(r_-F16)*SQRT(2*r_*F16-F16^2))*L_-V_</f>
        <v>0.11627623222091898</v>
      </c>
      <c r="H16" s="57">
        <f>D16/D15-1</f>
        <v>-4.761904761904856E-3</v>
      </c>
      <c r="J16" s="45"/>
      <c r="K16" s="45"/>
      <c r="M16" s="44"/>
      <c r="N16" s="43"/>
      <c r="O16" s="43"/>
      <c r="P16" s="42"/>
    </row>
    <row r="17" spans="2:8" x14ac:dyDescent="0.25">
      <c r="B17" s="45">
        <f>IF(C16*E16&gt;0,D16,B16)</f>
        <v>0.77187499999999987</v>
      </c>
      <c r="C17" s="45">
        <f>(r_^2*ACOS((r_-B17)/r_)-(r_-B17)*SQRT(2*r_*B17-B17^2))*L_-V_</f>
        <v>-1.0927569913459223E-3</v>
      </c>
      <c r="D17" s="56">
        <f>(B17+F17)/2</f>
        <v>0.77373046874999984</v>
      </c>
      <c r="E17" s="44">
        <f>(r_^2*ACOS((r_-D17)/r_)-(r_-D17)*SQRT(2*r_*D17-D17^2))*L_-V_</f>
        <v>2.8209473873372914E-2</v>
      </c>
      <c r="F17" s="43">
        <f>IF(C16*E16&lt;0,D16,F16)</f>
        <v>0.77558593749999982</v>
      </c>
      <c r="G17" s="43">
        <f>(r_^2*ACOS((r_-F17)/r_)-(r_-F17)*SQRT(2*r_*F17-F17^2))*L_-V_</f>
        <v>5.7538425466526988E-2</v>
      </c>
      <c r="H17" s="57">
        <f>D17/D16-1</f>
        <v>-2.3923444976076125E-3</v>
      </c>
    </row>
    <row r="18" spans="2:8" x14ac:dyDescent="0.25">
      <c r="B18" s="45">
        <f>IF(C17*E17&gt;0,D17,B17)</f>
        <v>0.77187499999999987</v>
      </c>
      <c r="C18" s="45">
        <f>(r_^2*ACOS((r_-B18)/r_)-(r_-B18)*SQRT(2*r_*B18-B18^2))*L_-V_</f>
        <v>-1.0927569913459223E-3</v>
      </c>
      <c r="D18" s="56">
        <f>(B18+F18)/2</f>
        <v>0.77280273437499991</v>
      </c>
      <c r="E18" s="44">
        <f>(r_^2*ACOS((r_-D18)/r_)-(r_-D18)*SQRT(2*r_*D18-D18^2))*L_-V_</f>
        <v>1.3555014299408086E-2</v>
      </c>
      <c r="F18" s="43">
        <f>IF(C17*E17&lt;0,D17,F17)</f>
        <v>0.77373046874999984</v>
      </c>
      <c r="G18" s="43">
        <f>(r_^2*ACOS((r_-F18)/r_)-(r_-F18)*SQRT(2*r_*F18-F18^2))*L_-V_</f>
        <v>2.8209473873372914E-2</v>
      </c>
      <c r="H18" s="57">
        <f>D18/D17-1</f>
        <v>-1.1990407673859727E-3</v>
      </c>
    </row>
    <row r="19" spans="2:8" x14ac:dyDescent="0.25">
      <c r="B19" s="45">
        <f>IF(C18*E18&gt;0,D18,B18)</f>
        <v>0.77187499999999987</v>
      </c>
      <c r="C19" s="45">
        <f>(r_^2*ACOS((r_-B19)/r_)-(r_-B19)*SQRT(2*r_*B19-B19^2))*L_-V_</f>
        <v>-1.0927569913459223E-3</v>
      </c>
      <c r="D19" s="56">
        <f>(B19+F19)/2</f>
        <v>0.77233886718749989</v>
      </c>
      <c r="E19" s="44">
        <f>(r_^2*ACOS((r_-D19)/r_)-(r_-D19)*SQRT(2*r_*D19-D19^2))*L_-V_</f>
        <v>6.2302921117058929E-3</v>
      </c>
      <c r="F19" s="43">
        <f>IF(C18*E18&lt;0,D18,F18)</f>
        <v>0.77280273437499991</v>
      </c>
      <c r="G19" s="43">
        <f>(r_^2*ACOS((r_-F19)/r_)-(r_-F19)*SQRT(2*r_*F19-F19^2))*L_-V_</f>
        <v>1.3555014299408086E-2</v>
      </c>
      <c r="H19" s="57">
        <f>D19/D18-1</f>
        <v>-6.0024009603842909E-4</v>
      </c>
    </row>
    <row r="20" spans="2:8" x14ac:dyDescent="0.25">
      <c r="B20" s="45">
        <f>IF(C19*E19&gt;0,D19,B19)</f>
        <v>0.77187499999999987</v>
      </c>
      <c r="C20" s="45">
        <f>(r_^2*ACOS((r_-B20)/r_)-(r_-B20)*SQRT(2*r_*B20-B20^2))*L_-V_</f>
        <v>-1.0927569913459223E-3</v>
      </c>
      <c r="D20" s="56">
        <f>(B20+F20)/2</f>
        <v>0.77210693359374982</v>
      </c>
      <c r="E20" s="44">
        <f>(r_^2*ACOS((r_-D20)/r_)-(r_-D20)*SQRT(2*r_*D20-D20^2))*L_-V_</f>
        <v>2.5685583611920748E-3</v>
      </c>
      <c r="F20" s="43">
        <f>IF(C19*E19&lt;0,D19,F19)</f>
        <v>0.77233886718749989</v>
      </c>
      <c r="G20" s="43">
        <f>(r_^2*ACOS((r_-F20)/r_)-(r_-F20)*SQRT(2*r_*F20-F20^2))*L_-V_</f>
        <v>6.2302921117058929E-3</v>
      </c>
      <c r="H20" s="57">
        <f>D20/D19-1</f>
        <v>-3.0030030030037125E-4</v>
      </c>
    </row>
    <row r="21" spans="2:8" x14ac:dyDescent="0.25">
      <c r="B21" s="45">
        <f>IF(C20*E20&gt;0,D20,B20)</f>
        <v>0.77187499999999987</v>
      </c>
      <c r="C21" s="45">
        <f>(r_^2*ACOS((r_-B21)/r_)-(r_-B21)*SQRT(2*r_*B21-B21^2))*L_-V_</f>
        <v>-1.0927569913459223E-3</v>
      </c>
      <c r="D21" s="56">
        <f>(B21+F21)/2</f>
        <v>0.77199096679687484</v>
      </c>
      <c r="E21" s="44">
        <f>(r_^2*ACOS((r_-D21)/r_)-(r_-D21)*SQRT(2*r_*D21-D21^2))*L_-V_</f>
        <v>7.378483772484401E-4</v>
      </c>
      <c r="F21" s="43">
        <f>IF(C20*E20&lt;0,D20,F20)</f>
        <v>0.77210693359374982</v>
      </c>
      <c r="G21" s="43">
        <f>(r_^2*ACOS((r_-F21)/r_)-(r_-F21)*SQRT(2*r_*F21-F21^2))*L_-V_</f>
        <v>2.5685583611920748E-3</v>
      </c>
      <c r="H21" s="57">
        <f>D21/D20-1</f>
        <v>-1.5019525382997667E-4</v>
      </c>
    </row>
    <row r="22" spans="2:8" x14ac:dyDescent="0.25">
      <c r="B22" s="45"/>
      <c r="C22" s="45"/>
      <c r="D22" s="56"/>
      <c r="E22" s="44"/>
      <c r="F22" s="43"/>
      <c r="G22" s="43"/>
      <c r="H22" s="57"/>
    </row>
    <row r="23" spans="2:8" x14ac:dyDescent="0.25">
      <c r="B23" s="45"/>
      <c r="C23" s="45"/>
      <c r="D23" s="56"/>
      <c r="E23" s="44"/>
      <c r="F23" s="43"/>
      <c r="G23" s="43"/>
      <c r="H23" s="57"/>
    </row>
    <row r="24" spans="2:8" x14ac:dyDescent="0.25">
      <c r="B24" s="45"/>
      <c r="C24" s="45"/>
      <c r="D24" s="56"/>
      <c r="E24" s="44"/>
      <c r="F24" s="43"/>
      <c r="G24" s="43"/>
      <c r="H24" s="57"/>
    </row>
    <row r="25" spans="2:8" x14ac:dyDescent="0.25">
      <c r="B25" s="45"/>
      <c r="C25" s="45"/>
      <c r="D25" s="56"/>
      <c r="E25" s="44"/>
      <c r="F25" s="43"/>
      <c r="G25" s="43"/>
      <c r="H25" s="57"/>
    </row>
    <row r="26" spans="2:8" x14ac:dyDescent="0.25">
      <c r="B26" s="45"/>
      <c r="C26" s="45"/>
      <c r="D26" s="56"/>
      <c r="E26" s="44"/>
      <c r="F26" s="43"/>
      <c r="G26" s="43"/>
      <c r="H26" s="42"/>
    </row>
    <row r="27" spans="2:8" x14ac:dyDescent="0.25">
      <c r="B27" s="45"/>
      <c r="C27" s="45"/>
      <c r="D27" s="56"/>
      <c r="E27" s="44"/>
      <c r="F27" s="43"/>
      <c r="G27" s="43"/>
      <c r="H27" s="42"/>
    </row>
    <row r="28" spans="2:8" x14ac:dyDescent="0.25">
      <c r="B28" s="45"/>
      <c r="C28" s="45"/>
      <c r="D28" s="56"/>
      <c r="E28" s="44"/>
      <c r="F28" s="43"/>
      <c r="G28" s="43"/>
      <c r="H28" s="42"/>
    </row>
    <row r="29" spans="2:8" x14ac:dyDescent="0.25">
      <c r="B29" s="45"/>
      <c r="C29" s="45"/>
      <c r="D29" s="56"/>
      <c r="E29" s="44"/>
      <c r="F29" s="43"/>
      <c r="G29" s="43"/>
      <c r="H29" s="42"/>
    </row>
    <row r="30" spans="2:8" x14ac:dyDescent="0.25">
      <c r="B30" s="45"/>
      <c r="C30" s="45"/>
      <c r="E30" s="44"/>
      <c r="F30" s="43"/>
      <c r="G30" s="43"/>
      <c r="H30" s="42"/>
    </row>
    <row r="31" spans="2:8" x14ac:dyDescent="0.25">
      <c r="B31" s="45"/>
      <c r="C31" s="45"/>
      <c r="E31" s="44"/>
      <c r="F31" s="43"/>
      <c r="G31" s="43"/>
      <c r="H31" s="42"/>
    </row>
    <row r="32" spans="2:8" x14ac:dyDescent="0.25">
      <c r="B32" s="45"/>
      <c r="C32" s="45"/>
      <c r="E32" s="44"/>
      <c r="F32" s="43"/>
      <c r="G32" s="43"/>
      <c r="H32" s="42"/>
    </row>
    <row r="33" spans="2:8" x14ac:dyDescent="0.25">
      <c r="B33" s="45"/>
      <c r="C33" s="45"/>
      <c r="E33" s="44"/>
      <c r="F33" s="43"/>
      <c r="G33" s="43"/>
      <c r="H33" s="42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M501"/>
  <sheetViews>
    <sheetView topLeftCell="A8" workbookViewId="0">
      <selection activeCell="I16" sqref="I16"/>
    </sheetView>
  </sheetViews>
  <sheetFormatPr defaultRowHeight="15" x14ac:dyDescent="0.25"/>
  <cols>
    <col min="13" max="13" width="9.5703125" bestFit="1" customWidth="1"/>
  </cols>
  <sheetData>
    <row r="1" spans="1:13" x14ac:dyDescent="0.25">
      <c r="C1" s="5" t="s">
        <v>163</v>
      </c>
      <c r="D1" s="6">
        <v>0.7</v>
      </c>
    </row>
    <row r="2" spans="1:13" x14ac:dyDescent="0.25">
      <c r="C2" s="5" t="s">
        <v>162</v>
      </c>
      <c r="D2" s="6">
        <v>4</v>
      </c>
    </row>
    <row r="3" spans="1:13" x14ac:dyDescent="0.25">
      <c r="C3" s="5" t="s">
        <v>161</v>
      </c>
      <c r="D3" s="6">
        <v>3.5</v>
      </c>
      <c r="E3" t="s">
        <v>160</v>
      </c>
    </row>
    <row r="4" spans="1:13" x14ac:dyDescent="0.25">
      <c r="C4" s="5" t="s">
        <v>159</v>
      </c>
      <c r="D4" s="6">
        <v>9</v>
      </c>
    </row>
    <row r="5" spans="1:13" x14ac:dyDescent="0.25">
      <c r="C5" t="s">
        <v>158</v>
      </c>
      <c r="G5" s="5"/>
      <c r="H5" s="6"/>
    </row>
    <row r="7" spans="1:13" x14ac:dyDescent="0.25">
      <c r="C7" s="5" t="s">
        <v>10</v>
      </c>
      <c r="D7">
        <v>0.01</v>
      </c>
    </row>
    <row r="8" spans="1:13" x14ac:dyDescent="0.25">
      <c r="A8" s="47" t="s">
        <v>157</v>
      </c>
      <c r="F8" s="61" t="s">
        <v>156</v>
      </c>
      <c r="G8" s="1"/>
      <c r="H8" s="1"/>
      <c r="I8" s="1"/>
      <c r="J8" s="1"/>
      <c r="K8" s="1"/>
    </row>
    <row r="9" spans="1:13" x14ac:dyDescent="0.25">
      <c r="A9" s="1" t="s">
        <v>112</v>
      </c>
      <c r="B9" s="1" t="s">
        <v>111</v>
      </c>
      <c r="C9" s="1" t="s">
        <v>155</v>
      </c>
      <c r="G9" s="5" t="s">
        <v>10</v>
      </c>
      <c r="H9" s="6">
        <v>0.1</v>
      </c>
    </row>
    <row r="10" spans="1:13" x14ac:dyDescent="0.25">
      <c r="A10" s="1">
        <v>1.0000000000000001E-5</v>
      </c>
      <c r="B10" s="1">
        <f>$D$4*EXP(-$D$1*A10)*COS($D$2*A10)</f>
        <v>8.9999369930205511</v>
      </c>
      <c r="C10" s="1">
        <f>$D$4*EXP(-$D$1*A10)</f>
        <v>8.9999370002205001</v>
      </c>
      <c r="G10" t="s">
        <v>147</v>
      </c>
    </row>
    <row r="11" spans="1:13" x14ac:dyDescent="0.25">
      <c r="A11" s="1">
        <f>A10+$D$7</f>
        <v>1.001E-2</v>
      </c>
      <c r="B11" s="1">
        <f>$D$4*EXP(-$D$1*A11)*COS($D$2*A11)</f>
        <v>8.9299943506002588</v>
      </c>
      <c r="C11" s="1">
        <f>$D$4*EXP(-$D$1*A11)</f>
        <v>8.9371574260781728</v>
      </c>
      <c r="G11" t="s">
        <v>146</v>
      </c>
    </row>
    <row r="12" spans="1:13" x14ac:dyDescent="0.25">
      <c r="A12" s="1">
        <f>A11+$D$7</f>
        <v>2.001E-2</v>
      </c>
      <c r="B12" s="1">
        <f>$D$4*EXP(-$D$1*A12)*COS($D$2*A12)</f>
        <v>8.8464031308764994</v>
      </c>
      <c r="C12" s="1">
        <f>$D$4*EXP(-$D$1*A12)</f>
        <v>8.8748157744379021</v>
      </c>
    </row>
    <row r="13" spans="1:13" x14ac:dyDescent="0.25">
      <c r="A13" s="1">
        <f>A12+$D$7</f>
        <v>3.0010000000000002E-2</v>
      </c>
      <c r="B13" s="1">
        <f>$D$4*EXP(-$D$1*A13)*COS($D$2*A13)</f>
        <v>8.7494899452974</v>
      </c>
      <c r="C13" s="1">
        <f>$D$4*EXP(-$D$1*A13)</f>
        <v>8.8129089905462852</v>
      </c>
      <c r="F13" s="1" t="s">
        <v>154</v>
      </c>
      <c r="G13" s="59" t="s">
        <v>153</v>
      </c>
      <c r="H13" s="1" t="s">
        <v>152</v>
      </c>
      <c r="I13" s="59" t="s">
        <v>151</v>
      </c>
      <c r="J13" s="1" t="s">
        <v>150</v>
      </c>
      <c r="K13" s="59" t="s">
        <v>149</v>
      </c>
      <c r="L13" s="60" t="s">
        <v>42</v>
      </c>
      <c r="M13" s="26"/>
    </row>
    <row r="14" spans="1:13" x14ac:dyDescent="0.25">
      <c r="A14" s="1">
        <f>A13+$D$7</f>
        <v>4.0010000000000004E-2</v>
      </c>
      <c r="B14" s="1">
        <f>$D$4*EXP(-$D$1*A14)*COS($D$2*A14)</f>
        <v>8.6395986764736925</v>
      </c>
      <c r="C14" s="1">
        <f>$D$4*EXP(-$D$1*A14)</f>
        <v>8.7514340409585252</v>
      </c>
      <c r="F14" s="1">
        <v>0.2</v>
      </c>
      <c r="G14" s="59">
        <f>$D$4*EXP(-$D$1*F14)*COS($D$2*F14)-$D$3</f>
        <v>1.9511894388570443</v>
      </c>
      <c r="H14" s="1">
        <v>0.3</v>
      </c>
      <c r="I14" s="59">
        <f>$D$4*EXP(-$D$1*H14)*COS($D$2*H14)-$D$3</f>
        <v>-0.85650661534467787</v>
      </c>
      <c r="J14" s="1">
        <f>(F14+H14)/2</f>
        <v>0.25</v>
      </c>
      <c r="K14" s="59">
        <f>$D$4*EXP(-$D$1*J14)*COS($D$2*J14)-$D$3</f>
        <v>0.58204507598921484</v>
      </c>
      <c r="L14" s="1"/>
      <c r="M14" s="26"/>
    </row>
    <row r="15" spans="1:13" x14ac:dyDescent="0.25">
      <c r="A15" s="1">
        <f>A14+$D$7</f>
        <v>5.0010000000000006E-2</v>
      </c>
      <c r="B15" s="1">
        <f>$D$4*EXP(-$D$1*A15)*COS($D$2*A15)</f>
        <v>8.517089675033068</v>
      </c>
      <c r="C15" s="1">
        <f>$D$4*EXP(-$D$1*A15)</f>
        <v>8.6903879133897899</v>
      </c>
      <c r="F15" s="1">
        <f>IF($G14*$K14&gt;0,$J14,F14)</f>
        <v>0.25</v>
      </c>
      <c r="G15" s="59">
        <f>$D$4*EXP(-$D$1*F15)*COS($D$2*F15)-$D$3</f>
        <v>0.58204507598921484</v>
      </c>
      <c r="H15" s="1">
        <f>IF($G14*$K14&lt;0,$J14,H14)</f>
        <v>0.3</v>
      </c>
      <c r="I15" s="59">
        <f>$D$4*EXP(-$D$1*H15)*COS($D$2*H15)-$D$3</f>
        <v>-0.85650661534467787</v>
      </c>
      <c r="J15" s="1">
        <f>(F15+H15)/2</f>
        <v>0.27500000000000002</v>
      </c>
      <c r="K15" s="59">
        <f>$D$4*EXP(-$D$1*J15)*COS($D$2*J15)-$D$3</f>
        <v>-0.13248023009164545</v>
      </c>
      <c r="L15" s="2">
        <f>J15/J14-1</f>
        <v>0.10000000000000009</v>
      </c>
      <c r="M15" s="26"/>
    </row>
    <row r="16" spans="1:13" x14ac:dyDescent="0.25">
      <c r="A16" s="1">
        <f>A15+$D$7</f>
        <v>6.0010000000000008E-2</v>
      </c>
      <c r="B16" s="1">
        <f>$D$4*EXP(-$D$1*A16)*COS($D$2*A16)</f>
        <v>8.3823389406773821</v>
      </c>
      <c r="C16" s="1">
        <f>$D$4*EXP(-$D$1*A16)</f>
        <v>8.6297676165676158</v>
      </c>
      <c r="F16" s="1">
        <f>IF($G15*$K15&gt;0,$J15,F15)</f>
        <v>0.25</v>
      </c>
      <c r="G16" s="59">
        <f>$D$4*EXP(-$D$1*F16)*COS($D$2*F16)-$D$3</f>
        <v>0.58204507598921484</v>
      </c>
      <c r="H16" s="1">
        <f>IF($G15*$K15&lt;0,$J15,H15)</f>
        <v>0.27500000000000002</v>
      </c>
      <c r="I16" s="59">
        <f>$D$4*EXP(-$D$1*H16)*COS($D$2*H16)-$D$3</f>
        <v>-0.13248023009164545</v>
      </c>
      <c r="J16" s="1">
        <f>(F16+H16)/2</f>
        <v>0.26250000000000001</v>
      </c>
      <c r="K16" s="59">
        <f>$D$4*EXP(-$D$1*J16)*COS($D$2*J16)-$D$3</f>
        <v>0.22645602476229243</v>
      </c>
      <c r="L16" s="2">
        <f>J16/J15-1</f>
        <v>-4.5454545454545525E-2</v>
      </c>
      <c r="M16" s="26"/>
    </row>
    <row r="17" spans="1:13" x14ac:dyDescent="0.25">
      <c r="A17" s="1">
        <f>A16+$D$7</f>
        <v>7.0010000000000003E-2</v>
      </c>
      <c r="B17" s="1">
        <f>$D$4*EXP(-$D$1*A17)*COS($D$2*A17)</f>
        <v>8.2357372890031755</v>
      </c>
      <c r="C17" s="1">
        <f>$D$4*EXP(-$D$1*A17)</f>
        <v>8.5695701800853286</v>
      </c>
      <c r="F17" s="1">
        <f>IF($G16*$K16&gt;0,$J16,F16)</f>
        <v>0.26250000000000001</v>
      </c>
      <c r="G17" s="59">
        <f>$D$4*EXP(-$D$1*F17)*COS($D$2*F17)-$D$3</f>
        <v>0.22645602476229243</v>
      </c>
      <c r="H17" s="1">
        <f>IF($G16*$K16&lt;0,$J16,H16)</f>
        <v>0.27500000000000002</v>
      </c>
      <c r="I17" s="59">
        <f>$D$4*EXP(-$D$1*H17)*COS($D$2*H17)-$D$3</f>
        <v>-0.13248023009164545</v>
      </c>
      <c r="J17" s="1">
        <f>(F17+H17)/2</f>
        <v>0.26875000000000004</v>
      </c>
      <c r="K17" s="59">
        <f>$D$4*EXP(-$D$1*J17)*COS($D$2*J17)-$D$3</f>
        <v>4.734515523527616E-2</v>
      </c>
      <c r="L17" s="2">
        <f>J17/J16-1</f>
        <v>2.3809523809523947E-2</v>
      </c>
    </row>
    <row r="18" spans="1:13" x14ac:dyDescent="0.25">
      <c r="A18" s="1">
        <f>A17+$D$7</f>
        <v>8.0009999999999998E-2</v>
      </c>
      <c r="B18" s="1">
        <f>$D$4*EXP(-$D$1*A18)*COS($D$2*A18)</f>
        <v>8.0776895056475695</v>
      </c>
      <c r="C18" s="1">
        <f>$D$4*EXP(-$D$1*A18)</f>
        <v>8.509792654256497</v>
      </c>
      <c r="F18" s="1">
        <f>IF($G17*$K17&gt;0,$J17,F17)</f>
        <v>0.26875000000000004</v>
      </c>
      <c r="G18" s="59">
        <f>$D$4*EXP(-$D$1*F18)*COS($D$2*F18)-$D$3</f>
        <v>4.734515523527616E-2</v>
      </c>
      <c r="H18" s="1">
        <f>IF($G17*$K17&lt;0,$J17,H17)</f>
        <v>0.27500000000000002</v>
      </c>
      <c r="I18" s="59">
        <f>$D$4*EXP(-$D$1*H18)*COS($D$2*H18)-$D$3</f>
        <v>-0.13248023009164545</v>
      </c>
      <c r="J18" s="1">
        <f>(F18+H18)/2</f>
        <v>0.27187500000000003</v>
      </c>
      <c r="K18" s="59">
        <f>$D$4*EXP(-$D$1*J18)*COS($D$2*J18)-$D$3</f>
        <v>-4.248583464264799E-2</v>
      </c>
      <c r="L18" s="2">
        <f>J18/J17-1</f>
        <v>1.1627906976744207E-2</v>
      </c>
    </row>
    <row r="19" spans="1:13" x14ac:dyDescent="0.25">
      <c r="A19" s="1">
        <f>A18+$D$7</f>
        <v>9.0009999999999993E-2</v>
      </c>
      <c r="B19" s="1">
        <f>$D$4*EXP(-$D$1*A19)*COS($D$2*A19)</f>
        <v>7.9086134893206701</v>
      </c>
      <c r="C19" s="1">
        <f>$D$4*EXP(-$D$1*A19)</f>
        <v>8.450432109970393</v>
      </c>
      <c r="F19" s="1">
        <f>IF($G18*$K18&gt;0,$J18,F18)</f>
        <v>0.26875000000000004</v>
      </c>
      <c r="G19" s="59">
        <f>$D$4*EXP(-$D$1*F19)*COS($D$2*F19)-$D$3</f>
        <v>4.734515523527616E-2</v>
      </c>
      <c r="H19" s="1">
        <f>IF($G18*$K18&lt;0,$J18,H18)</f>
        <v>0.27187500000000003</v>
      </c>
      <c r="I19" s="59">
        <f>$D$4*EXP(-$D$1*H19)*COS($D$2*H19)-$D$3</f>
        <v>-4.248583464264799E-2</v>
      </c>
      <c r="J19" s="1">
        <f>(F19+H19)/2</f>
        <v>0.27031250000000007</v>
      </c>
      <c r="K19" s="59">
        <f>$D$4*EXP(-$D$1*J19)*COS($D$2*J19)-$D$3</f>
        <v>2.4510359474017029E-3</v>
      </c>
      <c r="L19" s="2">
        <f>J19/J18-1</f>
        <v>-5.7471264367814356E-3</v>
      </c>
    </row>
    <row r="20" spans="1:13" x14ac:dyDescent="0.25">
      <c r="A20" s="1">
        <f>A19+$D$7</f>
        <v>0.10000999999999999</v>
      </c>
      <c r="B20" s="1">
        <f>$D$4*EXP(-$D$1*A20)*COS($D$2*A20)</f>
        <v>7.7289393852820947</v>
      </c>
      <c r="C20" s="1">
        <f>$D$4*EXP(-$D$1*A20)</f>
        <v>8.3914856385484722</v>
      </c>
      <c r="F20" s="1">
        <f>IF($G19*$K19&gt;0,$J19,F19)</f>
        <v>0.27031250000000007</v>
      </c>
      <c r="G20" s="59">
        <f>$D$4*EXP(-$D$1*F20)*COS($D$2*F20)-$D$3</f>
        <v>2.4510359474017029E-3</v>
      </c>
      <c r="H20" s="1">
        <f>IF($G19*$K19&lt;0,$J19,H19)</f>
        <v>0.27187500000000003</v>
      </c>
      <c r="I20" s="59">
        <f>$D$4*EXP(-$D$1*H20)*COS($D$2*H20)-$D$3</f>
        <v>-4.248583464264799E-2</v>
      </c>
      <c r="J20" s="1">
        <f>(F20+H20)/2</f>
        <v>0.27109375000000002</v>
      </c>
      <c r="K20" s="59">
        <f>$D$4*EXP(-$D$1*J20)*COS($D$2*J20)-$D$3</f>
        <v>-2.0012174276406558E-2</v>
      </c>
      <c r="L20" s="2">
        <f>J20/J19-1</f>
        <v>2.8901734104045396E-3</v>
      </c>
    </row>
    <row r="21" spans="1:13" x14ac:dyDescent="0.25">
      <c r="A21" s="1">
        <f>A20+$D$7</f>
        <v>0.11000999999999998</v>
      </c>
      <c r="B21" s="1">
        <f>$D$4*EXP(-$D$1*A21)*COS($D$2*A21)</f>
        <v>7.5391087108131742</v>
      </c>
      <c r="C21" s="1">
        <f>$D$4*EXP(-$D$1*A21)</f>
        <v>8.3329503516018395</v>
      </c>
      <c r="F21" s="1">
        <f>IF($G20*$K20&gt;0,$J20,F20)</f>
        <v>0.27031250000000007</v>
      </c>
      <c r="G21" s="59">
        <f>$D$4*EXP(-$D$1*F21)*COS($D$2*F21)-$D$3</f>
        <v>2.4510359474017029E-3</v>
      </c>
      <c r="H21" s="1">
        <f>IF($G20*$K20&lt;0,$J20,H20)</f>
        <v>0.27109375000000002</v>
      </c>
      <c r="I21" s="59">
        <f>$D$4*EXP(-$D$1*H21)*COS($D$2*H21)-$D$3</f>
        <v>-2.0012174276406558E-2</v>
      </c>
      <c r="J21" s="1">
        <f>(F21+H21)/2</f>
        <v>0.27070312500000004</v>
      </c>
      <c r="K21" s="59">
        <f>$D$4*EXP(-$D$1*J21)*COS($D$2*J21)-$D$3</f>
        <v>-8.7792480474848666E-3</v>
      </c>
      <c r="L21" s="2">
        <f>J21/J20-1</f>
        <v>-1.4409221902016434E-3</v>
      </c>
    </row>
    <row r="22" spans="1:13" x14ac:dyDescent="0.25">
      <c r="A22" s="1">
        <f>A21+$D$7</f>
        <v>0.12000999999999998</v>
      </c>
      <c r="B22" s="1">
        <f>$D$4*EXP(-$D$1*A22)*COS($D$2*A22)</f>
        <v>7.3395734742280121</v>
      </c>
      <c r="C22" s="1">
        <f>$D$4*EXP(-$D$1*A22)</f>
        <v>8.2748233808897229</v>
      </c>
      <c r="F22" s="1">
        <f>IF($G21*$K21&gt;0,$J21,F21)</f>
        <v>0.27031250000000007</v>
      </c>
      <c r="G22" s="59">
        <f>$D$4*EXP(-$D$1*F22)*COS($D$2*F22)-$D$3</f>
        <v>2.4510359474017029E-3</v>
      </c>
      <c r="H22" s="1">
        <f>IF($G21*$K21&lt;0,$J21,H21)</f>
        <v>0.27070312500000004</v>
      </c>
      <c r="I22" s="59">
        <f>$D$4*EXP(-$D$1*H22)*COS($D$2*H22)-$D$3</f>
        <v>-8.7792480474848666E-3</v>
      </c>
      <c r="J22" s="1">
        <f>(F22+H22)/2</f>
        <v>0.27050781250000006</v>
      </c>
      <c r="K22" s="59">
        <f>$D$4*EXP(-$D$1*J22)*COS($D$2*J22)-$D$3</f>
        <v>-3.163773914108603E-3</v>
      </c>
      <c r="L22" s="2">
        <f>J22/J21-1</f>
        <v>-7.2150072150067857E-4</v>
      </c>
      <c r="M22" s="26"/>
    </row>
    <row r="23" spans="1:13" x14ac:dyDescent="0.25">
      <c r="A23" s="1">
        <f>A22+$D$7</f>
        <v>0.13000999999999999</v>
      </c>
      <c r="B23" s="1">
        <f>$D$4*EXP(-$D$1*A23)*COS($D$2*A23)</f>
        <v>7.1307952889556319</v>
      </c>
      <c r="C23" s="1">
        <f>$D$4*EXP(-$D$1*A23)</f>
        <v>8.2171018781789247</v>
      </c>
      <c r="F23" s="1">
        <f>IF($G22*$K22&gt;0,$J22,F22)</f>
        <v>0.27031250000000007</v>
      </c>
      <c r="G23" s="59">
        <f>$D$4*EXP(-$D$1*F23)*COS($D$2*F23)-$D$3</f>
        <v>2.4510359474017029E-3</v>
      </c>
      <c r="H23" s="1">
        <f>IF($G22*$K22&lt;0,$J22,H22)</f>
        <v>0.27050781250000006</v>
      </c>
      <c r="I23" s="59">
        <f>$D$4*EXP(-$D$1*H23)*COS($D$2*H23)-$D$3</f>
        <v>-3.163773914108603E-3</v>
      </c>
      <c r="J23" s="1">
        <f>(F23+H23)/2</f>
        <v>0.27041015625000009</v>
      </c>
      <c r="K23" s="59">
        <f>$D$4*EXP(-$D$1*J23)*COS($D$2*J23)-$D$3</f>
        <v>-3.5628571725343505E-4</v>
      </c>
      <c r="L23" s="2">
        <f>J23/J22-1</f>
        <v>-3.6101083032480386E-4</v>
      </c>
      <c r="M23" s="26"/>
    </row>
    <row r="24" spans="1:13" x14ac:dyDescent="0.25">
      <c r="A24" s="1">
        <f>A23+$D$7</f>
        <v>0.14001</v>
      </c>
      <c r="B24" s="1">
        <f>$D$4*EXP(-$D$1*A24)*COS($D$2*A24)</f>
        <v>6.9132444842122389</v>
      </c>
      <c r="C24" s="1">
        <f>$D$4*EXP(-$D$1*A24)</f>
        <v>8.1597830151042672</v>
      </c>
      <c r="F24" s="1">
        <f>IF($G23*$K23&gt;0,$J23,F23)</f>
        <v>0.27031250000000007</v>
      </c>
      <c r="G24" s="59">
        <f>$D$4*EXP(-$D$1*F24)*COS($D$2*F24)-$D$3</f>
        <v>2.4510359474017029E-3</v>
      </c>
      <c r="H24" s="1">
        <f>IF($G23*$K23&lt;0,$J23,H23)</f>
        <v>0.27041015625000009</v>
      </c>
      <c r="I24" s="59">
        <f>$D$4*EXP(-$D$1*H24)*COS($D$2*H24)-$D$3</f>
        <v>-3.5628571725343505E-4</v>
      </c>
      <c r="J24" s="1">
        <f>(F24+H24)/2</f>
        <v>0.27036132812500008</v>
      </c>
      <c r="K24" s="59">
        <f>$D$4*EXP(-$D$1*J24)*COS($D$2*J24)-$D$3</f>
        <v>1.0473959606160932E-3</v>
      </c>
      <c r="L24" s="2">
        <f>J24/J23-1</f>
        <v>-1.8057060310583406E-4</v>
      </c>
      <c r="M24" s="26"/>
    </row>
    <row r="25" spans="1:13" x14ac:dyDescent="0.25">
      <c r="A25" s="1">
        <f>A24+$D$7</f>
        <v>0.15001</v>
      </c>
      <c r="B25" s="1">
        <f>$D$4*EXP(-$D$1*A25)*COS($D$2*A25)</f>
        <v>6.6873992137670859</v>
      </c>
      <c r="C25" s="1">
        <f>$D$4*EXP(-$D$1*A25)</f>
        <v>8.1028639830299891</v>
      </c>
      <c r="F25" s="1">
        <f>IF($G24*$K24&gt;0,$J24,F24)</f>
        <v>0.27036132812500008</v>
      </c>
      <c r="G25" s="59">
        <f>$D$4*EXP(-$D$1*F25)*COS($D$2*F25)-$D$3</f>
        <v>1.0473959606160932E-3</v>
      </c>
      <c r="H25" s="1">
        <f>IF($G24*$K24&lt;0,$J24,H24)</f>
        <v>0.27041015625000009</v>
      </c>
      <c r="I25" s="59">
        <f>$D$4*EXP(-$D$1*H25)*COS($D$2*H25)-$D$3</f>
        <v>-3.5628571725343505E-4</v>
      </c>
      <c r="J25" s="1">
        <f>(F25+H25)/2</f>
        <v>0.27038574218750011</v>
      </c>
      <c r="K25" s="59">
        <f>$D$4*EXP(-$D$1*J25)*COS($D$2*J25)-$D$3</f>
        <v>3.4556032943910964E-4</v>
      </c>
      <c r="L25" s="2">
        <f>J25/J24-1</f>
        <v>9.0301607368781234E-5</v>
      </c>
      <c r="M25" s="26"/>
    </row>
    <row r="26" spans="1:13" x14ac:dyDescent="0.25">
      <c r="A26" s="1">
        <f>A25+$D$7</f>
        <v>0.16001000000000001</v>
      </c>
      <c r="B26" s="1">
        <f>$D$4*EXP(-$D$1*A26)*COS($D$2*A26)</f>
        <v>6.4537445642876534</v>
      </c>
      <c r="C26" s="1">
        <f>$D$4*EXP(-$D$1*A26)</f>
        <v>8.0463419929121294</v>
      </c>
      <c r="F26" s="1">
        <f>IF($G25*$K25&gt;0,$J25,F25)</f>
        <v>0.27038574218750011</v>
      </c>
      <c r="G26" s="59">
        <f>$D$4*EXP(-$D$1*F26)*COS($D$2*F26)-$D$3</f>
        <v>3.4556032943910964E-4</v>
      </c>
      <c r="H26" s="1">
        <f>IF($G25*$K25&lt;0,$J25,H25)</f>
        <v>0.27041015625000009</v>
      </c>
      <c r="I26" s="59">
        <f>$D$4*EXP(-$D$1*H26)*COS($D$2*H26)-$D$3</f>
        <v>-3.5628571725343505E-4</v>
      </c>
      <c r="J26" s="1">
        <f>(F26+H26)/2</f>
        <v>0.2703979492187501</v>
      </c>
      <c r="K26" s="59">
        <f>$D$4*EXP(-$D$1*J26)*COS($D$2*J26)-$D$3</f>
        <v>-5.3613924206885599E-6</v>
      </c>
      <c r="L26" s="2">
        <f>J26/J25-1</f>
        <v>4.5146726862288489E-5</v>
      </c>
      <c r="M26" s="26"/>
    </row>
    <row r="27" spans="1:13" x14ac:dyDescent="0.25">
      <c r="A27" s="1">
        <f>A26+$D$7</f>
        <v>0.17001000000000002</v>
      </c>
      <c r="B27" s="1">
        <f>$D$4*EXP(-$D$1*A27)*COS($D$2*A27)</f>
        <v>6.2127716647298952</v>
      </c>
      <c r="C27" s="1">
        <f>$D$4*EXP(-$D$1*A27)</f>
        <v>7.9902142751618639</v>
      </c>
      <c r="F27" s="1"/>
      <c r="G27" s="59"/>
      <c r="H27" s="1"/>
      <c r="I27" s="59"/>
      <c r="J27" s="1"/>
      <c r="K27" s="59"/>
      <c r="L27" s="3"/>
      <c r="M27" s="26"/>
    </row>
    <row r="28" spans="1:13" x14ac:dyDescent="0.25">
      <c r="A28" s="1">
        <f>A27+$D$7</f>
        <v>0.18001000000000003</v>
      </c>
      <c r="B28" s="1">
        <f>$D$4*EXP(-$D$1*A28)*COS($D$2*A28)</f>
        <v>5.9649767982171857</v>
      </c>
      <c r="C28" s="1">
        <f>$D$4*EXP(-$D$1*A28)</f>
        <v>7.9344780795097929</v>
      </c>
      <c r="F28" s="1"/>
      <c r="G28" s="59"/>
      <c r="H28" s="1"/>
      <c r="I28" s="59"/>
      <c r="J28" s="1"/>
      <c r="K28" s="59"/>
      <c r="L28" s="3"/>
      <c r="M28" s="26"/>
    </row>
    <row r="29" spans="1:13" x14ac:dyDescent="0.25">
      <c r="A29" s="1">
        <f>A28+$D$7</f>
        <v>0.19001000000000004</v>
      </c>
      <c r="B29" s="1">
        <f>$D$4*EXP(-$D$1*A29)*COS($D$2*A29)</f>
        <v>5.7108605178274843</v>
      </c>
      <c r="C29" s="1">
        <f>$D$4*EXP(-$D$1*A29)</f>
        <v>7.8791306748711767</v>
      </c>
      <c r="F29" s="61" t="s">
        <v>148</v>
      </c>
      <c r="G29" s="1"/>
      <c r="H29" s="1"/>
      <c r="I29" s="1"/>
      <c r="J29" s="1"/>
      <c r="K29" s="1"/>
      <c r="M29" s="26"/>
    </row>
    <row r="30" spans="1:13" x14ac:dyDescent="0.25">
      <c r="A30" s="1">
        <f>A29+$D$7</f>
        <v>0.20001000000000005</v>
      </c>
      <c r="B30" s="1">
        <f>$D$4*EXP(-$D$1*A30)*COS($D$2*A30)</f>
        <v>5.450926767682108</v>
      </c>
      <c r="C30" s="1">
        <f>$D$4*EXP(-$D$1*A30)</f>
        <v>7.8241693492121147</v>
      </c>
      <c r="G30" s="5" t="s">
        <v>10</v>
      </c>
      <c r="H30" s="6">
        <v>9.9999999999999995E-7</v>
      </c>
      <c r="M30" s="26"/>
    </row>
    <row r="31" spans="1:13" x14ac:dyDescent="0.25">
      <c r="A31" s="1">
        <f>A30+$D$7</f>
        <v>0.21001000000000006</v>
      </c>
      <c r="B31" s="1">
        <f>$D$4*EXP(-$D$1*A31)*COS($D$2*A31)</f>
        <v>5.1856820107014006</v>
      </c>
      <c r="C31" s="1">
        <f>$D$4*EXP(-$D$1*A31)</f>
        <v>7.7695914094166536</v>
      </c>
      <c r="G31" t="s">
        <v>147</v>
      </c>
      <c r="M31" s="26"/>
    </row>
    <row r="32" spans="1:13" x14ac:dyDescent="0.25">
      <c r="A32" s="1">
        <f>A31+$D$7</f>
        <v>0.22001000000000007</v>
      </c>
      <c r="B32" s="1">
        <f>$D$4*EXP(-$D$1*A32)*COS($D$2*A32)</f>
        <v>4.9156343643627682</v>
      </c>
      <c r="C32" s="1">
        <f>$D$4*EXP(-$D$1*A32)</f>
        <v>7.7153941811548208</v>
      </c>
      <c r="G32" t="s">
        <v>146</v>
      </c>
      <c r="M32" s="26"/>
    </row>
    <row r="33" spans="1:13" x14ac:dyDescent="0.25">
      <c r="A33" s="1">
        <f>A32+$D$7</f>
        <v>0.23001000000000008</v>
      </c>
      <c r="B33" s="1">
        <f>$D$4*EXP(-$D$1*A33)*COS($D$2*A33)</f>
        <v>4.6412927457648028</v>
      </c>
      <c r="C33" s="1">
        <f>$D$4*EXP(-$D$1*A33)</f>
        <v>7.6615750087515906</v>
      </c>
      <c r="M33" s="26"/>
    </row>
    <row r="34" spans="1:13" x14ac:dyDescent="0.25">
      <c r="A34" s="1">
        <f>A33+$D$7</f>
        <v>0.24001000000000008</v>
      </c>
      <c r="B34" s="1">
        <f>$D$4*EXP(-$D$1*A34)*COS($D$2*A34)</f>
        <v>4.3631660272679103</v>
      </c>
      <c r="C34" s="1">
        <f>$D$4*EXP(-$D$1*A34)</f>
        <v>7.608131255056743</v>
      </c>
      <c r="F34" s="1" t="s">
        <v>112</v>
      </c>
      <c r="G34" s="59" t="s">
        <v>111</v>
      </c>
      <c r="H34" s="1" t="s">
        <v>145</v>
      </c>
      <c r="I34" s="59" t="s">
        <v>144</v>
      </c>
      <c r="J34" s="1" t="s">
        <v>143</v>
      </c>
      <c r="K34" s="59" t="s">
        <v>142</v>
      </c>
      <c r="L34" s="1" t="s">
        <v>141</v>
      </c>
      <c r="M34" s="60" t="s">
        <v>42</v>
      </c>
    </row>
    <row r="35" spans="1:13" x14ac:dyDescent="0.25">
      <c r="A35" s="1">
        <f>A34+$D$7</f>
        <v>0.25001000000000007</v>
      </c>
      <c r="B35" s="1">
        <f>$D$4*EXP(-$D$1*A35)*COS($D$2*A35)</f>
        <v>4.0817622039468642</v>
      </c>
      <c r="C35" s="1">
        <f>$D$4*EXP(-$D$1*A35)</f>
        <v>7.5550603013156579</v>
      </c>
      <c r="F35" s="1">
        <v>0.2</v>
      </c>
      <c r="G35" s="59">
        <f>$D$4*EXP(-$D$1*F35)*COS($D$2*F35)-$D$3</f>
        <v>1.9511894388570443</v>
      </c>
      <c r="H35" s="1">
        <f>F35-$H$30</f>
        <v>0.19999900000000001</v>
      </c>
      <c r="I35" s="59">
        <f>$D$4*EXP(-$D$1*H35)*COS($D$2*H35)-$D$3</f>
        <v>1.9512157056824044</v>
      </c>
      <c r="J35" s="1">
        <f>F35+$H$30</f>
        <v>0.20000100000000001</v>
      </c>
      <c r="K35" s="59">
        <f>$D$4*EXP(-$D$1*J35)*COS($D$2*J35)-$D$3</f>
        <v>1.9511631719785658</v>
      </c>
      <c r="L35">
        <f>(K35-I35)/(2*$H$30)</f>
        <v>-26.266851919309886</v>
      </c>
      <c r="M35" s="1"/>
    </row>
    <row r="36" spans="1:13" x14ac:dyDescent="0.25">
      <c r="A36" s="1">
        <f>A35+$D$7</f>
        <v>0.26001000000000007</v>
      </c>
      <c r="B36" s="1">
        <f>$D$4*EXP(-$D$1*A36)*COS($D$2*A36)</f>
        <v>3.7975875740541598</v>
      </c>
      <c r="C36" s="1">
        <f>$D$4*EXP(-$D$1*A36)</f>
        <v>7.5023595470409807</v>
      </c>
      <c r="F36" s="1">
        <f>F35-G35/L35</f>
        <v>0.27428333798244936</v>
      </c>
      <c r="G36" s="59">
        <f>$D$4*EXP(-$D$1*F36)*COS($D$2*F36)-$D$3</f>
        <v>-0.11182800133046333</v>
      </c>
      <c r="H36" s="1">
        <f>F36-$H$30</f>
        <v>0.27428233798244939</v>
      </c>
      <c r="I36" s="59">
        <f>$D$4*EXP(-$D$1*H36)*COS($D$2*H36)-$D$3</f>
        <v>-0.11179918961188573</v>
      </c>
      <c r="J36" s="1">
        <f>F36+$H$30</f>
        <v>0.27428433798244933</v>
      </c>
      <c r="K36" s="59">
        <f>$D$4*EXP(-$D$1*J36)*COS($D$2*J36)-$D$3</f>
        <v>-0.11185681306457651</v>
      </c>
      <c r="L36">
        <f>(K36-I36)/(2*$H$30)</f>
        <v>-28.811726345390198</v>
      </c>
      <c r="M36" s="2">
        <f>J36/J35-1</f>
        <v>0.37141483283808241</v>
      </c>
    </row>
    <row r="37" spans="1:13" x14ac:dyDescent="0.25">
      <c r="A37" s="1">
        <f>A36+$D$7</f>
        <v>0.27001000000000008</v>
      </c>
      <c r="B37" s="1">
        <f>$D$4*EXP(-$D$1*A37)*COS($D$2*A37)</f>
        <v>3.5111459336551487</v>
      </c>
      <c r="C37" s="1">
        <f>$D$4*EXP(-$D$1*A37)</f>
        <v>7.4500264098852069</v>
      </c>
      <c r="F37" s="1">
        <f>F36-G36/L36</f>
        <v>0.27040200161301814</v>
      </c>
      <c r="G37" s="59">
        <f>$D$4*EXP(-$D$1*F37)*COS($D$2*F37)-$D$3</f>
        <v>-1.2185820238430622E-4</v>
      </c>
      <c r="H37" s="1">
        <f>F37-$H$30</f>
        <v>0.27040100161301817</v>
      </c>
      <c r="I37" s="59">
        <f>$D$4*EXP(-$D$1*H37)*COS($D$2*H37)-$D$3</f>
        <v>-9.3110526249162717E-5</v>
      </c>
      <c r="J37" s="1">
        <f>F37+$H$30</f>
        <v>0.27040300161301811</v>
      </c>
      <c r="K37" s="59">
        <f>$D$4*EXP(-$D$1*J37)*COS($D$2*J37)-$D$3</f>
        <v>-1.5060589598547836E-4</v>
      </c>
      <c r="L37">
        <f>(K37-I37)/(2*$H$30)</f>
        <v>-28.747684868157819</v>
      </c>
      <c r="M37" s="2">
        <f>J37/J36-1</f>
        <v>-1.4150776518926045E-2</v>
      </c>
    </row>
    <row r="38" spans="1:13" x14ac:dyDescent="0.25">
      <c r="A38" s="1">
        <f>A37+$D$7</f>
        <v>0.28001000000000009</v>
      </c>
      <c r="B38" s="1">
        <f>$D$4*EXP(-$D$1*A38)*COS($D$2*A38)</f>
        <v>3.2229377865565039</v>
      </c>
      <c r="C38" s="1">
        <f>$D$4*EXP(-$D$1*A38)</f>
        <v>7.398058325514147</v>
      </c>
      <c r="F38" s="1">
        <f>F37-G37/L37</f>
        <v>0.2703977627255062</v>
      </c>
      <c r="G38" s="59">
        <f>$D$4*EXP(-$D$1*F38)*COS($D$2*F38)-$D$3</f>
        <v>-1.5691981047893933E-10</v>
      </c>
      <c r="H38" s="1">
        <f>F38-$H$30</f>
        <v>0.27039676272550622</v>
      </c>
      <c r="I38" s="59">
        <f>$D$4*EXP(-$D$1*H38)*COS($D$2*H38)-$D$3</f>
        <v>2.8747445172783159E-5</v>
      </c>
      <c r="J38" s="1">
        <f>F38+$H$30</f>
        <v>0.27039876272550617</v>
      </c>
      <c r="K38" s="59">
        <f>$D$4*EXP(-$D$1*J38)*COS($D$2*J38)-$D$3</f>
        <v>-2.8747776480209097E-5</v>
      </c>
      <c r="L38">
        <f>(K38-I38)/(2*$H$30)</f>
        <v>-28.747610826496128</v>
      </c>
      <c r="M38" s="2">
        <f>J38/J37-1</f>
        <v>-1.5676185126101139E-5</v>
      </c>
    </row>
    <row r="39" spans="1:13" x14ac:dyDescent="0.25">
      <c r="A39" s="1">
        <f>A38+$D$7</f>
        <v>0.2900100000000001</v>
      </c>
      <c r="B39" s="1">
        <f>$D$4*EXP(-$D$1*A39)*COS($D$2*A39)</f>
        <v>2.933459570608985</v>
      </c>
      <c r="C39" s="1">
        <f>$D$4*EXP(-$D$1*A39)</f>
        <v>7.3464527474812682</v>
      </c>
      <c r="F39" s="1"/>
      <c r="G39" s="59"/>
      <c r="H39" s="1"/>
      <c r="I39" s="59"/>
      <c r="J39" s="1"/>
      <c r="K39" s="59"/>
      <c r="M39" s="2"/>
    </row>
    <row r="40" spans="1:13" x14ac:dyDescent="0.25">
      <c r="A40" s="1">
        <f>A39+$D$7</f>
        <v>0.30001000000000011</v>
      </c>
      <c r="B40" s="1">
        <f>$D$4*EXP(-$D$1*A40)*COS($D$2*A40)</f>
        <v>2.6432029014236313</v>
      </c>
      <c r="C40" s="1">
        <f>$D$4*EXP(-$D$1*A40)</f>
        <v>7.2952071471029214</v>
      </c>
      <c r="F40" s="1"/>
      <c r="G40" s="59"/>
      <c r="H40" s="1"/>
      <c r="I40" s="59"/>
      <c r="J40" s="1"/>
      <c r="K40" s="59"/>
      <c r="M40" s="2"/>
    </row>
    <row r="41" spans="1:13" x14ac:dyDescent="0.25">
      <c r="A41" s="1">
        <f>A40+$D$7</f>
        <v>0.31001000000000012</v>
      </c>
      <c r="B41" s="1">
        <f>$D$4*EXP(-$D$1*A41)*COS($D$2*A41)</f>
        <v>2.3526538344975441</v>
      </c>
      <c r="C41" s="1">
        <f>$D$4*EXP(-$D$1*A41)</f>
        <v>7.2443190133344331</v>
      </c>
      <c r="F41" s="1"/>
      <c r="G41" s="59"/>
      <c r="H41" s="1"/>
      <c r="I41" s="59"/>
      <c r="J41" s="1"/>
      <c r="K41" s="59"/>
      <c r="M41" s="2"/>
    </row>
    <row r="42" spans="1:13" x14ac:dyDescent="0.25">
      <c r="A42" s="1">
        <f>A41+$D$7</f>
        <v>0.32001000000000013</v>
      </c>
      <c r="B42" s="1">
        <f>$D$4*EXP(-$D$1*A42)*COS($D$2*A42)</f>
        <v>2.0622921467014215</v>
      </c>
      <c r="C42" s="1">
        <f>$D$4*EXP(-$D$1*A42)</f>
        <v>7.1937858526470686</v>
      </c>
      <c r="F42" s="1"/>
      <c r="G42" s="59"/>
      <c r="H42" s="1"/>
      <c r="I42" s="59"/>
      <c r="J42" s="1"/>
      <c r="K42" s="59"/>
      <c r="M42" s="2"/>
    </row>
    <row r="43" spans="1:13" x14ac:dyDescent="0.25">
      <c r="A43" s="1">
        <f>A42+$D$7</f>
        <v>0.33001000000000014</v>
      </c>
      <c r="B43" s="1">
        <f>$D$4*EXP(-$D$1*A43)*COS($D$2*A43)</f>
        <v>1.7725906380360879</v>
      </c>
      <c r="C43" s="1">
        <f>$D$4*EXP(-$D$1*A43)</f>
        <v>7.1436051889058438</v>
      </c>
      <c r="F43" s="1"/>
      <c r="G43" s="59"/>
      <c r="H43" s="1"/>
      <c r="I43" s="59"/>
      <c r="J43" s="1"/>
      <c r="K43" s="59"/>
      <c r="M43" s="2"/>
    </row>
    <row r="44" spans="1:13" x14ac:dyDescent="0.25">
      <c r="A44" s="1">
        <f>A43+$D$7</f>
        <v>0.34001000000000015</v>
      </c>
      <c r="B44" s="1">
        <f>$D$4*EXP(-$D$1*A44)*COS($D$2*A44)</f>
        <v>1.4840144545194518</v>
      </c>
      <c r="C44" s="1">
        <f>$D$4*EXP(-$D$1*A44)</f>
        <v>7.0937745632481919</v>
      </c>
      <c r="F44" s="1"/>
      <c r="G44" s="59"/>
      <c r="H44" s="1"/>
      <c r="I44" s="59"/>
      <c r="J44" s="1"/>
      <c r="K44" s="59"/>
      <c r="M44" s="2"/>
    </row>
    <row r="45" spans="1:13" x14ac:dyDescent="0.25">
      <c r="A45" s="1">
        <f>A44+$D$7</f>
        <v>0.35001000000000015</v>
      </c>
      <c r="B45" s="1">
        <f>$D$4*EXP(-$D$1*A45)*COS($D$2*A45)</f>
        <v>1.197020433018757</v>
      </c>
      <c r="C45" s="1">
        <f>$D$4*EXP(-$D$1*A45)</f>
        <v>7.0442915339634897</v>
      </c>
      <c r="F45" s="1"/>
      <c r="G45" s="59"/>
      <c r="H45" s="1"/>
      <c r="I45" s="59"/>
      <c r="J45" s="1"/>
      <c r="K45" s="59"/>
      <c r="M45" s="2"/>
    </row>
    <row r="46" spans="1:13" x14ac:dyDescent="0.25">
      <c r="A46" s="1">
        <f>A45+$D$7</f>
        <v>0.36001000000000016</v>
      </c>
      <c r="B46" s="1">
        <f>$D$4*EXP(-$D$1*A46)*COS($D$2*A46)</f>
        <v>0.91205646879572111</v>
      </c>
      <c r="C46" s="1">
        <f>$D$4*EXP(-$D$1*A46)</f>
        <v>6.9951536763733984</v>
      </c>
      <c r="F46" s="1"/>
      <c r="G46" s="59"/>
      <c r="H46" s="1"/>
      <c r="I46" s="59"/>
      <c r="J46" s="1"/>
      <c r="K46" s="59"/>
      <c r="M46" s="2"/>
    </row>
    <row r="47" spans="1:13" x14ac:dyDescent="0.25">
      <c r="A47" s="1">
        <f>A46+$D$7</f>
        <v>0.37001000000000017</v>
      </c>
      <c r="B47" s="1">
        <f>$D$4*EXP(-$D$1*A47)*COS($D$2*A47)</f>
        <v>0.62956090648431973</v>
      </c>
      <c r="C47" s="1">
        <f>$D$4*EXP(-$D$1*A47)</f>
        <v>6.9463585827130654</v>
      </c>
      <c r="F47" s="1"/>
      <c r="G47" s="59"/>
      <c r="H47" s="1"/>
      <c r="I47" s="59"/>
      <c r="J47" s="1"/>
      <c r="K47" s="59"/>
      <c r="M47" s="2"/>
    </row>
    <row r="48" spans="1:13" x14ac:dyDescent="0.25">
      <c r="A48" s="1">
        <f>A47+$D$7</f>
        <v>0.38001000000000018</v>
      </c>
      <c r="B48" s="1">
        <f>$D$4*EXP(-$D$1*A48)*COS($D$2*A48)</f>
        <v>0.34996195517257589</v>
      </c>
      <c r="C48" s="1">
        <f>$D$4*EXP(-$D$1*A48)</f>
        <v>6.8979038620131377</v>
      </c>
      <c r="F48" s="1"/>
      <c r="G48" s="1"/>
      <c r="H48" s="1"/>
      <c r="I48" s="1"/>
      <c r="J48" s="1"/>
      <c r="K48" s="1"/>
      <c r="L48" s="1"/>
      <c r="M48" s="26"/>
    </row>
    <row r="49" spans="1:13" x14ac:dyDescent="0.25">
      <c r="A49" s="1">
        <f>A48+$D$7</f>
        <v>0.39001000000000019</v>
      </c>
      <c r="B49" s="1">
        <f>$D$4*EXP(-$D$1*A49)*COS($D$2*A49)</f>
        <v>7.3677128210935652E-2</v>
      </c>
      <c r="C49" s="1">
        <f>$D$4*EXP(-$D$1*A49)</f>
        <v>6.8497871399826078</v>
      </c>
      <c r="F49" s="1"/>
      <c r="G49" s="1"/>
      <c r="H49" s="1"/>
      <c r="I49" s="1"/>
      <c r="J49" s="1"/>
      <c r="K49" s="1"/>
      <c r="L49" s="1"/>
      <c r="M49" s="26"/>
    </row>
    <row r="50" spans="1:13" x14ac:dyDescent="0.25">
      <c r="A50" s="1">
        <f>A49+$D$7</f>
        <v>0.4000100000000002</v>
      </c>
      <c r="B50" s="1">
        <f>$D$4*EXP(-$D$1*A50)*COS($D$2*A50)</f>
        <v>-0.19888729167934013</v>
      </c>
      <c r="C50" s="1">
        <f>$D$4*EXP(-$D$1*A50)</f>
        <v>6.8020060588924665</v>
      </c>
      <c r="L50" s="1"/>
      <c r="M50" s="26"/>
    </row>
    <row r="51" spans="1:13" x14ac:dyDescent="0.25">
      <c r="A51" s="1">
        <f>A50+$D$7</f>
        <v>0.41001000000000021</v>
      </c>
      <c r="B51" s="1">
        <f>$D$4*EXP(-$D$1*A51)*COS($D$2*A51)</f>
        <v>-0.46733676147372855</v>
      </c>
      <c r="C51" s="1">
        <f>$D$4*EXP(-$D$1*A51)</f>
        <v>6.7545582774601822</v>
      </c>
      <c r="L51" s="1"/>
      <c r="M51" s="26"/>
    </row>
    <row r="52" spans="1:13" x14ac:dyDescent="0.25">
      <c r="A52" s="1">
        <f>A51+$D$7</f>
        <v>0.42001000000000022</v>
      </c>
      <c r="B52" s="1">
        <f>$D$4*EXP(-$D$1*A52)*COS($D$2*A52)</f>
        <v>-0.73128896061347104</v>
      </c>
      <c r="C52" s="1">
        <f>$D$4*EXP(-$D$1*A52)</f>
        <v>6.7074414707349685</v>
      </c>
      <c r="L52" s="1"/>
      <c r="M52" s="26"/>
    </row>
    <row r="53" spans="1:13" x14ac:dyDescent="0.25">
      <c r="A53" s="1">
        <f>A52+$D$7</f>
        <v>0.43001000000000023</v>
      </c>
      <c r="B53" s="1">
        <f>$D$4*EXP(-$D$1*A53)*COS($D$2*A53)</f>
        <v>-0.9903742470512571</v>
      </c>
      <c r="C53" s="1">
        <f>$D$4*EXP(-$D$1*A53)</f>
        <v>6.6606533299838722</v>
      </c>
      <c r="L53" s="1"/>
      <c r="M53" s="26"/>
    </row>
    <row r="54" spans="1:13" x14ac:dyDescent="0.25">
      <c r="A54" s="1">
        <f>A53+$D$7</f>
        <v>0.44001000000000023</v>
      </c>
      <c r="B54" s="1">
        <f>$D$4*EXP(-$D$1*A54)*COS($D$2*A54)</f>
        <v>-1.2442360861984063</v>
      </c>
      <c r="C54" s="1">
        <f>$D$4*EXP(-$D$1*A54)</f>
        <v>6.6141915625786307</v>
      </c>
      <c r="L54" s="1"/>
      <c r="M54" s="26"/>
    </row>
    <row r="55" spans="1:13" x14ac:dyDescent="0.25">
      <c r="A55" s="1">
        <f>A54+$D$7</f>
        <v>0.45001000000000024</v>
      </c>
      <c r="B55" s="1">
        <f>$D$4*EXP(-$D$1*A55)*COS($D$2*A55)</f>
        <v>-1.4925314524479809</v>
      </c>
      <c r="C55" s="1">
        <f>$D$4*EXP(-$D$1*A55)</f>
        <v>6.5680538918833493</v>
      </c>
      <c r="L55" s="1"/>
      <c r="M55" s="26"/>
    </row>
    <row r="56" spans="1:13" x14ac:dyDescent="0.25">
      <c r="A56" s="1">
        <f>A55+$D$7</f>
        <v>0.46001000000000025</v>
      </c>
      <c r="B56" s="1">
        <f>$D$4*EXP(-$D$1*A56)*COS($D$2*A56)</f>
        <v>-1.7349312029976725</v>
      </c>
      <c r="C56" s="1">
        <f>$D$4*EXP(-$D$1*A56)</f>
        <v>6.5222380571429293</v>
      </c>
      <c r="L56" s="1"/>
      <c r="M56" s="26"/>
    </row>
    <row r="57" spans="1:13" x14ac:dyDescent="0.25">
      <c r="A57" s="1">
        <f>A56+$D$7</f>
        <v>0.47001000000000026</v>
      </c>
      <c r="B57" s="1">
        <f>$D$4*EXP(-$D$1*A57)*COS($D$2*A57)</f>
        <v>-1.9711204237455229</v>
      </c>
      <c r="C57" s="1">
        <f>$D$4*EXP(-$D$1*A57)</f>
        <v>6.4767418133723034</v>
      </c>
      <c r="L57" s="1"/>
      <c r="M57" s="26"/>
    </row>
    <row r="58" spans="1:13" x14ac:dyDescent="0.25">
      <c r="A58" s="1">
        <f>A57+$D$7</f>
        <v>0.48001000000000027</v>
      </c>
      <c r="B58" s="1">
        <f>$D$4*EXP(-$D$1*A58)*COS($D$2*A58)</f>
        <v>-2.2007987470803911</v>
      </c>
      <c r="C58" s="1">
        <f>$D$4*EXP(-$D$1*A58)</f>
        <v>6.4315629312464226</v>
      </c>
      <c r="L58" s="1"/>
      <c r="M58" s="26"/>
    </row>
    <row r="59" spans="1:13" x14ac:dyDescent="0.25">
      <c r="A59" s="1">
        <f>A58+$D$7</f>
        <v>0.49001000000000028</v>
      </c>
      <c r="B59" s="1">
        <f>$D$4*EXP(-$D$1*A59)*COS($D$2*A59)</f>
        <v>-2.423680641437596</v>
      </c>
      <c r="C59" s="1">
        <f>$D$4*EXP(-$D$1*A59)</f>
        <v>6.3866991969910236</v>
      </c>
    </row>
    <row r="60" spans="1:13" x14ac:dyDescent="0.25">
      <c r="A60" s="1">
        <f>A59+$D$7</f>
        <v>0.50001000000000029</v>
      </c>
      <c r="B60" s="1">
        <f>$D$4*EXP(-$D$1*A60)*COS($D$2*A60)</f>
        <v>-2.639495672538176</v>
      </c>
      <c r="C60" s="1">
        <f>$D$4*EXP(-$D$1*A60)</f>
        <v>6.3421484122741507</v>
      </c>
    </row>
    <row r="61" spans="1:13" x14ac:dyDescent="0.25">
      <c r="A61" s="1">
        <f>A60+$D$7</f>
        <v>0.5100100000000003</v>
      </c>
      <c r="B61" s="1">
        <f>$D$4*EXP(-$D$1*A61)*COS($D$2*A61)</f>
        <v>-2.8479887362777134</v>
      </c>
      <c r="C61" s="1">
        <f>$D$4*EXP(-$D$1*A61)</f>
        <v>6.2979083940984406</v>
      </c>
    </row>
    <row r="62" spans="1:13" x14ac:dyDescent="0.25">
      <c r="A62" s="1">
        <f>A61+$D$7</f>
        <v>0.52001000000000031</v>
      </c>
      <c r="B62" s="1">
        <f>$D$4*EXP(-$D$1*A62)*COS($D$2*A62)</f>
        <v>-3.0489202632775543</v>
      </c>
      <c r="C62" s="1">
        <f>$D$4*EXP(-$D$1*A62)</f>
        <v>6.2539769746941491</v>
      </c>
    </row>
    <row r="63" spans="1:13" x14ac:dyDescent="0.25">
      <c r="A63" s="1">
        <f>A62+$D$7</f>
        <v>0.53001000000000031</v>
      </c>
      <c r="B63" s="1">
        <f>$D$4*EXP(-$D$1*A63)*COS($D$2*A63)</f>
        <v>-3.2420663951574848</v>
      </c>
      <c r="C63" s="1">
        <f>$D$4*EXP(-$D$1*A63)</f>
        <v>6.2103520014129359</v>
      </c>
    </row>
    <row r="64" spans="1:13" x14ac:dyDescent="0.25">
      <c r="A64" s="1">
        <f>A63+$D$7</f>
        <v>0.54001000000000032</v>
      </c>
      <c r="B64" s="1">
        <f>$D$4*EXP(-$D$1*A64)*COS($D$2*A64)</f>
        <v>-3.4272191326343879</v>
      </c>
      <c r="C64" s="1">
        <f>$D$4*EXP(-$D$1*A64)</f>
        <v>6.167031336622383</v>
      </c>
    </row>
    <row r="65" spans="1:3" x14ac:dyDescent="0.25">
      <c r="A65" s="1">
        <f>A64+$D$7</f>
        <v>0.55001000000000033</v>
      </c>
      <c r="B65" s="1">
        <f>$D$4*EXP(-$D$1*A65)*COS($D$2*A65)</f>
        <v>-3.604186455596091</v>
      </c>
      <c r="C65" s="1">
        <f>$D$4*EXP(-$D$1*A65)</f>
        <v>6.1240128576012456</v>
      </c>
    </row>
    <row r="66" spans="1:3" x14ac:dyDescent="0.25">
      <c r="A66" s="1">
        <f>A65+$D$7</f>
        <v>0.56001000000000034</v>
      </c>
      <c r="B66" s="1">
        <f>$D$4*EXP(-$D$1*A66)*COS($D$2*A66)</f>
        <v>-3.7727924153434325</v>
      </c>
      <c r="C66" s="1">
        <f>$D$4*EXP(-$D$1*A66)</f>
        <v>6.0812944564354465</v>
      </c>
    </row>
    <row r="67" spans="1:3" x14ac:dyDescent="0.25">
      <c r="A67" s="1">
        <f>A66+$D$7</f>
        <v>0.57001000000000035</v>
      </c>
      <c r="B67" s="1">
        <f>$D$4*EXP(-$D$1*A67)*COS($D$2*A67)</f>
        <v>-3.9328771992364335</v>
      </c>
      <c r="C67" s="1">
        <f>$D$4*EXP(-$D$1*A67)</f>
        <v>6.0388740399147789</v>
      </c>
    </row>
    <row r="68" spans="1:3" x14ac:dyDescent="0.25">
      <c r="A68" s="1">
        <f>A67+$D$7</f>
        <v>0.58001000000000036</v>
      </c>
      <c r="B68" s="1">
        <f>$D$4*EXP(-$D$1*A68)*COS($D$2*A68)</f>
        <v>-4.0842971680223981</v>
      </c>
      <c r="C68" s="1">
        <f>$D$4*EXP(-$D$1*A68)</f>
        <v>5.9967495294303488</v>
      </c>
    </row>
    <row r="69" spans="1:3" x14ac:dyDescent="0.25">
      <c r="A69" s="1">
        <f>A68+$D$7</f>
        <v>0.59001000000000037</v>
      </c>
      <c r="B69" s="1">
        <f>$D$4*EXP(-$D$1*A69)*COS($D$2*A69)</f>
        <v>-4.2269248661645999</v>
      </c>
      <c r="C69" s="1">
        <f>$D$4*EXP(-$D$1*A69)</f>
        <v>5.9549188608727119</v>
      </c>
    </row>
    <row r="70" spans="1:3" x14ac:dyDescent="0.25">
      <c r="A70" s="1">
        <f>A69+$D$7</f>
        <v>0.60001000000000038</v>
      </c>
      <c r="B70" s="1">
        <f>$D$4*EXP(-$D$1*A70)*COS($D$2*A70)</f>
        <v>-4.3606490055300133</v>
      </c>
      <c r="C70" s="1">
        <f>$D$4*EXP(-$D$1*A70)</f>
        <v>5.9133799845307395</v>
      </c>
    </row>
    <row r="71" spans="1:3" x14ac:dyDescent="0.25">
      <c r="A71" s="1">
        <f>A70+$D$7</f>
        <v>0.61001000000000039</v>
      </c>
      <c r="B71" s="1">
        <f>$D$4*EXP(-$D$1*A71)*COS($D$2*A71)</f>
        <v>-4.4853744228331625</v>
      </c>
      <c r="C71" s="1">
        <f>$D$4*EXP(-$D$1*A71)</f>
        <v>5.8721308649911803</v>
      </c>
    </row>
    <row r="72" spans="1:3" x14ac:dyDescent="0.25">
      <c r="A72" s="1">
        <f>A71+$D$7</f>
        <v>0.62001000000000039</v>
      </c>
      <c r="B72" s="1">
        <f>$D$4*EXP(-$D$1*A72)*COS($D$2*A72)</f>
        <v>-4.6010220112706284</v>
      </c>
      <c r="C72" s="1">
        <f>$D$4*EXP(-$D$1*A72)</f>
        <v>5.8311694810389225</v>
      </c>
    </row>
    <row r="73" spans="1:3" x14ac:dyDescent="0.25">
      <c r="A73" s="1">
        <f>A72+$D$7</f>
        <v>0.6300100000000004</v>
      </c>
      <c r="B73" s="1">
        <f>$D$4*EXP(-$D$1*A73)*COS($D$2*A73)</f>
        <v>-4.7075286268169512</v>
      </c>
      <c r="C73" s="1">
        <f>$D$4*EXP(-$D$1*A73)</f>
        <v>5.7904938255579577</v>
      </c>
    </row>
    <row r="74" spans="1:3" x14ac:dyDescent="0.25">
      <c r="A74" s="1">
        <f>A73+$D$7</f>
        <v>0.64001000000000041</v>
      </c>
      <c r="B74" s="1">
        <f>$D$4*EXP(-$D$1*A74)*COS($D$2*A74)</f>
        <v>-4.8048469696876266</v>
      </c>
      <c r="C74" s="1">
        <f>$D$4*EXP(-$D$1*A74)</f>
        <v>5.7501019054330289</v>
      </c>
    </row>
    <row r="75" spans="1:3" x14ac:dyDescent="0.25">
      <c r="A75" s="1">
        <f>A74+$D$7</f>
        <v>0.65001000000000042</v>
      </c>
      <c r="B75" s="1">
        <f>$D$4*EXP(-$D$1*A75)*COS($D$2*A75)</f>
        <v>-4.8929454415085036</v>
      </c>
      <c r="C75" s="1">
        <f>$D$4*EXP(-$D$1*A75)</f>
        <v>5.709991741451967</v>
      </c>
    </row>
    <row r="76" spans="1:3" x14ac:dyDescent="0.25">
      <c r="A76" s="1">
        <f>A75+$D$7</f>
        <v>0.66001000000000043</v>
      </c>
      <c r="B76" s="1">
        <f>$D$4*EXP(-$D$1*A76)*COS($D$2*A76)</f>
        <v>-4.9718079787631906</v>
      </c>
      <c r="C76" s="1">
        <f>$D$4*EXP(-$D$1*A76)</f>
        <v>5.6701613682087126</v>
      </c>
    </row>
    <row r="77" spans="1:3" x14ac:dyDescent="0.25">
      <c r="A77" s="1">
        <f>A76+$D$7</f>
        <v>0.67001000000000044</v>
      </c>
      <c r="B77" s="1">
        <f>$D$4*EXP(-$D$1*A77)*COS($D$2*A77)</f>
        <v>-5.041433863120945</v>
      </c>
      <c r="C77" s="1">
        <f>$D$4*EXP(-$D$1*A77)</f>
        <v>5.6306088340070062</v>
      </c>
    </row>
    <row r="78" spans="1:3" x14ac:dyDescent="0.25">
      <c r="A78" s="1">
        <f>A77+$D$7</f>
        <v>0.68001000000000045</v>
      </c>
      <c r="B78" s="1">
        <f>$D$4*EXP(-$D$1*A78)*COS($D$2*A78)</f>
        <v>-5.1018375092770274</v>
      </c>
      <c r="C78" s="1">
        <f>$D$4*EXP(-$D$1*A78)</f>
        <v>5.5913322007647608</v>
      </c>
    </row>
    <row r="79" spans="1:3" x14ac:dyDescent="0.25">
      <c r="A79" s="1">
        <f>A78+$D$7</f>
        <v>0.69001000000000046</v>
      </c>
      <c r="B79" s="1">
        <f>$D$4*EXP(-$D$1*A79)*COS($D$2*A79)</f>
        <v>-5.1530482309654912</v>
      </c>
      <c r="C79" s="1">
        <f>$D$4*EXP(-$D$1*A79)</f>
        <v>5.5523295439190852</v>
      </c>
    </row>
    <row r="80" spans="1:3" x14ac:dyDescent="0.25">
      <c r="A80" s="1">
        <f>A79+$D$7</f>
        <v>0.70001000000000047</v>
      </c>
      <c r="B80" s="1">
        <f>$D$4*EXP(-$D$1*A80)*COS($D$2*A80)</f>
        <v>-5.1951099858310164</v>
      </c>
      <c r="C80" s="1">
        <f>$D$4*EXP(-$D$1*A80)</f>
        <v>5.5135989523319928</v>
      </c>
    </row>
    <row r="81" spans="1:3" x14ac:dyDescent="0.25">
      <c r="A81" s="1">
        <f>A80+$D$7</f>
        <v>0.71001000000000047</v>
      </c>
      <c r="B81" s="1">
        <f>$D$4*EXP(-$D$1*A81)*COS($D$2*A81)</f>
        <v>-5.2280810998713516</v>
      </c>
      <c r="C81" s="1">
        <f>$D$4*EXP(-$D$1*A81)</f>
        <v>5.4751385281967462</v>
      </c>
    </row>
    <row r="82" spans="1:3" x14ac:dyDescent="0.25">
      <c r="A82" s="1">
        <f>A81+$D$7</f>
        <v>0.72001000000000048</v>
      </c>
      <c r="B82" s="1">
        <f>$D$4*EXP(-$D$1*A82)*COS($D$2*A82)</f>
        <v>-5.2520339721856111</v>
      </c>
      <c r="C82" s="1">
        <f>$D$4*EXP(-$D$1*A82)</f>
        <v>5.4369463869448671</v>
      </c>
    </row>
    <row r="83" spans="1:3" x14ac:dyDescent="0.25">
      <c r="A83" s="1">
        <f>A82+$D$7</f>
        <v>0.73001000000000049</v>
      </c>
      <c r="B83" s="1">
        <f>$D$4*EXP(-$D$1*A83)*COS($D$2*A83)</f>
        <v>-5.2670547607855944</v>
      </c>
      <c r="C83" s="1">
        <f>$D$4*EXP(-$D$1*A83)</f>
        <v>5.399020657153792</v>
      </c>
    </row>
    <row r="84" spans="1:3" x14ac:dyDescent="0.25">
      <c r="A84" s="1">
        <f>A83+$D$7</f>
        <v>0.7400100000000005</v>
      </c>
      <c r="B84" s="1">
        <f>$D$4*EXP(-$D$1*A84)*COS($D$2*A84)</f>
        <v>-5.2732430502478351</v>
      </c>
      <c r="C84" s="1">
        <f>$D$4*EXP(-$D$1*A84)</f>
        <v>5.3613594804551727</v>
      </c>
    </row>
    <row r="85" spans="1:3" x14ac:dyDescent="0.25">
      <c r="A85" s="1">
        <f>A84+$D$7</f>
        <v>0.75001000000000051</v>
      </c>
      <c r="B85" s="1">
        <f>$D$4*EXP(-$D$1*A85)*COS($D$2*A85)</f>
        <v>-5.27071150200298</v>
      </c>
      <c r="C85" s="1">
        <f>$D$4*EXP(-$D$1*A85)</f>
        <v>5.3239610114438172</v>
      </c>
    </row>
    <row r="86" spans="1:3" x14ac:dyDescent="0.25">
      <c r="A86" s="1">
        <f>A85+$D$7</f>
        <v>0.76001000000000052</v>
      </c>
      <c r="B86" s="1">
        <f>$D$4*EXP(-$D$1*A86)*COS($D$2*A86)</f>
        <v>-5.2595854880764517</v>
      </c>
      <c r="C86" s="1">
        <f>$D$4*EXP(-$D$1*A86)</f>
        <v>5.286823417587259</v>
      </c>
    </row>
    <row r="87" spans="1:3" x14ac:dyDescent="0.25">
      <c r="A87" s="1">
        <f>A86+$D$7</f>
        <v>0.77001000000000053</v>
      </c>
      <c r="B87" s="1">
        <f>$D$4*EXP(-$D$1*A87)*COS($D$2*A87)</f>
        <v>-5.240002709110156</v>
      </c>
      <c r="C87" s="1">
        <f>$D$4*EXP(-$D$1*A87)</f>
        <v>5.2499448791359704</v>
      </c>
    </row>
    <row r="88" spans="1:3" x14ac:dyDescent="0.25">
      <c r="A88" s="1">
        <f>A87+$D$7</f>
        <v>0.78001000000000054</v>
      </c>
      <c r="B88" s="1">
        <f>$D$4*EXP(-$D$1*A88)*COS($D$2*A88)</f>
        <v>-5.2121127975091373</v>
      </c>
      <c r="C88" s="1">
        <f>$D$4*EXP(-$D$1*A88)</f>
        <v>5.2133235890341867</v>
      </c>
    </row>
    <row r="89" spans="1:3" x14ac:dyDescent="0.25">
      <c r="A89" s="1">
        <f>A88+$D$7</f>
        <v>0.79001000000000055</v>
      </c>
      <c r="B89" s="1">
        <f>$D$4*EXP(-$D$1*A89)*COS($D$2*A89)</f>
        <v>-5.17607690656979</v>
      </c>
      <c r="C89" s="1">
        <f>$D$4*EXP(-$D$1*A89)</f>
        <v>5.1769577528313668</v>
      </c>
    </row>
    <row r="90" spans="1:3" x14ac:dyDescent="0.25">
      <c r="A90" s="1">
        <f>A89+$D$7</f>
        <v>0.80001000000000055</v>
      </c>
      <c r="B90" s="1">
        <f>$D$4*EXP(-$D$1*A90)*COS($D$2*A90)</f>
        <v>-5.1320672864571835</v>
      </c>
      <c r="C90" s="1">
        <f>$D$4*EXP(-$D$1*A90)</f>
        <v>5.140845588594261</v>
      </c>
    </row>
    <row r="91" spans="1:3" x14ac:dyDescent="0.25">
      <c r="A91" s="1">
        <f>A90+$D$7</f>
        <v>0.81001000000000056</v>
      </c>
      <c r="B91" s="1">
        <f>$D$4*EXP(-$D$1*A91)*COS($D$2*A91)</f>
        <v>-5.0802668479086108</v>
      </c>
      <c r="C91" s="1">
        <f>$D$4*EXP(-$D$1*A91)</f>
        <v>5.1049853268195946</v>
      </c>
    </row>
    <row r="92" spans="1:3" x14ac:dyDescent="0.25">
      <c r="A92" s="1">
        <f>A91+$D$7</f>
        <v>0.82001000000000057</v>
      </c>
      <c r="B92" s="1">
        <f>$D$4*EXP(-$D$1*A92)*COS($D$2*A92)</f>
        <v>-5.0208687145483326</v>
      </c>
      <c r="C92" s="1">
        <f>$D$4*EXP(-$D$1*A92)</f>
        <v>5.0693752103473679</v>
      </c>
    </row>
    <row r="93" spans="1:3" x14ac:dyDescent="0.25">
      <c r="A93" s="1">
        <f>A92+$D$7</f>
        <v>0.83001000000000058</v>
      </c>
      <c r="B93" s="1">
        <f>$D$4*EXP(-$D$1*A93)*COS($D$2*A93)</f>
        <v>-4.9540757647048137</v>
      </c>
      <c r="C93" s="1">
        <f>$D$4*EXP(-$D$1*A93)</f>
        <v>5.0340134942747454</v>
      </c>
    </row>
    <row r="94" spans="1:3" x14ac:dyDescent="0.25">
      <c r="A94" s="1">
        <f>A93+$D$7</f>
        <v>0.84001000000000059</v>
      </c>
      <c r="B94" s="1">
        <f>$D$4*EXP(-$D$1*A94)*COS($D$2*A94)</f>
        <v>-4.8801001636266141</v>
      </c>
      <c r="C94" s="1">
        <f>$D$4*EXP(-$D$1*A94)</f>
        <v>4.9988984458705676</v>
      </c>
    </row>
    <row r="95" spans="1:3" x14ac:dyDescent="0.25">
      <c r="A95" s="1">
        <f>A94+$D$7</f>
        <v>0.8500100000000006</v>
      </c>
      <c r="B95" s="1">
        <f>$D$4*EXP(-$D$1*A95)*COS($D$2*A95)</f>
        <v>-4.7991628869962613</v>
      </c>
      <c r="C95" s="1">
        <f>$D$4*EXP(-$D$1*A95)</f>
        <v>4.9640283444904361</v>
      </c>
    </row>
    <row r="96" spans="1:3" x14ac:dyDescent="0.25">
      <c r="A96" s="1">
        <f>A95+$D$7</f>
        <v>0.86001000000000061</v>
      </c>
      <c r="B96" s="1">
        <f>$D$4*EXP(-$D$1*A96)*COS($D$2*A96)</f>
        <v>-4.7114932366432623</v>
      </c>
      <c r="C96" s="1">
        <f>$D$4*EXP(-$D$1*A96)</f>
        <v>4.9294014814924036</v>
      </c>
    </row>
    <row r="97" spans="1:3" x14ac:dyDescent="0.25">
      <c r="A97" s="1">
        <f>A96+$D$7</f>
        <v>0.87001000000000062</v>
      </c>
      <c r="B97" s="1">
        <f>$D$4*EXP(-$D$1*A97)*COS($D$2*A97)</f>
        <v>-4.6173283493576243</v>
      </c>
      <c r="C97" s="1">
        <f>$D$4*EXP(-$D$1*A97)</f>
        <v>4.8950161601532587</v>
      </c>
    </row>
    <row r="98" spans="1:3" x14ac:dyDescent="0.25">
      <c r="A98" s="1">
        <f>A97+$D$7</f>
        <v>0.88001000000000063</v>
      </c>
      <c r="B98" s="1">
        <f>$D$4*EXP(-$D$1*A98)*COS($D$2*A98)</f>
        <v>-4.5169126997039823</v>
      </c>
      <c r="C98" s="1">
        <f>$D$4*EXP(-$D$1*A98)</f>
        <v>4.8608706955853727</v>
      </c>
    </row>
    <row r="99" spans="1:3" x14ac:dyDescent="0.25">
      <c r="A99" s="1">
        <f>A98+$D$7</f>
        <v>0.89001000000000063</v>
      </c>
      <c r="B99" s="1">
        <f>$D$4*EXP(-$D$1*A99)*COS($D$2*A99)</f>
        <v>-4.4104975977338237</v>
      </c>
      <c r="C99" s="1">
        <f>$D$4*EXP(-$D$1*A99)</f>
        <v>4.826963414654152</v>
      </c>
    </row>
    <row r="100" spans="1:3" x14ac:dyDescent="0.25">
      <c r="A100" s="1">
        <f>A99+$D$7</f>
        <v>0.90001000000000064</v>
      </c>
      <c r="B100" s="1">
        <f>$D$4*EXP(-$D$1*A100)*COS($D$2*A100)</f>
        <v>-4.2983406824890746</v>
      </c>
      <c r="C100" s="1">
        <f>$D$4*EXP(-$D$1*A100)</f>
        <v>4.7932926558960451</v>
      </c>
    </row>
    <row r="101" spans="1:3" x14ac:dyDescent="0.25">
      <c r="A101" s="1">
        <f>A100+$D$7</f>
        <v>0.91001000000000065</v>
      </c>
      <c r="B101" s="1">
        <f>$D$4*EXP(-$D$1*A101)*COS($D$2*A101)</f>
        <v>-4.1807054121848903</v>
      </c>
      <c r="C101" s="1">
        <f>$D$4*EXP(-$D$1*A101)</f>
        <v>4.7598567694371372</v>
      </c>
    </row>
    <row r="102" spans="1:3" x14ac:dyDescent="0.25">
      <c r="A102" s="1">
        <f>A101+$D$7</f>
        <v>0.92001000000000066</v>
      </c>
      <c r="B102" s="1">
        <f>$D$4*EXP(-$D$1*A102)*COS($D$2*A102)</f>
        <v>-4.0578605519524888</v>
      </c>
      <c r="C102" s="1">
        <f>$D$4*EXP(-$D$1*A102)</f>
        <v>4.7266541169123011</v>
      </c>
    </row>
    <row r="103" spans="1:3" x14ac:dyDescent="0.25">
      <c r="A103" s="1">
        <f>A102+$D$7</f>
        <v>0.93001000000000067</v>
      </c>
      <c r="B103" s="1">
        <f>$D$4*EXP(-$D$1*A103)*COS($D$2*A103)</f>
        <v>-3.9300796600146919</v>
      </c>
      <c r="C103" s="1">
        <f>$D$4*EXP(-$D$1*A103)</f>
        <v>4.6936830713849202</v>
      </c>
    </row>
    <row r="104" spans="1:3" x14ac:dyDescent="0.25">
      <c r="A104" s="1">
        <f>A103+$D$7</f>
        <v>0.94001000000000068</v>
      </c>
      <c r="B104" s="1">
        <f>$D$4*EXP(-$D$1*A104)*COS($D$2*A104)</f>
        <v>-3.7976405731572203</v>
      </c>
      <c r="C104" s="1">
        <f>$D$4*EXP(-$D$1*A104)</f>
        <v>4.6609420172671667</v>
      </c>
    </row>
    <row r="105" spans="1:3" x14ac:dyDescent="0.25">
      <c r="A105" s="1">
        <f>A104+$D$7</f>
        <v>0.95001000000000069</v>
      </c>
      <c r="B105" s="1">
        <f>$D$4*EXP(-$D$1*A105)*COS($D$2*A105)</f>
        <v>-3.6608248923479731</v>
      </c>
      <c r="C105" s="1">
        <f>$D$4*EXP(-$D$1*A105)</f>
        <v>4.6284293502408378</v>
      </c>
    </row>
    <row r="106" spans="1:3" x14ac:dyDescent="0.25">
      <c r="A106" s="1">
        <f>A105+$D$7</f>
        <v>0.9600100000000007</v>
      </c>
      <c r="B106" s="1">
        <f>$D$4*EXP(-$D$1*A106)*COS($D$2*A106)</f>
        <v>-3.5199174693444237</v>
      </c>
      <c r="C106" s="1">
        <f>$D$4*EXP(-$D$1*A106)</f>
        <v>4.5961434771787424</v>
      </c>
    </row>
    <row r="107" spans="1:3" x14ac:dyDescent="0.25">
      <c r="A107" s="1">
        <f>A106+$D$7</f>
        <v>0.97001000000000071</v>
      </c>
      <c r="B107" s="1">
        <f>$D$4*EXP(-$D$1*A107)*COS($D$2*A107)</f>
        <v>-3.3752058951159625</v>
      </c>
      <c r="C107" s="1">
        <f>$D$4*EXP(-$D$1*A107)</f>
        <v>4.5640828160666427</v>
      </c>
    </row>
    <row r="108" spans="1:3" x14ac:dyDescent="0.25">
      <c r="A108" s="1">
        <f>A107+$D$7</f>
        <v>0.98001000000000071</v>
      </c>
      <c r="B108" s="1">
        <f>$D$4*EXP(-$D$1*A108)*COS($D$2*A108)</f>
        <v>-3.2269799908935477</v>
      </c>
      <c r="C108" s="1">
        <f>$D$4*EXP(-$D$1*A108)</f>
        <v>4.5322457959257285</v>
      </c>
    </row>
    <row r="109" spans="1:3" x14ac:dyDescent="0.25">
      <c r="A109" s="1">
        <f>A108+$D$7</f>
        <v>0.99001000000000072</v>
      </c>
      <c r="B109" s="1">
        <f>$D$4*EXP(-$D$1*A109)*COS($D$2*A109)</f>
        <v>-3.0755313026434448</v>
      </c>
      <c r="C109" s="1">
        <f>$D$4*EXP(-$D$1*A109)</f>
        <v>4.5006308567356434</v>
      </c>
    </row>
    <row r="110" spans="1:3" x14ac:dyDescent="0.25">
      <c r="A110" s="1">
        <f>A109+$D$7</f>
        <v>1.0000100000000007</v>
      </c>
      <c r="B110" s="1">
        <f>$D$4*EXP(-$D$1*A110)*COS($D$2*A110)</f>
        <v>-2.9211525997451386</v>
      </c>
      <c r="C110" s="1">
        <f>$D$4*EXP(-$D$1*A110)</f>
        <v>4.469236449358041</v>
      </c>
    </row>
    <row r="111" spans="1:3" x14ac:dyDescent="0.25">
      <c r="A111" s="1">
        <f>A110+$D$7</f>
        <v>1.0100100000000007</v>
      </c>
      <c r="B111" s="1">
        <f>$D$4*EXP(-$D$1*A111)*COS($D$2*A111)</f>
        <v>-2.7641373786357732</v>
      </c>
      <c r="C111" s="1">
        <f>$D$4*EXP(-$D$1*A111)</f>
        <v>4.4380610354606782</v>
      </c>
    </row>
    <row r="112" spans="1:3" x14ac:dyDescent="0.25">
      <c r="A112" s="1">
        <f>A111+$D$7</f>
        <v>1.0200100000000007</v>
      </c>
      <c r="B112" s="1">
        <f>$D$4*EXP(-$D$1*A112)*COS($D$2*A112)</f>
        <v>-2.6047793721647565</v>
      </c>
      <c r="C112" s="1">
        <f>$D$4*EXP(-$D$1*A112)</f>
        <v>4.4071030874420369</v>
      </c>
    </row>
    <row r="113" spans="1:3" x14ac:dyDescent="0.25">
      <c r="A113" s="1">
        <f>A112+$D$7</f>
        <v>1.0300100000000008</v>
      </c>
      <c r="B113" s="1">
        <f>$D$4*EXP(-$D$1*A113)*COS($D$2*A113)</f>
        <v>-2.4433720653824613</v>
      </c>
      <c r="C113" s="1">
        <f>$D$4*EXP(-$D$1*A113)</f>
        <v>4.376361088356469</v>
      </c>
    </row>
    <row r="114" spans="1:3" x14ac:dyDescent="0.25">
      <c r="A114" s="1">
        <f>A113+$D$7</f>
        <v>1.0400100000000008</v>
      </c>
      <c r="B114" s="1">
        <f>$D$4*EXP(-$D$1*A114)*COS($D$2*A114)</f>
        <v>-2.2802082184663734</v>
      </c>
      <c r="C114" s="1">
        <f>$D$4*EXP(-$D$1*A114)</f>
        <v>4.3458335318398689</v>
      </c>
    </row>
    <row r="115" spans="1:3" x14ac:dyDescent="0.25">
      <c r="A115" s="1">
        <f>A114+$D$7</f>
        <v>1.0500100000000008</v>
      </c>
      <c r="B115" s="1">
        <f>$D$4*EXP(-$D$1*A115)*COS($D$2*A115)</f>
        <v>-2.1155793974665622</v>
      </c>
      <c r="C115" s="1">
        <f>$D$4*EXP(-$D$1*A115)</f>
        <v>4.3155189220358601</v>
      </c>
    </row>
    <row r="116" spans="1:3" x14ac:dyDescent="0.25">
      <c r="A116" s="1">
        <f>A115+$D$7</f>
        <v>1.0600100000000008</v>
      </c>
      <c r="B116" s="1">
        <f>$D$4*EXP(-$D$1*A116)*COS($D$2*A116)</f>
        <v>-1.9497755135300667</v>
      </c>
      <c r="C116" s="1">
        <f>$D$4*EXP(-$D$1*A116)</f>
        <v>4.2854157735224954</v>
      </c>
    </row>
    <row r="117" spans="1:3" x14ac:dyDescent="0.25">
      <c r="A117" s="1">
        <f>A116+$D$7</f>
        <v>1.0700100000000008</v>
      </c>
      <c r="B117" s="1">
        <f>$D$4*EXP(-$D$1*A117)*COS($D$2*A117)</f>
        <v>-1.7830843712407458</v>
      </c>
      <c r="C117" s="1">
        <f>$D$4*EXP(-$D$1*A117)</f>
        <v>4.2555226112394742</v>
      </c>
    </row>
    <row r="118" spans="1:3" x14ac:dyDescent="0.25">
      <c r="A118" s="1">
        <f>A117+$D$7</f>
        <v>1.0800100000000008</v>
      </c>
      <c r="B118" s="1">
        <f>$D$4*EXP(-$D$1*A118)*COS($D$2*A118)</f>
        <v>-1.6157912266873586</v>
      </c>
      <c r="C118" s="1">
        <f>$D$4*EXP(-$D$1*A118)</f>
        <v>4.2258379704158653</v>
      </c>
    </row>
    <row r="119" spans="1:3" x14ac:dyDescent="0.25">
      <c r="A119" s="1">
        <f>A118+$D$7</f>
        <v>1.0900100000000008</v>
      </c>
      <c r="B119" s="1">
        <f>$D$4*EXP(-$D$1*A119)*COS($D$2*A119)</f>
        <v>-1.4481783558481967</v>
      </c>
      <c r="C119" s="1">
        <f>$D$4*EXP(-$D$1*A119)</f>
        <v>4.1963603964983278</v>
      </c>
    </row>
    <row r="120" spans="1:3" x14ac:dyDescent="0.25">
      <c r="A120" s="1">
        <f>A119+$D$7</f>
        <v>1.1000100000000008</v>
      </c>
      <c r="B120" s="1">
        <f>$D$4*EXP(-$D$1*A120)*COS($D$2*A120)</f>
        <v>-1.2805246338555236</v>
      </c>
      <c r="C120" s="1">
        <f>$D$4*EXP(-$D$1*A120)</f>
        <v>4.1670884450798411</v>
      </c>
    </row>
    <row r="121" spans="1:3" x14ac:dyDescent="0.25">
      <c r="A121" s="1">
        <f>A120+$D$7</f>
        <v>1.1100100000000008</v>
      </c>
      <c r="B121" s="1">
        <f>$D$4*EXP(-$D$1*A121)*COS($D$2*A121)</f>
        <v>-1.1131051256774309</v>
      </c>
      <c r="C121" s="1">
        <f>$D$4*EXP(-$D$1*A121)</f>
        <v>4.1380206818289302</v>
      </c>
    </row>
    <row r="122" spans="1:3" x14ac:dyDescent="0.25">
      <c r="A122" s="1">
        <f>A121+$D$7</f>
        <v>1.1200100000000008</v>
      </c>
      <c r="B122" s="1">
        <f>$D$4*EXP(-$D$1*A122)*COS($D$2*A122)</f>
        <v>-0.9461906887285414</v>
      </c>
      <c r="C122" s="1">
        <f>$D$4*EXP(-$D$1*A122)</f>
        <v>4.1091556824193791</v>
      </c>
    </row>
    <row r="123" spans="1:3" x14ac:dyDescent="0.25">
      <c r="A123" s="1">
        <f>A122+$D$7</f>
        <v>1.1300100000000008</v>
      </c>
      <c r="B123" s="1">
        <f>$D$4*EXP(-$D$1*A123)*COS($D$2*A123)</f>
        <v>-0.78004758789437489</v>
      </c>
      <c r="C123" s="1">
        <f>$D$4*EXP(-$D$1*A123)</f>
        <v>4.080492032460441</v>
      </c>
    </row>
    <row r="124" spans="1:3" x14ac:dyDescent="0.25">
      <c r="A124" s="1">
        <f>A123+$D$7</f>
        <v>1.1400100000000009</v>
      </c>
      <c r="B124" s="1">
        <f>$D$4*EXP(-$D$1*A124)*COS($D$2*A124)</f>
        <v>-0.61493712342709739</v>
      </c>
      <c r="C124" s="1">
        <f>$D$4*EXP(-$D$1*A124)</f>
        <v>4.0520283274275339</v>
      </c>
    </row>
    <row r="125" spans="1:3" x14ac:dyDescent="0.25">
      <c r="A125" s="1">
        <f>A124+$D$7</f>
        <v>1.1500100000000009</v>
      </c>
      <c r="B125" s="1">
        <f>$D$4*EXP(-$D$1*A125)*COS($D$2*A125)</f>
        <v>-0.45111527214295771</v>
      </c>
      <c r="C125" s="1">
        <f>$D$4*EXP(-$D$1*A125)</f>
        <v>4.0237631725934149</v>
      </c>
    </row>
    <row r="126" spans="1:3" x14ac:dyDescent="0.25">
      <c r="A126" s="1">
        <f>A125+$D$7</f>
        <v>1.1600100000000009</v>
      </c>
      <c r="B126" s="1">
        <f>$D$4*EXP(-$D$1*A126)*COS($D$2*A126)</f>
        <v>-0.28883234232394694</v>
      </c>
      <c r="C126" s="1">
        <f>$D$4*EXP(-$D$1*A126)</f>
        <v>3.9956951829598428</v>
      </c>
    </row>
    <row r="127" spans="1:3" x14ac:dyDescent="0.25">
      <c r="A127" s="1">
        <f>A126+$D$7</f>
        <v>1.1700100000000009</v>
      </c>
      <c r="B127" s="1">
        <f>$D$4*EXP(-$D$1*A127)*COS($D$2*A127)</f>
        <v>-0.12833264269818101</v>
      </c>
      <c r="C127" s="1">
        <f>$D$4*EXP(-$D$1*A127)</f>
        <v>3.9678229831897087</v>
      </c>
    </row>
    <row r="128" spans="1:3" x14ac:dyDescent="0.25">
      <c r="A128" s="1">
        <f>A127+$D$7</f>
        <v>1.1800100000000009</v>
      </c>
      <c r="B128" s="1">
        <f>$D$4*EXP(-$D$1*A128)*COS($D$2*A128)</f>
        <v>3.0145834154746653E-2</v>
      </c>
      <c r="C128" s="1">
        <f>$D$4*EXP(-$D$1*A128)</f>
        <v>3.9401452075396479</v>
      </c>
    </row>
    <row r="129" spans="1:3" x14ac:dyDescent="0.25">
      <c r="A129" s="1">
        <f>A128+$D$7</f>
        <v>1.1900100000000009</v>
      </c>
      <c r="B129" s="1">
        <f>$D$4*EXP(-$D$1*A129)*COS($D$2*A129)</f>
        <v>0.18637171365563046</v>
      </c>
      <c r="C129" s="1">
        <f>$D$4*EXP(-$D$1*A129)</f>
        <v>3.9126604997931147</v>
      </c>
    </row>
    <row r="130" spans="1:3" x14ac:dyDescent="0.25">
      <c r="A130" s="1">
        <f>A129+$D$7</f>
        <v>1.2000100000000009</v>
      </c>
      <c r="B130" s="1">
        <f>$D$4*EXP(-$D$1*A130)*COS($D$2*A130)</f>
        <v>0.34012052604547827</v>
      </c>
      <c r="C130" s="1">
        <f>$D$4*EXP(-$D$1*A130)</f>
        <v>3.8853675131939305</v>
      </c>
    </row>
    <row r="131" spans="1:3" x14ac:dyDescent="0.25">
      <c r="A131" s="1">
        <f>A130+$D$7</f>
        <v>1.2100100000000009</v>
      </c>
      <c r="B131" s="1">
        <f>$D$4*EXP(-$D$1*A131)*COS($D$2*A131)</f>
        <v>0.491174977912674</v>
      </c>
      <c r="C131" s="1">
        <f>$D$4*EXP(-$D$1*A131)</f>
        <v>3.8582649103802917</v>
      </c>
    </row>
    <row r="132" spans="1:3" x14ac:dyDescent="0.25">
      <c r="A132" s="1">
        <f>A131+$D$7</f>
        <v>1.2200100000000009</v>
      </c>
      <c r="B132" s="1">
        <f>$D$4*EXP(-$D$1*A132)*COS($D$2*A132)</f>
        <v>0.63932520819551564</v>
      </c>
      <c r="C132" s="1">
        <f>$D$4*EXP(-$D$1*A132)</f>
        <v>3.8313513633192375</v>
      </c>
    </row>
    <row r="133" spans="1:3" x14ac:dyDescent="0.25">
      <c r="A133" s="1">
        <f>A132+$D$7</f>
        <v>1.2300100000000009</v>
      </c>
      <c r="B133" s="1">
        <f>$D$4*EXP(-$D$1*A133)*COS($D$2*A133)</f>
        <v>0.78436902845680789</v>
      </c>
      <c r="C133" s="1">
        <f>$D$4*EXP(-$D$1*A133)</f>
        <v>3.8046255532415767</v>
      </c>
    </row>
    <row r="134" spans="1:3" x14ac:dyDescent="0.25">
      <c r="A134" s="1">
        <f>A133+$D$7</f>
        <v>1.2400100000000009</v>
      </c>
      <c r="B134" s="1">
        <f>$D$4*EXP(-$D$1*A134)*COS($D$2*A134)</f>
        <v>0.92611214725577151</v>
      </c>
      <c r="C134" s="1">
        <f>$D$4*EXP(-$D$1*A134)</f>
        <v>3.7780861705772684</v>
      </c>
    </row>
    <row r="135" spans="1:3" x14ac:dyDescent="0.25">
      <c r="A135" s="1">
        <f>A134+$D$7</f>
        <v>1.250010000000001</v>
      </c>
      <c r="B135" s="1">
        <f>$D$4*EXP(-$D$1*A135)*COS($D$2*A135)</f>
        <v>1.0643683784709916</v>
      </c>
      <c r="C135" s="1">
        <f>$D$4*EXP(-$D$1*A135)</f>
        <v>3.7517319148912511</v>
      </c>
    </row>
    <row r="136" spans="1:3" x14ac:dyDescent="0.25">
      <c r="A136" s="1">
        <f>A135+$D$7</f>
        <v>1.260010000000001</v>
      </c>
      <c r="B136" s="1">
        <f>$D$4*EXP(-$D$1*A136)*COS($D$2*A136)</f>
        <v>1.1989598334564433</v>
      </c>
      <c r="C136" s="1">
        <f>$D$4*EXP(-$D$1*A136)</f>
        <v>3.7255614948197247</v>
      </c>
    </row>
    <row r="137" spans="1:3" x14ac:dyDescent="0.25">
      <c r="A137" s="1">
        <f>A136+$D$7</f>
        <v>1.270010000000001</v>
      </c>
      <c r="B137" s="1">
        <f>$D$4*EXP(-$D$1*A137)*COS($D$2*A137)</f>
        <v>1.3297170969407379</v>
      </c>
      <c r="C137" s="1">
        <f>$D$4*EXP(-$D$1*A137)</f>
        <v>3.6995736280068674</v>
      </c>
    </row>
    <row r="138" spans="1:3" x14ac:dyDescent="0.25">
      <c r="A138" s="1">
        <f>A137+$D$7</f>
        <v>1.280010000000001</v>
      </c>
      <c r="B138" s="1">
        <f>$D$4*EXP(-$D$1*A138)*COS($D$2*A138)</f>
        <v>1.4564793866076038</v>
      </c>
      <c r="C138" s="1">
        <f>$D$4*EXP(-$D$1*A138)</f>
        <v>3.6737670410420069</v>
      </c>
    </row>
    <row r="139" spans="1:3" x14ac:dyDescent="0.25">
      <c r="A139" s="1">
        <f>A138+$D$7</f>
        <v>1.290010000000001</v>
      </c>
      <c r="B139" s="1">
        <f>$D$4*EXP(-$D$1*A139)*COS($D$2*A139)</f>
        <v>1.5790946963231933</v>
      </c>
      <c r="C139" s="1">
        <f>$D$4*EXP(-$D$1*A139)</f>
        <v>3.6481404693972186</v>
      </c>
    </row>
    <row r="140" spans="1:3" x14ac:dyDescent="0.25">
      <c r="A140" s="1">
        <f>A139+$D$7</f>
        <v>1.300010000000001</v>
      </c>
      <c r="B140" s="1">
        <f>$D$4*EXP(-$D$1*A140)*COS($D$2*A140)</f>
        <v>1.697419923003058</v>
      </c>
      <c r="C140" s="1">
        <f>$D$4*EXP(-$D$1*A140)</f>
        <v>3.6226926573653637</v>
      </c>
    </row>
    <row r="141" spans="1:3" x14ac:dyDescent="0.25">
      <c r="A141" s="1">
        <f>A140+$D$7</f>
        <v>1.310010000000001</v>
      </c>
      <c r="B141" s="1">
        <f>$D$4*EXP(-$D$1*A141)*COS($D$2*A141)</f>
        <v>1.8113209771385301</v>
      </c>
      <c r="C141" s="1">
        <f>$D$4*EXP(-$D$1*A141)</f>
        <v>3.5974223579985614</v>
      </c>
    </row>
    <row r="142" spans="1:3" x14ac:dyDescent="0.25">
      <c r="A142" s="1">
        <f>A141+$D$7</f>
        <v>1.320010000000001</v>
      </c>
      <c r="B142" s="1">
        <f>$D$4*EXP(-$D$1*A142)*COS($D$2*A142)</f>
        <v>1.9206728770287151</v>
      </c>
      <c r="C142" s="1">
        <f>$D$4*EXP(-$D$1*A142)</f>
        <v>3.5723283330470865</v>
      </c>
    </row>
    <row r="143" spans="1:3" x14ac:dyDescent="0.25">
      <c r="A143" s="1">
        <f>A142+$D$7</f>
        <v>1.330010000000001</v>
      </c>
      <c r="B143" s="1">
        <f>$D$4*EXP(-$D$1*A143)*COS($D$2*A143)</f>
        <v>2.0253598267903432</v>
      </c>
      <c r="C143" s="1">
        <f>$D$4*EXP(-$D$1*A143)</f>
        <v>3.5474093528986952</v>
      </c>
    </row>
    <row r="144" spans="1:3" x14ac:dyDescent="0.25">
      <c r="A144" s="1">
        <f>A143+$D$7</f>
        <v>1.340010000000001</v>
      </c>
      <c r="B144" s="1">
        <f>$D$4*EXP(-$D$1*A144)*COS($D$2*A144)</f>
        <v>2.1252752782432904</v>
      </c>
      <c r="C144" s="1">
        <f>$D$4*EXP(-$D$1*A144)</f>
        <v>3.5226641965183747</v>
      </c>
    </row>
    <row r="145" spans="1:3" x14ac:dyDescent="0.25">
      <c r="A145" s="1">
        <f>A144+$D$7</f>
        <v>1.350010000000001</v>
      </c>
      <c r="B145" s="1">
        <f>$D$4*EXP(-$D$1*A145)*COS($D$2*A145)</f>
        <v>2.2203219767946014</v>
      </c>
      <c r="C145" s="1">
        <f>$D$4*EXP(-$D$1*A145)</f>
        <v>3.4980916513885116</v>
      </c>
    </row>
    <row r="146" spans="1:3" x14ac:dyDescent="0.25">
      <c r="A146" s="1">
        <f>A145+$D$7</f>
        <v>1.3600100000000011</v>
      </c>
      <c r="B146" s="1">
        <f>$D$4*EXP(-$D$1*A146)*COS($D$2*A146)</f>
        <v>2.3104119914683543</v>
      </c>
      <c r="C146" s="1">
        <f>$D$4*EXP(-$D$1*A146)</f>
        <v>3.4736905134494771</v>
      </c>
    </row>
    <row r="147" spans="1:3" x14ac:dyDescent="0.25">
      <c r="A147" s="1">
        <f>A146+$D$7</f>
        <v>1.3700100000000011</v>
      </c>
      <c r="B147" s="1">
        <f>$D$4*EXP(-$D$1*A147)*COS($D$2*A147)</f>
        <v>2.3954667292526208</v>
      </c>
      <c r="C147" s="1">
        <f>$D$4*EXP(-$D$1*A147)</f>
        <v>3.4494595870406304</v>
      </c>
    </row>
    <row r="148" spans="1:3" x14ac:dyDescent="0.25">
      <c r="A148" s="1">
        <f>A147+$D$7</f>
        <v>1.3800100000000011</v>
      </c>
      <c r="B148" s="1">
        <f>$D$4*EXP(-$D$1*A148)*COS($D$2*A148)</f>
        <v>2.4754169339580416</v>
      </c>
      <c r="C148" s="1">
        <f>$D$4*EXP(-$D$1*A148)</f>
        <v>3.4253976848417294</v>
      </c>
    </row>
    <row r="149" spans="1:3" x14ac:dyDescent="0.25">
      <c r="A149" s="1">
        <f>A148+$D$7</f>
        <v>1.3900100000000011</v>
      </c>
      <c r="B149" s="1">
        <f>$D$4*EXP(-$D$1*A149)*COS($D$2*A149)</f>
        <v>2.5502026698052327</v>
      </c>
      <c r="C149" s="1">
        <f>$D$4*EXP(-$D$1*A149)</f>
        <v>3.4015036278147512</v>
      </c>
    </row>
    <row r="150" spans="1:3" x14ac:dyDescent="0.25">
      <c r="A150" s="1">
        <f>A149+$D$7</f>
        <v>1.4000100000000011</v>
      </c>
      <c r="B150" s="1">
        <f>$D$4*EXP(-$D$1*A150)*COS($D$2*A150)</f>
        <v>2.6197732899801909</v>
      </c>
      <c r="C150" s="1">
        <f>$D$4*EXP(-$D$1*A150)</f>
        <v>3.3777762451461215</v>
      </c>
    </row>
    <row r="151" spans="1:3" x14ac:dyDescent="0.25">
      <c r="A151" s="1">
        <f>A150+$D$7</f>
        <v>1.4100100000000011</v>
      </c>
      <c r="B151" s="1">
        <f>$D$4*EXP(-$D$1*A151)*COS($D$2*A151)</f>
        <v>2.6840873904181675</v>
      </c>
      <c r="C151" s="1">
        <f>$D$4*EXP(-$D$1*A151)</f>
        <v>3.354214374189342</v>
      </c>
    </row>
    <row r="152" spans="1:3" x14ac:dyDescent="0.25">
      <c r="A152" s="1">
        <f>A151+$D$7</f>
        <v>1.4200100000000011</v>
      </c>
      <c r="B152" s="1">
        <f>$D$4*EXP(-$D$1*A152)*COS($D$2*A152)</f>
        <v>2.7431127490970355</v>
      </c>
      <c r="C152" s="1">
        <f>$D$4*EXP(-$D$1*A152)</f>
        <v>3.3308168604080208</v>
      </c>
    </row>
    <row r="153" spans="1:3" x14ac:dyDescent="0.25">
      <c r="A153" s="1">
        <f>A152+$D$7</f>
        <v>1.4300100000000011</v>
      </c>
      <c r="B153" s="1">
        <f>$D$4*EXP(-$D$1*A153)*COS($D$2*A153)</f>
        <v>2.796826251141006</v>
      </c>
      <c r="C153" s="1">
        <f>$D$4*EXP(-$D$1*A153)</f>
        <v>3.3075825573193027</v>
      </c>
    </row>
    <row r="154" spans="1:3" x14ac:dyDescent="0.25">
      <c r="A154" s="1">
        <f>A153+$D$7</f>
        <v>1.4400100000000011</v>
      </c>
      <c r="B154" s="1">
        <f>$D$4*EXP(-$D$1*A154)*COS($D$2*A154)</f>
        <v>2.8452138000545819</v>
      </c>
      <c r="C154" s="1">
        <f>$D$4*EXP(-$D$1*A154)</f>
        <v>3.2845103264376849</v>
      </c>
    </row>
    <row r="155" spans="1:3" x14ac:dyDescent="0.25">
      <c r="A155" s="1">
        <f>A154+$D$7</f>
        <v>1.4500100000000011</v>
      </c>
      <c r="B155" s="1">
        <f>$D$4*EXP(-$D$1*A155)*COS($D$2*A155)</f>
        <v>2.8882702154249191</v>
      </c>
      <c r="C155" s="1">
        <f>$D$4*EXP(-$D$1*A155)</f>
        <v>3.2615990372192409</v>
      </c>
    </row>
    <row r="156" spans="1:3" x14ac:dyDescent="0.25">
      <c r="A156" s="1">
        <f>A155+$D$7</f>
        <v>1.4600100000000011</v>
      </c>
      <c r="B156" s="1">
        <f>$D$4*EXP(-$D$1*A156)*COS($D$2*A156)</f>
        <v>2.9259991174481916</v>
      </c>
      <c r="C156" s="1">
        <f>$D$4*EXP(-$D$1*A156)</f>
        <v>3.2388475670062125</v>
      </c>
    </row>
    <row r="157" spans="1:3" x14ac:dyDescent="0.25">
      <c r="A157" s="1">
        <f>A156+$D$7</f>
        <v>1.4700100000000011</v>
      </c>
      <c r="B157" s="1">
        <f>$D$4*EXP(-$D$1*A157)*COS($D$2*A157)</f>
        <v>2.9584127986522253</v>
      </c>
      <c r="C157" s="1">
        <f>$D$4*EXP(-$D$1*A157)</f>
        <v>3.216254800972008</v>
      </c>
    </row>
    <row r="158" spans="1:3" x14ac:dyDescent="0.25">
      <c r="A158" s="1">
        <f>A157+$D$7</f>
        <v>1.4800100000000012</v>
      </c>
      <c r="B158" s="1">
        <f>$D$4*EXP(-$D$1*A158)*COS($D$2*A158)</f>
        <v>2.9855320832034078</v>
      </c>
      <c r="C158" s="1">
        <f>$D$4*EXP(-$D$1*A158)</f>
        <v>3.193819632066571</v>
      </c>
    </row>
    <row r="159" spans="1:3" x14ac:dyDescent="0.25">
      <c r="A159" s="1">
        <f>A158+$D$7</f>
        <v>1.4900100000000012</v>
      </c>
      <c r="B159" s="1">
        <f>$D$4*EXP(-$D$1*A159)*COS($D$2*A159)</f>
        <v>3.0073861742008519</v>
      </c>
      <c r="C159" s="1">
        <f>$D$4*EXP(-$D$1*A159)</f>
        <v>3.1715409609621368</v>
      </c>
    </row>
    <row r="160" spans="1:3" x14ac:dyDescent="0.25">
      <c r="A160" s="1">
        <f>A159+$D$7</f>
        <v>1.5000100000000012</v>
      </c>
      <c r="B160" s="1">
        <f>$D$4*EXP(-$D$1*A160)*COS($D$2*A160)</f>
        <v>3.0240124893748388</v>
      </c>
      <c r="C160" s="1">
        <f>$D$4*EXP(-$D$1*A160)</f>
        <v>3.1494176959993627</v>
      </c>
    </row>
    <row r="161" spans="1:3" x14ac:dyDescent="0.25">
      <c r="A161" s="1">
        <f>A160+$D$7</f>
        <v>1.5100100000000012</v>
      </c>
      <c r="B161" s="1">
        <f>$D$4*EXP(-$D$1*A161)*COS($D$2*A161)</f>
        <v>3.0354564856197603</v>
      </c>
      <c r="C161" s="1">
        <f>$D$4*EXP(-$D$1*A161)</f>
        <v>3.12744875313384</v>
      </c>
    </row>
    <row r="162" spans="1:3" x14ac:dyDescent="0.25">
      <c r="A162" s="1">
        <f>A161+$D$7</f>
        <v>1.5200100000000012</v>
      </c>
      <c r="B162" s="1">
        <f>$D$4*EXP(-$D$1*A162)*COS($D$2*A162)</f>
        <v>3.0417714728040703</v>
      </c>
      <c r="C162" s="1">
        <f>$D$4*EXP(-$D$1*A162)</f>
        <v>3.1056330558829721</v>
      </c>
    </row>
    <row r="163" spans="1:3" x14ac:dyDescent="0.25">
      <c r="A163" s="1">
        <f>A162+$D$7</f>
        <v>1.5300100000000012</v>
      </c>
      <c r="B163" s="1">
        <f>$D$4*EXP(-$D$1*A163)*COS($D$2*A163)</f>
        <v>3.0430184173111789</v>
      </c>
      <c r="C163" s="1">
        <f>$D$4*EXP(-$D$1*A163)</f>
        <v>3.0839695352732295</v>
      </c>
    </row>
    <row r="164" spans="1:3" x14ac:dyDescent="0.25">
      <c r="A164" s="1">
        <f>A163+$D$7</f>
        <v>1.5400100000000012</v>
      </c>
      <c r="B164" s="1">
        <f>$D$4*EXP(-$D$1*A164)*COS($D$2*A164)</f>
        <v>3.0392657357757047</v>
      </c>
      <c r="C164" s="1">
        <f>$D$4*EXP(-$D$1*A164)</f>
        <v>3.0624571297877661</v>
      </c>
    </row>
    <row r="165" spans="1:3" x14ac:dyDescent="0.25">
      <c r="A165" s="1">
        <f>A164+$D$7</f>
        <v>1.5500100000000012</v>
      </c>
      <c r="B165" s="1">
        <f>$D$4*EXP(-$D$1*A165)*COS($D$2*A165)</f>
        <v>3.0305890794891148</v>
      </c>
      <c r="C165" s="1">
        <f>$D$4*EXP(-$D$1*A165)</f>
        <v>3.041094785314411</v>
      </c>
    </row>
    <row r="166" spans="1:3" x14ac:dyDescent="0.25">
      <c r="A166" s="1">
        <f>A165+$D$7</f>
        <v>1.5600100000000012</v>
      </c>
      <c r="B166" s="1">
        <f>$D$4*EXP(-$D$1*A166)*COS($D$2*A166)</f>
        <v>3.0170711099574481</v>
      </c>
      <c r="C166" s="1">
        <f>$D$4*EXP(-$D$1*A166)</f>
        <v>3.019881455094009</v>
      </c>
    </row>
    <row r="167" spans="1:3" x14ac:dyDescent="0.25">
      <c r="A167" s="1">
        <f>A166+$D$7</f>
        <v>1.5700100000000012</v>
      </c>
      <c r="B167" s="1">
        <f>$D$4*EXP(-$D$1*A167)*COS($D$2*A167)</f>
        <v>2.9988012661016215</v>
      </c>
      <c r="C167" s="1">
        <f>$D$4*EXP(-$D$1*A167)</f>
        <v>2.9988160996691358</v>
      </c>
    </row>
    <row r="168" spans="1:3" x14ac:dyDescent="0.25">
      <c r="A168" s="1">
        <f>A167+$D$7</f>
        <v>1.5800100000000012</v>
      </c>
      <c r="B168" s="1">
        <f>$D$4*EXP(-$D$1*A168)*COS($D$2*A168)</f>
        <v>2.9758755235976544</v>
      </c>
      <c r="C168" s="1">
        <f>$D$4*EXP(-$D$1*A168)</f>
        <v>2.9778976868331597</v>
      </c>
    </row>
    <row r="169" spans="1:3" x14ac:dyDescent="0.25">
      <c r="A169" s="1">
        <f>A168+$D$7</f>
        <v>1.5900100000000013</v>
      </c>
      <c r="B169" s="1">
        <f>$D$4*EXP(-$D$1*A169)*COS($D$2*A169)</f>
        <v>2.9483961468601234</v>
      </c>
      <c r="C169" s="1">
        <f>$D$4*EXP(-$D$1*A169)</f>
        <v>2.9571251915796681</v>
      </c>
    </row>
    <row r="170" spans="1:3" x14ac:dyDescent="0.25">
      <c r="A170" s="1">
        <f>A169+$D$7</f>
        <v>1.6000100000000013</v>
      </c>
      <c r="B170" s="1">
        <f>$D$4*EXP(-$D$1*A170)*COS($D$2*A170)</f>
        <v>2.9164714341771876</v>
      </c>
      <c r="C170" s="1">
        <f>$D$4*EXP(-$D$1*A170)</f>
        <v>2.9364975960522361</v>
      </c>
    </row>
    <row r="171" spans="1:3" x14ac:dyDescent="0.25">
      <c r="A171" s="1">
        <f>A170+$D$7</f>
        <v>1.6100100000000013</v>
      </c>
      <c r="B171" s="1">
        <f>$D$4*EXP(-$D$1*A171)*COS($D$2*A171)</f>
        <v>2.8802154565096965</v>
      </c>
      <c r="C171" s="1">
        <f>$D$4*EXP(-$D$1*A171)</f>
        <v>2.9160138894945562</v>
      </c>
    </row>
    <row r="172" spans="1:3" x14ac:dyDescent="0.25">
      <c r="A172" s="1">
        <f>A171+$D$7</f>
        <v>1.6200100000000013</v>
      </c>
      <c r="B172" s="1">
        <f>$D$4*EXP(-$D$1*A172)*COS($D$2*A172)</f>
        <v>2.8397477904701129</v>
      </c>
      <c r="C172" s="1">
        <f>$D$4*EXP(-$D$1*A172)</f>
        <v>2.8956730682009075</v>
      </c>
    </row>
    <row r="173" spans="1:3" x14ac:dyDescent="0.25">
      <c r="A173" s="1">
        <f>A172+$D$7</f>
        <v>1.6300100000000013</v>
      </c>
      <c r="B173" s="1">
        <f>$D$4*EXP(-$D$1*A173)*COS($D$2*A173)</f>
        <v>2.7951932459993611</v>
      </c>
      <c r="C173" s="1">
        <f>$D$4*EXP(-$D$1*A173)</f>
        <v>2.8754741354669782</v>
      </c>
    </row>
    <row r="174" spans="1:3" x14ac:dyDescent="0.25">
      <c r="A174" s="1">
        <f>A173+$D$7</f>
        <v>1.6400100000000013</v>
      </c>
      <c r="B174" s="1">
        <f>$D$4*EXP(-$D$1*A174)*COS($D$2*A174)</f>
        <v>2.74668158926118</v>
      </c>
      <c r="C174" s="1">
        <f>$D$4*EXP(-$D$1*A174)</f>
        <v>2.8554161015410213</v>
      </c>
    </row>
    <row r="175" spans="1:3" x14ac:dyDescent="0.25">
      <c r="A175" s="1">
        <f>A174+$D$7</f>
        <v>1.6500100000000013</v>
      </c>
      <c r="B175" s="1">
        <f>$D$4*EXP(-$D$1*A175)*COS($D$2*A175)</f>
        <v>2.6943472612741779</v>
      </c>
      <c r="C175" s="1">
        <f>$D$4*EXP(-$D$1*A175)</f>
        <v>2.8354979835753631</v>
      </c>
    </row>
    <row r="176" spans="1:3" x14ac:dyDescent="0.25">
      <c r="A176" s="1">
        <f>A175+$D$7</f>
        <v>1.6600100000000013</v>
      </c>
      <c r="B176" s="1">
        <f>$D$4*EXP(-$D$1*A176)*COS($D$2*A176)</f>
        <v>2.6383290928015115</v>
      </c>
      <c r="C176" s="1">
        <f>$D$4*EXP(-$D$1*A176)</f>
        <v>2.8157188055782361</v>
      </c>
    </row>
    <row r="177" spans="1:3" x14ac:dyDescent="0.25">
      <c r="A177" s="1">
        <f>A176+$D$7</f>
        <v>1.6700100000000013</v>
      </c>
      <c r="B177" s="1">
        <f>$D$4*EXP(-$D$1*A177)*COS($D$2*A177)</f>
        <v>2.578770016017041</v>
      </c>
      <c r="C177" s="1">
        <f>$D$4*EXP(-$D$1*A177)</f>
        <v>2.796077598365962</v>
      </c>
    </row>
    <row r="178" spans="1:3" x14ac:dyDescent="0.25">
      <c r="A178" s="1">
        <f>A177+$D$7</f>
        <v>1.6800100000000013</v>
      </c>
      <c r="B178" s="1">
        <f>$D$4*EXP(-$D$1*A178)*COS($D$2*A178)</f>
        <v>2.5158167734648478</v>
      </c>
      <c r="C178" s="1">
        <f>$D$4*EXP(-$D$1*A178)</f>
        <v>2.7765733995154571</v>
      </c>
    </row>
    <row r="179" spans="1:3" x14ac:dyDescent="0.25">
      <c r="A179" s="1">
        <f>A178+$D$7</f>
        <v>1.6900100000000013</v>
      </c>
      <c r="B179" s="1">
        <f>$D$4*EXP(-$D$1*A179)*COS($D$2*A179)</f>
        <v>2.4496196248262665</v>
      </c>
      <c r="C179" s="1">
        <f>$D$4*EXP(-$D$1*A179)</f>
        <v>2.7572052533170757</v>
      </c>
    </row>
    <row r="180" spans="1:3" x14ac:dyDescent="0.25">
      <c r="A180" s="1">
        <f>A179+$D$7</f>
        <v>1.7000100000000014</v>
      </c>
      <c r="B180" s="1">
        <f>$D$4*EXP(-$D$1*A180)*COS($D$2*A180)</f>
        <v>2.3803320520050169</v>
      </c>
      <c r="C180" s="1">
        <f>$D$4*EXP(-$D$1*A180)</f>
        <v>2.7379722107277784</v>
      </c>
    </row>
    <row r="181" spans="1:3" x14ac:dyDescent="0.25">
      <c r="A181" s="1">
        <f>A180+$D$7</f>
        <v>1.7100100000000014</v>
      </c>
      <c r="B181" s="1">
        <f>$D$4*EXP(-$D$1*A181)*COS($D$2*A181)</f>
        <v>2.3081104630366776</v>
      </c>
      <c r="C181" s="1">
        <f>$D$4*EXP(-$D$1*A181)</f>
        <v>2.7188733293246306</v>
      </c>
    </row>
    <row r="182" spans="1:3" x14ac:dyDescent="0.25">
      <c r="A182" s="1">
        <f>A181+$D$7</f>
        <v>1.7200100000000014</v>
      </c>
      <c r="B182" s="1">
        <f>$D$4*EXP(-$D$1*A182)*COS($D$2*A182)</f>
        <v>2.233113895323632</v>
      </c>
      <c r="C182" s="1">
        <f>$D$4*EXP(-$D$1*A182)</f>
        <v>2.6999076732586214</v>
      </c>
    </row>
    <row r="183" spans="1:3" x14ac:dyDescent="0.25">
      <c r="A183" s="1">
        <f>A182+$D$7</f>
        <v>1.7300100000000014</v>
      </c>
      <c r="B183" s="1">
        <f>$D$4*EXP(-$D$1*A183)*COS($D$2*A183)</f>
        <v>2.155503718690754</v>
      </c>
      <c r="C183" s="1">
        <f>$D$4*EXP(-$D$1*A183)</f>
        <v>2.6810743132088093</v>
      </c>
    </row>
    <row r="184" spans="1:3" x14ac:dyDescent="0.25">
      <c r="A184" s="1">
        <f>A183+$D$7</f>
        <v>1.7400100000000014</v>
      </c>
      <c r="B184" s="1">
        <f>$D$4*EXP(-$D$1*A184)*COS($D$2*A184)</f>
        <v>2.0754433387505036</v>
      </c>
      <c r="C184" s="1">
        <f>$D$4*EXP(-$D$1*A184)</f>
        <v>2.6623723263367838</v>
      </c>
    </row>
    <row r="185" spans="1:3" x14ac:dyDescent="0.25">
      <c r="A185" s="1">
        <f>A184+$D$7</f>
        <v>1.7500100000000014</v>
      </c>
      <c r="B185" s="1">
        <f>$D$4*EXP(-$D$1*A185)*COS($D$2*A185)</f>
        <v>1.9930979010588126</v>
      </c>
      <c r="C185" s="1">
        <f>$D$4*EXP(-$D$1*A185)</f>
        <v>2.6438007962414463</v>
      </c>
    </row>
    <row r="186" spans="1:3" x14ac:dyDescent="0.25">
      <c r="A186" s="1">
        <f>A185+$D$7</f>
        <v>1.7600100000000014</v>
      </c>
      <c r="B186" s="1">
        <f>$D$4*EXP(-$D$1*A186)*COS($D$2*A186)</f>
        <v>1.9086339965351453</v>
      </c>
      <c r="C186" s="1">
        <f>$D$4*EXP(-$D$1*A186)</f>
        <v>2.6253588129141048</v>
      </c>
    </row>
    <row r="187" spans="1:3" x14ac:dyDescent="0.25">
      <c r="A187" s="1">
        <f>A186+$D$7</f>
        <v>1.7700100000000014</v>
      </c>
      <c r="B187" s="1">
        <f>$D$4*EXP(-$D$1*A187)*COS($D$2*A187)</f>
        <v>1.8222193686114732</v>
      </c>
      <c r="C187" s="1">
        <f>$D$4*EXP(-$D$1*A187)</f>
        <v>2.6070454726938888</v>
      </c>
    </row>
    <row r="188" spans="1:3" x14ac:dyDescent="0.25">
      <c r="A188" s="1">
        <f>A187+$D$7</f>
        <v>1.7800100000000014</v>
      </c>
      <c r="B188" s="1">
        <f>$D$4*EXP(-$D$1*A188)*COS($D$2*A188)</f>
        <v>1.7340226225655975</v>
      </c>
      <c r="C188" s="1">
        <f>$D$4*EXP(-$D$1*A188)</f>
        <v>2.5888598782234613</v>
      </c>
    </row>
    <row r="189" spans="1:3" x14ac:dyDescent="0.25">
      <c r="A189" s="1">
        <f>A188+$D$7</f>
        <v>1.7900100000000014</v>
      </c>
      <c r="B189" s="1">
        <f>$D$4*EXP(-$D$1*A189)*COS($D$2*A189)</f>
        <v>1.6442129374843759</v>
      </c>
      <c r="C189" s="1">
        <f>$D$4*EXP(-$D$1*A189)</f>
        <v>2.5708011384050562</v>
      </c>
    </row>
    <row r="190" spans="1:3" x14ac:dyDescent="0.25">
      <c r="A190" s="1">
        <f>A189+$D$7</f>
        <v>1.8000100000000014</v>
      </c>
      <c r="B190" s="1">
        <f>$D$4*EXP(-$D$1*A190)*COS($D$2*A190)</f>
        <v>1.5529597812918685</v>
      </c>
      <c r="C190" s="1">
        <f>$D$4*EXP(-$D$1*A190)</f>
        <v>2.5528683683568065</v>
      </c>
    </row>
    <row r="191" spans="1:3" x14ac:dyDescent="0.25">
      <c r="A191" s="1">
        <f>A190+$D$7</f>
        <v>1.8100100000000015</v>
      </c>
      <c r="B191" s="1">
        <f>$D$4*EXP(-$D$1*A191)*COS($D$2*A191)</f>
        <v>1.4604326292663927</v>
      </c>
      <c r="C191" s="1">
        <f>$D$4*EXP(-$D$1*A191)</f>
        <v>2.5350606893693954</v>
      </c>
    </row>
    <row r="192" spans="1:3" x14ac:dyDescent="0.25">
      <c r="A192" s="1">
        <f>A191+$D$7</f>
        <v>1.8200100000000015</v>
      </c>
      <c r="B192" s="1">
        <f>$D$4*EXP(-$D$1*A192)*COS($D$2*A192)</f>
        <v>1.3668006864588287</v>
      </c>
      <c r="C192" s="1">
        <f>$D$4*EXP(-$D$1*A192)</f>
        <v>2.5173772288629861</v>
      </c>
    </row>
    <row r="193" spans="1:3" x14ac:dyDescent="0.25">
      <c r="A193" s="1">
        <f>A192+$D$7</f>
        <v>1.8300100000000015</v>
      </c>
      <c r="B193" s="1">
        <f>$D$4*EXP(-$D$1*A193)*COS($D$2*A193)</f>
        <v>1.2722326144124474</v>
      </c>
      <c r="C193" s="1">
        <f>$D$4*EXP(-$D$1*A193)</f>
        <v>2.4998171203444786</v>
      </c>
    </row>
    <row r="194" spans="1:3" x14ac:dyDescent="0.25">
      <c r="A194" s="1">
        <f>A193+$D$7</f>
        <v>1.8400100000000015</v>
      </c>
      <c r="B194" s="1">
        <f>$D$4*EXP(-$D$1*A194)*COS($D$2*A194)</f>
        <v>1.1768962625718666</v>
      </c>
      <c r="C194" s="1">
        <f>$D$4*EXP(-$D$1*A194)</f>
        <v>2.4823795033650393</v>
      </c>
    </row>
    <row r="195" spans="1:3" x14ac:dyDescent="0.25">
      <c r="A195" s="1">
        <f>A194+$D$7</f>
        <v>1.8500100000000015</v>
      </c>
      <c r="B195" s="1">
        <f>$D$4*EXP(-$D$1*A195)*COS($D$2*A195)</f>
        <v>1.0809584047557292</v>
      </c>
      <c r="C195" s="1">
        <f>$D$4*EXP(-$D$1*A195)</f>
        <v>2.4650635234779497</v>
      </c>
    </row>
    <row r="196" spans="1:3" x14ac:dyDescent="0.25">
      <c r="A196" s="1">
        <f>A195+$D$7</f>
        <v>1.8600100000000015</v>
      </c>
      <c r="B196" s="1">
        <f>$D$4*EXP(-$D$1*A196)*COS($D$2*A196)</f>
        <v>0.98458448105416019</v>
      </c>
      <c r="C196" s="1">
        <f>$D$4*EXP(-$D$1*A196)</f>
        <v>2.4478683321967276</v>
      </c>
    </row>
    <row r="197" spans="1:3" x14ac:dyDescent="0.25">
      <c r="A197" s="1">
        <f>A196+$D$7</f>
        <v>1.8700100000000015</v>
      </c>
      <c r="B197" s="1">
        <f>$D$4*EXP(-$D$1*A197)*COS($D$2*A197)</f>
        <v>0.88793834549818251</v>
      </c>
      <c r="C197" s="1">
        <f>$D$4*EXP(-$D$1*A197)</f>
        <v>2.4307930869535634</v>
      </c>
    </row>
    <row r="198" spans="1:3" x14ac:dyDescent="0.25">
      <c r="A198" s="1">
        <f>A197+$D$7</f>
        <v>1.8800100000000015</v>
      </c>
      <c r="B198" s="1">
        <f>$D$4*EXP(-$D$1*A198)*COS($D$2*A198)</f>
        <v>0.79118201983397163</v>
      </c>
      <c r="C198" s="1">
        <f>$D$4*EXP(-$D$1*A198)</f>
        <v>2.4138369510580207</v>
      </c>
    </row>
    <row r="199" spans="1:3" x14ac:dyDescent="0.25">
      <c r="A199" s="1">
        <f>A198+$D$7</f>
        <v>1.8900100000000015</v>
      </c>
      <c r="B199" s="1">
        <f>$D$4*EXP(-$D$1*A199)*COS($D$2*A199)</f>
        <v>0.69447545372023567</v>
      </c>
      <c r="C199" s="1">
        <f>$D$4*EXP(-$D$1*A199)</f>
        <v>2.3969990936560506</v>
      </c>
    </row>
    <row r="200" spans="1:3" x14ac:dyDescent="0.25">
      <c r="A200" s="1">
        <f>A199+$D$7</f>
        <v>1.9000100000000015</v>
      </c>
      <c r="B200" s="1">
        <f>$D$4*EXP(-$D$1*A200)*COS($D$2*A200)</f>
        <v>0.59797629165203159</v>
      </c>
      <c r="C200" s="1">
        <f>$D$4*EXP(-$D$1*A200)</f>
        <v>2.380278689689268</v>
      </c>
    </row>
    <row r="201" spans="1:3" x14ac:dyDescent="0.25">
      <c r="A201" s="1">
        <f>A200+$D$7</f>
        <v>1.9100100000000015</v>
      </c>
      <c r="B201" s="1">
        <f>$D$4*EXP(-$D$1*A201)*COS($D$2*A201)</f>
        <v>0.50183964689913174</v>
      </c>
      <c r="C201" s="1">
        <f>$D$4*EXP(-$D$1*A201)</f>
        <v>2.3636749198545366</v>
      </c>
    </row>
    <row r="202" spans="1:3" x14ac:dyDescent="0.25">
      <c r="A202" s="1">
        <f>A201+$D$7</f>
        <v>1.9200100000000015</v>
      </c>
      <c r="B202" s="1">
        <f>$D$4*EXP(-$D$1*A202)*COS($D$2*A202)</f>
        <v>0.40621788273153375</v>
      </c>
      <c r="C202" s="1">
        <f>$D$4*EXP(-$D$1*A202)</f>
        <v>2.3471869705638104</v>
      </c>
    </row>
    <row r="203" spans="1:3" x14ac:dyDescent="0.25">
      <c r="A203" s="1">
        <f>A202+$D$7</f>
        <v>1.9300100000000016</v>
      </c>
      <c r="B203" s="1">
        <f>$D$4*EXP(-$D$1*A203)*COS($D$2*A203)</f>
        <v>0.3112604011890141</v>
      </c>
      <c r="C203" s="1">
        <f>$D$4*EXP(-$D$1*A203)</f>
        <v>2.3308140339042756</v>
      </c>
    </row>
    <row r="204" spans="1:3" x14ac:dyDescent="0.25">
      <c r="A204" s="1">
        <f>A203+$D$7</f>
        <v>1.9400100000000016</v>
      </c>
      <c r="B204" s="1">
        <f>$D$4*EXP(-$D$1*A204)*COS($D$2*A204)</f>
        <v>0.2171134396356805</v>
      </c>
      <c r="C204" s="1">
        <f>$D$4*EXP(-$D$1*A204)</f>
        <v>2.3145553075987597</v>
      </c>
    </row>
    <row r="205" spans="1:3" x14ac:dyDescent="0.25">
      <c r="A205" s="1">
        <f>A204+$D$7</f>
        <v>1.9500100000000016</v>
      </c>
      <c r="B205" s="1">
        <f>$D$4*EXP(-$D$1*A205)*COS($D$2*A205)</f>
        <v>0.12391987532439457</v>
      </c>
      <c r="C205" s="1">
        <f>$D$4*EXP(-$D$1*A205)</f>
        <v>2.2984099949664212</v>
      </c>
    </row>
    <row r="206" spans="1:3" x14ac:dyDescent="0.25">
      <c r="A206" s="1">
        <f>A205+$D$7</f>
        <v>1.9600100000000016</v>
      </c>
      <c r="B206" s="1">
        <f>$D$4*EXP(-$D$1*A206)*COS($D$2*A206)</f>
        <v>3.1819038179690805E-2</v>
      </c>
      <c r="C206" s="1">
        <f>$D$4*EXP(-$D$1*A206)</f>
        <v>2.2823773048837097</v>
      </c>
    </row>
    <row r="207" spans="1:3" x14ac:dyDescent="0.25">
      <c r="A207" s="1">
        <f>A206+$D$7</f>
        <v>1.9700100000000016</v>
      </c>
      <c r="B207" s="1">
        <f>$D$4*EXP(-$D$1*A207)*COS($D$2*A207)</f>
        <v>-5.9053468008537308E-2</v>
      </c>
      <c r="C207" s="1">
        <f>$D$4*EXP(-$D$1*A207)</f>
        <v>2.2664564517456047</v>
      </c>
    </row>
    <row r="208" spans="1:3" x14ac:dyDescent="0.25">
      <c r="A208" s="1">
        <f>A207+$D$7</f>
        <v>1.9800100000000016</v>
      </c>
      <c r="B208" s="1">
        <f>$D$4*EXP(-$D$1*A208)*COS($D$2*A208)</f>
        <v>-0.1485659358047576</v>
      </c>
      <c r="C208" s="1">
        <f>$D$4*EXP(-$D$1*A208)</f>
        <v>2.2506466554271158</v>
      </c>
    </row>
    <row r="209" spans="1:3" x14ac:dyDescent="0.25">
      <c r="A209" s="1">
        <f>A208+$D$7</f>
        <v>1.9900100000000016</v>
      </c>
      <c r="B209" s="1">
        <f>$D$4*EXP(-$D$1*A209)*COS($D$2*A209)</f>
        <v>-0.23659071560160205</v>
      </c>
      <c r="C209" s="1">
        <f>$D$4*EXP(-$D$1*A209)</f>
        <v>2.2349471412450601</v>
      </c>
    </row>
    <row r="210" spans="1:3" x14ac:dyDescent="0.25">
      <c r="A210" s="1">
        <f>A209+$D$7</f>
        <v>2.0000100000000014</v>
      </c>
      <c r="B210" s="1">
        <f>$D$4*EXP(-$D$1*A210)*COS($D$2*A210)</f>
        <v>-0.3230043682049617</v>
      </c>
      <c r="C210" s="1">
        <f>$D$4*EXP(-$D$1*A210)</f>
        <v>2.2193571399201026</v>
      </c>
    </row>
    <row r="211" spans="1:3" x14ac:dyDescent="0.25">
      <c r="A211" s="1">
        <f>A210+$D$7</f>
        <v>2.0100100000000012</v>
      </c>
      <c r="B211" s="1">
        <f>$D$4*EXP(-$D$1*A211)*COS($D$2*A211)</f>
        <v>-0.40768780840413182</v>
      </c>
      <c r="C211" s="1">
        <f>$D$4*EXP(-$D$1*A211)</f>
        <v>2.2038758875390578</v>
      </c>
    </row>
    <row r="212" spans="1:3" x14ac:dyDescent="0.25">
      <c r="A212" s="1">
        <f>A211+$D$7</f>
        <v>2.020010000000001</v>
      </c>
      <c r="B212" s="1">
        <f>$D$4*EXP(-$D$1*A212)*COS($D$2*A212)</f>
        <v>-0.49052643941725438</v>
      </c>
      <c r="C212" s="1">
        <f>$D$4*EXP(-$D$1*A212)</f>
        <v>2.1885026255174624</v>
      </c>
    </row>
    <row r="213" spans="1:3" x14ac:dyDescent="0.25">
      <c r="A213" s="1">
        <f>A212+$D$7</f>
        <v>2.0300100000000008</v>
      </c>
      <c r="B213" s="1">
        <f>$D$4*EXP(-$D$1*A213)*COS($D$2*A213)</f>
        <v>-0.57141027811880485</v>
      </c>
      <c r="C213" s="1">
        <f>$D$4*EXP(-$D$1*A213)</f>
        <v>2.1732366005624009</v>
      </c>
    </row>
    <row r="214" spans="1:3" x14ac:dyDescent="0.25">
      <c r="A214" s="1">
        <f>A213+$D$7</f>
        <v>2.0400100000000005</v>
      </c>
      <c r="B214" s="1">
        <f>$D$4*EXP(-$D$1*A214)*COS($D$2*A214)</f>
        <v>-0.65023407097223507</v>
      </c>
      <c r="C214" s="1">
        <f>$D$4*EXP(-$D$1*A214)</f>
        <v>2.1580770646355965</v>
      </c>
    </row>
    <row r="215" spans="1:3" x14ac:dyDescent="0.25">
      <c r="A215" s="1">
        <f>A214+$D$7</f>
        <v>2.0500100000000003</v>
      </c>
      <c r="B215" s="1">
        <f>$D$4*EXP(-$D$1*A215)*COS($D$2*A215)</f>
        <v>-0.72689740060717856</v>
      </c>
      <c r="C215" s="1">
        <f>$D$4*EXP(-$D$1*A215)</f>
        <v>2.1430232749167546</v>
      </c>
    </row>
    <row r="216" spans="1:3" x14ac:dyDescent="0.25">
      <c r="A216" s="1">
        <f>A215+$D$7</f>
        <v>2.0600100000000001</v>
      </c>
      <c r="B216" s="1">
        <f>$D$4*EXP(-$D$1*A216)*COS($D$2*A216)</f>
        <v>-0.80130478299678687</v>
      </c>
      <c r="C216" s="1">
        <f>$D$4*EXP(-$D$1*A216)</f>
        <v>2.1280744937671674</v>
      </c>
    </row>
    <row r="217" spans="1:3" x14ac:dyDescent="0.25">
      <c r="A217" s="1">
        <f>A216+$D$7</f>
        <v>2.0700099999999999</v>
      </c>
      <c r="B217" s="1">
        <f>$D$4*EXP(-$D$1*A217)*COS($D$2*A217)</f>
        <v>-0.87336575520676829</v>
      </c>
      <c r="C217" s="1">
        <f>$D$4*EXP(-$D$1*A217)</f>
        <v>2.1132299886935679</v>
      </c>
    </row>
    <row r="218" spans="1:3" x14ac:dyDescent="0.25">
      <c r="A218" s="1">
        <f>A217+$D$7</f>
        <v>2.0800099999999997</v>
      </c>
      <c r="B218" s="1">
        <f>$D$4*EXP(-$D$1*A218)*COS($D$2*A218)</f>
        <v>-0.94299495370353603</v>
      </c>
      <c r="C218" s="1">
        <f>$D$4*EXP(-$D$1*A218)</f>
        <v>2.0984890323122376</v>
      </c>
    </row>
    <row r="219" spans="1:3" x14ac:dyDescent="0.25">
      <c r="A219" s="1">
        <f>A218+$D$7</f>
        <v>2.0900099999999995</v>
      </c>
      <c r="B219" s="1">
        <f>$D$4*EXP(-$D$1*A219)*COS($D$2*A219)</f>
        <v>-1.010112183224507</v>
      </c>
      <c r="C219" s="1">
        <f>$D$4*EXP(-$D$1*A219)</f>
        <v>2.0838509023133636</v>
      </c>
    </row>
    <row r="220" spans="1:3" x14ac:dyDescent="0.25">
      <c r="A220" s="1">
        <f>A219+$D$7</f>
        <v>2.1000099999999993</v>
      </c>
      <c r="B220" s="1">
        <f>$D$4*EXP(-$D$1*A220)*COS($D$2*A220)</f>
        <v>-1.0746424762289974</v>
      </c>
      <c r="C220" s="1">
        <f>$D$4*EXP(-$D$1*A220)</f>
        <v>2.0693148814256475</v>
      </c>
    </row>
    <row r="221" spans="1:3" x14ac:dyDescent="0.25">
      <c r="A221" s="1">
        <f>A220+$D$7</f>
        <v>2.1100099999999991</v>
      </c>
      <c r="B221" s="1">
        <f>$D$4*EXP(-$D$1*A221)*COS($D$2*A221)</f>
        <v>-1.1365161429633299</v>
      </c>
      <c r="C221" s="1">
        <f>$D$4*EXP(-$D$1*A221)</f>
        <v>2.0548802573811575</v>
      </c>
    </row>
    <row r="222" spans="1:3" x14ac:dyDescent="0.25">
      <c r="A222" s="1">
        <f>A221+$D$7</f>
        <v>2.1200099999999988</v>
      </c>
      <c r="B222" s="1">
        <f>$D$4*EXP(-$D$1*A222)*COS($D$2*A222)</f>
        <v>-1.1956688121886683</v>
      </c>
      <c r="C222" s="1">
        <f>$D$4*EXP(-$D$1*A222)</f>
        <v>2.0405463228804268</v>
      </c>
    </row>
    <row r="223" spans="1:3" x14ac:dyDescent="0.25">
      <c r="A223" s="1">
        <f>A222+$D$7</f>
        <v>2.1300099999999986</v>
      </c>
      <c r="B223" s="1">
        <f>$D$4*EXP(-$D$1*A223)*COS($D$2*A223)</f>
        <v>-1.2520414626347085</v>
      </c>
      <c r="C223" s="1">
        <f>$D$4*EXP(-$D$1*A223)</f>
        <v>2.0263123755577976</v>
      </c>
    </row>
    <row r="224" spans="1:3" x14ac:dyDescent="0.25">
      <c r="A224" s="1">
        <f>A223+$D$7</f>
        <v>2.1400099999999984</v>
      </c>
      <c r="B224" s="1">
        <f>$D$4*EXP(-$D$1*A224)*COS($D$2*A224)</f>
        <v>-1.3055804452566568</v>
      </c>
      <c r="C224" s="1">
        <f>$D$4*EXP(-$D$1*A224)</f>
        <v>2.0121777179470026</v>
      </c>
    </row>
    <row r="225" spans="1:3" x14ac:dyDescent="0.25">
      <c r="A225" s="1">
        <f>A224+$D$7</f>
        <v>2.1500099999999982</v>
      </c>
      <c r="B225" s="1">
        <f>$D$4*EXP(-$D$1*A225)*COS($D$2*A225)</f>
        <v>-1.3562374963869157</v>
      </c>
      <c r="C225" s="1">
        <f>$D$4*EXP(-$D$1*A225)</f>
        <v>1.9981416574469906</v>
      </c>
    </row>
    <row r="226" spans="1:3" x14ac:dyDescent="0.25">
      <c r="A226" s="1">
        <f>A225+$D$7</f>
        <v>2.160009999999998</v>
      </c>
      <c r="B226" s="1">
        <f>$D$4*EXP(-$D$1*A226)*COS($D$2*A226)</f>
        <v>-1.4039697418865267</v>
      </c>
      <c r="C226" s="1">
        <f>$D$4*EXP(-$D$1*A226)</f>
        <v>1.9842035062879892</v>
      </c>
    </row>
    <row r="227" spans="1:3" x14ac:dyDescent="0.25">
      <c r="A227" s="1">
        <f>A226+$D$7</f>
        <v>2.1700099999999978</v>
      </c>
      <c r="B227" s="1">
        <f>$D$4*EXP(-$D$1*A227)*COS($D$2*A227)</f>
        <v>-1.4487396924147002</v>
      </c>
      <c r="C227" s="1">
        <f>$D$4*EXP(-$D$1*A227)</f>
        <v>1.9703625814978025</v>
      </c>
    </row>
    <row r="228" spans="1:3" x14ac:dyDescent="0.25">
      <c r="A228" s="1">
        <f>A227+$D$7</f>
        <v>2.1800099999999976</v>
      </c>
      <c r="B228" s="1">
        <f>$D$4*EXP(-$D$1*A228)*COS($D$2*A228)</f>
        <v>-1.4905152299476589</v>
      </c>
      <c r="C228" s="1">
        <f>$D$4*EXP(-$D$1*A228)</f>
        <v>1.9566182048683471</v>
      </c>
    </row>
    <row r="229" spans="1:3" x14ac:dyDescent="0.25">
      <c r="A229" s="1">
        <f>A228+$D$7</f>
        <v>2.1900099999999973</v>
      </c>
      <c r="B229" s="1">
        <f>$D$4*EXP(-$D$1*A229)*COS($D$2*A229)</f>
        <v>-1.5292695856905183</v>
      </c>
      <c r="C229" s="1">
        <f>$D$4*EXP(-$D$1*A229)</f>
        <v>1.9429697029224169</v>
      </c>
    </row>
    <row r="230" spans="1:3" x14ac:dyDescent="0.25">
      <c r="A230" s="1">
        <f>A229+$D$7</f>
        <v>2.2000099999999971</v>
      </c>
      <c r="B230" s="1">
        <f>$D$4*EXP(-$D$1*A230)*COS($D$2*A230)</f>
        <v>-1.5649813095380369</v>
      </c>
      <c r="C230" s="1">
        <f>$D$4*EXP(-$D$1*A230)</f>
        <v>1.9294164068806865</v>
      </c>
    </row>
    <row r="231" spans="1:3" x14ac:dyDescent="0.25">
      <c r="A231" s="1">
        <f>A230+$D$7</f>
        <v>2.2100099999999969</v>
      </c>
      <c r="B231" s="1">
        <f>$D$4*EXP(-$D$1*A231)*COS($D$2*A231)</f>
        <v>-1.5976342312517156</v>
      </c>
      <c r="C231" s="1">
        <f>$D$4*EXP(-$D$1*A231)</f>
        <v>1.9159576526289381</v>
      </c>
    </row>
    <row r="232" spans="1:3" x14ac:dyDescent="0.25">
      <c r="A232" s="1">
        <f>A231+$D$7</f>
        <v>2.2200099999999967</v>
      </c>
      <c r="B232" s="1">
        <f>$D$4*EXP(-$D$1*A232)*COS($D$2*A232)</f>
        <v>-1.627217413531985</v>
      </c>
      <c r="C232" s="1">
        <f>$D$4*EXP(-$D$1*A232)</f>
        <v>1.9025927806855203</v>
      </c>
    </row>
    <row r="233" spans="1:3" x14ac:dyDescent="0.25">
      <c r="A233" s="1">
        <f>A232+$D$7</f>
        <v>2.2300099999999965</v>
      </c>
      <c r="B233" s="1">
        <f>$D$4*EXP(-$D$1*A233)*COS($D$2*A233)</f>
        <v>-1.6537250971749879</v>
      </c>
      <c r="C233" s="1">
        <f>$D$4*EXP(-$D$1*A233)</f>
        <v>1.8893211361690341</v>
      </c>
    </row>
    <row r="234" spans="1:3" x14ac:dyDescent="0.25">
      <c r="A234" s="1">
        <f>A233+$D$7</f>
        <v>2.2400099999999963</v>
      </c>
      <c r="B234" s="1">
        <f>$D$4*EXP(-$D$1*A234)*COS($D$2*A234)</f>
        <v>-1.6771566385137937</v>
      </c>
      <c r="C234" s="1">
        <f>$D$4*EXP(-$D$1*A234)</f>
        <v>1.8761420687662422</v>
      </c>
    </row>
    <row r="235" spans="1:3" x14ac:dyDescent="0.25">
      <c r="A235" s="1">
        <f>A234+$D$7</f>
        <v>2.2500099999999961</v>
      </c>
      <c r="B235" s="1">
        <f>$D$4*EXP(-$D$1*A235)*COS($D$2*A235)</f>
        <v>-1.6975164393537396</v>
      </c>
      <c r="C235" s="1">
        <f>$D$4*EXP(-$D$1*A235)</f>
        <v>1.8630549327002051</v>
      </c>
    </row>
    <row r="236" spans="1:3" x14ac:dyDescent="0.25">
      <c r="A236" s="1">
        <f>A235+$D$7</f>
        <v>2.2600099999999959</v>
      </c>
      <c r="B236" s="1">
        <f>$D$4*EXP(-$D$1*A236)*COS($D$2*A236)</f>
        <v>-1.7148138696209652</v>
      </c>
      <c r="C236" s="1">
        <f>$D$4*EXP(-$D$1*A236)</f>
        <v>1.8500590866986373</v>
      </c>
    </row>
    <row r="237" spans="1:3" x14ac:dyDescent="0.25">
      <c r="A237" s="1">
        <f>A236+$D$7</f>
        <v>2.2700099999999956</v>
      </c>
      <c r="B237" s="1">
        <f>$D$4*EXP(-$D$1*A237)*COS($D$2*A237)</f>
        <v>-1.7290631829520828</v>
      </c>
      <c r="C237" s="1">
        <f>$D$4*EXP(-$D$1*A237)</f>
        <v>1.8371538939624841</v>
      </c>
    </row>
    <row r="238" spans="1:3" x14ac:dyDescent="0.25">
      <c r="A238" s="1">
        <f>A237+$D$7</f>
        <v>2.2800099999999954</v>
      </c>
      <c r="B238" s="1">
        <f>$D$4*EXP(-$D$1*A238)*COS($D$2*A238)</f>
        <v>-1.7402834254613382</v>
      </c>
      <c r="C238" s="1">
        <f>$D$4*EXP(-$D$1*A238)</f>
        <v>1.82433872213472</v>
      </c>
    </row>
    <row r="239" spans="1:3" x14ac:dyDescent="0.25">
      <c r="A239" s="1">
        <f>A238+$D$7</f>
        <v>2.2900099999999952</v>
      </c>
      <c r="B239" s="1">
        <f>$D$4*EXP(-$D$1*A239)*COS($D$2*A239)</f>
        <v>-1.7484983379294685</v>
      </c>
      <c r="C239" s="1">
        <f>$D$4*EXP(-$D$1*A239)</f>
        <v>1.8116129432693604</v>
      </c>
    </row>
    <row r="240" spans="1:3" x14ac:dyDescent="0.25">
      <c r="A240" s="1">
        <f>A239+$D$7</f>
        <v>2.300009999999995</v>
      </c>
      <c r="B240" s="1">
        <f>$D$4*EXP(-$D$1*A240)*COS($D$2*A240)</f>
        <v>-1.7537362516658728</v>
      </c>
      <c r="C240" s="1">
        <f>$D$4*EXP(-$D$1*A240)</f>
        <v>1.7989759338006954</v>
      </c>
    </row>
    <row r="241" spans="1:3" x14ac:dyDescent="0.25">
      <c r="A241" s="1">
        <f>A240+$D$7</f>
        <v>2.3100099999999948</v>
      </c>
      <c r="B241" s="1">
        <f>$D$4*EXP(-$D$1*A241)*COS($D$2*A241)</f>
        <v>-1.7560299783025404</v>
      </c>
      <c r="C241" s="1">
        <f>$D$4*EXP(-$D$1*A241)</f>
        <v>1.7864270745127322</v>
      </c>
    </row>
    <row r="242" spans="1:3" x14ac:dyDescent="0.25">
      <c r="A242" s="1">
        <f>A241+$D$7</f>
        <v>2.3200099999999946</v>
      </c>
      <c r="B242" s="1">
        <f>$D$4*EXP(-$D$1*A242)*COS($D$2*A242)</f>
        <v>-1.7554166937845519</v>
      </c>
      <c r="C242" s="1">
        <f>$D$4*EXP(-$D$1*A242)</f>
        <v>1.7739657505088551</v>
      </c>
    </row>
    <row r="243" spans="1:3" x14ac:dyDescent="0.25">
      <c r="A243" s="1">
        <f>A242+$D$7</f>
        <v>2.3300099999999944</v>
      </c>
      <c r="B243" s="1">
        <f>$D$4*EXP(-$D$1*A243)*COS($D$2*A243)</f>
        <v>-1.7519378168277659</v>
      </c>
      <c r="C243" s="1">
        <f>$D$4*EXP(-$D$1*A243)</f>
        <v>1.7615913511816945</v>
      </c>
    </row>
    <row r="244" spans="1:3" x14ac:dyDescent="0.25">
      <c r="A244" s="1">
        <f>A243+$D$7</f>
        <v>2.3400099999999942</v>
      </c>
      <c r="B244" s="1">
        <f>$D$4*EXP(-$D$1*A244)*COS($D$2*A244)</f>
        <v>-1.7456388821196163</v>
      </c>
      <c r="C244" s="1">
        <f>$D$4*EXP(-$D$1*A244)</f>
        <v>1.7493032701832074</v>
      </c>
    </row>
    <row r="245" spans="1:3" x14ac:dyDescent="0.25">
      <c r="A245" s="1">
        <f>A244+$D$7</f>
        <v>2.3500099999999939</v>
      </c>
      <c r="B245" s="1">
        <f>$D$4*EXP(-$D$1*A245)*COS($D$2*A245)</f>
        <v>-1.7365694085437091</v>
      </c>
      <c r="C245" s="1">
        <f>$D$4*EXP(-$D$1*A245)</f>
        <v>1.7371009053949662</v>
      </c>
    </row>
    <row r="246" spans="1:3" x14ac:dyDescent="0.25">
      <c r="A246" s="1">
        <f>A245+$D$7</f>
        <v>2.3600099999999937</v>
      </c>
      <c r="B246" s="1">
        <f>$D$4*EXP(-$D$1*A246)*COS($D$2*A246)</f>
        <v>-1.7247827627131516</v>
      </c>
      <c r="C246" s="1">
        <f>$D$4*EXP(-$D$1*A246)</f>
        <v>1.7249836588986547</v>
      </c>
    </row>
    <row r="247" spans="1:3" x14ac:dyDescent="0.25">
      <c r="A247" s="1">
        <f>A246+$D$7</f>
        <v>2.3700099999999935</v>
      </c>
      <c r="B247" s="1">
        <f>$D$4*EXP(-$D$1*A247)*COS($D$2*A247)</f>
        <v>-1.7103360181012748</v>
      </c>
      <c r="C247" s="1">
        <f>$D$4*EXP(-$D$1*A247)</f>
        <v>1.7129509369467706</v>
      </c>
    </row>
    <row r="248" spans="1:3" x14ac:dyDescent="0.25">
      <c r="A248" s="1">
        <f>A247+$D$7</f>
        <v>2.3800099999999933</v>
      </c>
      <c r="B248" s="1">
        <f>$D$4*EXP(-$D$1*A248)*COS($D$2*A248)</f>
        <v>-1.6932898100615901</v>
      </c>
      <c r="C248" s="1">
        <f>$D$4*EXP(-$D$1*A248)</f>
        <v>1.7010021499335304</v>
      </c>
    </row>
    <row r="249" spans="1:3" x14ac:dyDescent="0.25">
      <c r="A249" s="1">
        <f>A248+$D$7</f>
        <v>2.3900099999999931</v>
      </c>
      <c r="B249" s="1">
        <f>$D$4*EXP(-$D$1*A249)*COS($D$2*A249)</f>
        <v>-1.6737081870315134</v>
      </c>
      <c r="C249" s="1">
        <f>$D$4*EXP(-$D$1*A249)</f>
        <v>1.6891367123659795</v>
      </c>
    </row>
    <row r="250" spans="1:3" x14ac:dyDescent="0.25">
      <c r="A250" s="1">
        <f>A249+$D$7</f>
        <v>2.4000099999999929</v>
      </c>
      <c r="B250" s="1">
        <f>$D$4*EXP(-$D$1*A250)*COS($D$2*A250)</f>
        <v>-1.6516584582165297</v>
      </c>
      <c r="C250" s="1">
        <f>$D$4*EXP(-$D$1*A250)</f>
        <v>1.6773540428353031</v>
      </c>
    </row>
    <row r="251" spans="1:3" x14ac:dyDescent="0.25">
      <c r="A251" s="1">
        <f>A250+$D$7</f>
        <v>2.4100099999999927</v>
      </c>
      <c r="B251" s="1">
        <f>$D$4*EXP(-$D$1*A251)*COS($D$2*A251)</f>
        <v>-1.6272110380531104</v>
      </c>
      <c r="C251" s="1">
        <f>$D$4*EXP(-$D$1*A251)</f>
        <v>1.6656535639883367</v>
      </c>
    </row>
    <row r="252" spans="1:3" x14ac:dyDescent="0.25">
      <c r="A252" s="1">
        <f>A251+$D$7</f>
        <v>2.4200099999999924</v>
      </c>
      <c r="B252" s="1">
        <f>$D$4*EXP(-$D$1*A252)*COS($D$2*A252)</f>
        <v>-1.6004392877498286</v>
      </c>
      <c r="C252" s="1">
        <f>$D$4*EXP(-$D$1*A252)</f>
        <v>1.6540347024992761</v>
      </c>
    </row>
    <row r="253" spans="1:3" x14ac:dyDescent="0.25">
      <c r="A253" s="1">
        <f>A252+$D$7</f>
        <v>2.4300099999999922</v>
      </c>
      <c r="B253" s="1">
        <f>$D$4*EXP(-$D$1*A253)*COS($D$2*A253)</f>
        <v>-1.5714193542067365</v>
      </c>
      <c r="C253" s="1">
        <f>$D$4*EXP(-$D$1*A253)</f>
        <v>1.6424968890415834</v>
      </c>
    </row>
    <row r="254" spans="1:3" x14ac:dyDescent="0.25">
      <c r="A254" s="1">
        <f>A253+$D$7</f>
        <v>2.440009999999992</v>
      </c>
      <c r="B254" s="1">
        <f>$D$4*EXP(-$D$1*A254)*COS($D$2*A254)</f>
        <v>-1.5402300066131824</v>
      </c>
      <c r="C254" s="1">
        <f>$D$4*EXP(-$D$1*A254)</f>
        <v>1.6310395582600901</v>
      </c>
    </row>
    <row r="255" spans="1:3" x14ac:dyDescent="0.25">
      <c r="A255" s="1">
        <f>A254+$D$7</f>
        <v>2.4500099999999918</v>
      </c>
      <c r="B255" s="1">
        <f>$D$4*EXP(-$D$1*A255)*COS($D$2*A255)</f>
        <v>-1.5069524710238864</v>
      </c>
      <c r="C255" s="1">
        <f>$D$4*EXP(-$D$1*A255)</f>
        <v>1.6196621487432961</v>
      </c>
    </row>
    <row r="256" spans="1:3" x14ac:dyDescent="0.25">
      <c r="A256" s="1">
        <f>A255+$D$7</f>
        <v>2.4600099999999916</v>
      </c>
      <c r="B256" s="1">
        <f>$D$4*EXP(-$D$1*A256)*COS($D$2*A256)</f>
        <v>-1.4716702632122223</v>
      </c>
      <c r="C256" s="1">
        <f>$D$4*EXP(-$D$1*A256)</f>
        <v>1.6083641029958582</v>
      </c>
    </row>
    <row r="257" spans="1:3" x14ac:dyDescent="0.25">
      <c r="A257" s="1">
        <f>A256+$D$7</f>
        <v>2.4700099999999914</v>
      </c>
      <c r="B257" s="1">
        <f>$D$4*EXP(-$D$1*A257)*COS($D$2*A257)</f>
        <v>-1.4344690200983268</v>
      </c>
      <c r="C257" s="1">
        <f>$D$4*EXP(-$D$1*A257)</f>
        <v>1.5971448674112749</v>
      </c>
    </row>
    <row r="258" spans="1:3" x14ac:dyDescent="0.25">
      <c r="A258" s="1">
        <f>A257+$D$7</f>
        <v>2.4800099999999912</v>
      </c>
      <c r="B258" s="1">
        <f>$D$4*EXP(-$D$1*A258)*COS($D$2*A258)</f>
        <v>-1.3954363300478465</v>
      </c>
      <c r="C258" s="1">
        <f>$D$4*EXP(-$D$1*A258)</f>
        <v>1.5860038922447572</v>
      </c>
    </row>
    <row r="259" spans="1:3" x14ac:dyDescent="0.25">
      <c r="A259" s="1">
        <f>A258+$D$7</f>
        <v>2.490009999999991</v>
      </c>
      <c r="B259" s="1">
        <f>$D$4*EXP(-$D$1*A259)*COS($D$2*A259)</f>
        <v>-1.3546615623348792</v>
      </c>
      <c r="C259" s="1">
        <f>$D$4*EXP(-$D$1*A259)</f>
        <v>1.5749406315862928</v>
      </c>
    </row>
    <row r="260" spans="1:3" x14ac:dyDescent="0.25">
      <c r="A260" s="1">
        <f>A259+$D$7</f>
        <v>2.5000099999999907</v>
      </c>
      <c r="B260" s="1">
        <f>$D$4*EXP(-$D$1*A260)*COS($D$2*A260)</f>
        <v>-1.3122356960599399</v>
      </c>
      <c r="C260" s="1">
        <f>$D$4*EXP(-$D$1*A260)</f>
        <v>1.5639545433338959</v>
      </c>
    </row>
    <row r="261" spans="1:3" x14ac:dyDescent="0.25">
      <c r="A261" s="1">
        <f>A260+$D$7</f>
        <v>2.5100099999999905</v>
      </c>
      <c r="B261" s="1">
        <f>$D$4*EXP(-$D$1*A261)*COS($D$2*A261)</f>
        <v>-1.2682511488106434</v>
      </c>
      <c r="C261" s="1">
        <f>$D$4*EXP(-$D$1*A261)</f>
        <v>1.5530450891670444</v>
      </c>
    </row>
    <row r="262" spans="1:3" x14ac:dyDescent="0.25">
      <c r="A262" s="1">
        <f>A261+$D$7</f>
        <v>2.5200099999999903</v>
      </c>
      <c r="B262" s="1">
        <f>$D$4*EXP(-$D$1*A262)*COS($D$2*A262)</f>
        <v>-1.2228016053492079</v>
      </c>
      <c r="C262" s="1">
        <f>$D$4*EXP(-$D$1*A262)</f>
        <v>1.5422117345203012</v>
      </c>
    </row>
    <row r="263" spans="1:3" x14ac:dyDescent="0.25">
      <c r="A263" s="1">
        <f>A262+$D$7</f>
        <v>2.5300099999999901</v>
      </c>
      <c r="B263" s="1">
        <f>$D$4*EXP(-$D$1*A263)*COS($D$2*A263)</f>
        <v>-1.1759818466068976</v>
      </c>
      <c r="C263" s="1">
        <f>$D$4*EXP(-$D$1*A263)</f>
        <v>1.5314539485571206</v>
      </c>
    </row>
    <row r="264" spans="1:3" x14ac:dyDescent="0.25">
      <c r="A264" s="1">
        <f>A263+$D$7</f>
        <v>2.5400099999999899</v>
      </c>
      <c r="B264" s="1">
        <f>$D$4*EXP(-$D$1*A264)*COS($D$2*A264)</f>
        <v>-1.1278875792611225</v>
      </c>
      <c r="C264" s="1">
        <f>$D$4*EXP(-$D$1*A264)</f>
        <v>1.5207712041438382</v>
      </c>
    </row>
    <row r="265" spans="1:3" x14ac:dyDescent="0.25">
      <c r="A265" s="1">
        <f>A264+$D$7</f>
        <v>2.5500099999999897</v>
      </c>
      <c r="B265" s="1">
        <f>$D$4*EXP(-$D$1*A265)*COS($D$2*A265)</f>
        <v>-1.0786152661661188</v>
      </c>
      <c r="C265" s="1">
        <f>$D$4*EXP(-$D$1*A265)</f>
        <v>1.5101629778238401</v>
      </c>
    </row>
    <row r="266" spans="1:3" x14ac:dyDescent="0.25">
      <c r="A266" s="1">
        <f>A265+$D$7</f>
        <v>2.5600099999999895</v>
      </c>
      <c r="B266" s="1">
        <f>$D$4*EXP(-$D$1*A266)*COS($D$2*A266)</f>
        <v>-1.0282619579029877</v>
      </c>
      <c r="C266" s="1">
        <f>$D$4*EXP(-$D$1*A266)</f>
        <v>1.4996287497919145</v>
      </c>
    </row>
    <row r="267" spans="1:3" x14ac:dyDescent="0.25">
      <c r="A267" s="1">
        <f>A266+$D$7</f>
        <v>2.5700099999999892</v>
      </c>
      <c r="B267" s="1">
        <f>$D$4*EXP(-$D$1*A267)*COS($D$2*A267)</f>
        <v>-0.976925125709321</v>
      </c>
      <c r="C267" s="1">
        <f>$D$4*EXP(-$D$1*A267)</f>
        <v>1.48916800386878</v>
      </c>
    </row>
    <row r="268" spans="1:3" x14ac:dyDescent="0.25">
      <c r="A268" s="1">
        <f>A267+$D$7</f>
        <v>2.580009999999989</v>
      </c>
      <c r="B268" s="1">
        <f>$D$4*EXP(-$D$1*A268)*COS($D$2*A268)</f>
        <v>-0.92470249604278365</v>
      </c>
      <c r="C268" s="1">
        <f>$D$4*EXP(-$D$1*A268)</f>
        <v>1.4787802274757933</v>
      </c>
    </row>
    <row r="269" spans="1:3" x14ac:dyDescent="0.25">
      <c r="A269" s="1">
        <f>A268+$D$7</f>
        <v>2.5900099999999888</v>
      </c>
      <c r="B269" s="1">
        <f>$D$4*EXP(-$D$1*A269)*COS($D$2*A269)</f>
        <v>-0.87169188702679745</v>
      </c>
      <c r="C269" s="1">
        <f>$D$4*EXP(-$D$1*A269)</f>
        <v>1.4684649116098325</v>
      </c>
    </row>
    <row r="270" spans="1:3" x14ac:dyDescent="0.25">
      <c r="A270" s="1">
        <f>A269+$D$7</f>
        <v>2.6000099999999886</v>
      </c>
      <c r="B270" s="1">
        <f>$D$4*EXP(-$D$1*A270)*COS($D$2*A270)</f>
        <v>-0.81799104701995218</v>
      </c>
      <c r="C270" s="1">
        <f>$D$4*EXP(-$D$1*A270)</f>
        <v>1.4582215508183565</v>
      </c>
    </row>
    <row r="271" spans="1:3" x14ac:dyDescent="0.25">
      <c r="A271" s="1">
        <f>A270+$D$7</f>
        <v>2.6100099999999884</v>
      </c>
      <c r="B271" s="1">
        <f>$D$4*EXP(-$D$1*A271)*COS($D$2*A271)</f>
        <v>-0.7636974955439193</v>
      </c>
      <c r="C271" s="1">
        <f>$D$4*EXP(-$D$1*A271)</f>
        <v>1.4480496431746368</v>
      </c>
    </row>
    <row r="272" spans="1:3" x14ac:dyDescent="0.25">
      <c r="A272" s="1">
        <f>A271+$D$7</f>
        <v>2.6200099999999882</v>
      </c>
      <c r="B272" s="1">
        <f>$D$4*EXP(-$D$1*A272)*COS($D$2*A272)</f>
        <v>-0.70890836679753289</v>
      </c>
      <c r="C272" s="1">
        <f>$D$4*EXP(-$D$1*A272)</f>
        <v>1.437948690253164</v>
      </c>
    </row>
    <row r="273" spans="1:3" x14ac:dyDescent="0.25">
      <c r="A273" s="1">
        <f>A272+$D$7</f>
        <v>2.630009999999988</v>
      </c>
      <c r="B273" s="1">
        <f>$D$4*EXP(-$D$1*A273)*COS($D$2*A273)</f>
        <v>-0.65372025597729022</v>
      </c>
      <c r="C273" s="1">
        <f>$D$4*EXP(-$D$1*A273)</f>
        <v>1.4279181971052233</v>
      </c>
    </row>
    <row r="274" spans="1:3" x14ac:dyDescent="0.25">
      <c r="A274" s="1">
        <f>A273+$D$7</f>
        <v>2.6400099999999878</v>
      </c>
      <c r="B274" s="1">
        <f>$D$4*EXP(-$D$1*A274)*COS($D$2*A274)</f>
        <v>-0.59822906861687819</v>
      </c>
      <c r="C274" s="1">
        <f>$D$4*EXP(-$D$1*A274)</f>
        <v>1.4179576722346441</v>
      </c>
    </row>
    <row r="275" spans="1:3" x14ac:dyDescent="0.25">
      <c r="A275" s="1">
        <f>A274+$D$7</f>
        <v>2.6500099999999875</v>
      </c>
      <c r="B275" s="1">
        <f>$D$4*EXP(-$D$1*A275)*COS($D$2*A275)</f>
        <v>-0.54252987315042256</v>
      </c>
      <c r="C275" s="1">
        <f>$D$4*EXP(-$D$1*A275)</f>
        <v>1.4080666275737141</v>
      </c>
    </row>
    <row r="276" spans="1:3" x14ac:dyDescent="0.25">
      <c r="A276" s="1">
        <f>A275+$D$7</f>
        <v>2.6600099999999873</v>
      </c>
      <c r="B276" s="1">
        <f>$D$4*EXP(-$D$1*A276)*COS($D$2*A276)</f>
        <v>-0.48671675689604371</v>
      </c>
      <c r="C276" s="1">
        <f>$D$4*EXP(-$D$1*A276)</f>
        <v>1.3982445784592668</v>
      </c>
    </row>
    <row r="277" spans="1:3" x14ac:dyDescent="0.25">
      <c r="A277" s="1">
        <f>A276+$D$7</f>
        <v>2.6700099999999871</v>
      </c>
      <c r="B277" s="1">
        <f>$D$4*EXP(-$D$1*A277)*COS($D$2*A277)</f>
        <v>-0.43088268564795967</v>
      </c>
      <c r="C277" s="1">
        <f>$D$4*EXP(-$D$1*A277)</f>
        <v>1.3884910436089299</v>
      </c>
    </row>
    <row r="278" spans="1:3" x14ac:dyDescent="0.25">
      <c r="A278" s="1">
        <f>A277+$D$7</f>
        <v>2.6800099999999869</v>
      </c>
      <c r="B278" s="1">
        <f>$D$4*EXP(-$D$1*A278)*COS($D$2*A278)</f>
        <v>-0.37511936705686028</v>
      </c>
      <c r="C278" s="1">
        <f>$D$4*EXP(-$D$1*A278)</f>
        <v>1.3788055450975443</v>
      </c>
    </row>
    <row r="279" spans="1:3" x14ac:dyDescent="0.25">
      <c r="A279" s="1">
        <f>A278+$D$7</f>
        <v>2.6900099999999867</v>
      </c>
      <c r="B279" s="1">
        <f>$D$4*EXP(-$D$1*A279)*COS($D$2*A279)</f>
        <v>-0.31951711796956955</v>
      </c>
      <c r="C279" s="1">
        <f>$D$4*EXP(-$D$1*A279)</f>
        <v>1.3691876083337444</v>
      </c>
    </row>
    <row r="280" spans="1:3" x14ac:dyDescent="0.25">
      <c r="A280" s="1">
        <f>A279+$D$7</f>
        <v>2.7000099999999865</v>
      </c>
      <c r="B280" s="1">
        <f>$D$4*EXP(-$D$1*A280)*COS($D$2*A280)</f>
        <v>-0.26416473589015554</v>
      </c>
      <c r="C280" s="1">
        <f>$D$4*EXP(-$D$1*A280)</f>
        <v>1.3596367620367051</v>
      </c>
    </row>
    <row r="281" spans="1:3" x14ac:dyDescent="0.25">
      <c r="A281" s="1">
        <f>A280+$D$7</f>
        <v>2.7100099999999863</v>
      </c>
      <c r="B281" s="1">
        <f>$D$4*EXP(-$D$1*A281)*COS($D$2*A281)</f>
        <v>-0.20914937471564496</v>
      </c>
      <c r="C281" s="1">
        <f>$D$4*EXP(-$D$1*A281)</f>
        <v>1.350152538213047</v>
      </c>
    </row>
    <row r="282" spans="1:3" x14ac:dyDescent="0.25">
      <c r="A282" s="1">
        <f>A281+$D$7</f>
        <v>2.7200099999999861</v>
      </c>
      <c r="B282" s="1">
        <f>$D$4*EXP(-$D$1*A282)*COS($D$2*A282)</f>
        <v>-0.15455642489036983</v>
      </c>
      <c r="C282" s="1">
        <f>$D$4*EXP(-$D$1*A282)</f>
        <v>1.3407344721339047</v>
      </c>
    </row>
    <row r="283" spans="1:3" x14ac:dyDescent="0.25">
      <c r="A283" s="1">
        <f>A282+$D$7</f>
        <v>2.7300099999999858</v>
      </c>
      <c r="B283" s="1">
        <f>$D$4*EXP(-$D$1*A283)*COS($D$2*A283)</f>
        <v>-0.10046939811374032</v>
      </c>
      <c r="C283" s="1">
        <f>$D$4*EXP(-$D$1*A283)</f>
        <v>1.3313821023121559</v>
      </c>
    </row>
    <row r="284" spans="1:3" x14ac:dyDescent="0.25">
      <c r="A284" s="1">
        <f>A283+$D$7</f>
        <v>2.7400099999999856</v>
      </c>
      <c r="B284" s="1">
        <f>$D$4*EXP(-$D$1*A284)*COS($D$2*A284)</f>
        <v>-4.6969816726903778E-2</v>
      </c>
      <c r="C284" s="1">
        <f>$D$4*EXP(-$D$1*A284)</f>
        <v>1.3220949704798082</v>
      </c>
    </row>
    <row r="285" spans="1:3" x14ac:dyDescent="0.25">
      <c r="A285" s="1">
        <f>A284+$D$7</f>
        <v>2.7500099999999854</v>
      </c>
      <c r="B285" s="1">
        <f>$D$4*EXP(-$D$1*A285)*COS($D$2*A285)</f>
        <v>5.862892105651228E-3</v>
      </c>
      <c r="C285" s="1">
        <f>$D$4*EXP(-$D$1*A285)</f>
        <v>1.3128726215655435</v>
      </c>
    </row>
    <row r="286" spans="1:3" x14ac:dyDescent="0.25">
      <c r="A286" s="1">
        <f>A285+$D$7</f>
        <v>2.7600099999999852</v>
      </c>
      <c r="B286" s="1">
        <f>$D$4*EXP(-$D$1*A286)*COS($D$2*A286)</f>
        <v>5.7951497312952356E-2</v>
      </c>
      <c r="C286" s="1">
        <f>$D$4*EXP(-$D$1*A286)</f>
        <v>1.3037146036724199</v>
      </c>
    </row>
    <row r="287" spans="1:3" x14ac:dyDescent="0.25">
      <c r="A287" s="1">
        <f>A286+$D$7</f>
        <v>2.770009999999985</v>
      </c>
      <c r="B287" s="1">
        <f>$D$4*EXP(-$D$1*A287)*COS($D$2*A287)</f>
        <v>0.1092210598357765</v>
      </c>
      <c r="C287" s="1">
        <f>$D$4*EXP(-$D$1*A287)</f>
        <v>1.2946204680557287</v>
      </c>
    </row>
    <row r="288" spans="1:3" x14ac:dyDescent="0.25">
      <c r="A288" s="1">
        <f>A287+$D$7</f>
        <v>2.7800099999999848</v>
      </c>
      <c r="B288" s="1">
        <f>$D$4*EXP(-$D$1*A288)*COS($D$2*A288)</f>
        <v>0.15959902345870572</v>
      </c>
      <c r="C288" s="1">
        <f>$D$4*EXP(-$D$1*A288)</f>
        <v>1.2855897691010043</v>
      </c>
    </row>
    <row r="289" spans="1:3" x14ac:dyDescent="0.25">
      <c r="A289" s="1">
        <f>A288+$D$7</f>
        <v>2.7900099999999846</v>
      </c>
      <c r="B289" s="1">
        <f>$D$4*EXP(-$D$1*A289)*COS($D$2*A289)</f>
        <v>0.20901530047799863</v>
      </c>
      <c r="C289" s="1">
        <f>$D$4*EXP(-$D$1*A289)</f>
        <v>1.2766220643021913</v>
      </c>
    </row>
    <row r="290" spans="1:3" x14ac:dyDescent="0.25">
      <c r="A290" s="1">
        <f>A289+$D$7</f>
        <v>2.8000099999999843</v>
      </c>
      <c r="B290" s="1">
        <f>$D$4*EXP(-$D$1*A290)*COS($D$2*A290)</f>
        <v>0.25740235213680907</v>
      </c>
      <c r="C290" s="1">
        <f>$D$4*EXP(-$D$1*A290)</f>
        <v>1.2677169142399602</v>
      </c>
    </row>
    <row r="291" spans="1:3" x14ac:dyDescent="0.25">
      <c r="A291" s="1">
        <f>A290+$D$7</f>
        <v>2.8100099999999841</v>
      </c>
      <c r="B291" s="1">
        <f>$D$4*EXP(-$D$1*A291)*COS($D$2*A291)</f>
        <v>0.30469526376880363</v>
      </c>
      <c r="C291" s="1">
        <f>$D$4*EXP(-$D$1*A291)</f>
        <v>1.2588738825601764</v>
      </c>
    </row>
    <row r="292" spans="1:3" x14ac:dyDescent="0.25">
      <c r="A292" s="1">
        <f>A291+$D$7</f>
        <v>2.8200099999999839</v>
      </c>
      <c r="B292" s="1">
        <f>$D$4*EXP(-$D$1*A292)*COS($D$2*A292)</f>
        <v>0.35083181460071255</v>
      </c>
      <c r="C292" s="1">
        <f>$D$4*EXP(-$D$1*A292)</f>
        <v>1.2500925359525183</v>
      </c>
    </row>
    <row r="293" spans="1:3" x14ac:dyDescent="0.25">
      <c r="A293" s="1">
        <f>A292+$D$7</f>
        <v>2.8300099999999837</v>
      </c>
      <c r="B293" s="1">
        <f>$D$4*EXP(-$D$1*A293)*COS($D$2*A293)</f>
        <v>0.39575254217378097</v>
      </c>
      <c r="C293" s="1">
        <f>$D$4*EXP(-$D$1*A293)</f>
        <v>1.2413724441292451</v>
      </c>
    </row>
    <row r="294" spans="1:3" x14ac:dyDescent="0.25">
      <c r="A294" s="1">
        <f>A293+$D$7</f>
        <v>2.8400099999999835</v>
      </c>
      <c r="B294" s="1">
        <f>$D$4*EXP(-$D$1*A294)*COS($D$2*A294)</f>
        <v>0.43940080135345494</v>
      </c>
      <c r="C294" s="1">
        <f>$D$4*EXP(-$D$1*A294)</f>
        <v>1.232713179804112</v>
      </c>
    </row>
    <row r="295" spans="1:3" x14ac:dyDescent="0.25">
      <c r="A295" s="1">
        <f>A294+$D$7</f>
        <v>2.8500099999999833</v>
      </c>
      <c r="B295" s="1">
        <f>$D$4*EXP(-$D$1*A295)*COS($D$2*A295)</f>
        <v>0.48172281790592453</v>
      </c>
      <c r="C295" s="1">
        <f>$D$4*EXP(-$D$1*A295)</f>
        <v>1.2241143186714352</v>
      </c>
    </row>
    <row r="296" spans="1:3" x14ac:dyDescent="0.25">
      <c r="A296" s="1">
        <f>A295+$D$7</f>
        <v>2.8600099999999831</v>
      </c>
      <c r="B296" s="1">
        <f>$D$4*EXP(-$D$1*A296)*COS($D$2*A296)</f>
        <v>0.52266773662933486</v>
      </c>
      <c r="C296" s="1">
        <f>$D$4*EXP(-$D$1*A296)</f>
        <v>1.2155754393852991</v>
      </c>
    </row>
    <row r="297" spans="1:3" x14ac:dyDescent="0.25">
      <c r="A297" s="1">
        <f>A296+$D$7</f>
        <v>2.8700099999999829</v>
      </c>
      <c r="B297" s="1">
        <f>$D$4*EXP(-$D$1*A297)*COS($D$2*A297)</f>
        <v>0.56218766403656684</v>
      </c>
      <c r="C297" s="1">
        <f>$D$4*EXP(-$D$1*A297)</f>
        <v>1.2070961235389088</v>
      </c>
    </row>
    <row r="298" spans="1:3" x14ac:dyDescent="0.25">
      <c r="A298" s="1">
        <f>A297+$D$7</f>
        <v>2.8800099999999826</v>
      </c>
      <c r="B298" s="1">
        <f>$D$4*EXP(-$D$1*A298)*COS($D$2*A298)</f>
        <v>0.60023770559545053</v>
      </c>
      <c r="C298" s="1">
        <f>$D$4*EXP(-$D$1*A298)</f>
        <v>1.1986759556440931</v>
      </c>
    </row>
    <row r="299" spans="1:3" x14ac:dyDescent="0.25">
      <c r="A299" s="1">
        <f>A298+$D$7</f>
        <v>2.8900099999999824</v>
      </c>
      <c r="B299" s="1">
        <f>$D$4*EXP(-$D$1*A299)*COS($D$2*A299)</f>
        <v>0.6367759975410987</v>
      </c>
      <c r="C299" s="1">
        <f>$D$4*EXP(-$D$1*A299)</f>
        <v>1.1903145231109384</v>
      </c>
    </row>
    <row r="300" spans="1:3" x14ac:dyDescent="0.25">
      <c r="A300" s="1">
        <f>A299+$D$7</f>
        <v>2.9000099999999822</v>
      </c>
      <c r="B300" s="1">
        <f>$D$4*EXP(-$D$1*A300)*COS($D$2*A300)</f>
        <v>0.67176373328374417</v>
      </c>
      <c r="C300" s="1">
        <f>$D$4*EXP(-$D$1*A300)</f>
        <v>1.1820114162275794</v>
      </c>
    </row>
    <row r="301" spans="1:3" x14ac:dyDescent="0.25">
      <c r="A301" s="1">
        <f>A300+$D$7</f>
        <v>2.910009999999982</v>
      </c>
      <c r="B301" s="1">
        <f>$D$4*EXP(-$D$1*A301)*COS($D$2*A301)</f>
        <v>0.70516518444396903</v>
      </c>
      <c r="C301" s="1">
        <f>$D$4*EXP(-$D$1*A301)</f>
        <v>1.1737662281401169</v>
      </c>
    </row>
    <row r="302" spans="1:3" x14ac:dyDescent="0.25">
      <c r="A302" s="1">
        <f>A301+$D$7</f>
        <v>2.9200099999999818</v>
      </c>
      <c r="B302" s="1">
        <f>$D$4*EXP(-$D$1*A302)*COS($D$2*A302)</f>
        <v>0.73694771655558522</v>
      </c>
      <c r="C302" s="1">
        <f>$D$4*EXP(-$D$1*A302)</f>
        <v>1.165578554832684</v>
      </c>
    </row>
    <row r="303" spans="1:3" x14ac:dyDescent="0.25">
      <c r="A303" s="1">
        <f>A302+$D$7</f>
        <v>2.9300099999999816</v>
      </c>
      <c r="B303" s="1">
        <f>$D$4*EXP(-$D$1*A303)*COS($D$2*A303)</f>
        <v>0.76708179948458932</v>
      </c>
      <c r="C303" s="1">
        <f>$D$4*EXP(-$D$1*A303)</f>
        <v>1.1574479951076517</v>
      </c>
    </row>
    <row r="304" spans="1:3" x14ac:dyDescent="0.25">
      <c r="A304" s="1">
        <f>A303+$D$7</f>
        <v>2.9400099999999814</v>
      </c>
      <c r="B304" s="1">
        <f>$D$4*EXP(-$D$1*A304)*COS($D$2*A304)</f>
        <v>0.79554101262058285</v>
      </c>
      <c r="C304" s="1">
        <f>$D$4*EXP(-$D$1*A304)</f>
        <v>1.1493741505659654</v>
      </c>
    </row>
    <row r="305" spans="1:3" x14ac:dyDescent="0.25">
      <c r="A305" s="1">
        <f>A304+$D$7</f>
        <v>2.9500099999999811</v>
      </c>
      <c r="B305" s="1">
        <f>$D$4*EXP(-$D$1*A305)*COS($D$2*A305)</f>
        <v>0.82230204490484948</v>
      </c>
      <c r="C305" s="1">
        <f>$D$4*EXP(-$D$1*A305)</f>
        <v>1.1413566255876284</v>
      </c>
    </row>
    <row r="306" spans="1:3" x14ac:dyDescent="0.25">
      <c r="A306" s="1">
        <f>A305+$D$7</f>
        <v>2.9600099999999809</v>
      </c>
      <c r="B306" s="1">
        <f>$D$4*EXP(-$D$1*A306)*COS($D$2*A306)</f>
        <v>0.84734468976680888</v>
      </c>
      <c r="C306" s="1">
        <f>$D$4*EXP(-$D$1*A306)</f>
        <v>1.1333950273123121</v>
      </c>
    </row>
    <row r="307" spans="1:3" x14ac:dyDescent="0.25">
      <c r="A307" s="1">
        <f>A306+$D$7</f>
        <v>2.9700099999999807</v>
      </c>
      <c r="B307" s="1">
        <f>$D$4*EXP(-$D$1*A307)*COS($D$2*A307)</f>
        <v>0.87065183504793786</v>
      </c>
      <c r="C307" s="1">
        <f>$D$4*EXP(-$D$1*A307)</f>
        <v>1.1254889656201075</v>
      </c>
    </row>
    <row r="308" spans="1:3" x14ac:dyDescent="0.25">
      <c r="A308" s="1">
        <f>A307+$D$7</f>
        <v>2.9800099999999805</v>
      </c>
      <c r="B308" s="1">
        <f>$D$4*EXP(-$D$1*A308)*COS($D$2*A308)</f>
        <v>0.89220944799933677</v>
      </c>
      <c r="C308" s="1">
        <f>$D$4*EXP(-$D$1*A308)</f>
        <v>1.1176380531124106</v>
      </c>
    </row>
    <row r="309" spans="1:3" x14ac:dyDescent="0.25">
      <c r="A309" s="1">
        <f>A308+$D$7</f>
        <v>2.9900099999999803</v>
      </c>
      <c r="B309" s="1">
        <f>$D$4*EXP(-$D$1*A309)*COS($D$2*A309)</f>
        <v>0.91200655544598952</v>
      </c>
      <c r="C309" s="1">
        <f>$D$4*EXP(-$D$1*A309)</f>
        <v>1.1098419050929367</v>
      </c>
    </row>
    <row r="310" spans="1:3" x14ac:dyDescent="0.25">
      <c r="A310" s="1">
        <f>A309+$D$7</f>
        <v>3.0000099999999801</v>
      </c>
      <c r="B310" s="1">
        <f>$D$4*EXP(-$D$1*A310)*COS($D$2*A310)</f>
        <v>0.93003521921739918</v>
      </c>
      <c r="C310" s="1">
        <f>$D$4*EXP(-$D$1*A310)</f>
        <v>1.1021001395488743</v>
      </c>
    </row>
    <row r="311" spans="1:3" x14ac:dyDescent="0.25">
      <c r="A311" s="1">
        <f>A310+$D$7</f>
        <v>3.0100099999999799</v>
      </c>
      <c r="B311" s="1">
        <f>$D$4*EXP(-$D$1*A311)*COS($D$2*A311)</f>
        <v>0.94629050695062034</v>
      </c>
      <c r="C311" s="1">
        <f>$D$4*EXP(-$D$1*A311)</f>
        <v>1.0944123771321619</v>
      </c>
    </row>
    <row r="312" spans="1:3" x14ac:dyDescent="0.25">
      <c r="A312" s="1">
        <f>A311+$D$7</f>
        <v>3.0200099999999797</v>
      </c>
      <c r="B312" s="1">
        <f>$D$4*EXP(-$D$1*A312)*COS($D$2*A312)</f>
        <v>0.96077045837784258</v>
      </c>
      <c r="C312" s="1">
        <f>$D$4*EXP(-$D$1*A312)</f>
        <v>1.0867782411409026</v>
      </c>
    </row>
    <row r="313" spans="1:3" x14ac:dyDescent="0.25">
      <c r="A313" s="1">
        <f>A312+$D$7</f>
        <v>3.0300099999999794</v>
      </c>
      <c r="B313" s="1">
        <f>$D$4*EXP(-$D$1*A313)*COS($D$2*A313)</f>
        <v>0.9734760472164885</v>
      </c>
      <c r="C313" s="1">
        <f>$D$4*EXP(-$D$1*A313)</f>
        <v>1.0791973575009062</v>
      </c>
    </row>
    <row r="314" spans="1:3" x14ac:dyDescent="0.25">
      <c r="A314" s="1">
        <f>A313+$D$7</f>
        <v>3.0400099999999792</v>
      </c>
      <c r="B314" s="1">
        <f>$D$4*EXP(-$D$1*A314)*COS($D$2*A314)</f>
        <v>0.9844111387853578</v>
      </c>
      <c r="C314" s="1">
        <f>$D$4*EXP(-$D$1*A314)</f>
        <v>1.0716693547473573</v>
      </c>
    </row>
    <row r="315" spans="1:3" x14ac:dyDescent="0.25">
      <c r="A315" s="1">
        <f>A314+$D$7</f>
        <v>3.050009999999979</v>
      </c>
      <c r="B315" s="1">
        <f>$D$4*EXP(-$D$1*A315)*COS($D$2*A315)</f>
        <v>0.99358244347563685</v>
      </c>
      <c r="C315" s="1">
        <f>$D$4*EXP(-$D$1*A315)</f>
        <v>1.0641938640066138</v>
      </c>
    </row>
    <row r="316" spans="1:3" x14ac:dyDescent="0.25">
      <c r="A316" s="1">
        <f>A315+$D$7</f>
        <v>3.0600099999999788</v>
      </c>
      <c r="B316" s="1">
        <f>$D$4*EXP(-$D$1*A316)*COS($D$2*A316)</f>
        <v>1.0009994662105808</v>
      </c>
      <c r="C316" s="1">
        <f>$D$4*EXP(-$D$1*A316)</f>
        <v>1.0567705189781349</v>
      </c>
    </row>
    <row r="317" spans="1:3" x14ac:dyDescent="0.25">
      <c r="A317" s="1">
        <f>A316+$D$7</f>
        <v>3.0700099999999786</v>
      </c>
      <c r="B317" s="1">
        <f>$D$4*EXP(-$D$1*A317)*COS($D$2*A317)</f>
        <v>1.0066744520323767</v>
      </c>
      <c r="C317" s="1">
        <f>$D$4*EXP(-$D$1*A317)</f>
        <v>1.049398955916528</v>
      </c>
    </row>
    <row r="318" spans="1:3" x14ac:dyDescent="0.25">
      <c r="A318" s="1">
        <f>A317+$D$7</f>
        <v>3.0800099999999784</v>
      </c>
      <c r="B318" s="1">
        <f>$D$4*EXP(-$D$1*A318)*COS($D$2*A318)</f>
        <v>1.0106223279591326</v>
      </c>
      <c r="C318" s="1">
        <f>$D$4*EXP(-$D$1*A318)</f>
        <v>1.0420788136137291</v>
      </c>
    </row>
    <row r="319" spans="1:3" x14ac:dyDescent="0.25">
      <c r="A319" s="1">
        <f>A318+$D$7</f>
        <v>3.0900099999999782</v>
      </c>
      <c r="B319" s="1">
        <f>$D$4*EXP(-$D$1*A319)*COS($D$2*A319)</f>
        <v>1.0128606412590309</v>
      </c>
      <c r="C319" s="1">
        <f>$D$4*EXP(-$D$1*A319)</f>
        <v>1.0348097333813002</v>
      </c>
    </row>
    <row r="320" spans="1:3" x14ac:dyDescent="0.25">
      <c r="A320" s="1">
        <f>A319+$D$7</f>
        <v>3.1000099999999779</v>
      </c>
      <c r="B320" s="1">
        <f>$D$4*EXP(-$D$1*A320)*COS($D$2*A320)</f>
        <v>1.0134094942925271</v>
      </c>
      <c r="C320" s="1">
        <f>$D$4*EXP(-$D$1*A320)</f>
        <v>1.0275913590328551</v>
      </c>
    </row>
    <row r="321" spans="1:3" x14ac:dyDescent="0.25">
      <c r="A321" s="1">
        <f>A320+$D$7</f>
        <v>3.1100099999999777</v>
      </c>
      <c r="B321" s="1">
        <f>$D$4*EXP(-$D$1*A321)*COS($D$2*A321)</f>
        <v>1.0122914760769881</v>
      </c>
      <c r="C321" s="1">
        <f>$D$4*EXP(-$D$1*A321)</f>
        <v>1.0204233368666071</v>
      </c>
    </row>
    <row r="322" spans="1:3" x14ac:dyDescent="0.25">
      <c r="A322" s="1">
        <f>A321+$D$7</f>
        <v>3.1200099999999775</v>
      </c>
      <c r="B322" s="1">
        <f>$D$4*EXP(-$D$1*A322)*COS($D$2*A322)</f>
        <v>1.0095315907313769</v>
      </c>
      <c r="C322" s="1">
        <f>$D$4*EXP(-$D$1*A322)</f>
        <v>1.0133053156480354</v>
      </c>
    </row>
    <row r="323" spans="1:3" x14ac:dyDescent="0.25">
      <c r="A323" s="1">
        <f>A322+$D$7</f>
        <v>3.1300099999999773</v>
      </c>
      <c r="B323" s="1">
        <f>$D$4*EXP(-$D$1*A323)*COS($D$2*A323)</f>
        <v>1.0051571829615269</v>
      </c>
      <c r="C323" s="1">
        <f>$D$4*EXP(-$D$1*A323)</f>
        <v>1.0062369465926766</v>
      </c>
    </row>
    <row r="324" spans="1:3" x14ac:dyDescent="0.25">
      <c r="A324" s="1">
        <f>A323+$D$7</f>
        <v>3.1400099999999771</v>
      </c>
      <c r="B324" s="1">
        <f>$D$4*EXP(-$D$1*A324)*COS($D$2*A324)</f>
        <v>0.9991978607491383</v>
      </c>
      <c r="C324" s="1">
        <f>$D$4*EXP(-$D$1*A324)</f>
        <v>0.9992178833490325</v>
      </c>
    </row>
    <row r="325" spans="1:3" x14ac:dyDescent="0.25">
      <c r="A325" s="1">
        <f>A324+$D$7</f>
        <v>3.1500099999999769</v>
      </c>
      <c r="B325" s="1">
        <f>$D$4*EXP(-$D$1*A325)*COS($D$2*A325)</f>
        <v>0.9916854154099638</v>
      </c>
      <c r="C325" s="1">
        <f>$D$4*EXP(-$D$1*A325)</f>
        <v>0.99224778198159913</v>
      </c>
    </row>
    <row r="326" spans="1:3" x14ac:dyDescent="0.25">
      <c r="A326" s="1">
        <f>A325+$D$7</f>
        <v>3.1600099999999767</v>
      </c>
      <c r="B326" s="1">
        <f>$D$4*EXP(-$D$1*A326)*COS($D$2*A326)</f>
        <v>0.98265373918863785</v>
      </c>
      <c r="C326" s="1">
        <f>$D$4*EXP(-$D$1*A326)</f>
        <v>0.98532630095401597</v>
      </c>
    </row>
    <row r="327" spans="1:3" x14ac:dyDescent="0.25">
      <c r="A327" s="1">
        <f>A326+$D$7</f>
        <v>3.1700099999999765</v>
      </c>
      <c r="B327" s="1">
        <f>$D$4*EXP(-$D$1*A327)*COS($D$2*A327)</f>
        <v>0.97213874055931693</v>
      </c>
      <c r="C327" s="1">
        <f>$D$4*EXP(-$D$1*A327)</f>
        <v>0.97845310111232675</v>
      </c>
    </row>
    <row r="328" spans="1:3" x14ac:dyDescent="0.25">
      <c r="A328" s="1">
        <f>A327+$D$7</f>
        <v>3.1800099999999762</v>
      </c>
      <c r="B328" s="1">
        <f>$D$4*EXP(-$D$1*A328)*COS($D$2*A328)</f>
        <v>0.96017825740271123</v>
      </c>
      <c r="C328" s="1">
        <f>$D$4*EXP(-$D$1*A328)</f>
        <v>0.97162784566836502</v>
      </c>
    </row>
    <row r="329" spans="1:3" x14ac:dyDescent="0.25">
      <c r="A329" s="1">
        <f>A328+$D$7</f>
        <v>3.190009999999976</v>
      </c>
      <c r="B329" s="1">
        <f>$D$4*EXP(-$D$1*A329)*COS($D$2*A329)</f>
        <v>0.94681196823117209</v>
      </c>
      <c r="C329" s="1">
        <f>$D$4*EXP(-$D$1*A329)</f>
        <v>0.96485020018324774</v>
      </c>
    </row>
    <row r="330" spans="1:3" x14ac:dyDescent="0.25">
      <c r="A330" s="1">
        <f>A329+$D$7</f>
        <v>3.2000099999999758</v>
      </c>
      <c r="B330" s="1">
        <f>$D$4*EXP(-$D$1*A330)*COS($D$2*A330)</f>
        <v>0.932081301634334</v>
      </c>
      <c r="C330" s="1">
        <f>$D$4*EXP(-$D$1*A330)</f>
        <v>0.95811983255098987</v>
      </c>
    </row>
    <row r="331" spans="1:3" x14ac:dyDescent="0.25">
      <c r="A331" s="1">
        <f>A330+$D$7</f>
        <v>3.2100099999999756</v>
      </c>
      <c r="B331" s="1">
        <f>$D$4*EXP(-$D$1*A331)*COS($D$2*A331)</f>
        <v>0.9160293441183075</v>
      </c>
      <c r="C331" s="1">
        <f>$D$4*EXP(-$D$1*A331)</f>
        <v>0.95143641298223147</v>
      </c>
    </row>
    <row r="332" spans="1:3" x14ac:dyDescent="0.25">
      <c r="A332" s="1">
        <f>A331+$D$7</f>
        <v>3.2200099999999754</v>
      </c>
      <c r="B332" s="1">
        <f>$D$4*EXP(-$D$1*A332)*COS($D$2*A332)</f>
        <v>0.898700746511647</v>
      </c>
      <c r="C332" s="1">
        <f>$D$4*EXP(-$D$1*A332)</f>
        <v>0.94479961398807577</v>
      </c>
    </row>
    <row r="333" spans="1:3" x14ac:dyDescent="0.25">
      <c r="A333" s="1">
        <f>A332+$D$7</f>
        <v>3.2300099999999752</v>
      </c>
      <c r="B333" s="1">
        <f>$D$4*EXP(-$D$1*A333)*COS($D$2*A333)</f>
        <v>0.88014162911126803</v>
      </c>
      <c r="C333" s="1">
        <f>$D$4*EXP(-$D$1*A333)</f>
        <v>0.93820911036404475</v>
      </c>
    </row>
    <row r="334" spans="1:3" x14ac:dyDescent="0.25">
      <c r="A334" s="1">
        <f>A333+$D$7</f>
        <v>3.240009999999975</v>
      </c>
      <c r="B334" s="1">
        <f>$D$4*EXP(-$D$1*A334)*COS($D$2*A334)</f>
        <v>0.86039948574112579</v>
      </c>
      <c r="C334" s="1">
        <f>$D$4*EXP(-$D$1*A334)</f>
        <v>0.93166457917414203</v>
      </c>
    </row>
    <row r="335" spans="1:3" x14ac:dyDescent="0.25">
      <c r="A335" s="1">
        <f>A334+$D$7</f>
        <v>3.2500099999999748</v>
      </c>
      <c r="B335" s="1">
        <f>$D$4*EXP(-$D$1*A335)*COS($D$2*A335)</f>
        <v>0.83952308689585819</v>
      </c>
      <c r="C335" s="1">
        <f>$D$4*EXP(-$D$1*A335)</f>
        <v>0.92516569973502927</v>
      </c>
    </row>
    <row r="336" spans="1:3" x14ac:dyDescent="0.25">
      <c r="A336" s="1">
        <f>A335+$D$7</f>
        <v>3.2600099999999745</v>
      </c>
      <c r="B336" s="1">
        <f>$D$4*EXP(-$D$1*A336)*COS($D$2*A336)</f>
        <v>0.81756238214069832</v>
      </c>
      <c r="C336" s="1">
        <f>$D$4*EXP(-$D$1*A336)</f>
        <v>0.91871215360031433</v>
      </c>
    </row>
    <row r="337" spans="1:3" x14ac:dyDescent="0.25">
      <c r="A337" s="1">
        <f>A336+$D$7</f>
        <v>3.2700099999999743</v>
      </c>
      <c r="B337" s="1">
        <f>$D$4*EXP(-$D$1*A337)*COS($D$2*A337)</f>
        <v>0.79456840193778777</v>
      </c>
      <c r="C337" s="1">
        <f>$D$4*EXP(-$D$1*A337)</f>
        <v>0.91230362454494474</v>
      </c>
    </row>
    <row r="338" spans="1:3" x14ac:dyDescent="0.25">
      <c r="A338" s="1">
        <f>A337+$D$7</f>
        <v>3.2800099999999741</v>
      </c>
      <c r="B338" s="1">
        <f>$D$4*EXP(-$D$1*A338)*COS($D$2*A338)</f>
        <v>0.77059315906761328</v>
      </c>
      <c r="C338" s="1">
        <f>$D$4*EXP(-$D$1*A338)</f>
        <v>0.90593979854971529</v>
      </c>
    </row>
    <row r="339" spans="1:3" x14ac:dyDescent="0.25">
      <c r="A339" s="1">
        <f>A338+$D$7</f>
        <v>3.2900099999999739</v>
      </c>
      <c r="B339" s="1">
        <f>$D$4*EXP(-$D$1*A339)*COS($D$2*A339)</f>
        <v>0.74568954981258684</v>
      </c>
      <c r="C339" s="1">
        <f>$D$4*EXP(-$D$1*A339)</f>
        <v>0.89962036378587862</v>
      </c>
    </row>
    <row r="340" spans="1:3" x14ac:dyDescent="0.25">
      <c r="A340" s="1">
        <f>A339+$D$7</f>
        <v>3.3000099999999737</v>
      </c>
      <c r="B340" s="1">
        <f>$D$4*EXP(-$D$1*A340)*COS($D$2*A340)</f>
        <v>0.71991125506787479</v>
      </c>
      <c r="C340" s="1">
        <f>$D$4*EXP(-$D$1*A340)</f>
        <v>0.89334501059986626</v>
      </c>
    </row>
    <row r="341" spans="1:3" x14ac:dyDescent="0.25">
      <c r="A341" s="1">
        <f>A340+$D$7</f>
        <v>3.3100099999999735</v>
      </c>
      <c r="B341" s="1">
        <f>$D$4*EXP(-$D$1*A341)*COS($D$2*A341)</f>
        <v>0.6933126415423948</v>
      </c>
      <c r="C341" s="1">
        <f>$D$4*EXP(-$D$1*A341)</f>
        <v>0.8871134314981175</v>
      </c>
    </row>
    <row r="342" spans="1:3" x14ac:dyDescent="0.25">
      <c r="A342" s="1">
        <f>A341+$D$7</f>
        <v>3.3200099999999733</v>
      </c>
      <c r="B342" s="1">
        <f>$D$4*EXP(-$D$1*A342)*COS($D$2*A342)</f>
        <v>0.66594866321048451</v>
      </c>
      <c r="C342" s="1">
        <f>$D$4*EXP(-$D$1*A342)</f>
        <v>0.88092532113200861</v>
      </c>
    </row>
    <row r="343" spans="1:3" x14ac:dyDescent="0.25">
      <c r="A343" s="1">
        <f>A342+$D$7</f>
        <v>3.330009999999973</v>
      </c>
      <c r="B343" s="1">
        <f>$D$4*EXP(-$D$1*A343)*COS($D$2*A343)</f>
        <v>0.63787476317211755</v>
      </c>
      <c r="C343" s="1">
        <f>$D$4*EXP(-$D$1*A343)</f>
        <v>0.8747803762828944</v>
      </c>
    </row>
    <row r="344" spans="1:3" x14ac:dyDescent="0.25">
      <c r="A344" s="1">
        <f>A343+$D$7</f>
        <v>3.3400099999999728</v>
      </c>
      <c r="B344" s="1">
        <f>$D$4*EXP(-$D$1*A344)*COS($D$2*A344)</f>
        <v>0.60914677607666123</v>
      </c>
      <c r="C344" s="1">
        <f>$D$4*EXP(-$D$1*A344)</f>
        <v>0.86867829584724732</v>
      </c>
    </row>
    <row r="345" spans="1:3" x14ac:dyDescent="0.25">
      <c r="A345" s="1">
        <f>A344+$D$7</f>
        <v>3.3500099999999726</v>
      </c>
      <c r="B345" s="1">
        <f>$D$4*EXP(-$D$1*A345)*COS($D$2*A345)</f>
        <v>0.57982083126210748</v>
      </c>
      <c r="C345" s="1">
        <f>$D$4*EXP(-$D$1*A345)</f>
        <v>0.86261878082190457</v>
      </c>
    </row>
    <row r="346" spans="1:3" x14ac:dyDescent="0.25">
      <c r="A346" s="1">
        <f>A345+$D$7</f>
        <v>3.3600099999999724</v>
      </c>
      <c r="B346" s="1">
        <f>$D$4*EXP(-$D$1*A346)*COS($D$2*A346)</f>
        <v>0.54995325675841777</v>
      </c>
      <c r="C346" s="1">
        <f>$D$4*EXP(-$D$1*A346)</f>
        <v>0.85660153428941854</v>
      </c>
    </row>
    <row r="347" spans="1:3" x14ac:dyDescent="0.25">
      <c r="A347" s="1">
        <f>A346+$D$7</f>
        <v>3.3700099999999722</v>
      </c>
      <c r="B347" s="1">
        <f>$D$4*EXP(-$D$1*A347)*COS($D$2*A347)</f>
        <v>0.51960048430013817</v>
      </c>
      <c r="C347" s="1">
        <f>$D$4*EXP(-$D$1*A347)</f>
        <v>0.85062626140350428</v>
      </c>
    </row>
    <row r="348" spans="1:3" x14ac:dyDescent="0.25">
      <c r="A348" s="1">
        <f>A347+$D$7</f>
        <v>3.380009999999972</v>
      </c>
      <c r="B348" s="1">
        <f>$D$4*EXP(-$D$1*A348)*COS($D$2*A348)</f>
        <v>0.48881895548978244</v>
      </c>
      <c r="C348" s="1">
        <f>$D$4*EXP(-$D$1*A348)</f>
        <v>0.84469266937459553</v>
      </c>
    </row>
    <row r="349" spans="1:3" x14ac:dyDescent="0.25">
      <c r="A349" s="1">
        <f>A348+$D$7</f>
        <v>3.3900099999999718</v>
      </c>
      <c r="B349" s="1">
        <f>$D$4*EXP(-$D$1*A349)*COS($D$2*A349)</f>
        <v>0.45766502924961533</v>
      </c>
      <c r="C349" s="1">
        <f>$D$4*EXP(-$D$1*A349)</f>
        <v>0.83880046745549541</v>
      </c>
    </row>
    <row r="350" spans="1:3" x14ac:dyDescent="0.25">
      <c r="A350" s="1">
        <f>A349+$D$7</f>
        <v>3.4000099999999716</v>
      </c>
      <c r="B350" s="1">
        <f>$D$4*EXP(-$D$1*A350)*COS($D$2*A350)</f>
        <v>0.42619489069545458</v>
      </c>
      <c r="C350" s="1">
        <f>$D$4*EXP(-$D$1*A350)</f>
        <v>0.83294936692713029</v>
      </c>
    </row>
    <row r="351" spans="1:3" x14ac:dyDescent="0.25">
      <c r="A351" s="1">
        <f>A350+$D$7</f>
        <v>3.4100099999999713</v>
      </c>
      <c r="B351" s="1">
        <f>$D$4*EXP(-$D$1*A351)*COS($D$2*A351)</f>
        <v>0.39446446156192411</v>
      </c>
      <c r="C351" s="1">
        <f>$D$4*EXP(-$D$1*A351)</f>
        <v>0.8271390810844047</v>
      </c>
    </row>
    <row r="352" spans="1:3" x14ac:dyDescent="0.25">
      <c r="A352" s="1">
        <f>A351+$D$7</f>
        <v>3.4200099999999711</v>
      </c>
      <c r="B352" s="1">
        <f>$D$4*EXP(-$D$1*A352)*COS($D$2*A352)</f>
        <v>0.36252931230424229</v>
      </c>
      <c r="C352" s="1">
        <f>$D$4*EXP(-$D$1*A352)</f>
        <v>0.82136932522214889</v>
      </c>
    </row>
    <row r="353" spans="1:3" x14ac:dyDescent="0.25">
      <c r="A353" s="1">
        <f>A352+$D$7</f>
        <v>3.4300099999999709</v>
      </c>
      <c r="B353" s="1">
        <f>$D$4*EXP(-$D$1*A353)*COS($D$2*A353)</f>
        <v>0.33044457599716015</v>
      </c>
      <c r="C353" s="1">
        <f>$D$4*EXP(-$D$1*A353)</f>
        <v>0.8156398166211718</v>
      </c>
    </row>
    <row r="354" spans="1:3" x14ac:dyDescent="0.25">
      <c r="A354" s="1">
        <f>A353+$D$7</f>
        <v>3.4400099999999707</v>
      </c>
      <c r="B354" s="1">
        <f>$D$4*EXP(-$D$1*A354)*COS($D$2*A354)</f>
        <v>0.29826486414702946</v>
      </c>
      <c r="C354" s="1">
        <f>$D$4*EXP(-$D$1*A354)</f>
        <v>0.80995027453440549</v>
      </c>
    </row>
    <row r="355" spans="1:3" x14ac:dyDescent="0.25">
      <c r="A355" s="1">
        <f>A354+$D$7</f>
        <v>3.4500099999999705</v>
      </c>
      <c r="B355" s="1">
        <f>$D$4*EXP(-$D$1*A355)*COS($D$2*A355)</f>
        <v>0.26604418452824802</v>
      </c>
      <c r="C355" s="1">
        <f>$D$4*EXP(-$D$1*A355)</f>
        <v>0.80430042017314873</v>
      </c>
    </row>
    <row r="356" spans="1:3" x14ac:dyDescent="0.25">
      <c r="A356" s="1">
        <f>A355+$D$7</f>
        <v>3.4600099999999703</v>
      </c>
      <c r="B356" s="1">
        <f>$D$4*EXP(-$D$1*A356)*COS($D$2*A356)</f>
        <v>0.23383586115046151</v>
      </c>
      <c r="C356" s="1">
        <f>$D$4*EXP(-$D$1*A356)</f>
        <v>0.79868997669340824</v>
      </c>
    </row>
    <row r="357" spans="1:3" x14ac:dyDescent="0.25">
      <c r="A357" s="1">
        <f>A356+$D$7</f>
        <v>3.4700099999999701</v>
      </c>
      <c r="B357" s="1">
        <f>$D$4*EXP(-$D$1*A357)*COS($D$2*A357)</f>
        <v>0.20169245645793504</v>
      </c>
      <c r="C357" s="1">
        <f>$D$4*EXP(-$D$1*A357)</f>
        <v>0.79311866918233009</v>
      </c>
    </row>
    <row r="358" spans="1:3" x14ac:dyDescent="0.25">
      <c r="A358" s="1">
        <f>A357+$D$7</f>
        <v>3.4800099999999698</v>
      </c>
      <c r="B358" s="1">
        <f>$D$4*EXP(-$D$1*A358)*COS($D$2*A358)</f>
        <v>0.16966569585744612</v>
      </c>
      <c r="C358" s="1">
        <f>$D$4*EXP(-$D$1*A358)</f>
        <v>0.78758622464473249</v>
      </c>
    </row>
    <row r="359" spans="1:3" x14ac:dyDescent="0.25">
      <c r="A359" s="1">
        <f>A358+$D$7</f>
        <v>3.4900099999999696</v>
      </c>
      <c r="B359" s="1">
        <f>$D$4*EXP(-$D$1*A359)*COS($D$2*A359)</f>
        <v>0.13780639466589314</v>
      </c>
      <c r="C359" s="1">
        <f>$D$4*EXP(-$D$1*A359)</f>
        <v>0.78209237198972548</v>
      </c>
    </row>
    <row r="360" spans="1:3" x14ac:dyDescent="0.25">
      <c r="A360" s="1">
        <f>A359+$D$7</f>
        <v>3.5000099999999694</v>
      </c>
      <c r="B360" s="1">
        <f>$D$4*EXP(-$D$1*A360)*COS($D$2*A360)</f>
        <v>0.10616438756358999</v>
      </c>
      <c r="C360" s="1">
        <f>$D$4*EXP(-$D$1*A360)</f>
        <v>0.77663684201742955</v>
      </c>
    </row>
    <row r="361" spans="1:3" x14ac:dyDescent="0.25">
      <c r="A361" s="1">
        <f>A360+$D$7</f>
        <v>3.5100099999999692</v>
      </c>
      <c r="B361" s="1">
        <f>$D$4*EXP(-$D$1*A361)*COS($D$2*A361)</f>
        <v>7.4788460633914602E-2</v>
      </c>
      <c r="C361" s="1">
        <f>$D$4*EXP(-$D$1*A361)</f>
        <v>0.77121936740578512</v>
      </c>
    </row>
    <row r="362" spans="1:3" x14ac:dyDescent="0.25">
      <c r="A362" s="1">
        <f>A361+$D$7</f>
        <v>3.520009999999969</v>
      </c>
      <c r="B362" s="1">
        <f>$D$4*EXP(-$D$1*A362)*COS($D$2*A362)</f>
        <v>4.3726286064626023E-2</v>
      </c>
      <c r="C362" s="1">
        <f>$D$4*EXP(-$D$1*A362)</f>
        <v>0.76583968269745173</v>
      </c>
    </row>
    <row r="363" spans="1:3" x14ac:dyDescent="0.25">
      <c r="A363" s="1">
        <f>A362+$D$7</f>
        <v>3.5300099999999688</v>
      </c>
      <c r="B363" s="1">
        <f>$D$4*EXP(-$D$1*A363)*COS($D$2*A363)</f>
        <v>1.3024359580759221E-2</v>
      </c>
      <c r="C363" s="1">
        <f>$D$4*EXP(-$D$1*A363)</f>
        <v>0.76049752428680273</v>
      </c>
    </row>
    <row r="364" spans="1:3" x14ac:dyDescent="0.25">
      <c r="A364" s="1">
        <f>A363+$D$7</f>
        <v>3.5400099999999686</v>
      </c>
      <c r="B364" s="1">
        <f>$D$4*EXP(-$D$1*A364)*COS($D$2*A364)</f>
        <v>-1.727205932643849E-2</v>
      </c>
      <c r="C364" s="1">
        <f>$D$4*EXP(-$D$1*A364)</f>
        <v>0.7551926304070069</v>
      </c>
    </row>
    <row r="365" spans="1:3" x14ac:dyDescent="0.25">
      <c r="A365" s="1">
        <f>A364+$D$7</f>
        <v>3.5500099999999684</v>
      </c>
      <c r="B365" s="1">
        <f>$D$4*EXP(-$D$1*A365)*COS($D$2*A365)</f>
        <v>-4.7119004315538351E-2</v>
      </c>
      <c r="C365" s="1">
        <f>$D$4*EXP(-$D$1*A365)</f>
        <v>0.74992474111720253</v>
      </c>
    </row>
    <row r="366" spans="1:3" x14ac:dyDescent="0.25">
      <c r="A366" s="1">
        <f>A365+$D$7</f>
        <v>3.5600099999999681</v>
      </c>
      <c r="B366" s="1">
        <f>$D$4*EXP(-$D$1*A366)*COS($D$2*A366)</f>
        <v>-7.647385620243291E-2</v>
      </c>
      <c r="C366" s="1">
        <f>$D$4*EXP(-$D$1*A366)</f>
        <v>0.74469359828976078</v>
      </c>
    </row>
    <row r="367" spans="1:3" x14ac:dyDescent="0.25">
      <c r="A367" s="1">
        <f>A366+$D$7</f>
        <v>3.5700099999999679</v>
      </c>
      <c r="B367" s="1">
        <f>$D$4*EXP(-$D$1*A367)*COS($D$2*A367)</f>
        <v>-0.10529539401132042</v>
      </c>
      <c r="C367" s="1">
        <f>$D$4*EXP(-$D$1*A367)</f>
        <v>0.73949894559763596</v>
      </c>
    </row>
    <row r="368" spans="1:3" x14ac:dyDescent="0.25">
      <c r="A368" s="1">
        <f>A367+$D$7</f>
        <v>3.5800099999999677</v>
      </c>
      <c r="B368" s="1">
        <f>$D$4*EXP(-$D$1*A368)*COS($D$2*A368)</f>
        <v>-0.1335438430266889</v>
      </c>
      <c r="C368" s="1">
        <f>$D$4*EXP(-$D$1*A368)</f>
        <v>0.73434052850180742</v>
      </c>
    </row>
    <row r="369" spans="1:3" x14ac:dyDescent="0.25">
      <c r="A369" s="1">
        <f>A368+$D$7</f>
        <v>3.5900099999999675</v>
      </c>
      <c r="B369" s="1">
        <f>$D$4*EXP(-$D$1*A369)*COS($D$2*A369)</f>
        <v>-0.16118091980931809</v>
      </c>
      <c r="C369" s="1">
        <f>$D$4*EXP(-$D$1*A369)</f>
        <v>0.72921809423880501</v>
      </c>
    </row>
    <row r="370" spans="1:3" x14ac:dyDescent="0.25">
      <c r="A370" s="1">
        <f>A369+$D$7</f>
        <v>3.6000099999999673</v>
      </c>
      <c r="B370" s="1">
        <f>$D$4*EXP(-$D$1*A370)*COS($D$2*A370)</f>
        <v>-0.1881698741448033</v>
      </c>
      <c r="C370" s="1">
        <f>$D$4*EXP(-$D$1*A370)</f>
        <v>0.72413139180832464</v>
      </c>
    </row>
    <row r="371" spans="1:3" x14ac:dyDescent="0.25">
      <c r="A371" s="1">
        <f>A370+$D$7</f>
        <v>3.6100099999999671</v>
      </c>
      <c r="B371" s="1">
        <f>$D$4*EXP(-$D$1*A371)*COS($D$2*A371)</f>
        <v>-0.21447552789856497</v>
      </c>
      <c r="C371" s="1">
        <f>$D$4*EXP(-$D$1*A371)</f>
        <v>0.71908017196092999</v>
      </c>
    </row>
    <row r="372" spans="1:3" x14ac:dyDescent="0.25">
      <c r="A372" s="1">
        <f>A371+$D$7</f>
        <v>3.6200099999999669</v>
      </c>
      <c r="B372" s="1">
        <f>$D$4*EXP(-$D$1*A372)*COS($D$2*A372)</f>
        <v>-0.2400643107567339</v>
      </c>
      <c r="C372" s="1">
        <f>$D$4*EXP(-$D$1*A372)</f>
        <v>0.71406418718583742</v>
      </c>
    </row>
    <row r="373" spans="1:3" x14ac:dyDescent="0.25">
      <c r="A373" s="1">
        <f>A372+$D$7</f>
        <v>3.6300099999999667</v>
      </c>
      <c r="B373" s="1">
        <f>$D$4*EXP(-$D$1*A373)*COS($D$2*A373)</f>
        <v>-0.26490429283768896</v>
      </c>
      <c r="C373" s="1">
        <f>$D$4*EXP(-$D$1*A373)</f>
        <v>0.70908319169878964</v>
      </c>
    </row>
    <row r="374" spans="1:3" x14ac:dyDescent="0.25">
      <c r="A374" s="1">
        <f>A373+$D$7</f>
        <v>3.6400099999999664</v>
      </c>
      <c r="B374" s="1">
        <f>$D$4*EXP(-$D$1*A374)*COS($D$2*A374)</f>
        <v>-0.28896521416435822</v>
      </c>
      <c r="C374" s="1">
        <f>$D$4*EXP(-$D$1*A374)</f>
        <v>0.70413694143001127</v>
      </c>
    </row>
    <row r="375" spans="1:3" x14ac:dyDescent="0.25">
      <c r="A375" s="1">
        <f>A374+$D$7</f>
        <v>3.6500099999999662</v>
      </c>
      <c r="B375" s="1">
        <f>$D$4*EXP(-$D$1*A375)*COS($D$2*A375)</f>
        <v>-0.31221851099267112</v>
      </c>
      <c r="C375" s="1">
        <f>$D$4*EXP(-$D$1*A375)</f>
        <v>0.69922519401224881</v>
      </c>
    </row>
    <row r="376" spans="1:3" x14ac:dyDescent="0.25">
      <c r="A376" s="1">
        <f>A375+$D$7</f>
        <v>3.660009999999966</v>
      </c>
      <c r="B376" s="1">
        <f>$D$4*EXP(-$D$1*A376)*COS($D$2*A376)</f>
        <v>-0.33463733899676418</v>
      </c>
      <c r="C376" s="1">
        <f>$D$4*EXP(-$D$1*A376)</f>
        <v>0.69434770876889684</v>
      </c>
    </row>
    <row r="377" spans="1:3" x14ac:dyDescent="0.25">
      <c r="A377" s="1">
        <f>A376+$D$7</f>
        <v>3.6700099999999658</v>
      </c>
      <c r="B377" s="1">
        <f>$D$4*EXP(-$D$1*A377)*COS($D$2*A377)</f>
        <v>-0.35619659331667436</v>
      </c>
      <c r="C377" s="1">
        <f>$D$4*EXP(-$D$1*A377)</f>
        <v>0.68950424670220178</v>
      </c>
    </row>
    <row r="378" spans="1:3" x14ac:dyDescent="0.25">
      <c r="A378" s="1">
        <f>A377+$D$7</f>
        <v>3.6800099999999656</v>
      </c>
      <c r="B378" s="1">
        <f>$D$4*EXP(-$D$1*A378)*COS($D$2*A378)</f>
        <v>-0.37687292547932005</v>
      </c>
      <c r="C378" s="1">
        <f>$D$4*EXP(-$D$1*A378)</f>
        <v>0.68469457048155413</v>
      </c>
    </row>
    <row r="379" spans="1:3" x14ac:dyDescent="0.25">
      <c r="A379" s="1">
        <f>A378+$D$7</f>
        <v>3.6900099999999654</v>
      </c>
      <c r="B379" s="1">
        <f>$D$4*EXP(-$D$1*A379)*COS($D$2*A379)</f>
        <v>-0.39664475720852965</v>
      </c>
      <c r="C379" s="1">
        <f>$D$4*EXP(-$D$1*A379)</f>
        <v>0.67991844443185623</v>
      </c>
    </row>
    <row r="380" spans="1:3" x14ac:dyDescent="0.25">
      <c r="A380" s="1">
        <f>A379+$D$7</f>
        <v>3.7000099999999652</v>
      </c>
      <c r="B380" s="1">
        <f>$D$4*EXP(-$D$1*A380)*COS($D$2*A380)</f>
        <v>-0.41549229114475994</v>
      </c>
      <c r="C380" s="1">
        <f>$D$4*EXP(-$D$1*A380)</f>
        <v>0.67517563452197571</v>
      </c>
    </row>
    <row r="381" spans="1:3" x14ac:dyDescent="0.25">
      <c r="A381" s="1">
        <f>A380+$D$7</f>
        <v>3.7100099999999649</v>
      </c>
      <c r="B381" s="1">
        <f>$D$4*EXP(-$D$1*A381)*COS($D$2*A381)</f>
        <v>-0.43339751849991554</v>
      </c>
      <c r="C381" s="1">
        <f>$D$4*EXP(-$D$1*A381)</f>
        <v>0.67046590835327868</v>
      </c>
    </row>
    <row r="382" spans="1:3" x14ac:dyDescent="0.25">
      <c r="A382" s="1">
        <f>A381+$D$7</f>
        <v>3.7200099999999647</v>
      </c>
      <c r="B382" s="1">
        <f>$D$4*EXP(-$D$1*A382)*COS($D$2*A382)</f>
        <v>-0.45034422367734267</v>
      </c>
      <c r="C382" s="1">
        <f>$D$4*EXP(-$D$1*A382)</f>
        <v>0.66578903514823995</v>
      </c>
    </row>
    <row r="383" spans="1:3" x14ac:dyDescent="0.25">
      <c r="A383" s="1">
        <f>A382+$D$7</f>
        <v>3.7300099999999645</v>
      </c>
      <c r="B383" s="1">
        <f>$D$4*EXP(-$D$1*A383)*COS($D$2*A383)</f>
        <v>-0.46631798589163015</v>
      </c>
      <c r="C383" s="1">
        <f>$D$4*EXP(-$D$1*A383)</f>
        <v>0.66114478573913726</v>
      </c>
    </row>
    <row r="384" spans="1:3" x14ac:dyDescent="0.25">
      <c r="A384" s="1">
        <f>A383+$D$7</f>
        <v>3.7400099999999643</v>
      </c>
      <c r="B384" s="1">
        <f>$D$4*EXP(-$D$1*A384)*COS($D$2*A384)</f>
        <v>-0.48130617782726937</v>
      </c>
      <c r="C384" s="1">
        <f>$D$4*EXP(-$D$1*A384)</f>
        <v>0.65653293255681999</v>
      </c>
    </row>
    <row r="385" spans="1:3" x14ac:dyDescent="0.25">
      <c r="A385" s="1">
        <f>A384+$D$7</f>
        <v>3.7500099999999641</v>
      </c>
      <c r="B385" s="1">
        <f>$D$4*EXP(-$D$1*A385)*COS($D$2*A385)</f>
        <v>-0.49529796137954218</v>
      </c>
      <c r="C385" s="1">
        <f>$D$4*EXP(-$D$1*A385)</f>
        <v>0.65195324961955947</v>
      </c>
    </row>
    <row r="386" spans="1:3" x14ac:dyDescent="0.25">
      <c r="A386" s="1">
        <f>A385+$D$7</f>
        <v>3.7600099999999639</v>
      </c>
      <c r="B386" s="1">
        <f>$D$4*EXP(-$D$1*A386)*COS($D$2*A386)</f>
        <v>-0.50828428052517027</v>
      </c>
      <c r="C386" s="1">
        <f>$D$4*EXP(-$D$1*A386)</f>
        <v>0.64740551252197553</v>
      </c>
    </row>
    <row r="387" spans="1:3" x14ac:dyDescent="0.25">
      <c r="A387" s="1">
        <f>A386+$D$7</f>
        <v>3.7700099999999637</v>
      </c>
      <c r="B387" s="1">
        <f>$D$4*EXP(-$D$1*A387)*COS($D$2*A387)</f>
        <v>-0.52025785137430391</v>
      </c>
      <c r="C387" s="1">
        <f>$D$4*EXP(-$D$1*A387)</f>
        <v>0.64288949842404031</v>
      </c>
    </row>
    <row r="388" spans="1:3" x14ac:dyDescent="0.25">
      <c r="A388" s="1">
        <f>A387+$D$7</f>
        <v>3.7800099999999635</v>
      </c>
      <c r="B388" s="1">
        <f>$D$4*EXP(-$D$1*A388)*COS($D$2*A388)</f>
        <v>-0.53121314945932407</v>
      </c>
      <c r="C388" s="1">
        <f>$D$4*EXP(-$D$1*A388)</f>
        <v>0.63840498604015972</v>
      </c>
    </row>
    <row r="389" spans="1:3" x14ac:dyDescent="0.25">
      <c r="A389" s="1">
        <f>A388+$D$7</f>
        <v>3.7900099999999632</v>
      </c>
      <c r="B389" s="1">
        <f>$D$4*EXP(-$D$1*A389)*COS($D$2*A389)</f>
        <v>-0.54114639431968414</v>
      </c>
      <c r="C389" s="1">
        <f>$D$4*EXP(-$D$1*A389)</f>
        <v>0.63395175562832951</v>
      </c>
    </row>
    <row r="390" spans="1:3" x14ac:dyDescent="0.25">
      <c r="A390" s="1">
        <f>A389+$D$7</f>
        <v>3.800009999999963</v>
      </c>
      <c r="B390" s="1">
        <f>$D$4*EXP(-$D$1*A390)*COS($D$2*A390)</f>
        <v>-0.55005553144562247</v>
      </c>
      <c r="C390" s="1">
        <f>$D$4*EXP(-$D$1*A390)</f>
        <v>0.62952958897936817</v>
      </c>
    </row>
    <row r="391" spans="1:3" x14ac:dyDescent="0.25">
      <c r="A391" s="1">
        <f>A390+$D$7</f>
        <v>3.8100099999999628</v>
      </c>
      <c r="B391" s="1">
        <f>$D$4*EXP(-$D$1*A391)*COS($D$2*A391)</f>
        <v>-0.55794021164702889</v>
      </c>
      <c r="C391" s="1">
        <f>$D$4*EXP(-$D$1*A391)</f>
        <v>0.62513826940622574</v>
      </c>
    </row>
    <row r="392" spans="1:3" x14ac:dyDescent="0.25">
      <c r="A392" s="1">
        <f>A391+$D$7</f>
        <v>3.8200099999999626</v>
      </c>
      <c r="B392" s="1">
        <f>$D$4*EXP(-$D$1*A392)*COS($D$2*A392)</f>
        <v>-0.56480176791703529</v>
      </c>
      <c r="C392" s="1">
        <f>$D$4*EXP(-$D$1*A392)</f>
        <v>0.62077758173336395</v>
      </c>
    </row>
    <row r="393" spans="1:3" x14ac:dyDescent="0.25">
      <c r="A393" s="1">
        <f>A392+$D$7</f>
        <v>3.8300099999999624</v>
      </c>
      <c r="B393" s="1">
        <f>$D$4*EXP(-$D$1*A393)*COS($D$2*A393)</f>
        <v>-0.57064318986304907</v>
      </c>
      <c r="C393" s="1">
        <f>$D$4*EXP(-$D$1*A393)</f>
        <v>0.61644731228621485</v>
      </c>
    </row>
    <row r="394" spans="1:3" x14ac:dyDescent="0.25">
      <c r="A394" s="1">
        <f>A393+$D$7</f>
        <v>3.8400099999999622</v>
      </c>
      <c r="B394" s="1">
        <f>$D$4*EXP(-$D$1*A394)*COS($D$2*A394)</f>
        <v>-0.57546909578090377</v>
      </c>
      <c r="C394" s="1">
        <f>$D$4*EXP(-$D$1*A394)</f>
        <v>0.61214724888070871</v>
      </c>
    </row>
    <row r="395" spans="1:3" x14ac:dyDescent="0.25">
      <c r="A395" s="1">
        <f>A394+$D$7</f>
        <v>3.850009999999962</v>
      </c>
      <c r="B395" s="1">
        <f>$D$4*EXP(-$D$1*A395)*COS($D$2*A395)</f>
        <v>-0.57928570245062128</v>
      </c>
      <c r="C395" s="1">
        <f>$D$4*EXP(-$D$1*A395)</f>
        <v>0.607877180812878</v>
      </c>
    </row>
    <row r="396" spans="1:3" x14ac:dyDescent="0.25">
      <c r="A396" s="1">
        <f>A395+$D$7</f>
        <v>3.8600099999999617</v>
      </c>
      <c r="B396" s="1">
        <f>$D$4*EXP(-$D$1*A396)*COS($D$2*A396)</f>
        <v>-0.58210079273491233</v>
      </c>
      <c r="C396" s="1">
        <f>$D$4*EXP(-$D$1*A396)</f>
        <v>0.60363689884853389</v>
      </c>
    </row>
    <row r="397" spans="1:3" x14ac:dyDescent="0.25">
      <c r="A397" s="1">
        <f>A396+$D$7</f>
        <v>3.8700099999999615</v>
      </c>
      <c r="B397" s="1">
        <f>$D$4*EXP(-$D$1*A397)*COS($D$2*A397)</f>
        <v>-0.58392368106400905</v>
      </c>
      <c r="C397" s="1">
        <f>$D$4*EXP(-$D$1*A397)</f>
        <v>0.59942619521301088</v>
      </c>
    </row>
    <row r="398" spans="1:3" x14ac:dyDescent="0.25">
      <c r="A398" s="1">
        <f>A397+$D$7</f>
        <v>3.8800099999999613</v>
      </c>
      <c r="B398" s="1">
        <f>$D$4*EXP(-$D$1*A398)*COS($D$2*A398)</f>
        <v>-0.58476517689273488</v>
      </c>
      <c r="C398" s="1">
        <f>$D$4*EXP(-$D$1*A398)</f>
        <v>0.59524486358098894</v>
      </c>
    </row>
    <row r="399" spans="1:3" x14ac:dyDescent="0.25">
      <c r="A399" s="1">
        <f>A398+$D$7</f>
        <v>3.8900099999999611</v>
      </c>
      <c r="B399" s="1">
        <f>$D$4*EXP(-$D$1*A399)*COS($D$2*A399)</f>
        <v>-0.58463754621782404</v>
      </c>
      <c r="C399" s="1">
        <f>$D$4*EXP(-$D$1*A399)</f>
        <v>0.59109269906638118</v>
      </c>
    </row>
    <row r="400" spans="1:3" x14ac:dyDescent="0.25">
      <c r="A400" s="1">
        <f>A399+$D$7</f>
        <v>3.9000099999999609</v>
      </c>
      <c r="B400" s="1">
        <f>$D$4*EXP(-$D$1*A400)*COS($D$2*A400)</f>
        <v>-0.58355447124547233</v>
      </c>
      <c r="C400" s="1">
        <f>$D$4*EXP(-$D$1*A400)</f>
        <v>0.58696949821229549</v>
      </c>
    </row>
    <row r="401" spans="1:3" x14ac:dyDescent="0.25">
      <c r="A401" s="1">
        <f>A400+$D$7</f>
        <v>3.9100099999999607</v>
      </c>
      <c r="B401" s="1">
        <f>$D$4*EXP(-$D$1*A401)*COS($D$2*A401)</f>
        <v>-0.58153100830086746</v>
      </c>
      <c r="C401" s="1">
        <f>$D$4*EXP(-$D$1*A401)</f>
        <v>0.58287505898106551</v>
      </c>
    </row>
    <row r="402" spans="1:3" x14ac:dyDescent="0.25">
      <c r="A402" s="1">
        <f>A401+$D$7</f>
        <v>3.9200099999999605</v>
      </c>
      <c r="B402" s="1">
        <f>$D$4*EXP(-$D$1*A402)*COS($D$2*A402)</f>
        <v>-0.57858354407305446</v>
      </c>
      <c r="C402" s="1">
        <f>$D$4*EXP(-$D$1*A402)</f>
        <v>0.57880918074434917</v>
      </c>
    </row>
    <row r="403" spans="1:3" x14ac:dyDescent="0.25">
      <c r="A403" s="1">
        <f>A402+$D$7</f>
        <v>3.9300099999999603</v>
      </c>
      <c r="B403" s="1">
        <f>$D$4*EXP(-$D$1*A403)*COS($D$2*A403)</f>
        <v>-0.57472975028992079</v>
      </c>
      <c r="C403" s="1">
        <f>$D$4*EXP(-$D$1*A403)</f>
        <v>0.57477166427329962</v>
      </c>
    </row>
    <row r="404" spans="1:3" x14ac:dyDescent="0.25">
      <c r="A404" s="1">
        <f>A403+$D$7</f>
        <v>3.94000999999996</v>
      </c>
      <c r="B404" s="1">
        <f>$D$4*EXP(-$D$1*A404)*COS($D$2*A404)</f>
        <v>-0.5699885369193336</v>
      </c>
      <c r="C404" s="1">
        <f>$D$4*EXP(-$D$1*A404)</f>
        <v>0.5707623117288021</v>
      </c>
    </row>
    <row r="405" spans="1:3" x14ac:dyDescent="0.25">
      <c r="A405" s="1">
        <f>A404+$D$7</f>
        <v>3.9500099999999598</v>
      </c>
      <c r="B405" s="1">
        <f>$D$4*EXP(-$D$1*A405)*COS($D$2*A405)</f>
        <v>-0.5643800039935426</v>
      </c>
      <c r="C405" s="1">
        <f>$D$4*EXP(-$D$1*A405)</f>
        <v>0.56678092665177904</v>
      </c>
    </row>
    <row r="406" spans="1:3" x14ac:dyDescent="0.25">
      <c r="A406" s="1">
        <f>A405+$D$7</f>
        <v>3.9600099999999596</v>
      </c>
      <c r="B406" s="1">
        <f>$D$4*EXP(-$D$1*A406)*COS($D$2*A406)</f>
        <v>-0.55792539215487025</v>
      </c>
      <c r="C406" s="1">
        <f>$D$4*EXP(-$D$1*A406)</f>
        <v>0.56282731395356578</v>
      </c>
    </row>
    <row r="407" spans="1:3" x14ac:dyDescent="0.25">
      <c r="A407" s="1">
        <f>A406+$D$7</f>
        <v>3.9700099999999594</v>
      </c>
      <c r="B407" s="1">
        <f>$D$4*EXP(-$D$1*A407)*COS($D$2*A407)</f>
        <v>-0.55064703202142917</v>
      </c>
      <c r="C407" s="1">
        <f>$D$4*EXP(-$D$1*A407)</f>
        <v>0.55890127990634864</v>
      </c>
    </row>
    <row r="408" spans="1:3" x14ac:dyDescent="0.25">
      <c r="A408" s="1">
        <f>A407+$D$7</f>
        <v>3.9800099999999592</v>
      </c>
      <c r="B408" s="1">
        <f>$D$4*EXP(-$D$1*A408)*COS($D$2*A408)</f>
        <v>-0.54256829247218241</v>
      </c>
      <c r="C408" s="1">
        <f>$D$4*EXP(-$D$1*A408)</f>
        <v>0.55500263213367418</v>
      </c>
    </row>
    <row r="409" spans="1:3" x14ac:dyDescent="0.25">
      <c r="A409" s="1">
        <f>A408+$D$7</f>
        <v>3.990009999999959</v>
      </c>
      <c r="B409" s="1">
        <f>$D$4*EXP(-$D$1*A409)*COS($D$2*A409)</f>
        <v>-0.53371352795103577</v>
      </c>
      <c r="C409" s="1">
        <f>$D$4*EXP(-$D$1*A409)</f>
        <v>0.5511311796010212</v>
      </c>
    </row>
    <row r="410" spans="1:3" x14ac:dyDescent="0.25">
      <c r="A410" s="1">
        <f>A409+$D$7</f>
        <v>4.0000099999999588</v>
      </c>
      <c r="B410" s="1">
        <f>$D$4*EXP(-$D$1*A410)*COS($D$2*A410)</f>
        <v>-0.52410802488988406</v>
      </c>
      <c r="C410" s="1">
        <f>$D$4*EXP(-$D$1*A410)</f>
        <v>0.54728673260644078</v>
      </c>
    </row>
    <row r="411" spans="1:3" x14ac:dyDescent="0.25">
      <c r="A411" s="1">
        <f>A410+$D$7</f>
        <v>4.0100099999999586</v>
      </c>
      <c r="B411" s="1">
        <f>$D$4*EXP(-$D$1*A411)*COS($D$2*A411)</f>
        <v>-0.51377794735057658</v>
      </c>
      <c r="C411" s="1">
        <f>$D$4*EXP(-$D$1*A411)</f>
        <v>0.54346910277126137</v>
      </c>
    </row>
    <row r="412" spans="1:3" x14ac:dyDescent="0.25">
      <c r="A412" s="1">
        <f>A411+$D$7</f>
        <v>4.0200099999999583</v>
      </c>
      <c r="B412" s="1">
        <f>$D$4*EXP(-$D$1*A412)*COS($D$2*A412)</f>
        <v>-0.50275028198566085</v>
      </c>
      <c r="C412" s="1">
        <f>$D$4*EXP(-$D$1*A412)</f>
        <v>0.53967810303085684</v>
      </c>
    </row>
    <row r="413" spans="1:3" x14ac:dyDescent="0.25">
      <c r="A413" s="1">
        <f>A412+$D$7</f>
        <v>4.0300099999999581</v>
      </c>
      <c r="B413" s="1">
        <f>$D$4*EXP(-$D$1*A413)*COS($D$2*A413)</f>
        <v>-0.49105278241749406</v>
      </c>
      <c r="C413" s="1">
        <f>$D$4*EXP(-$D$1*A413)</f>
        <v>0.53591354762548182</v>
      </c>
    </row>
    <row r="414" spans="1:3" x14ac:dyDescent="0.25">
      <c r="A414" s="1">
        <f>A413+$D$7</f>
        <v>4.0400099999999579</v>
      </c>
      <c r="B414" s="1">
        <f>$D$4*EXP(-$D$1*A414)*COS($D$2*A414)</f>
        <v>-0.47871391313486933</v>
      </c>
      <c r="C414" s="1">
        <f>$D$4*EXP(-$D$1*A414)</f>
        <v>0.53217525209116801</v>
      </c>
    </row>
    <row r="415" spans="1:3" x14ac:dyDescent="0.25">
      <c r="A415" s="1">
        <f>A414+$D$7</f>
        <v>4.0500099999999577</v>
      </c>
      <c r="B415" s="1">
        <f>$D$4*EXP(-$D$1*A415)*COS($D$2*A415)</f>
        <v>-0.46576279300572787</v>
      </c>
      <c r="C415" s="1">
        <f>$D$4*EXP(-$D$1*A415)</f>
        <v>0.52846303325068611</v>
      </c>
    </row>
    <row r="416" spans="1:3" x14ac:dyDescent="0.25">
      <c r="A416" s="1">
        <f>A415+$D$7</f>
        <v>4.0600099999999575</v>
      </c>
      <c r="B416" s="1">
        <f>$D$4*EXP(-$D$1*A416)*COS($D$2*A416)</f>
        <v>-0.45222913850377661</v>
      </c>
      <c r="C416" s="1">
        <f>$D$4*EXP(-$D$1*A416)</f>
        <v>0.52477670920457042</v>
      </c>
    </row>
    <row r="417" spans="1:3" x14ac:dyDescent="0.25">
      <c r="A417" s="1">
        <f>A416+$D$7</f>
        <v>4.0700099999999573</v>
      </c>
      <c r="B417" s="1">
        <f>$D$4*EXP(-$D$1*A417)*COS($D$2*A417)</f>
        <v>-0.43814320674594326</v>
      </c>
      <c r="C417" s="1">
        <f>$D$4*EXP(-$D$1*A417)</f>
        <v>0.52111609932220482</v>
      </c>
    </row>
    <row r="418" spans="1:3" x14ac:dyDescent="0.25">
      <c r="A418" s="1">
        <f>A417+$D$7</f>
        <v>4.0800099999999571</v>
      </c>
      <c r="B418" s="1">
        <f>$D$4*EXP(-$D$1*A418)*COS($D$2*A418)</f>
        <v>-0.42353573843656472</v>
      </c>
      <c r="C418" s="1">
        <f>$D$4*EXP(-$D$1*A418)</f>
        <v>0.51748102423297304</v>
      </c>
    </row>
    <row r="419" spans="1:3" x14ac:dyDescent="0.25">
      <c r="A419" s="1">
        <f>A418+$D$7</f>
        <v>4.0900099999999568</v>
      </c>
      <c r="B419" s="1">
        <f>$D$4*EXP(-$D$1*A419)*COS($D$2*A419)</f>
        <v>-0.40843790081301906</v>
      </c>
      <c r="C419" s="1">
        <f>$D$4*EXP(-$D$1*A419)</f>
        <v>0.51387130581746809</v>
      </c>
    </row>
    <row r="420" spans="1:3" x14ac:dyDescent="0.25">
      <c r="A420" s="1">
        <f>A419+$D$7</f>
        <v>4.1000099999999566</v>
      </c>
      <c r="B420" s="1">
        <f>$D$4*EXP(-$D$1*A420)*COS($D$2*A420)</f>
        <v>-0.39288123068619785</v>
      </c>
      <c r="C420" s="1">
        <f>$D$4*EXP(-$D$1*A420)</f>
        <v>0.51028676719876531</v>
      </c>
    </row>
    <row r="421" spans="1:3" x14ac:dyDescent="0.25">
      <c r="A421" s="1">
        <f>A420+$D$7</f>
        <v>4.1100099999999564</v>
      </c>
      <c r="B421" s="1">
        <f>$D$4*EXP(-$D$1*A421)*COS($D$2*A421)</f>
        <v>-0.37689757766775872</v>
      </c>
      <c r="C421" s="1">
        <f>$D$4*EXP(-$D$1*A421)</f>
        <v>0.50672723273375553</v>
      </c>
    </row>
    <row r="422" spans="1:3" x14ac:dyDescent="0.25">
      <c r="A422" s="1">
        <f>A421+$D$7</f>
        <v>4.1200099999999562</v>
      </c>
      <c r="B422" s="1">
        <f>$D$4*EXP(-$D$1*A422)*COS($D$2*A422)</f>
        <v>-0.36051904767451243</v>
      </c>
      <c r="C422" s="1">
        <f>$D$4*EXP(-$D$1*A422)</f>
        <v>0.50319252800453729</v>
      </c>
    </row>
    <row r="423" spans="1:3" x14ac:dyDescent="0.25">
      <c r="A423" s="1">
        <f>A422+$D$7</f>
        <v>4.130009999999956</v>
      </c>
      <c r="B423" s="1">
        <f>$D$4*EXP(-$D$1*A423)*COS($D$2*A423)</f>
        <v>-0.34377794679859608</v>
      </c>
      <c r="C423" s="1">
        <f>$D$4*EXP(-$D$1*A423)</f>
        <v>0.49968247980987213</v>
      </c>
    </row>
    <row r="424" spans="1:3" x14ac:dyDescent="0.25">
      <c r="A424" s="1">
        <f>A423+$D$7</f>
        <v>4.1400099999999558</v>
      </c>
      <c r="B424" s="1">
        <f>$D$4*EXP(-$D$1*A424)*COS($D$2*A424)</f>
        <v>-0.32670672563024111</v>
      </c>
      <c r="C424" s="1">
        <f>$D$4*EXP(-$D$1*A424)</f>
        <v>0.49619691615669592</v>
      </c>
    </row>
    <row r="425" spans="1:3" x14ac:dyDescent="0.25">
      <c r="A425" s="1">
        <f>A424+$D$7</f>
        <v>4.1500099999999556</v>
      </c>
      <c r="B425" s="1">
        <f>$D$4*EXP(-$D$1*A425)*COS($D$2*A425)</f>
        <v>-0.30933792411800914</v>
      </c>
      <c r="C425" s="1">
        <f>$D$4*EXP(-$D$1*A425)</f>
        <v>0.49273566625169202</v>
      </c>
    </row>
    <row r="426" spans="1:3" x14ac:dyDescent="0.25">
      <c r="A426" s="1">
        <f>A425+$D$7</f>
        <v>4.1600099999999554</v>
      </c>
      <c r="B426" s="1">
        <f>$D$4*EXP(-$D$1*A426)*COS($D$2*A426)</f>
        <v>-0.29170411704930088</v>
      </c>
      <c r="C426" s="1">
        <f>$D$4*EXP(-$D$1*A426)</f>
        <v>0.48929856049292308</v>
      </c>
    </row>
    <row r="427" spans="1:3" x14ac:dyDescent="0.25">
      <c r="A427" s="1">
        <f>A426+$D$7</f>
        <v>4.1700099999999551</v>
      </c>
      <c r="B427" s="1">
        <f>$D$4*EXP(-$D$1*A427)*COS($D$2*A427)</f>
        <v>-0.27383786023177681</v>
      </c>
      <c r="C427" s="1">
        <f>$D$4*EXP(-$D$1*A427)</f>
        <v>0.48588543046151872</v>
      </c>
    </row>
    <row r="428" spans="1:3" x14ac:dyDescent="0.25">
      <c r="A428" s="1">
        <f>A427+$D$7</f>
        <v>4.1800099999999549</v>
      </c>
      <c r="B428" s="1">
        <f>$D$4*EXP(-$D$1*A428)*COS($D$2*A428)</f>
        <v>-0.25577163745406595</v>
      </c>
      <c r="C428" s="1">
        <f>$D$4*EXP(-$D$1*A428)</f>
        <v>0.48249610891342498</v>
      </c>
    </row>
    <row r="429" spans="1:3" x14ac:dyDescent="0.25">
      <c r="A429" s="1">
        <f>A428+$D$7</f>
        <v>4.1900099999999547</v>
      </c>
      <c r="B429" s="1">
        <f>$D$4*EXP(-$D$1*A429)*COS($D$2*A429)</f>
        <v>-0.23753780830176463</v>
      </c>
      <c r="C429" s="1">
        <f>$D$4*EXP(-$D$1*A429)</f>
        <v>0.47913042977120751</v>
      </c>
    </row>
    <row r="430" spans="1:3" x14ac:dyDescent="0.25">
      <c r="A430" s="1">
        <f>A429+$D$7</f>
        <v>4.2000099999999545</v>
      </c>
      <c r="B430" s="1">
        <f>$D$4*EXP(-$D$1*A430)*COS($D$2*A430)</f>
        <v>-0.21916855690227838</v>
      </c>
      <c r="C430" s="1">
        <f>$D$4*EXP(-$D$1*A430)</f>
        <v>0.47578822811591481</v>
      </c>
    </row>
    <row r="431" spans="1:3" x14ac:dyDescent="0.25">
      <c r="A431" s="1">
        <f>A430+$D$7</f>
        <v>4.2100099999999543</v>
      </c>
      <c r="B431" s="1">
        <f>$D$4*EXP(-$D$1*A431)*COS($D$2*A431)</f>
        <v>-0.20069584166951118</v>
      </c>
      <c r="C431" s="1">
        <f>$D$4*EXP(-$D$1*A431)</f>
        <v>0.47246934017899744</v>
      </c>
    </row>
    <row r="432" spans="1:3" x14ac:dyDescent="0.25">
      <c r="A432" s="1">
        <f>A431+$D$7</f>
        <v>4.2200099999999541</v>
      </c>
      <c r="B432" s="1">
        <f>$D$4*EXP(-$D$1*A432)*COS($D$2*A432)</f>
        <v>-0.18215134611678366</v>
      </c>
      <c r="C432" s="1">
        <f>$D$4*EXP(-$D$1*A432)</f>
        <v>0.46917360333428204</v>
      </c>
    </row>
    <row r="433" spans="1:3" x14ac:dyDescent="0.25">
      <c r="A433" s="1">
        <f>A432+$D$7</f>
        <v>4.2300099999999539</v>
      </c>
      <c r="B433" s="1">
        <f>$D$4*EXP(-$D$1*A433)*COS($D$2*A433)</f>
        <v>-0.16356643080366445</v>
      </c>
      <c r="C433" s="1">
        <f>$D$4*EXP(-$D$1*A433)</f>
        <v>0.4659008560900042</v>
      </c>
    </row>
    <row r="434" spans="1:3" x14ac:dyDescent="0.25">
      <c r="A434" s="1">
        <f>A433+$D$7</f>
        <v>4.2400099999999536</v>
      </c>
      <c r="B434" s="1">
        <f>$D$4*EXP(-$D$1*A434)*COS($D$2*A434)</f>
        <v>-0.14497208647962539</v>
      </c>
      <c r="C434" s="1">
        <f>$D$4*EXP(-$D$1*A434)</f>
        <v>0.46265093808089391</v>
      </c>
    </row>
    <row r="435" spans="1:3" x14ac:dyDescent="0.25">
      <c r="A435" s="1">
        <f>A434+$D$7</f>
        <v>4.2500099999999534</v>
      </c>
      <c r="B435" s="1">
        <f>$D$4*EXP(-$D$1*A435)*COS($D$2*A435)</f>
        <v>-0.12639888848459982</v>
      </c>
      <c r="C435" s="1">
        <f>$D$4*EXP(-$D$1*A435)</f>
        <v>0.4594236900603183</v>
      </c>
    </row>
    <row r="436" spans="1:3" x14ac:dyDescent="0.25">
      <c r="A436" s="1">
        <f>A435+$D$7</f>
        <v>4.2600099999999532</v>
      </c>
      <c r="B436" s="1">
        <f>$D$4*EXP(-$D$1*A436)*COS($D$2*A436)</f>
        <v>-0.1078769524636298</v>
      </c>
      <c r="C436" s="1">
        <f>$D$4*EXP(-$D$1*A436)</f>
        <v>0.45621895389247896</v>
      </c>
    </row>
    <row r="437" spans="1:3" x14ac:dyDescent="0.25">
      <c r="A437" s="1">
        <f>A436+$D$7</f>
        <v>4.270009999999953</v>
      </c>
      <c r="B437" s="1">
        <f>$D$4*EXP(-$D$1*A437)*COS($D$2*A437)</f>
        <v>-8.9435891449839364E-2</v>
      </c>
      <c r="C437" s="1">
        <f>$D$4*EXP(-$D$1*A437)</f>
        <v>0.45303657254466217</v>
      </c>
    </row>
    <row r="438" spans="1:3" x14ac:dyDescent="0.25">
      <c r="A438" s="1">
        <f>A437+$D$7</f>
        <v>4.2800099999999528</v>
      </c>
      <c r="B438" s="1">
        <f>$D$4*EXP(-$D$1*A438)*COS($D$2*A438)</f>
        <v>-7.1104774366980025E-2</v>
      </c>
      <c r="C438" s="1">
        <f>$D$4*EXP(-$D$1*A438)</f>
        <v>0.44987639007954544</v>
      </c>
    </row>
    <row r="439" spans="1:3" x14ac:dyDescent="0.25">
      <c r="A439" s="1">
        <f>A438+$D$7</f>
        <v>4.2900099999999526</v>
      </c>
      <c r="B439" s="1">
        <f>$D$4*EXP(-$D$1*A439)*COS($D$2*A439)</f>
        <v>-5.2912085999754728E-2</v>
      </c>
      <c r="C439" s="1">
        <f>$D$4*EXP(-$D$1*A439)</f>
        <v>0.44673825164755554</v>
      </c>
    </row>
    <row r="440" spans="1:3" x14ac:dyDescent="0.25">
      <c r="A440" s="1">
        <f>A439+$D$7</f>
        <v>4.3000099999999524</v>
      </c>
      <c r="B440" s="1">
        <f>$D$4*EXP(-$D$1*A440)*COS($D$2*A440)</f>
        <v>-3.4885688477055268E-2</v>
      </c>
      <c r="C440" s="1">
        <f>$D$4*EXP(-$D$1*A440)</f>
        <v>0.44362200347928116</v>
      </c>
    </row>
    <row r="441" spans="1:3" x14ac:dyDescent="0.25">
      <c r="A441" s="1">
        <f>A440+$D$7</f>
        <v>4.3100099999999522</v>
      </c>
      <c r="B441" s="1">
        <f>$D$4*EXP(-$D$1*A441)*COS($D$2*A441)</f>
        <v>-1.7052784310142878E-2</v>
      </c>
      <c r="C441" s="1">
        <f>$D$4*EXP(-$D$1*A441)</f>
        <v>0.44052749287793896</v>
      </c>
    </row>
    <row r="442" spans="1:3" x14ac:dyDescent="0.25">
      <c r="A442" s="1">
        <f>A441+$D$7</f>
        <v>4.3200099999999519</v>
      </c>
      <c r="B442" s="1">
        <f>$D$4*EXP(-$D$1*A442)*COS($D$2*A442)</f>
        <v>5.6011897532892295E-4</v>
      </c>
      <c r="C442" s="1">
        <f>$D$4*EXP(-$D$1*A442)</f>
        <v>0.43745456821188999</v>
      </c>
    </row>
    <row r="443" spans="1:3" x14ac:dyDescent="0.25">
      <c r="A443" s="1">
        <f>A442+$D$7</f>
        <v>4.3300099999999517</v>
      </c>
      <c r="B443" s="1">
        <f>$D$4*EXP(-$D$1*A443)*COS($D$2*A443)</f>
        <v>1.7927242577699502E-2</v>
      </c>
      <c r="C443" s="1">
        <f>$D$4*EXP(-$D$1*A443)</f>
        <v>0.43440307890721114</v>
      </c>
    </row>
    <row r="444" spans="1:3" x14ac:dyDescent="0.25">
      <c r="A444" s="1">
        <f>A443+$D$7</f>
        <v>4.3400099999999515</v>
      </c>
      <c r="B444" s="1">
        <f>$D$4*EXP(-$D$1*A444)*COS($D$2*A444)</f>
        <v>3.5023568495510707E-2</v>
      </c>
      <c r="C444" s="1">
        <f>$D$4*EXP(-$D$1*A444)</f>
        <v>0.43137287544031566</v>
      </c>
    </row>
    <row r="445" spans="1:3" x14ac:dyDescent="0.25">
      <c r="A445" s="1">
        <f>A444+$D$7</f>
        <v>4.3500099999999513</v>
      </c>
      <c r="B445" s="1">
        <f>$D$4*EXP(-$D$1*A445)*COS($D$2*A445)</f>
        <v>5.1824869912130964E-2</v>
      </c>
      <c r="C445" s="1">
        <f>$D$4*EXP(-$D$1*A445)</f>
        <v>0.42836380933062723</v>
      </c>
    </row>
    <row r="446" spans="1:3" x14ac:dyDescent="0.25">
      <c r="A446" s="1">
        <f>A445+$D$7</f>
        <v>4.3600099999999511</v>
      </c>
      <c r="B446" s="1">
        <f>$D$4*EXP(-$D$1*A446)*COS($D$2*A446)</f>
        <v>6.8307739862563055E-2</v>
      </c>
      <c r="C446" s="1">
        <f>$D$4*EXP(-$D$1*A446)</f>
        <v>0.42537573313330479</v>
      </c>
    </row>
    <row r="447" spans="1:3" x14ac:dyDescent="0.25">
      <c r="A447" s="1">
        <f>A446+$D$7</f>
        <v>4.3700099999999509</v>
      </c>
      <c r="B447" s="1">
        <f>$D$4*EXP(-$D$1*A447)*COS($D$2*A447)</f>
        <v>8.4449618159381373E-2</v>
      </c>
      <c r="C447" s="1">
        <f>$D$4*EXP(-$D$1*A447)</f>
        <v>0.42240850043201639</v>
      </c>
    </row>
    <row r="448" spans="1:3" x14ac:dyDescent="0.25">
      <c r="A448" s="1">
        <f>A447+$D$7</f>
        <v>4.3800099999999507</v>
      </c>
      <c r="B448" s="1">
        <f>$D$4*EXP(-$D$1*A448)*COS($D$2*A448)</f>
        <v>0.10022881655791593</v>
      </c>
      <c r="C448" s="1">
        <f>$D$4*EXP(-$D$1*A448)</f>
        <v>0.41946196583176643</v>
      </c>
    </row>
    <row r="449" spans="1:3" x14ac:dyDescent="0.25">
      <c r="A449" s="1">
        <f>A448+$D$7</f>
        <v>4.3900099999999505</v>
      </c>
      <c r="B449" s="1">
        <f>$D$4*EXP(-$D$1*A449)*COS($D$2*A449)</f>
        <v>0.11562454214395892</v>
      </c>
      <c r="C449" s="1">
        <f>$D$4*EXP(-$D$1*A449)</f>
        <v>0.41653598495176969</v>
      </c>
    </row>
    <row r="450" spans="1:3" x14ac:dyDescent="0.25">
      <c r="A450" s="1">
        <f>A449+$D$7</f>
        <v>4.4000099999999502</v>
      </c>
      <c r="B450" s="1">
        <f>$D$4*EXP(-$D$1*A450)*COS($D$2*A450)</f>
        <v>0.13061691893041308</v>
      </c>
      <c r="C450" s="1">
        <f>$D$4*EXP(-$D$1*A450)</f>
        <v>0.41363041441837745</v>
      </c>
    </row>
    <row r="451" spans="1:3" x14ac:dyDescent="0.25">
      <c r="A451" s="1">
        <f>A450+$D$7</f>
        <v>4.41000999999995</v>
      </c>
      <c r="B451" s="1">
        <f>$D$4*EXP(-$D$1*A451)*COS($D$2*A451)</f>
        <v>0.14518700765242215</v>
      </c>
      <c r="C451" s="1">
        <f>$D$4*EXP(-$D$1*A451)</f>
        <v>0.41074511185805251</v>
      </c>
    </row>
    <row r="452" spans="1:3" x14ac:dyDescent="0.25">
      <c r="A452" s="1">
        <f>A451+$D$7</f>
        <v>4.4200099999999498</v>
      </c>
      <c r="B452" s="1">
        <f>$D$4*EXP(-$D$1*A452)*COS($D$2*A452)</f>
        <v>0.15931682375361819</v>
      </c>
      <c r="C452" s="1">
        <f>$D$4*EXP(-$D$1*A452)</f>
        <v>0.40787993589039195</v>
      </c>
    </row>
    <row r="453" spans="1:3" x14ac:dyDescent="0.25">
      <c r="A453" s="1">
        <f>A452+$D$7</f>
        <v>4.4300099999999496</v>
      </c>
      <c r="B453" s="1">
        <f>$D$4*EXP(-$D$1*A453)*COS($D$2*A453)</f>
        <v>0.17298935355918563</v>
      </c>
      <c r="C453" s="1">
        <f>$D$4*EXP(-$D$1*A453)</f>
        <v>0.40503474612120022</v>
      </c>
    </row>
    <row r="454" spans="1:3" x14ac:dyDescent="0.25">
      <c r="A454" s="1">
        <f>A453+$D$7</f>
        <v>4.4400099999999494</v>
      </c>
      <c r="B454" s="1">
        <f>$D$4*EXP(-$D$1*A454)*COS($D$2*A454)</f>
        <v>0.18618856863446931</v>
      </c>
      <c r="C454" s="1">
        <f>$D$4*EXP(-$D$1*A454)</f>
        <v>0.40220940313560927</v>
      </c>
    </row>
    <row r="455" spans="1:3" x14ac:dyDescent="0.25">
      <c r="A455" s="1">
        <f>A454+$D$7</f>
        <v>4.4500099999999492</v>
      </c>
      <c r="B455" s="1">
        <f>$D$4*EXP(-$D$1*A455)*COS($D$2*A455)</f>
        <v>0.19889943833084331</v>
      </c>
      <c r="C455" s="1">
        <f>$D$4*EXP(-$D$1*A455)</f>
        <v>0.39940376849124737</v>
      </c>
    </row>
    <row r="456" spans="1:3" x14ac:dyDescent="0.25">
      <c r="A456" s="1">
        <f>A455+$D$7</f>
        <v>4.460009999999949</v>
      </c>
      <c r="B456" s="1">
        <f>$D$4*EXP(-$D$1*A456)*COS($D$2*A456)</f>
        <v>0.21110794052350043</v>
      </c>
      <c r="C456" s="1">
        <f>$D$4*EXP(-$D$1*A456)</f>
        <v>0.3966177047114558</v>
      </c>
    </row>
    <row r="457" spans="1:3" x14ac:dyDescent="0.25">
      <c r="A457" s="1">
        <f>A456+$D$7</f>
        <v>4.4700099999999487</v>
      </c>
      <c r="B457" s="1">
        <f>$D$4*EXP(-$D$1*A457)*COS($D$2*A457)</f>
        <v>0.22280107054871831</v>
      </c>
      <c r="C457" s="1">
        <f>$D$4*EXP(-$D$1*A457)</f>
        <v>0.39385107527855168</v>
      </c>
    </row>
    <row r="458" spans="1:3" x14ac:dyDescent="0.25">
      <c r="A458" s="1">
        <f>A457+$D$7</f>
        <v>4.4800099999999485</v>
      </c>
      <c r="B458" s="1">
        <f>$D$4*EXP(-$D$1*A458)*COS($D$2*A458)</f>
        <v>0.23396684835100176</v>
      </c>
      <c r="C458" s="1">
        <f>$D$4*EXP(-$D$1*A458)</f>
        <v>0.39110374462713959</v>
      </c>
    </row>
    <row r="459" spans="1:3" x14ac:dyDescent="0.25">
      <c r="A459" s="1">
        <f>A458+$D$7</f>
        <v>4.4900099999999483</v>
      </c>
      <c r="B459" s="1">
        <f>$D$4*EXP(-$D$1*A459)*COS($D$2*A459)</f>
        <v>0.2445943238532847</v>
      </c>
      <c r="C459" s="1">
        <f>$D$4*EXP(-$D$1*A459)</f>
        <v>0.3883755781374677</v>
      </c>
    </row>
    <row r="460" spans="1:3" x14ac:dyDescent="0.25">
      <c r="A460" s="1">
        <f>A459+$D$7</f>
        <v>4.5000099999999481</v>
      </c>
      <c r="B460" s="1">
        <f>$D$4*EXP(-$D$1*A460)*COS($D$2*A460)</f>
        <v>0.2546735805661054</v>
      </c>
      <c r="C460" s="1">
        <f>$D$4*EXP(-$D$1*A460)</f>
        <v>0.38566644212883189</v>
      </c>
    </row>
    <row r="461" spans="1:3" x14ac:dyDescent="0.25">
      <c r="A461" s="1">
        <f>A460+$D$7</f>
        <v>4.5100099999999479</v>
      </c>
      <c r="B461" s="1">
        <f>$D$4*EXP(-$D$1*A461)*COS($D$2*A461)</f>
        <v>0.26419573745432695</v>
      </c>
      <c r="C461" s="1">
        <f>$D$4*EXP(-$D$1*A461)</f>
        <v>0.38297620385302616</v>
      </c>
    </row>
    <row r="462" spans="1:3" x14ac:dyDescent="0.25">
      <c r="A462" s="1">
        <f>A461+$D$7</f>
        <v>4.5200099999999477</v>
      </c>
      <c r="B462" s="1">
        <f>$D$4*EXP(-$D$1*A462)*COS($D$2*A462)</f>
        <v>0.27315294908257004</v>
      </c>
      <c r="C462" s="1">
        <f>$D$4*EXP(-$D$1*A462)</f>
        <v>0.38030473148783639</v>
      </c>
    </row>
    <row r="463" spans="1:3" x14ac:dyDescent="0.25">
      <c r="A463" s="1">
        <f>A462+$D$7</f>
        <v>4.5300099999999475</v>
      </c>
      <c r="B463" s="1">
        <f>$D$4*EXP(-$D$1*A463)*COS($D$2*A463)</f>
        <v>0.28153840406305319</v>
      </c>
      <c r="C463" s="1">
        <f>$D$4*EXP(-$D$1*A463)</f>
        <v>0.37765189413058242</v>
      </c>
    </row>
    <row r="464" spans="1:3" x14ac:dyDescent="0.25">
      <c r="A464" s="1">
        <f>A463+$D$7</f>
        <v>4.5400099999999473</v>
      </c>
      <c r="B464" s="1">
        <f>$D$4*EXP(-$D$1*A464)*COS($D$2*A464)</f>
        <v>0.28934632183197828</v>
      </c>
      <c r="C464" s="1">
        <f>$D$4*EXP(-$D$1*A464)</f>
        <v>0.37501756179170276</v>
      </c>
    </row>
    <row r="465" spans="1:3" x14ac:dyDescent="0.25">
      <c r="A465" s="1">
        <f>A464+$D$7</f>
        <v>4.550009999999947</v>
      </c>
      <c r="B465" s="1">
        <f>$D$4*EXP(-$D$1*A465)*COS($D$2*A465)</f>
        <v>0.29657194778298085</v>
      </c>
      <c r="C465" s="1">
        <f>$D$4*EXP(-$D$1*A465)</f>
        <v>0.37240160538838568</v>
      </c>
    </row>
    <row r="466" spans="1:3" x14ac:dyDescent="0.25">
      <c r="A466" s="1">
        <f>A465+$D$7</f>
        <v>4.5600099999999468</v>
      </c>
      <c r="B466" s="1">
        <f>$D$4*EXP(-$D$1*A466)*COS($D$2*A466)</f>
        <v>0.30321154678845097</v>
      </c>
      <c r="C466" s="1">
        <f>$D$4*EXP(-$D$1*A466)</f>
        <v>0.36980389673824426</v>
      </c>
    </row>
    <row r="467" spans="1:3" x14ac:dyDescent="0.25">
      <c r="A467" s="1">
        <f>A466+$D$7</f>
        <v>4.5700099999999466</v>
      </c>
      <c r="B467" s="1">
        <f>$D$4*EXP(-$D$1*A467)*COS($D$2*A467)</f>
        <v>0.30926239514174558</v>
      </c>
      <c r="C467" s="1">
        <f>$D$4*EXP(-$D$1*A467)</f>
        <v>0.36722430855303456</v>
      </c>
    </row>
    <row r="468" spans="1:3" x14ac:dyDescent="0.25">
      <c r="A468" s="1">
        <f>A467+$D$7</f>
        <v>4.5800099999999464</v>
      </c>
      <c r="B468" s="1">
        <f>$D$4*EXP(-$D$1*A468)*COS($D$2*A468)</f>
        <v>0.31472277095543971</v>
      </c>
      <c r="C468" s="1">
        <f>$D$4*EXP(-$D$1*A468)</f>
        <v>0.36466271443241971</v>
      </c>
    </row>
    <row r="469" spans="1:3" x14ac:dyDescent="0.25">
      <c r="A469" s="1">
        <f>A468+$D$7</f>
        <v>4.5900099999999462</v>
      </c>
      <c r="B469" s="1">
        <f>$D$4*EXP(-$D$1*A469)*COS($D$2*A469)</f>
        <v>0.31959194305280009</v>
      </c>
      <c r="C469" s="1">
        <f>$D$4*EXP(-$D$1*A469)</f>
        <v>0.3621189888577751</v>
      </c>
    </row>
    <row r="470" spans="1:3" x14ac:dyDescent="0.25">
      <c r="A470" s="1">
        <f>A469+$D$7</f>
        <v>4.600009999999946</v>
      </c>
      <c r="B470" s="1">
        <f>$D$4*EXP(-$D$1*A470)*COS($D$2*A470)</f>
        <v>0.32387015839161903</v>
      </c>
      <c r="C470" s="1">
        <f>$D$4*EXP(-$D$1*A470)</f>
        <v>0.35959300718603843</v>
      </c>
    </row>
    <row r="471" spans="1:3" x14ac:dyDescent="0.25">
      <c r="A471" s="1">
        <f>A470+$D$7</f>
        <v>4.6100099999999458</v>
      </c>
      <c r="B471" s="1">
        <f>$D$4*EXP(-$D$1*A471)*COS($D$2*A471)</f>
        <v>0.32755862806140262</v>
      </c>
      <c r="C471" s="1">
        <f>$D$4*EXP(-$D$1*A471)</f>
        <v>0.35708464564360276</v>
      </c>
    </row>
    <row r="472" spans="1:3" x14ac:dyDescent="0.25">
      <c r="A472" s="1">
        <f>A471+$D$7</f>
        <v>4.6200099999999455</v>
      </c>
      <c r="B472" s="1">
        <f>$D$4*EXP(-$D$1*A472)*COS($D$2*A472)</f>
        <v>0.33065951189667153</v>
      </c>
      <c r="C472" s="1">
        <f>$D$4*EXP(-$D$1*A472)</f>
        <v>0.35459378132025021</v>
      </c>
    </row>
    <row r="473" spans="1:3" x14ac:dyDescent="0.25">
      <c r="A473" s="1">
        <f>A472+$D$7</f>
        <v>4.6300099999999453</v>
      </c>
      <c r="B473" s="1">
        <f>$D$4*EXP(-$D$1*A473)*COS($D$2*A473)</f>
        <v>0.33317590175081085</v>
      </c>
      <c r="C473" s="1">
        <f>$D$4*EXP(-$D$1*A473)</f>
        <v>0.35212029216313095</v>
      </c>
    </row>
    <row r="474" spans="1:3" x14ac:dyDescent="0.25">
      <c r="A474" s="1">
        <f>A473+$D$7</f>
        <v>4.6400099999999451</v>
      </c>
      <c r="B474" s="1">
        <f>$D$4*EXP(-$D$1*A474)*COS($D$2*A474)</f>
        <v>0.33511180347647046</v>
      </c>
      <c r="C474" s="1">
        <f>$D$4*EXP(-$D$1*A474)</f>
        <v>0.34966405697078129</v>
      </c>
    </row>
    <row r="475" spans="1:3" x14ac:dyDescent="0.25">
      <c r="A475" s="1">
        <f>A474+$D$7</f>
        <v>4.6500099999999449</v>
      </c>
      <c r="B475" s="1">
        <f>$D$4*EXP(-$D$1*A475)*COS($D$2*A475)</f>
        <v>0.33647211766000601</v>
      </c>
      <c r="C475" s="1">
        <f>$D$4*EXP(-$D$1*A475)</f>
        <v>0.34722495538718501</v>
      </c>
    </row>
    <row r="476" spans="1:3" x14ac:dyDescent="0.25">
      <c r="A476" s="1">
        <f>A475+$D$7</f>
        <v>4.6600099999999447</v>
      </c>
      <c r="B476" s="1">
        <f>$D$4*EXP(-$D$1*A476)*COS($D$2*A476)</f>
        <v>0.33726261915882411</v>
      </c>
      <c r="C476" s="1">
        <f>$D$4*EXP(-$D$1*A476)</f>
        <v>0.34480286789587694</v>
      </c>
    </row>
    <row r="477" spans="1:3" x14ac:dyDescent="0.25">
      <c r="A477" s="1">
        <f>A476+$D$7</f>
        <v>4.6700099999999445</v>
      </c>
      <c r="B477" s="1">
        <f>$D$4*EXP(-$D$1*A477)*COS($D$2*A477)</f>
        <v>0.33748993549177519</v>
      </c>
      <c r="C477" s="1">
        <f>$D$4*EXP(-$D$1*A477)</f>
        <v>0.34239767581408503</v>
      </c>
    </row>
    <row r="478" spans="1:3" x14ac:dyDescent="0.25">
      <c r="A478" s="1">
        <f>A477+$D$7</f>
        <v>4.6800099999999443</v>
      </c>
      <c r="B478" s="1">
        <f>$D$4*EXP(-$D$1*A478)*COS($D$2*A478)</f>
        <v>0.33716152413392492</v>
      </c>
      <c r="C478" s="1">
        <f>$D$4*EXP(-$D$1*A478)</f>
        <v>0.34000926128691633</v>
      </c>
    </row>
    <row r="479" spans="1:3" x14ac:dyDescent="0.25">
      <c r="A479" s="1">
        <f>A478+$D$7</f>
        <v>4.6900099999999441</v>
      </c>
      <c r="B479" s="1">
        <f>$D$4*EXP(-$D$1*A479)*COS($D$2*A479)</f>
        <v>0.3362856487681069</v>
      </c>
      <c r="C479" s="1">
        <f>$D$4*EXP(-$D$1*A479)</f>
        <v>0.33763750728158093</v>
      </c>
    </row>
    <row r="480" spans="1:3" x14ac:dyDescent="0.25">
      <c r="A480" s="1">
        <f>A479+$D$7</f>
        <v>4.7000099999999438</v>
      </c>
      <c r="B480" s="1">
        <f>$D$4*EXP(-$D$1*A480)*COS($D$2*A480)</f>
        <v>0.33487135454664585</v>
      </c>
      <c r="C480" s="1">
        <f>$D$4*EXP(-$D$1*A480)</f>
        <v>0.33528229758165801</v>
      </c>
    </row>
    <row r="481" spans="1:3" x14ac:dyDescent="0.25">
      <c r="A481" s="1">
        <f>A480+$D$7</f>
        <v>4.7100099999999436</v>
      </c>
      <c r="B481" s="1">
        <f>$D$4*EXP(-$D$1*A481)*COS($D$2*A481)</f>
        <v>0.33292844241751396</v>
      </c>
      <c r="C481" s="1">
        <f>$D$4*EXP(-$D$1*A481)</f>
        <v>0.33294351678140116</v>
      </c>
    </row>
    <row r="482" spans="1:3" x14ac:dyDescent="0.25">
      <c r="A482" s="1">
        <f>A481+$D$7</f>
        <v>4.7200099999999434</v>
      </c>
      <c r="B482" s="1">
        <f>$D$4*EXP(-$D$1*A482)*COS($D$2*A482)</f>
        <v>0.33046744256996385</v>
      </c>
      <c r="C482" s="1">
        <f>$D$4*EXP(-$D$1*A482)</f>
        <v>0.3306210502800831</v>
      </c>
    </row>
    <row r="483" spans="1:3" x14ac:dyDescent="0.25">
      <c r="A483" s="1">
        <f>A482+$D$7</f>
        <v>4.7300099999999432</v>
      </c>
      <c r="B483" s="1">
        <f>$D$4*EXP(-$D$1*A483)*COS($D$2*A483)</f>
        <v>0.32749958705535598</v>
      </c>
      <c r="C483" s="1">
        <f>$D$4*EXP(-$D$1*A483)</f>
        <v>0.32831478427638072</v>
      </c>
    </row>
    <row r="484" spans="1:3" x14ac:dyDescent="0.25">
      <c r="A484" s="1">
        <f>A483+$D$7</f>
        <v>4.740009999999943</v>
      </c>
      <c r="B484" s="1">
        <f>$D$4*EXP(-$D$1*A484)*COS($D$2*A484)</f>
        <v>0.32403678163947491</v>
      </c>
      <c r="C484" s="1">
        <f>$D$4*EXP(-$D$1*A484)</f>
        <v>0.32602460576279829</v>
      </c>
    </row>
    <row r="485" spans="1:3" x14ac:dyDescent="0.25">
      <c r="A485" s="1">
        <f>A484+$D$7</f>
        <v>4.7500099999999428</v>
      </c>
      <c r="B485" s="1">
        <f>$D$4*EXP(-$D$1*A485)*COS($D$2*A485)</f>
        <v>0.32009157694310453</v>
      </c>
      <c r="C485" s="1">
        <f>$D$4*EXP(-$D$1*A485)</f>
        <v>0.32375040252013038</v>
      </c>
    </row>
    <row r="486" spans="1:3" x14ac:dyDescent="0.25">
      <c r="A486" s="1">
        <f>A485+$D$7</f>
        <v>4.7600099999999426</v>
      </c>
      <c r="B486" s="1">
        <f>$D$4*EXP(-$D$1*A486)*COS($D$2*A486)</f>
        <v>0.31567713892800886</v>
      </c>
      <c r="C486" s="1">
        <f>$D$4*EXP(-$D$1*A486)</f>
        <v>0.32149206311196321</v>
      </c>
    </row>
    <row r="487" spans="1:3" x14ac:dyDescent="0.25">
      <c r="A487" s="1">
        <f>A486+$D$7</f>
        <v>4.7700099999999424</v>
      </c>
      <c r="B487" s="1">
        <f>$D$4*EXP(-$D$1*A487)*COS($D$2*A487)</f>
        <v>0.31080721878573991</v>
      </c>
      <c r="C487" s="1">
        <f>$D$4*EXP(-$D$1*A487)</f>
        <v>0.31924947687921368</v>
      </c>
    </row>
    <row r="488" spans="1:3" x14ac:dyDescent="0.25">
      <c r="A488" s="1">
        <f>A487+$D$7</f>
        <v>4.7800099999999421</v>
      </c>
      <c r="B488" s="1">
        <f>$D$4*EXP(-$D$1*A488)*COS($D$2*A488)</f>
        <v>0.30549612228687884</v>
      </c>
      <c r="C488" s="1">
        <f>$D$4*EXP(-$D$1*A488)</f>
        <v>0.31702253393470797</v>
      </c>
    </row>
    <row r="489" spans="1:3" x14ac:dyDescent="0.25">
      <c r="A489" s="1">
        <f>A488+$D$7</f>
        <v>4.7900099999999419</v>
      </c>
      <c r="B489" s="1">
        <f>$D$4*EXP(-$D$1*A489)*COS($D$2*A489)</f>
        <v>0.29975867864839101</v>
      </c>
      <c r="C489" s="1">
        <f>$D$4*EXP(-$D$1*A489)</f>
        <v>0.31481112515779608</v>
      </c>
    </row>
    <row r="490" spans="1:3" x14ac:dyDescent="0.25">
      <c r="A490" s="1">
        <f>A489+$D$7</f>
        <v>4.8000099999999417</v>
      </c>
      <c r="B490" s="1">
        <f>$D$4*EXP(-$D$1*A490)*COS($D$2*A490)</f>
        <v>0.29361020897677215</v>
      </c>
      <c r="C490" s="1">
        <f>$D$4*EXP(-$D$1*A490)</f>
        <v>0.31261514218900538</v>
      </c>
    </row>
    <row r="491" spans="1:3" x14ac:dyDescent="0.25">
      <c r="A491" s="1">
        <f>A490+$D$7</f>
        <v>4.8100099999999415</v>
      </c>
      <c r="B491" s="1">
        <f>$D$4*EXP(-$D$1*A491)*COS($D$2*A491)</f>
        <v>0.28706649434454778</v>
      </c>
      <c r="C491" s="1">
        <f>$D$4*EXP(-$D$1*A491)</f>
        <v>0.31043447742473129</v>
      </c>
    </row>
    <row r="492" spans="1:3" x14ac:dyDescent="0.25">
      <c r="A492" s="1">
        <f>A491+$D$7</f>
        <v>4.8200099999999413</v>
      </c>
      <c r="B492" s="1">
        <f>$D$4*EXP(-$D$1*A492)*COS($D$2*A492)</f>
        <v>0.28014374355749139</v>
      </c>
      <c r="C492" s="1">
        <f>$D$4*EXP(-$D$1*A492)</f>
        <v>0.30826902401196371</v>
      </c>
    </row>
    <row r="493" spans="1:3" x14ac:dyDescent="0.25">
      <c r="A493" s="1">
        <f>A492+$D$7</f>
        <v>4.8300099999999411</v>
      </c>
      <c r="B493" s="1">
        <f>$D$4*EXP(-$D$1*A493)*COS($D$2*A493)</f>
        <v>0.27285856066963715</v>
      </c>
      <c r="C493" s="1">
        <f>$D$4*EXP(-$D$1*A493)</f>
        <v>0.30611867584305241</v>
      </c>
    </row>
    <row r="494" spans="1:3" x14ac:dyDescent="0.25">
      <c r="A494" s="1">
        <f>A493+$D$7</f>
        <v>4.8400099999999409</v>
      </c>
      <c r="B494" s="1">
        <f>$D$4*EXP(-$D$1*A494)*COS($D$2*A494)</f>
        <v>0.26522791230277831</v>
      </c>
      <c r="C494" s="1">
        <f>$D$4*EXP(-$D$1*A494)</f>
        <v>0.30398332755050678</v>
      </c>
    </row>
    <row r="495" spans="1:3" x14ac:dyDescent="0.25">
      <c r="A495" s="1">
        <f>A494+$D$7</f>
        <v>4.8500099999999406</v>
      </c>
      <c r="B495" s="1">
        <f>$D$4*EXP(-$D$1*A495)*COS($D$2*A495)</f>
        <v>0.25726909482667804</v>
      </c>
      <c r="C495" s="1">
        <f>$D$4*EXP(-$D$1*A495)</f>
        <v>0.30186287450183313</v>
      </c>
    </row>
    <row r="496" spans="1:3" x14ac:dyDescent="0.25">
      <c r="A496" s="1">
        <f>A495+$D$7</f>
        <v>4.8600099999999404</v>
      </c>
      <c r="B496" s="1">
        <f>$D$4*EXP(-$D$1*A496)*COS($D$2*A496)</f>
        <v>0.24899970145566511</v>
      </c>
      <c r="C496" s="1">
        <f>$D$4*EXP(-$D$1*A496)</f>
        <v>0.29975721279440798</v>
      </c>
    </row>
    <row r="497" spans="1:3" x14ac:dyDescent="0.25">
      <c r="A497" s="1">
        <f>A496+$D$7</f>
        <v>4.8700099999999402</v>
      </c>
      <c r="B497" s="1">
        <f>$D$4*EXP(-$D$1*A497)*COS($D$2*A497)</f>
        <v>0.24043758931664699</v>
      </c>
      <c r="C497" s="1">
        <f>$D$4*EXP(-$D$1*A497)</f>
        <v>0.29766623925038616</v>
      </c>
    </row>
    <row r="498" spans="1:3" x14ac:dyDescent="0.25">
      <c r="A498" s="1">
        <f>A497+$D$7</f>
        <v>4.88000999999994</v>
      </c>
      <c r="B498" s="1">
        <f>$D$4*EXP(-$D$1*A498)*COS($D$2*A498)</f>
        <v>0.23160084654285967</v>
      </c>
      <c r="C498" s="1">
        <f>$D$4*EXP(-$D$1*A498)</f>
        <v>0.2955898514116459</v>
      </c>
    </row>
    <row r="499" spans="1:3" x14ac:dyDescent="0.25">
      <c r="A499" s="1">
        <f>A498+$D$7</f>
        <v>4.8900099999999398</v>
      </c>
      <c r="B499" s="1">
        <f>$D$4*EXP(-$D$1*A499)*COS($D$2*A499)</f>
        <v>0.22250775944687035</v>
      </c>
      <c r="C499" s="1">
        <f>$D$4*EXP(-$D$1*A499)</f>
        <v>0.29352794753476757</v>
      </c>
    </row>
    <row r="500" spans="1:3" x14ac:dyDescent="0.25">
      <c r="A500" s="1">
        <f>A499+$D$7</f>
        <v>4.9000099999999396</v>
      </c>
      <c r="B500" s="1">
        <f>$D$4*EXP(-$D$1*A500)*COS($D$2*A500)</f>
        <v>0.21317677982548069</v>
      </c>
      <c r="C500" s="1">
        <f>$D$4*EXP(-$D$1*A500)</f>
        <v>0.29148042658604839</v>
      </c>
    </row>
    <row r="501" spans="1:3" x14ac:dyDescent="0.25">
      <c r="A501" s="1">
        <f>A500+$D$7</f>
        <v>4.9100099999999394</v>
      </c>
      <c r="B501" s="1">
        <f>$D$4*EXP(-$D$1*A501)*COS($D$2*A501)</f>
        <v>0.20362649244822753</v>
      </c>
      <c r="C501" s="1">
        <f>$D$4*EXP(-$D$1*A501)</f>
        <v>0.28944718823655252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1:L44"/>
  <sheetViews>
    <sheetView topLeftCell="A26" workbookViewId="0">
      <selection activeCell="L17" sqref="L17"/>
    </sheetView>
  </sheetViews>
  <sheetFormatPr defaultRowHeight="15" x14ac:dyDescent="0.25"/>
  <sheetData>
    <row r="1" spans="2:12" x14ac:dyDescent="0.25">
      <c r="K1" s="5" t="s">
        <v>10</v>
      </c>
      <c r="L1">
        <v>1.01</v>
      </c>
    </row>
    <row r="2" spans="2:12" x14ac:dyDescent="0.25">
      <c r="B2" s="5" t="s">
        <v>186</v>
      </c>
      <c r="C2">
        <v>222</v>
      </c>
      <c r="D2" t="s">
        <v>181</v>
      </c>
      <c r="F2" s="5" t="s">
        <v>185</v>
      </c>
    </row>
    <row r="3" spans="2:12" x14ac:dyDescent="0.25">
      <c r="B3" s="5" t="s">
        <v>184</v>
      </c>
      <c r="C3" s="65">
        <v>5.9999999999999997E-7</v>
      </c>
      <c r="D3" t="s">
        <v>183</v>
      </c>
      <c r="F3" s="5" t="s">
        <v>182</v>
      </c>
      <c r="G3">
        <v>75</v>
      </c>
      <c r="H3" t="s">
        <v>181</v>
      </c>
      <c r="K3" t="s">
        <v>165</v>
      </c>
      <c r="L3" t="s">
        <v>164</v>
      </c>
    </row>
    <row r="4" spans="2:12" x14ac:dyDescent="0.25">
      <c r="B4" s="5" t="s">
        <v>180</v>
      </c>
      <c r="C4">
        <v>0.5</v>
      </c>
      <c r="D4" t="s">
        <v>179</v>
      </c>
      <c r="K4" s="41">
        <v>140</v>
      </c>
      <c r="L4" s="66">
        <f>SQRT(1/$C$2^2+(K4*$C$3-1/(K4*$C$4))^2)-1/$G$3</f>
        <v>1.5656347344276868E-3</v>
      </c>
    </row>
    <row r="5" spans="2:12" x14ac:dyDescent="0.25">
      <c r="F5" s="47" t="s">
        <v>178</v>
      </c>
      <c r="K5" s="41">
        <f>K4*$L$1</f>
        <v>141.4</v>
      </c>
      <c r="L5" s="66">
        <f>SQRT(1/$C$2^2+(K5*$C$3-1/(K5*$C$4))^2)-1/$G$3</f>
        <v>1.4300733501869632E-3</v>
      </c>
    </row>
    <row r="6" spans="2:12" x14ac:dyDescent="0.25">
      <c r="K6" s="41">
        <f>K5*$L$1</f>
        <v>142.81399999999999</v>
      </c>
      <c r="L6" s="66">
        <f>SQRT(1/$C$2^2+(K6*$C$3-1/(K6*$C$4))^2)-1/$G$3</f>
        <v>1.2959640176179506E-3</v>
      </c>
    </row>
    <row r="7" spans="2:12" x14ac:dyDescent="0.25">
      <c r="B7" s="70" t="s">
        <v>138</v>
      </c>
      <c r="K7" s="41">
        <f>K6*$L$1</f>
        <v>144.24214000000001</v>
      </c>
      <c r="L7" s="66">
        <f>SQRT(1/$C$2^2+(K7*$C$3-1/(K7*$C$4))^2)-1/$G$3</f>
        <v>1.1632931901375543E-3</v>
      </c>
    </row>
    <row r="8" spans="2:12" x14ac:dyDescent="0.25">
      <c r="C8" s="5" t="s">
        <v>177</v>
      </c>
      <c r="D8">
        <v>1E-3</v>
      </c>
      <c r="K8" s="41">
        <f>K7*$L$1</f>
        <v>145.68456140000001</v>
      </c>
      <c r="L8" s="66">
        <f>SQRT(1/$C$2^2+(K8*$C$3-1/(K8*$C$4))^2)-1/$G$3</f>
        <v>1.0320474566045609E-3</v>
      </c>
    </row>
    <row r="9" spans="2:12" x14ac:dyDescent="0.25">
      <c r="B9" t="s">
        <v>165</v>
      </c>
      <c r="C9" t="s">
        <v>164</v>
      </c>
      <c r="D9" t="s">
        <v>176</v>
      </c>
      <c r="E9" t="s">
        <v>175</v>
      </c>
      <c r="F9" t="s">
        <v>174</v>
      </c>
      <c r="G9" t="s">
        <v>173</v>
      </c>
      <c r="H9" t="s">
        <v>172</v>
      </c>
      <c r="I9" t="s">
        <v>42</v>
      </c>
      <c r="K9" s="41">
        <f>K8*$L$1</f>
        <v>147.14140701400001</v>
      </c>
      <c r="L9" s="66">
        <f>SQRT(1/$C$2^2+(K9*$C$3-1/(K9*$C$4))^2)-1/$G$3</f>
        <v>9.0221353983174768E-4</v>
      </c>
    </row>
    <row r="10" spans="2:12" x14ac:dyDescent="0.25">
      <c r="B10" s="4">
        <v>1</v>
      </c>
      <c r="C10" s="4">
        <f>SQRT(1/$C$2^2+(B10*$C$3-1/(B10*$C$4))^2)-1/$G$3</f>
        <v>1.9866711393019634</v>
      </c>
      <c r="D10" s="4">
        <f>B10+$D$8</f>
        <v>1.0009999999999999</v>
      </c>
      <c r="E10" s="4">
        <f>SQRT(1/$C$2^2+(D10*$C$3-1/(D10*$C$4))^2)-1/$G$3</f>
        <v>1.984673141776587</v>
      </c>
      <c r="F10" s="4">
        <f>B10-$D$8</f>
        <v>0.999</v>
      </c>
      <c r="G10" s="4">
        <f>SQRT(1/$C$2^2+(F10*$C$3-1/(F10*$C$4))^2)-1/$G$3</f>
        <v>1.9886731368313402</v>
      </c>
      <c r="H10" s="4">
        <f>(E10-G10)/(2*$D$8)</f>
        <v>-1.9999975273765624</v>
      </c>
      <c r="K10" s="41">
        <f>K9*$L$1</f>
        <v>148.61282108414002</v>
      </c>
      <c r="L10" s="66">
        <f>SQRT(1/$C$2^2+(K10*$C$3-1/(K10*$C$4))^2)-1/$G$3</f>
        <v>7.7377829510857227E-4</v>
      </c>
    </row>
    <row r="11" spans="2:12" x14ac:dyDescent="0.25">
      <c r="B11" s="4">
        <f>B10-C10/H10</f>
        <v>1.9933367977249055</v>
      </c>
      <c r="C11" s="4">
        <f>SQRT(1/$C$2^2+(B11*$C$3-1/(B11*$C$4))^2)-1/$G$3</f>
        <v>0.99001831991270495</v>
      </c>
      <c r="D11" s="4">
        <f>B11+$D$8</f>
        <v>1.9943367977249054</v>
      </c>
      <c r="E11" s="4">
        <f>SQRT(1/$C$2^2+(D11*$C$3-1/(D11*$C$4))^2)-1/$G$3</f>
        <v>0.98951522844935902</v>
      </c>
      <c r="F11" s="4">
        <f>B11-$D$8</f>
        <v>1.9923367977249056</v>
      </c>
      <c r="G11" s="4">
        <f>SQRT(1/$C$2^2+(F11*$C$3-1/(F11*$C$4))^2)-1/$G$3</f>
        <v>0.99052191640706433</v>
      </c>
      <c r="H11" s="4">
        <f>(E11-G11)/(2*$D$8)</f>
        <v>-0.50334397885265503</v>
      </c>
      <c r="I11" s="2">
        <f>H11/H10-1</f>
        <v>-0.74832769942825794</v>
      </c>
      <c r="K11" s="41">
        <f>K10*$L$1</f>
        <v>150.09894929498142</v>
      </c>
      <c r="L11" s="66">
        <f>SQRT(1/$C$2^2+(K11*$C$3-1/(K11*$C$4))^2)-1/$G$3</f>
        <v>6.4672870873431522E-4</v>
      </c>
    </row>
    <row r="12" spans="2:12" x14ac:dyDescent="0.25">
      <c r="B12" s="4">
        <f>B11-C11/H11</f>
        <v>3.9602190124866619</v>
      </c>
      <c r="C12" s="4">
        <f>SQRT(1/$C$2^2+(B12*$C$3-1/(B12*$C$4))^2)-1/$G$3</f>
        <v>0.49170695317578239</v>
      </c>
      <c r="D12" s="4">
        <f>B12+$D$8</f>
        <v>3.9612190124866618</v>
      </c>
      <c r="E12" s="4">
        <f>SQRT(1/$C$2^2+(D12*$C$3-1/(D12*$C$4))^2)-1/$G$3</f>
        <v>0.49157946594107138</v>
      </c>
      <c r="F12" s="4">
        <f>B12-$D$8</f>
        <v>3.959219012486662</v>
      </c>
      <c r="G12" s="4">
        <f>SQRT(1/$C$2^2+(F12*$C$3-1/(F12*$C$4))^2)-1/$G$3</f>
        <v>0.49183450481294611</v>
      </c>
      <c r="H12" s="4">
        <f>(E12-G12)/(2*$D$8)</f>
        <v>-0.12751943593736215</v>
      </c>
      <c r="I12" s="2">
        <f>H12/H11-1</f>
        <v>-0.74665548552297034</v>
      </c>
      <c r="K12" s="41">
        <f>K11*$L$1</f>
        <v>151.59993878793125</v>
      </c>
      <c r="L12" s="66">
        <f>SQRT(1/$C$2^2+(K12*$C$3-1/(K12*$C$4))^2)-1/$G$3</f>
        <v>5.2105189656154009E-4</v>
      </c>
    </row>
    <row r="13" spans="2:12" x14ac:dyDescent="0.25">
      <c r="B13" s="4">
        <f>B12-C12/H12</f>
        <v>7.8161563412661748</v>
      </c>
      <c r="C13" s="4">
        <f>SQRT(1/$C$2^2+(B13*$C$3-1/(B13*$C$4))^2)-1/$G$3</f>
        <v>0.24258186823311431</v>
      </c>
      <c r="D13" s="4">
        <f>B13+$D$8</f>
        <v>7.8171563412661751</v>
      </c>
      <c r="E13" s="4">
        <f>SQRT(1/$C$2^2+(D13*$C$3-1/(D13*$C$4))^2)-1/$G$3</f>
        <v>0.24254913954283427</v>
      </c>
      <c r="F13" s="4">
        <f>B13-$D$8</f>
        <v>7.8151563412661744</v>
      </c>
      <c r="G13" s="4">
        <f>SQRT(1/$C$2^2+(F13*$C$3-1/(F13*$C$4))^2)-1/$G$3</f>
        <v>0.24261460530023529</v>
      </c>
      <c r="H13" s="4">
        <f>(E13-G13)/(2*$D$8)</f>
        <v>-3.2732878700508783E-2</v>
      </c>
      <c r="I13" s="2">
        <f>H13/H12-1</f>
        <v>-0.74331066899803999</v>
      </c>
      <c r="K13" s="41">
        <f>K12*$L$1</f>
        <v>153.11593817581056</v>
      </c>
      <c r="L13" s="66">
        <f>SQRT(1/$C$2^2+(K13*$C$3-1/(K13*$C$4))^2)-1/$G$3</f>
        <v>3.9673510254970186E-4</v>
      </c>
    </row>
    <row r="14" spans="2:12" x14ac:dyDescent="0.25">
      <c r="B14" s="4">
        <f>B13-C13/H13</f>
        <v>15.22711064359412</v>
      </c>
      <c r="C14" s="4">
        <f>SQRT(1/$C$2^2+(B14*$C$3-1/(B14*$C$4))^2)-1/$G$3</f>
        <v>0.11807943637803078</v>
      </c>
      <c r="D14" s="4">
        <f>B14+$D$8</f>
        <v>15.228110643594119</v>
      </c>
      <c r="E14" s="4">
        <f>SQRT(1/$C$2^2+(D14*$C$3-1/(D14*$C$4))^2)-1/$G$3</f>
        <v>0.11807081570099168</v>
      </c>
      <c r="F14" s="4">
        <f>B14-$D$8</f>
        <v>15.22611064359412</v>
      </c>
      <c r="G14" s="4">
        <f>SQRT(1/$C$2^2+(F14*$C$3-1/(F14*$C$4))^2)-1/$G$3</f>
        <v>0.11808805818801096</v>
      </c>
      <c r="H14" s="4">
        <f>(E14-G14)/(2*$D$8)</f>
        <v>-8.6212435096433282E-3</v>
      </c>
      <c r="I14" s="2">
        <f>H14/H13-1</f>
        <v>-0.73661823060159626</v>
      </c>
      <c r="K14" s="41">
        <f>K13*$L$1</f>
        <v>154.64709755756866</v>
      </c>
      <c r="L14" s="66">
        <f>SQRT(1/$C$2^2+(K14*$C$3-1/(K14*$C$4))^2)-1/$G$3</f>
        <v>2.7376569732881495E-4</v>
      </c>
    </row>
    <row r="15" spans="2:12" x14ac:dyDescent="0.25">
      <c r="B15" s="4">
        <f>B14-C14/H14</f>
        <v>28.923445313407417</v>
      </c>
      <c r="C15" s="4">
        <f>SQRT(1/$C$2^2+(B15*$C$3-1/(B15*$C$4))^2)-1/$G$3</f>
        <v>5.5943967659862689E-2</v>
      </c>
      <c r="D15" s="4">
        <f>B15+$D$8</f>
        <v>28.924445313407418</v>
      </c>
      <c r="E15" s="4">
        <f>SQRT(1/$C$2^2+(D15*$C$3-1/(D15*$C$4))^2)-1/$G$3</f>
        <v>5.5941581476084093E-2</v>
      </c>
      <c r="F15" s="4">
        <f>B15-$D$8</f>
        <v>28.922445313407415</v>
      </c>
      <c r="G15" s="4">
        <f>SQRT(1/$C$2^2+(F15*$C$3-1/(F15*$C$4))^2)-1/$G$3</f>
        <v>5.5946354008954563E-2</v>
      </c>
      <c r="H15" s="4">
        <f>(E15-G15)/(2*$D$8)</f>
        <v>-2.3862664352350405E-3</v>
      </c>
      <c r="I15" s="2">
        <f>H15/H14-1</f>
        <v>-0.72321087641639259</v>
      </c>
      <c r="K15" s="41">
        <f>K14*$L$1</f>
        <v>156.19356853314434</v>
      </c>
      <c r="L15" s="66">
        <f>SQRT(1/$C$2^2+(K15*$C$3-1/(K15*$C$4))^2)-1/$G$3</f>
        <v>1.5213117677301789E-4</v>
      </c>
    </row>
    <row r="16" spans="2:12" x14ac:dyDescent="0.25">
      <c r="B16" s="4">
        <f>B15-C15/H15</f>
        <v>52.367586685807169</v>
      </c>
      <c r="C16" s="4">
        <f>SQRT(1/$C$2^2+(B16*$C$3-1/(B16*$C$4))^2)-1/$G$3</f>
        <v>2.5091750307238009E-2</v>
      </c>
      <c r="D16" s="4">
        <f>B16+$D$8</f>
        <v>52.368586685807166</v>
      </c>
      <c r="E16" s="4">
        <f>SQRT(1/$C$2^2+(D16*$C$3-1/(D16*$C$4))^2)-1/$G$3</f>
        <v>2.5091025456055668E-2</v>
      </c>
      <c r="F16" s="4">
        <f>B16-$D$8</f>
        <v>52.366586685807171</v>
      </c>
      <c r="G16" s="4">
        <f>SQRT(1/$C$2^2+(F16*$C$3-1/(F16*$C$4))^2)-1/$G$3</f>
        <v>2.5092475186271855E-2</v>
      </c>
      <c r="H16" s="4">
        <f>(E16-G16)/(2*$D$8)</f>
        <v>-7.248651080933588E-4</v>
      </c>
      <c r="I16" s="2">
        <f>H16/H15-1</f>
        <v>-0.69623462938162572</v>
      </c>
      <c r="K16" s="41">
        <f>K15*$L$1</f>
        <v>157.75550421847578</v>
      </c>
      <c r="L16" s="66">
        <f>SQRT(1/$C$2^2+(K16*$C$3-1/(K16*$C$4))^2)-1/$G$3</f>
        <v>3.1819160583946085E-5</v>
      </c>
    </row>
    <row r="17" spans="2:12" x14ac:dyDescent="0.25">
      <c r="B17" s="4">
        <f>B16-C16/H16</f>
        <v>86.983337985021763</v>
      </c>
      <c r="C17" s="4">
        <f>SQRT(1/$C$2^2+(B17*$C$3-1/(B17*$C$4))^2)-1/$G$3</f>
        <v>1.004544255911371E-2</v>
      </c>
      <c r="D17" s="4">
        <f>B17+$D$8</f>
        <v>86.984337985021767</v>
      </c>
      <c r="E17" s="4">
        <f>SQRT(1/$C$2^2+(D17*$C$3-1/(D17*$C$4))^2)-1/$G$3</f>
        <v>1.0045182589432143E-2</v>
      </c>
      <c r="F17" s="4">
        <f>B17-$D$8</f>
        <v>86.982337985021758</v>
      </c>
      <c r="G17" s="4">
        <f>SQRT(1/$C$2^2+(F17*$C$3-1/(F17*$C$4))^2)-1/$G$3</f>
        <v>1.0045702534870733E-2</v>
      </c>
      <c r="H17" s="4">
        <f>(E17-G17)/(2*$D$8)</f>
        <v>-2.5997271929471821E-4</v>
      </c>
      <c r="I17" s="2">
        <f>H17/H16-1</f>
        <v>-0.64135020931199915</v>
      </c>
      <c r="K17" s="41">
        <f>K16*$L$1</f>
        <v>159.33305926066055</v>
      </c>
      <c r="L17" s="66">
        <f>SQRT(1/$C$2^2+(K17*$C$3-1/(K17*$C$4))^2)-1/$G$3</f>
        <v>-8.7182609116262522E-5</v>
      </c>
    </row>
    <row r="18" spans="2:12" x14ac:dyDescent="0.25">
      <c r="B18" s="4">
        <f>B17-C17/H17</f>
        <v>125.62370989160512</v>
      </c>
      <c r="C18" s="4">
        <f>SQRT(1/$C$2^2+(B18*$C$3-1/(B18*$C$4))^2)-1/$G$3</f>
        <v>3.1396906994989298E-3</v>
      </c>
      <c r="D18" s="4">
        <f>B18+$D$8</f>
        <v>125.62470989160512</v>
      </c>
      <c r="E18" s="4">
        <f>SQRT(1/$C$2^2+(D18*$C$3-1/(D18*$C$4))^2)-1/$G$3</f>
        <v>3.139568221379575E-3</v>
      </c>
      <c r="F18" s="4">
        <f>B18-$D$8</f>
        <v>125.62270989160511</v>
      </c>
      <c r="G18" s="4">
        <f>SQRT(1/$C$2^2+(F18*$C$3-1/(F18*$C$4))^2)-1/$G$3</f>
        <v>3.1398131796326317E-3</v>
      </c>
      <c r="H18" s="4">
        <f>(E18-G18)/(2*$D$8)</f>
        <v>-1.2247912652835202E-4</v>
      </c>
      <c r="I18" s="2">
        <f>H18/H17-1</f>
        <v>-0.52887700347703215</v>
      </c>
      <c r="K18" s="41">
        <f>K17*$L$1</f>
        <v>160.92638985326715</v>
      </c>
      <c r="L18" s="66">
        <f>SQRT(1/$C$2^2+(K18*$C$3-1/(K18*$C$4))^2)-1/$G$3</f>
        <v>-2.0488626918237739E-4</v>
      </c>
    </row>
    <row r="19" spans="2:12" x14ac:dyDescent="0.25">
      <c r="B19" s="4">
        <f>B18-C18/H18</f>
        <v>151.2582060583633</v>
      </c>
      <c r="C19" s="4">
        <f>SQRT(1/$C$2^2+(B19*$C$3-1/(B19*$C$4))^2)-1/$G$3</f>
        <v>5.4943549346965666E-4</v>
      </c>
      <c r="D19" s="4">
        <f>B19+$D$8</f>
        <v>151.2592060583633</v>
      </c>
      <c r="E19" s="4">
        <f>SQRT(1/$C$2^2+(D19*$C$3-1/(D19*$C$4))^2)-1/$G$3</f>
        <v>5.4935223975919635E-4</v>
      </c>
      <c r="F19" s="4">
        <f>B19-$D$8</f>
        <v>151.25720605836329</v>
      </c>
      <c r="G19" s="4">
        <f>SQRT(1/$C$2^2+(F19*$C$3-1/(F19*$C$4))^2)-1/$G$3</f>
        <v>5.4951874833218499E-4</v>
      </c>
      <c r="H19" s="4">
        <f>(E19-G19)/(2*$D$8)</f>
        <v>-8.3254286494319207E-5</v>
      </c>
      <c r="I19" s="2">
        <f>H19/H18-1</f>
        <v>-0.32025734625853064</v>
      </c>
      <c r="K19" s="41">
        <f>K18*$L$1</f>
        <v>162.53565375179983</v>
      </c>
      <c r="L19" s="66">
        <f>SQRT(1/$C$2^2+(K19*$C$3-1/(K19*$C$4))^2)-1/$G$3</f>
        <v>-3.2130383683406059E-4</v>
      </c>
    </row>
    <row r="20" spans="2:12" x14ac:dyDescent="0.25">
      <c r="B20" s="4">
        <f>B19-C19/H19</f>
        <v>157.85769200203475</v>
      </c>
      <c r="C20" s="4">
        <f>SQRT(1/$C$2^2+(B20*$C$3-1/(B20*$C$4))^2)-1/$G$3</f>
        <v>2.4034997613182202E-5</v>
      </c>
      <c r="D20" s="4">
        <f>B20+$D$8</f>
        <v>157.85869200203476</v>
      </c>
      <c r="E20" s="4">
        <f>SQRT(1/$C$2^2+(D20*$C$3-1/(D20*$C$4))^2)-1/$G$3</f>
        <v>2.3958874825927984E-5</v>
      </c>
      <c r="F20" s="4">
        <f>B20-$D$8</f>
        <v>157.85669200203475</v>
      </c>
      <c r="G20" s="4">
        <f>SQRT(1/$C$2^2+(F20*$C$3-1/(F20*$C$4))^2)-1/$G$3</f>
        <v>2.4111121413403908E-5</v>
      </c>
      <c r="H20" s="4">
        <f>(E20-G20)/(2*$D$8)</f>
        <v>-7.6123293737961895E-5</v>
      </c>
      <c r="I20" s="2">
        <f>H20/H19-1</f>
        <v>-8.5653160415276486E-2</v>
      </c>
      <c r="K20" s="41">
        <f>K19*$L$1</f>
        <v>164.16101028931783</v>
      </c>
      <c r="L20" s="66">
        <f>SQRT(1/$C$2^2+(K20*$C$3-1/(K20*$C$4))^2)-1/$G$3</f>
        <v>-4.3644721103450711E-4</v>
      </c>
    </row>
    <row r="21" spans="2:12" x14ac:dyDescent="0.25">
      <c r="B21" s="4">
        <f>B20-C20/H20</f>
        <v>158.17342975368692</v>
      </c>
      <c r="C21" s="4">
        <f>SQRT(1/$C$2^2+(B21*$C$3-1/(B21*$C$4))^2)-1/$G$3</f>
        <v>5.0390152026708046E-8</v>
      </c>
      <c r="D21" s="4">
        <f>B21+$D$8</f>
        <v>158.17442975368692</v>
      </c>
      <c r="E21" s="4">
        <f>SQRT(1/$C$2^2+(D21*$C$3-1/(D21*$C$4))^2)-1/$G$3</f>
        <v>-2.5413768443838247E-8</v>
      </c>
      <c r="F21" s="4">
        <f>B21-$D$8</f>
        <v>158.17242975368691</v>
      </c>
      <c r="G21" s="4">
        <f>SQRT(1/$C$2^2+(F21*$C$3-1/(F21*$C$4))^2)-1/$G$3</f>
        <v>1.2619507938106678E-7</v>
      </c>
      <c r="H21" s="4">
        <f>(E21-G21)/(2*$D$8)</f>
        <v>-7.5804423912452512E-5</v>
      </c>
      <c r="I21" s="2">
        <f>H21/H20-1</f>
        <v>-4.188860069652578E-3</v>
      </c>
      <c r="K21" s="41">
        <f>K20*$L$1</f>
        <v>165.802620392211</v>
      </c>
      <c r="L21" s="66">
        <f>SQRT(1/$C$2^2+(K21*$C$3-1/(K21*$C$4))^2)-1/$G$3</f>
        <v>-5.5032817385986671E-4</v>
      </c>
    </row>
    <row r="22" spans="2:12" x14ac:dyDescent="0.25">
      <c r="B22" s="4">
        <f>B21-C21/H21</f>
        <v>158.174094492622</v>
      </c>
      <c r="C22" s="4">
        <f>SQRT(1/$C$2^2+(B22*$C$3-1/(B22*$C$4))^2)-1/$G$3</f>
        <v>2.2246093855926574E-13</v>
      </c>
      <c r="D22" s="4">
        <f>B22+$D$8</f>
        <v>158.17509449262201</v>
      </c>
      <c r="E22" s="4">
        <f>SQRT(1/$C$2^2+(D22*$C$3-1/(D22*$C$4))^2)-1/$G$3</f>
        <v>-7.5803028706453168E-8</v>
      </c>
      <c r="F22" s="4">
        <f>B22-$D$8</f>
        <v>158.173094492622</v>
      </c>
      <c r="G22" s="4">
        <f>SQRT(1/$C$2^2+(F22*$C$3-1/(F22*$C$4))^2)-1/$G$3</f>
        <v>7.580448049999966E-8</v>
      </c>
      <c r="H22" s="4">
        <f>(E22-G22)/(2*$D$8)</f>
        <v>-7.5803754603226414E-5</v>
      </c>
      <c r="I22" s="2">
        <f>H22/H21-1</f>
        <v>-8.8294217085449489E-6</v>
      </c>
      <c r="K22" s="41">
        <f>K21*$L$1</f>
        <v>167.4606465961331</v>
      </c>
      <c r="L22" s="66">
        <f>SQRT(1/$C$2^2+(K22*$C$3-1/(K22*$C$4))^2)-1/$G$3</f>
        <v>-6.6295839185950486E-4</v>
      </c>
    </row>
    <row r="23" spans="2:12" x14ac:dyDescent="0.25">
      <c r="B23" s="4">
        <f>B22-C22/H22</f>
        <v>158.17409449555669</v>
      </c>
      <c r="C23" s="4">
        <f>SQRT(1/$C$2^2+(B23*$C$3-1/(B23*$C$4))^2)-1/$G$3</f>
        <v>0</v>
      </c>
      <c r="D23" s="4">
        <f>B23+$D$8</f>
        <v>158.17509449555669</v>
      </c>
      <c r="E23" s="4">
        <f>SQRT(1/$C$2^2+(D23*$C$3-1/(D23*$C$4))^2)-1/$G$3</f>
        <v>-7.5803251163922281E-8</v>
      </c>
      <c r="F23" s="4">
        <f>B23-$D$8</f>
        <v>158.17309449555668</v>
      </c>
      <c r="G23" s="4">
        <f>SQRT(1/$C$2^2+(F23*$C$3-1/(F23*$C$4))^2)-1/$G$3</f>
        <v>7.5804258037326377E-8</v>
      </c>
      <c r="H23" s="4">
        <f>(E23-G23)/(2*$D$8)</f>
        <v>-7.5803754600624329E-5</v>
      </c>
      <c r="I23" s="2">
        <f>H23/H22-1</f>
        <v>-3.4326652631477828E-11</v>
      </c>
      <c r="K23" s="41">
        <f>K22*$L$1</f>
        <v>169.13525306209445</v>
      </c>
      <c r="L23" s="66">
        <f>SQRT(1/$C$2^2+(K23*$C$3-1/(K23*$C$4))^2)-1/$G$3</f>
        <v>-7.7434941740723781E-4</v>
      </c>
    </row>
    <row r="24" spans="2:12" x14ac:dyDescent="0.25">
      <c r="K24" s="41">
        <f>K23*$L$1</f>
        <v>170.8266055927154</v>
      </c>
      <c r="L24" s="66">
        <f>SQRT(1/$C$2^2+(K24*$C$3-1/(K24*$C$4))^2)-1/$G$3</f>
        <v>-8.8451269004358526E-4</v>
      </c>
    </row>
    <row r="25" spans="2:12" x14ac:dyDescent="0.25">
      <c r="K25" s="41">
        <f>K24*$L$1</f>
        <v>172.53487164864256</v>
      </c>
      <c r="L25" s="66">
        <f>SQRT(1/$C$2^2+(K25*$C$3-1/(K25*$C$4))^2)-1/$G$3</f>
        <v>-9.934595378091552E-4</v>
      </c>
    </row>
    <row r="26" spans="2:12" x14ac:dyDescent="0.25">
      <c r="K26" s="41">
        <f>K25*$L$1</f>
        <v>174.26022036512899</v>
      </c>
      <c r="L26" s="66">
        <f>SQRT(1/$C$2^2+(K26*$C$3-1/(K26*$C$4))^2)-1/$G$3</f>
        <v>-1.101201178569218E-3</v>
      </c>
    </row>
    <row r="27" spans="2:12" x14ac:dyDescent="0.25">
      <c r="B27" s="70" t="s">
        <v>140</v>
      </c>
      <c r="K27" s="41">
        <f>K26*$L$1</f>
        <v>176.00282256878029</v>
      </c>
      <c r="L27" s="66">
        <f>SQRT(1/$C$2^2+(K27*$C$3-1/(K27*$C$4))^2)-1/$G$3</f>
        <v>-1.2077487213295341E-3</v>
      </c>
    </row>
    <row r="28" spans="2:12" x14ac:dyDescent="0.25">
      <c r="C28" s="5"/>
      <c r="K28" s="41">
        <f>K27*$L$1</f>
        <v>177.76285079446808</v>
      </c>
      <c r="L28" s="66">
        <f>SQRT(1/$C$2^2+(K28*$C$3-1/(K28*$C$4))^2)-1/$G$3</f>
        <v>-1.3131131675435236E-3</v>
      </c>
    </row>
    <row r="29" spans="2:12" x14ac:dyDescent="0.25">
      <c r="B29" t="s">
        <v>171</v>
      </c>
      <c r="C29" s="69" t="s">
        <v>170</v>
      </c>
      <c r="D29" t="s">
        <v>169</v>
      </c>
      <c r="E29" s="69" t="s">
        <v>168</v>
      </c>
      <c r="F29" t="s">
        <v>167</v>
      </c>
      <c r="G29" s="68" t="s">
        <v>166</v>
      </c>
      <c r="H29" s="67" t="s">
        <v>42</v>
      </c>
      <c r="K29" s="41">
        <f>K28*$L$1</f>
        <v>179.54047930241276</v>
      </c>
      <c r="L29" s="66">
        <f>SQRT(1/$C$2^2+(K29*$C$3-1/(K29*$C$4))^2)-1/$G$3</f>
        <v>-1.4173054124107954E-3</v>
      </c>
    </row>
    <row r="30" spans="2:12" x14ac:dyDescent="0.25">
      <c r="B30" s="4">
        <v>1</v>
      </c>
      <c r="C30" s="64">
        <f>SQRT(1/$C$2^2+(B30*$C$3-1/(B30*$C$4))^2)-1/$G$3</f>
        <v>1.9866711393019634</v>
      </c>
      <c r="D30" s="41">
        <v>200</v>
      </c>
      <c r="E30" s="64">
        <f>SQRT(1/$C$2^2+(D30*$C$3-1/(D30*$C$4))^2)-1/$G$3</f>
        <v>-2.4749282556480595E-3</v>
      </c>
      <c r="F30" s="41">
        <f>(B30+D30)/2</f>
        <v>100.5</v>
      </c>
      <c r="G30" s="63">
        <f>(C30+E30)/2</f>
        <v>0.99209810552315769</v>
      </c>
      <c r="H30" s="67"/>
      <c r="K30" s="41">
        <f>K29*$L$1</f>
        <v>181.33588409543688</v>
      </c>
      <c r="L30" s="66">
        <f>SQRT(1/$C$2^2+(K30*$C$3-1/(K30*$C$4))^2)-1/$G$3</f>
        <v>-1.5203362461671203E-3</v>
      </c>
    </row>
    <row r="31" spans="2:12" x14ac:dyDescent="0.25">
      <c r="B31" s="4">
        <f>IF(C30*G30&lt;0,B30,F30)</f>
        <v>100.5</v>
      </c>
      <c r="C31" s="64">
        <f>SQRT(1/$C$2^2+(B31*$C$3-1/(B31*$C$4))^2)-1/$G$3</f>
        <v>7.0117888870821748E-3</v>
      </c>
      <c r="D31" s="41">
        <f>IF(E30*G30&lt;0,D30,F30)</f>
        <v>200</v>
      </c>
      <c r="E31" s="64">
        <f>SQRT(1/$C$2^2+(D31*$C$3-1/(D31*$C$4))^2)-1/$G$3</f>
        <v>-2.4749282556480595E-3</v>
      </c>
      <c r="F31" s="41">
        <f>(B31+D31)/2</f>
        <v>150.25</v>
      </c>
      <c r="G31" s="63">
        <f>(C31+E31)/2</f>
        <v>2.2684303157170576E-3</v>
      </c>
      <c r="H31" s="62">
        <f>F31/F30-1</f>
        <v>0.49502487562189046</v>
      </c>
    </row>
    <row r="32" spans="2:12" x14ac:dyDescent="0.25">
      <c r="B32" s="4">
        <f>IF(C31*G31&lt;0,B31,F31)</f>
        <v>150.25</v>
      </c>
      <c r="C32" s="64">
        <f>SQRT(1/$C$2^2+(B32*$C$3-1/(B32*$C$4))^2)-1/$G$3</f>
        <v>6.3396244054257991E-4</v>
      </c>
      <c r="D32" s="41">
        <f>IF(E31*G31&lt;0,D31,F31)</f>
        <v>200</v>
      </c>
      <c r="E32" s="64">
        <f>SQRT(1/$C$2^2+(D32*$C$3-1/(D32*$C$4))^2)-1/$G$3</f>
        <v>-2.4749282556480595E-3</v>
      </c>
      <c r="F32" s="41">
        <f>(B32+D32)/2</f>
        <v>175.125</v>
      </c>
      <c r="G32" s="63">
        <f>(C32+E32)/2</f>
        <v>-9.204829075527398E-4</v>
      </c>
      <c r="H32" s="62">
        <f>F32/F31-1</f>
        <v>0.1655574043261232</v>
      </c>
    </row>
    <row r="33" spans="2:12" x14ac:dyDescent="0.25">
      <c r="B33" s="4">
        <f>IF(C32*G32&lt;0,B32,F32)</f>
        <v>150.25</v>
      </c>
      <c r="C33" s="64">
        <f>SQRT(1/$C$2^2+(B33*$C$3-1/(B33*$C$4))^2)-1/$G$3</f>
        <v>6.3396244054257991E-4</v>
      </c>
      <c r="D33" s="41">
        <f>IF(E32*G32&lt;0,D32,F32)</f>
        <v>175.125</v>
      </c>
      <c r="E33" s="64">
        <f>SQRT(1/$C$2^2+(D33*$C$3-1/(D33*$C$4))^2)-1/$G$3</f>
        <v>-1.1543572971520841E-3</v>
      </c>
      <c r="F33" s="41">
        <f>(B33+D33)/2</f>
        <v>162.6875</v>
      </c>
      <c r="G33" s="63">
        <f>(C33+E33)/2</f>
        <v>-2.6019742830475211E-4</v>
      </c>
      <c r="H33" s="62">
        <f>F33/F32-1</f>
        <v>-7.1020699500356943E-2</v>
      </c>
    </row>
    <row r="34" spans="2:12" x14ac:dyDescent="0.25">
      <c r="B34" s="4">
        <f>IF(C33*G33&lt;0,B33,F33)</f>
        <v>150.25</v>
      </c>
      <c r="C34" s="64">
        <f>SQRT(1/$C$2^2+(B34*$C$3-1/(B34*$C$4))^2)-1/$G$3</f>
        <v>6.3396244054257991E-4</v>
      </c>
      <c r="D34" s="41">
        <f>IF(E33*G33&lt;0,D33,F33)</f>
        <v>162.6875</v>
      </c>
      <c r="E34" s="64">
        <f>SQRT(1/$C$2^2+(D34*$C$3-1/(D34*$C$4))^2)-1/$G$3</f>
        <v>-3.3216356014419655E-4</v>
      </c>
      <c r="F34" s="41">
        <f>(B34+D34)/2</f>
        <v>156.46875</v>
      </c>
      <c r="G34" s="63">
        <f>(C34+E34)/2</f>
        <v>1.5089944019919168E-4</v>
      </c>
      <c r="H34" s="62">
        <f>F34/F33-1</f>
        <v>-3.8225124855935433E-2</v>
      </c>
      <c r="K34" t="s">
        <v>165</v>
      </c>
      <c r="L34" t="s">
        <v>164</v>
      </c>
    </row>
    <row r="35" spans="2:12" x14ac:dyDescent="0.25">
      <c r="B35" s="4">
        <f>IF(C34*G34&lt;0,B34,F34)</f>
        <v>156.46875</v>
      </c>
      <c r="C35" s="64">
        <f>SQRT(1/$C$2^2+(B35*$C$3-1/(B35*$C$4))^2)-1/$G$3</f>
        <v>1.3075163758974849E-4</v>
      </c>
      <c r="D35" s="41">
        <f>IF(E34*G34&lt;0,D34,F34)</f>
        <v>162.6875</v>
      </c>
      <c r="E35" s="64">
        <f>SQRT(1/$C$2^2+(D35*$C$3-1/(D35*$C$4))^2)-1/$G$3</f>
        <v>-3.3216356014419655E-4</v>
      </c>
      <c r="F35" s="41">
        <f>(B35+D35)/2</f>
        <v>159.578125</v>
      </c>
      <c r="G35" s="63">
        <f>(C35+E35)/2</f>
        <v>-1.0070596127722403E-4</v>
      </c>
      <c r="H35" s="62">
        <f>F35/F34-1</f>
        <v>1.9872178949470687E-2</v>
      </c>
      <c r="K35" s="41">
        <v>160</v>
      </c>
      <c r="L35" s="65">
        <f>SQRT(1/$C$2^2+(K35*$C$3-1/(K35*$C$4))^2)-1/$G$3</f>
        <v>-1.3675132013380234E-4</v>
      </c>
    </row>
    <row r="36" spans="2:12" x14ac:dyDescent="0.25">
      <c r="B36" s="4">
        <f>IF(C35*G35&lt;0,B35,F35)</f>
        <v>156.46875</v>
      </c>
      <c r="C36" s="64">
        <f>SQRT(1/$C$2^2+(B36*$C$3-1/(B36*$C$4))^2)-1/$G$3</f>
        <v>1.3075163758974849E-4</v>
      </c>
      <c r="D36" s="41">
        <f>IF(E35*G35&lt;0,D35,F35)</f>
        <v>159.578125</v>
      </c>
      <c r="E36" s="64">
        <f>SQRT(1/$C$2^2+(D36*$C$3-1/(D36*$C$4))^2)-1/$G$3</f>
        <v>-1.0544713472259055E-4</v>
      </c>
      <c r="F36" s="41">
        <f>(B36+D36)/2</f>
        <v>158.0234375</v>
      </c>
      <c r="G36" s="63">
        <f>(C36+E36)/2</f>
        <v>1.2652251433578968E-5</v>
      </c>
      <c r="H36" s="62">
        <f>F36/F35-1</f>
        <v>-9.7424850680505326E-3</v>
      </c>
    </row>
    <row r="37" spans="2:12" x14ac:dyDescent="0.25">
      <c r="B37" s="4">
        <f>IF(C36*G36&lt;0,B36,F36)</f>
        <v>158.0234375</v>
      </c>
      <c r="C37" s="64">
        <f>SQRT(1/$C$2^2+(B37*$C$3-1/(B37*$C$4))^2)-1/$G$3</f>
        <v>1.1431803595323212E-5</v>
      </c>
      <c r="D37" s="41">
        <f>IF(E36*G36&lt;0,D36,F36)</f>
        <v>159.578125</v>
      </c>
      <c r="E37" s="64">
        <f>SQRT(1/$C$2^2+(D37*$C$3-1/(D37*$C$4))^2)-1/$G$3</f>
        <v>-1.0544713472259055E-4</v>
      </c>
      <c r="F37" s="41">
        <f>(B37+D37)/2</f>
        <v>158.80078125</v>
      </c>
      <c r="G37" s="63">
        <f>(C37+E37)/2</f>
        <v>-4.7007665563633672E-5</v>
      </c>
      <c r="H37" s="62">
        <f>F37/F36-1</f>
        <v>4.919167449448647E-3</v>
      </c>
    </row>
    <row r="38" spans="2:12" x14ac:dyDescent="0.25">
      <c r="B38" s="4">
        <f>IF(C37*G37&lt;0,B37,F37)</f>
        <v>158.0234375</v>
      </c>
      <c r="C38" s="64">
        <f>SQRT(1/$C$2^2+(B38*$C$3-1/(B38*$C$4))^2)-1/$G$3</f>
        <v>1.1431803595323212E-5</v>
      </c>
      <c r="D38" s="41">
        <f>IF(E37*G37&lt;0,D37,F37)</f>
        <v>158.80078125</v>
      </c>
      <c r="E38" s="64">
        <f>SQRT(1/$C$2^2+(D38*$C$3-1/(D38*$C$4))^2)-1/$G$3</f>
        <v>-4.7308275724484289E-5</v>
      </c>
      <c r="F38" s="41">
        <f>(B38+D38)/2</f>
        <v>158.412109375</v>
      </c>
      <c r="G38" s="63">
        <f>(C38+E38)/2</f>
        <v>-1.7938236064580539E-5</v>
      </c>
      <c r="H38" s="62">
        <f>F38/F37-1</f>
        <v>-2.4475438467025379E-3</v>
      </c>
    </row>
    <row r="39" spans="2:12" x14ac:dyDescent="0.25">
      <c r="B39" s="4">
        <f>IF(C38*G38&lt;0,B38,F38)</f>
        <v>158.0234375</v>
      </c>
      <c r="C39" s="64">
        <f>SQRT(1/$C$2^2+(B39*$C$3-1/(B39*$C$4))^2)-1/$G$3</f>
        <v>1.1431803595323212E-5</v>
      </c>
      <c r="D39" s="41">
        <f>IF(E38*G38&lt;0,D38,F38)</f>
        <v>158.412109375</v>
      </c>
      <c r="E39" s="64">
        <f>SQRT(1/$C$2^2+(D39*$C$3-1/(D39*$C$4))^2)-1/$G$3</f>
        <v>-1.8013944430300341E-5</v>
      </c>
      <c r="F39" s="41">
        <f>(B39+D39)/2</f>
        <v>158.2177734375</v>
      </c>
      <c r="G39" s="63">
        <f>(C39+E39)/2</f>
        <v>-3.2910704174885647E-6</v>
      </c>
      <c r="H39" s="62">
        <f>F39/F38-1</f>
        <v>-1.2267745077489955E-3</v>
      </c>
    </row>
    <row r="40" spans="2:12" x14ac:dyDescent="0.25">
      <c r="B40" s="4">
        <f>IF(C39*G39&lt;0,B39,F39)</f>
        <v>158.0234375</v>
      </c>
      <c r="C40" s="64">
        <f>SQRT(1/$C$2^2+(B40*$C$3-1/(B40*$C$4))^2)-1/$G$3</f>
        <v>1.1431803595323212E-5</v>
      </c>
      <c r="D40" s="41">
        <f>IF(E39*G39&lt;0,D39,F39)</f>
        <v>158.2177734375</v>
      </c>
      <c r="E40" s="64">
        <f>SQRT(1/$C$2^2+(D40*$C$3-1/(D40*$C$4))^2)-1/$G$3</f>
        <v>-3.3100675841252203E-6</v>
      </c>
      <c r="F40" s="41">
        <f>(B40+D40)/2</f>
        <v>158.12060546875</v>
      </c>
      <c r="G40" s="63">
        <f>(C40+E40)/2</f>
        <v>4.0608680055989957E-6</v>
      </c>
      <c r="H40" s="62">
        <f>F40/F39-1</f>
        <v>-6.1414066598775019E-4</v>
      </c>
    </row>
    <row r="41" spans="2:12" x14ac:dyDescent="0.25">
      <c r="B41" s="4">
        <f>IF(C40*G40&lt;0,B40,F40)</f>
        <v>158.12060546875</v>
      </c>
      <c r="C41" s="64">
        <f>SQRT(1/$C$2^2+(B41*$C$3-1/(B41*$C$4))^2)-1/$G$3</f>
        <v>4.056109916879963E-6</v>
      </c>
      <c r="D41" s="41">
        <f>IF(E40*G40&lt;0,D40,F40)</f>
        <v>158.2177734375</v>
      </c>
      <c r="E41" s="64">
        <f>SQRT(1/$C$2^2+(D41*$C$3-1/(D41*$C$4))^2)-1/$G$3</f>
        <v>-3.3100675841252203E-6</v>
      </c>
      <c r="F41" s="41">
        <f>(B41+D41)/2</f>
        <v>158.169189453125</v>
      </c>
      <c r="G41" s="63">
        <f>(C41+E41)/2</f>
        <v>3.7302116637737137E-7</v>
      </c>
      <c r="H41" s="62">
        <f>F41/F40-1</f>
        <v>3.0725903326112025E-4</v>
      </c>
    </row>
    <row r="42" spans="2:12" x14ac:dyDescent="0.25">
      <c r="B42" s="4">
        <f>IF(C41*G41&lt;0,B41,F41)</f>
        <v>158.169189453125</v>
      </c>
      <c r="C42" s="64">
        <f>SQRT(1/$C$2^2+(B42*$C$3-1/(B42*$C$4))^2)-1/$G$3</f>
        <v>3.7183274551738643E-7</v>
      </c>
      <c r="D42" s="41">
        <f>IF(E41*G41&lt;0,D41,F41)</f>
        <v>158.2177734375</v>
      </c>
      <c r="E42" s="64">
        <f>SQRT(1/$C$2^2+(D42*$C$3-1/(D42*$C$4))^2)-1/$G$3</f>
        <v>-3.3100675841252203E-6</v>
      </c>
      <c r="F42" s="41">
        <f>(B42+D42)/2</f>
        <v>158.1934814453125</v>
      </c>
      <c r="G42" s="63">
        <f>(C42+E42)/2</f>
        <v>-1.4691174193039169E-6</v>
      </c>
      <c r="H42" s="62">
        <f>F42/F41-1</f>
        <v>1.5358232707329833E-4</v>
      </c>
    </row>
    <row r="43" spans="2:12" x14ac:dyDescent="0.25">
      <c r="B43" s="4">
        <f>IF(C42*G42&lt;0,B42,F42)</f>
        <v>158.169189453125</v>
      </c>
      <c r="C43" s="64">
        <f>SQRT(1/$C$2^2+(B43*$C$3-1/(B43*$C$4))^2)-1/$G$3</f>
        <v>3.7183274551738643E-7</v>
      </c>
      <c r="D43" s="41">
        <f>IF(E42*G42&lt;0,D42,F42)</f>
        <v>158.1934814453125</v>
      </c>
      <c r="E43" s="64">
        <f>SQRT(1/$C$2^2+(D43*$C$3-1/(D43*$C$4))^2)-1/$G$3</f>
        <v>-1.4694143870026127E-6</v>
      </c>
      <c r="F43" s="41">
        <f>(B43+D43)/2</f>
        <v>158.18133544921875</v>
      </c>
      <c r="G43" s="63">
        <f>(C43+E43)/2</f>
        <v>-5.4879082074261315E-7</v>
      </c>
      <c r="H43" s="62">
        <f>F43/F42-1</f>
        <v>-7.67793715820142E-5</v>
      </c>
    </row>
    <row r="44" spans="2:12" x14ac:dyDescent="0.25">
      <c r="B44" s="4">
        <f>IF(C43*G43&lt;0,B43,F43)</f>
        <v>158.169189453125</v>
      </c>
      <c r="C44" s="64">
        <f>SQRT(1/$C$2^2+(B44*$C$3-1/(B44*$C$4))^2)-1/$G$3</f>
        <v>3.7183274551738643E-7</v>
      </c>
      <c r="D44" s="41">
        <f>IF(E43*G43&lt;0,D43,F43)</f>
        <v>158.18133544921875</v>
      </c>
      <c r="E44" s="64">
        <f>SQRT(1/$C$2^2+(D44*$C$3-1/(D44*$C$4))^2)-1/$G$3</f>
        <v>-5.4886507984928945E-7</v>
      </c>
      <c r="F44" s="41">
        <f>(B44+D44)/2</f>
        <v>158.17526245117188</v>
      </c>
      <c r="G44" s="63">
        <f>(C44+E44)/2</f>
        <v>-8.8516167165951509E-8</v>
      </c>
      <c r="H44" s="62">
        <f>F44/F43-1</f>
        <v>-3.8392633553319122E-5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O38"/>
  <sheetViews>
    <sheetView workbookViewId="0">
      <selection activeCell="J17" sqref="J17"/>
    </sheetView>
  </sheetViews>
  <sheetFormatPr defaultRowHeight="15" x14ac:dyDescent="0.25"/>
  <cols>
    <col min="14" max="14" width="10.42578125" customWidth="1"/>
  </cols>
  <sheetData>
    <row r="1" spans="2:15" x14ac:dyDescent="0.25">
      <c r="K1" s="5" t="s">
        <v>10</v>
      </c>
      <c r="L1">
        <v>4</v>
      </c>
      <c r="O1" s="47" t="s">
        <v>211</v>
      </c>
    </row>
    <row r="2" spans="2:15" x14ac:dyDescent="0.25">
      <c r="B2" t="s">
        <v>210</v>
      </c>
      <c r="L2" t="s">
        <v>191</v>
      </c>
      <c r="M2" s="71" t="s">
        <v>200</v>
      </c>
      <c r="N2" t="s">
        <v>199</v>
      </c>
    </row>
    <row r="3" spans="2:15" x14ac:dyDescent="0.25">
      <c r="B3" t="s">
        <v>209</v>
      </c>
      <c r="L3" s="41">
        <v>0</v>
      </c>
      <c r="M3" s="1">
        <f>L3*PI()/180</f>
        <v>0</v>
      </c>
      <c r="N3" s="1">
        <f>TAN(M3)*$C$6-$C$9/(2*$C$5^2*(COS(M3))^2)*$C$6^2+$C$7-$C$8</f>
        <v>-14.021562500000002</v>
      </c>
    </row>
    <row r="4" spans="2:15" x14ac:dyDescent="0.25">
      <c r="L4" s="41">
        <f>L3+$L$1</f>
        <v>4</v>
      </c>
      <c r="M4" s="1">
        <f>L4*PI()/180</f>
        <v>6.9813170079773182E-2</v>
      </c>
      <c r="N4" s="1">
        <f>TAN(M4)*$C$6-$C$9/(2*$C$5^2*(COS(M4))^2)*$C$6^2+$C$7-$C$8</f>
        <v>-11.647575902834937</v>
      </c>
    </row>
    <row r="5" spans="2:15" x14ac:dyDescent="0.25">
      <c r="B5" s="5" t="s">
        <v>208</v>
      </c>
      <c r="C5" s="6">
        <v>20</v>
      </c>
      <c r="D5" t="s">
        <v>207</v>
      </c>
      <c r="L5" s="41">
        <f>L4+$L$1</f>
        <v>8</v>
      </c>
      <c r="M5" s="1">
        <f>L5*PI()/180</f>
        <v>0.13962634015954636</v>
      </c>
      <c r="N5" s="1">
        <f>TAN(M5)*$C$6-$C$9/(2*$C$5^2*(COS(M5))^2)*$C$6^2+$C$7-$C$8</f>
        <v>-9.399335075295566</v>
      </c>
    </row>
    <row r="6" spans="2:15" x14ac:dyDescent="0.25">
      <c r="B6" s="5" t="s">
        <v>206</v>
      </c>
      <c r="C6" s="6">
        <v>35</v>
      </c>
      <c r="D6" t="s">
        <v>66</v>
      </c>
      <c r="L6" s="41">
        <f>L5+$L$1</f>
        <v>12</v>
      </c>
      <c r="M6" s="1">
        <f>L6*PI()/180</f>
        <v>0.20943951023931953</v>
      </c>
      <c r="N6" s="1">
        <f>TAN(M6)*$C$6-$C$9/(2*$C$5^2*(COS(M6))^2)*$C$6^2+$C$7-$C$8</f>
        <v>-7.260761420228242</v>
      </c>
    </row>
    <row r="7" spans="2:15" x14ac:dyDescent="0.25">
      <c r="B7" s="5" t="s">
        <v>205</v>
      </c>
      <c r="C7" s="6">
        <v>2</v>
      </c>
      <c r="D7" t="s">
        <v>66</v>
      </c>
      <c r="L7" s="41">
        <f>L6+$L$1</f>
        <v>16</v>
      </c>
      <c r="M7" s="1">
        <f>L7*PI()/180</f>
        <v>0.27925268031909273</v>
      </c>
      <c r="N7" s="1">
        <f>TAN(M7)*$C$6-$C$9/(2*$C$5^2*(COS(M7))^2)*$C$6^2+$C$7-$C$8</f>
        <v>-5.220590673882965</v>
      </c>
    </row>
    <row r="8" spans="2:15" x14ac:dyDescent="0.25">
      <c r="B8" s="5" t="s">
        <v>204</v>
      </c>
      <c r="C8" s="6">
        <v>1</v>
      </c>
      <c r="D8" t="s">
        <v>66</v>
      </c>
      <c r="L8" s="41">
        <f>L7+$L$1</f>
        <v>20</v>
      </c>
      <c r="M8" s="1">
        <f>L8*PI()/180</f>
        <v>0.3490658503988659</v>
      </c>
      <c r="N8" s="1">
        <f>TAN(M8)*$C$6-$C$9/(2*$C$5^2*(COS(M8))^2)*$C$6^2+$C$7-$C$8</f>
        <v>-3.2725757499313275</v>
      </c>
    </row>
    <row r="9" spans="2:15" x14ac:dyDescent="0.25">
      <c r="B9" s="5" t="s">
        <v>203</v>
      </c>
      <c r="C9" s="6">
        <v>9.81</v>
      </c>
      <c r="D9" t="s">
        <v>202</v>
      </c>
      <c r="L9" s="41">
        <f>L8+$L$1</f>
        <v>24</v>
      </c>
      <c r="M9" s="1">
        <f>L9*PI()/180</f>
        <v>0.41887902047863906</v>
      </c>
      <c r="N9" s="1">
        <f>TAN(M9)*$C$6-$C$9/(2*$C$5^2*(COS(M9))^2)*$C$6^2+$C$7-$C$8</f>
        <v>-1.416261551328903</v>
      </c>
    </row>
    <row r="10" spans="2:15" x14ac:dyDescent="0.25">
      <c r="L10" s="41">
        <f>L9+$L$1</f>
        <v>28</v>
      </c>
      <c r="M10" s="1">
        <f>L10*PI()/180</f>
        <v>0.48869219055841229</v>
      </c>
      <c r="N10" s="1">
        <f>TAN(M10)*$C$6-$C$9/(2*$C$5^2*(COS(M10))^2)*$C$6^2+$C$7-$C$8</f>
        <v>0.34144777192875608</v>
      </c>
    </row>
    <row r="11" spans="2:15" x14ac:dyDescent="0.25">
      <c r="B11" s="58" t="s">
        <v>201</v>
      </c>
      <c r="L11" s="41">
        <f>L10+$L$1</f>
        <v>32</v>
      </c>
      <c r="M11" s="1">
        <f>L11*PI()/180</f>
        <v>0.55850536063818546</v>
      </c>
      <c r="N11" s="1">
        <f>TAN(M11)*$C$6-$C$9/(2*$C$5^2*(COS(M11))^2)*$C$6^2+$C$7-$C$8</f>
        <v>1.9835198819364841</v>
      </c>
    </row>
    <row r="12" spans="2:15" x14ac:dyDescent="0.25">
      <c r="C12" s="5" t="s">
        <v>10</v>
      </c>
      <c r="D12">
        <v>0.01</v>
      </c>
      <c r="L12" s="41">
        <f>L11+$L$1</f>
        <v>36</v>
      </c>
      <c r="M12" s="1">
        <f>L12*PI()/180</f>
        <v>0.62831853071795862</v>
      </c>
      <c r="N12" s="1">
        <f>TAN(M12)*$C$6-$C$9/(2*$C$5^2*(COS(M12))^2)*$C$6^2+$C$7-$C$8</f>
        <v>3.4780832367110008</v>
      </c>
    </row>
    <row r="13" spans="2:15" x14ac:dyDescent="0.25">
      <c r="B13" t="s">
        <v>191</v>
      </c>
      <c r="C13" s="71" t="s">
        <v>200</v>
      </c>
      <c r="D13" t="s">
        <v>199</v>
      </c>
      <c r="E13" t="s">
        <v>198</v>
      </c>
      <c r="F13" t="s">
        <v>197</v>
      </c>
      <c r="G13" t="s">
        <v>196</v>
      </c>
      <c r="H13" t="s">
        <v>195</v>
      </c>
      <c r="I13" t="s">
        <v>194</v>
      </c>
      <c r="J13" s="21" t="s">
        <v>42</v>
      </c>
      <c r="L13" s="41">
        <f>L12+$L$1</f>
        <v>40</v>
      </c>
      <c r="M13" s="1">
        <f>L13*PI()/180</f>
        <v>0.69813170079773179</v>
      </c>
      <c r="N13" s="1">
        <f>TAN(M13)*$C$6-$C$9/(2*$C$5^2*(COS(M13))^2)*$C$6^2+$C$7-$C$8</f>
        <v>4.7704198239577451</v>
      </c>
    </row>
    <row r="14" spans="2:15" x14ac:dyDescent="0.25">
      <c r="B14" s="41">
        <v>20</v>
      </c>
      <c r="C14" s="1">
        <f>B14*PI()/180</f>
        <v>0.3490658503988659</v>
      </c>
      <c r="D14" s="1">
        <f>TAN(C14)*$C$6-$C$9/(2*$C$5^2*(COS(C14))^2)*$C$6^2+$C$7-$C$8</f>
        <v>-3.2725757499313275</v>
      </c>
      <c r="E14" s="1">
        <f>C14+$D$12</f>
        <v>0.3590658503988659</v>
      </c>
      <c r="F14" s="1">
        <f>TAN(E14)*$C$6-$C$9/(2*$C$5^2*(COS(E14))^2)*$C$6^2+$C$7-$C$8</f>
        <v>-3.000979606269544</v>
      </c>
      <c r="G14" s="1">
        <f>C14-$D$12</f>
        <v>0.33906585039886589</v>
      </c>
      <c r="H14" s="1">
        <f>TAN(G14)*$C$6-$C$9/(2*$C$5^2*(COS(G14))^2)*$C$6^2+$C$7-$C$8</f>
        <v>-3.5460412981850062</v>
      </c>
      <c r="I14" s="1">
        <f>(F14-H14)/(2*$D$12)</f>
        <v>27.253084595773114</v>
      </c>
      <c r="L14" s="41">
        <f>L13+$L$1</f>
        <v>44</v>
      </c>
      <c r="M14" s="1">
        <f>L14*PI()/180</f>
        <v>0.76794487087750496</v>
      </c>
      <c r="N14" s="1">
        <f>TAN(M14)*$C$6-$C$9/(2*$C$5^2*(COS(M14))^2)*$C$6^2+$C$7-$C$8</f>
        <v>5.7691142583357156</v>
      </c>
    </row>
    <row r="15" spans="2:15" x14ac:dyDescent="0.25">
      <c r="B15" s="41">
        <f>C15*180/PI()</f>
        <v>26.880130502255398</v>
      </c>
      <c r="C15" s="1">
        <f>C14-D14/I14</f>
        <v>0.46914678063011378</v>
      </c>
      <c r="D15" s="1">
        <f>TAN(C15)*$C$6-$C$9/(2*$C$5^2*(COS(C15))^2)*$C$6^2+$C$7-$C$8</f>
        <v>-0.13995574097480201</v>
      </c>
      <c r="E15" s="1">
        <f>C15+$D$12</f>
        <v>0.47914678063011379</v>
      </c>
      <c r="F15" s="1">
        <f>TAN(E15)*$C$6-$C$9/(2*$C$5^2*(COS(E15))^2)*$C$6^2+$C$7-$C$8</f>
        <v>0.10743519944571034</v>
      </c>
      <c r="G15" s="1">
        <f>C15-$D$12</f>
        <v>0.45914678063011377</v>
      </c>
      <c r="H15" s="1">
        <f>TAN(G15)*$C$6-$C$9/(2*$C$5^2*(COS(G15))^2)*$C$6^2+$C$7-$C$8</f>
        <v>-0.38957424142272501</v>
      </c>
      <c r="I15" s="1">
        <f>(F15-H15)/(2*$D$12)</f>
        <v>24.850472043421767</v>
      </c>
      <c r="J15" s="3">
        <f>C15/C14-1</f>
        <v>0.34400652511276997</v>
      </c>
      <c r="L15" s="41">
        <f>L14+$L$1</f>
        <v>48</v>
      </c>
      <c r="M15" s="1">
        <f>L15*PI()/180</f>
        <v>0.83775804095727813</v>
      </c>
      <c r="N15" s="1">
        <f>TAN(M15)*$C$6-$C$9/(2*$C$5^2*(COS(M15))^2)*$C$6^2+$C$7-$C$8</f>
        <v>6.3213766629344548</v>
      </c>
    </row>
    <row r="16" spans="2:15" x14ac:dyDescent="0.25">
      <c r="B16" s="41">
        <f>C16*180/PI()</f>
        <v>27.202815450149782</v>
      </c>
      <c r="C16" s="1">
        <f>C15-D15/I15</f>
        <v>0.47477869541749707</v>
      </c>
      <c r="D16" s="1">
        <f>TAN(C16)*$C$6-$C$9/(2*$C$5^2*(COS(C16))^2)*$C$6^2+$C$7-$C$8</f>
        <v>-3.4961273852474051E-4</v>
      </c>
      <c r="E16" s="1">
        <f>C16+$D$12</f>
        <v>0.48477869541749707</v>
      </c>
      <c r="F16" s="1">
        <f>TAN(E16)*$C$6-$C$9/(2*$C$5^2*(COS(E16))^2)*$C$6^2+$C$7-$C$8</f>
        <v>0.24576112024582031</v>
      </c>
      <c r="G16" s="1">
        <f>C16-$D$12</f>
        <v>0.46477869541749706</v>
      </c>
      <c r="H16" s="1">
        <f>TAN(G16)*$C$6-$C$9/(2*$C$5^2*(COS(G16))^2)*$C$6^2+$C$7-$C$8</f>
        <v>-0.24872051712224419</v>
      </c>
      <c r="I16" s="1">
        <f>(F16-H16)/(2*$D$12)</f>
        <v>24.724081868403225</v>
      </c>
      <c r="J16" s="3">
        <f>C16/C15-1</f>
        <v>1.2004590076945654E-2</v>
      </c>
      <c r="L16" s="41">
        <f>L15+$L$1</f>
        <v>52</v>
      </c>
      <c r="M16" s="1">
        <f>L16*PI()/180</f>
        <v>0.90757121103705141</v>
      </c>
      <c r="N16" s="1">
        <f>TAN(M16)*$C$6-$C$9/(2*$C$5^2*(COS(M16))^2)*$C$6^2+$C$7-$C$8</f>
        <v>6.1673111212710054</v>
      </c>
    </row>
    <row r="17" spans="2:14" x14ac:dyDescent="0.25">
      <c r="B17" s="41">
        <f>C17*180/PI()</f>
        <v>27.203625645427735</v>
      </c>
      <c r="C17" s="1">
        <f>C16-D16/I16</f>
        <v>0.47479283599268146</v>
      </c>
      <c r="D17" s="1">
        <f>TAN(C17)*$C$6-$C$9/(2*$C$5^2*(COS(C17))^2)*$C$6^2+$C$7-$C$8</f>
        <v>1.1750845629876494E-8</v>
      </c>
      <c r="E17" s="1">
        <f>C17+$D$12</f>
        <v>0.48479283599268147</v>
      </c>
      <c r="F17" s="1">
        <f>TAN(E17)*$C$6-$C$9/(2*$C$5^2*(COS(E17))^2)*$C$6^2+$C$7-$C$8</f>
        <v>0.24610750596657027</v>
      </c>
      <c r="G17" s="1">
        <f>C17-$D$12</f>
        <v>0.46479283599268145</v>
      </c>
      <c r="H17" s="1">
        <f>TAN(G17)*$C$6-$C$9/(2*$C$5^2*(COS(G17))^2)*$C$6^2+$C$7-$C$8</f>
        <v>-0.24836773794510947</v>
      </c>
      <c r="I17" s="1">
        <f>(F17-H17)/(2*$D$12)</f>
        <v>24.723762195583987</v>
      </c>
      <c r="J17" s="3">
        <f>C17/C16-1</f>
        <v>2.9783508234126899E-5</v>
      </c>
      <c r="L17" s="41">
        <f>L16+$L$1</f>
        <v>56</v>
      </c>
      <c r="M17" s="1">
        <f>L17*PI()/180</f>
        <v>0.97738438111682457</v>
      </c>
      <c r="N17" s="1">
        <f>TAN(M17)*$C$6-$C$9/(2*$C$5^2*(COS(M17))^2)*$C$6^2+$C$7-$C$8</f>
        <v>4.850871922350116</v>
      </c>
    </row>
    <row r="18" spans="2:14" x14ac:dyDescent="0.25">
      <c r="B18" s="41">
        <f>C18*180/PI()</f>
        <v>27.203625618195883</v>
      </c>
      <c r="C18" s="1">
        <f>C17-D17/I17</f>
        <v>0.47479283551739598</v>
      </c>
      <c r="D18" s="1">
        <f>TAN(C18)*$C$6-$C$9/(2*$C$5^2*(COS(C18))^2)*$C$6^2+$C$7-$C$8</f>
        <v>-4.6895820560166612E-13</v>
      </c>
      <c r="E18" s="1">
        <f>C18+$D$12</f>
        <v>0.48479283551739599</v>
      </c>
      <c r="F18" s="1">
        <f>TAN(E18)*$C$6-$C$9/(2*$C$5^2*(COS(E18))^2)*$C$6^2+$C$7-$C$8</f>
        <v>0.24610749432411083</v>
      </c>
      <c r="G18" s="1">
        <f>C18-$D$12</f>
        <v>0.46479283551739597</v>
      </c>
      <c r="H18" s="1">
        <f>TAN(G18)*$C$6-$C$9/(2*$C$5^2*(COS(G18))^2)*$C$6^2+$C$7-$C$8</f>
        <v>-0.24836774980245835</v>
      </c>
      <c r="I18" s="1">
        <f>(F18-H18)/(2*$D$12)</f>
        <v>24.723762206328459</v>
      </c>
      <c r="J18" s="3">
        <f>C18/C17-1</f>
        <v>-1.0010375861568832E-9</v>
      </c>
      <c r="L18" s="41">
        <f>L17+$L$1</f>
        <v>60</v>
      </c>
      <c r="M18" s="1">
        <f>L18*PI()/180</f>
        <v>1.0471975511965976</v>
      </c>
      <c r="N18" s="1">
        <f>TAN(M18)*$C$6-$C$9/(2*$C$5^2*(COS(M18))^2)*$C$6^2+$C$7-$C$8</f>
        <v>1.5355282649107096</v>
      </c>
    </row>
    <row r="19" spans="2:14" x14ac:dyDescent="0.25">
      <c r="B19" s="41">
        <f>C19*180/PI()</f>
        <v>27.20362561819697</v>
      </c>
      <c r="C19" s="1">
        <f>C18-D18/I18</f>
        <v>0.47479283551741497</v>
      </c>
      <c r="D19" s="1">
        <f>TAN(C19)*$C$6-$C$9/(2*$C$5^2*(COS(C19))^2)*$C$6^2+$C$7-$C$8</f>
        <v>-3.5527136788005009E-15</v>
      </c>
      <c r="E19" s="1">
        <f>C19+$D$12</f>
        <v>0.48479283551741498</v>
      </c>
      <c r="F19" s="1">
        <f>TAN(E19)*$C$6-$C$9/(2*$C$5^2*(COS(E19))^2)*$C$6^2+$C$7-$C$8</f>
        <v>0.24610749432457268</v>
      </c>
      <c r="G19" s="1">
        <f>C19-$D$12</f>
        <v>0.46479283551741496</v>
      </c>
      <c r="H19" s="1">
        <f>TAN(G19)*$C$6-$C$9/(2*$C$5^2*(COS(G19))^2)*$C$6^2+$C$7-$C$8</f>
        <v>-0.24836774980198584</v>
      </c>
      <c r="I19" s="1">
        <f>(F19-H19)/(2*$D$12)</f>
        <v>24.723762206327926</v>
      </c>
      <c r="J19" s="3">
        <f>C19/C18-1</f>
        <v>3.9968028886505635E-14</v>
      </c>
      <c r="L19" s="41">
        <f>L18+$L$1</f>
        <v>64</v>
      </c>
      <c r="M19" s="1">
        <f>L19*PI()/180</f>
        <v>1.1170107212763709</v>
      </c>
      <c r="N19" s="1">
        <f>TAN(M19)*$C$6-$C$9/(2*$C$5^2*(COS(M19))^2)*$C$6^2+$C$7-$C$8</f>
        <v>-5.4077589563821817</v>
      </c>
    </row>
    <row r="20" spans="2:14" x14ac:dyDescent="0.25">
      <c r="B20" s="41">
        <f>C20*180/PI()</f>
        <v>27.20362561819698</v>
      </c>
      <c r="C20" s="1">
        <f>C19-D19/I19</f>
        <v>0.47479283551741513</v>
      </c>
      <c r="D20" s="1">
        <f>TAN(C20)*$C$6-$C$9/(2*$C$5^2*(COS(C20))^2)*$C$6^2+$C$7-$C$8</f>
        <v>0</v>
      </c>
      <c r="E20" s="1">
        <f>C20+$D$12</f>
        <v>0.48479283551741514</v>
      </c>
      <c r="F20" s="1">
        <f>TAN(E20)*$C$6-$C$9/(2*$C$5^2*(COS(E20))^2)*$C$6^2+$C$7-$C$8</f>
        <v>0.24610749432457979</v>
      </c>
      <c r="G20" s="1">
        <f>C20-$D$12</f>
        <v>0.46479283551741513</v>
      </c>
      <c r="H20" s="1">
        <f>TAN(G20)*$C$6-$C$9/(2*$C$5^2*(COS(G20))^2)*$C$6^2+$C$7-$C$8</f>
        <v>-0.24836774980198228</v>
      </c>
      <c r="I20" s="1">
        <f>(F20-H20)/(2*$D$12)</f>
        <v>24.723762206328104</v>
      </c>
      <c r="J20" s="3">
        <f>C20/C19-1</f>
        <v>0</v>
      </c>
      <c r="L20" s="41">
        <f>L19+$L$1</f>
        <v>68</v>
      </c>
      <c r="M20" s="1">
        <f>L20*PI()/180</f>
        <v>1.1868238913561442</v>
      </c>
      <c r="N20" s="1">
        <f>TAN(M20)*$C$6-$C$9/(2*$C$5^2*(COS(M20))^2)*$C$6^2+$C$7-$C$8</f>
        <v>-19.416439669212636</v>
      </c>
    </row>
    <row r="21" spans="2:14" x14ac:dyDescent="0.25">
      <c r="B21" s="41">
        <f>C21*180/PI()</f>
        <v>27.20362561819698</v>
      </c>
      <c r="C21" s="1">
        <f>C20-D20/I20</f>
        <v>0.47479283551741513</v>
      </c>
      <c r="D21" s="1">
        <f>TAN(C21)*$C$6-$C$9/(2*$C$5^2*(COS(C21))^2)*$C$6^2+$C$7-$C$8</f>
        <v>0</v>
      </c>
      <c r="E21" s="1">
        <f>C21+$D$12</f>
        <v>0.48479283551741514</v>
      </c>
      <c r="F21" s="1">
        <f>TAN(E21)*$C$6-$C$9/(2*$C$5^2*(COS(E21))^2)*$C$6^2+$C$7-$C$8</f>
        <v>0.24610749432457979</v>
      </c>
      <c r="G21" s="1">
        <f>C21-$D$12</f>
        <v>0.46479283551741513</v>
      </c>
      <c r="H21" s="1">
        <f>TAN(G21)*$C$6-$C$9/(2*$C$5^2*(COS(G21))^2)*$C$6^2+$C$7-$C$8</f>
        <v>-0.24836774980198228</v>
      </c>
      <c r="I21" s="1">
        <f>(F21-H21)/(2*$D$12)</f>
        <v>24.723762206328104</v>
      </c>
      <c r="J21" s="3">
        <f>C21/C20-1</f>
        <v>0</v>
      </c>
      <c r="L21" s="41">
        <f>L20+$L$1</f>
        <v>72</v>
      </c>
      <c r="M21" s="1">
        <f>L21*PI()/180</f>
        <v>1.2566370614359172</v>
      </c>
      <c r="N21" s="1">
        <f>TAN(M21)*$C$6-$C$9/(2*$C$5^2*(COS(M21))^2)*$C$6^2+$C$7-$C$8</f>
        <v>-48.588920955389497</v>
      </c>
    </row>
    <row r="22" spans="2:14" x14ac:dyDescent="0.25">
      <c r="L22" s="41">
        <f>L21+$L$1</f>
        <v>76</v>
      </c>
      <c r="M22" s="1">
        <f>L22*PI()/180</f>
        <v>1.3264502315156903</v>
      </c>
      <c r="N22" s="1">
        <f>TAN(M22)*$C$6-$C$9/(2*$C$5^2*(COS(M22))^2)*$C$6^2+$C$7-$C$8</f>
        <v>-115.28654749567764</v>
      </c>
    </row>
    <row r="23" spans="2:14" x14ac:dyDescent="0.25">
      <c r="B23" s="47" t="s">
        <v>140</v>
      </c>
      <c r="L23" s="41">
        <f>L22+$L$1</f>
        <v>80</v>
      </c>
      <c r="M23" s="1">
        <f>L23*PI()/180</f>
        <v>1.3962634015954636</v>
      </c>
      <c r="N23" s="1">
        <f>TAN(M23)*$C$6-$C$9/(2*$C$5^2*(COS(M23))^2)*$C$6^2+$C$7-$C$8</f>
        <v>-298.67178509688449</v>
      </c>
    </row>
    <row r="24" spans="2:14" x14ac:dyDescent="0.25">
      <c r="B24" t="s">
        <v>191</v>
      </c>
      <c r="C24" t="s">
        <v>193</v>
      </c>
      <c r="D24" s="70" t="s">
        <v>192</v>
      </c>
      <c r="E24" t="s">
        <v>191</v>
      </c>
      <c r="F24" t="s">
        <v>190</v>
      </c>
      <c r="G24" s="69" t="s">
        <v>189</v>
      </c>
      <c r="H24" t="s">
        <v>188</v>
      </c>
      <c r="I24" s="69" t="s">
        <v>187</v>
      </c>
      <c r="L24" s="41">
        <f>L23+$L$1</f>
        <v>84</v>
      </c>
      <c r="M24" s="1">
        <f>L24*PI()/180</f>
        <v>1.4660765716752369</v>
      </c>
      <c r="N24" s="1">
        <f>TAN(M24)*$C$6-$C$9/(2*$C$5^2*(COS(M24))^2)*$C$6^2+$C$7-$C$8</f>
        <v>-1040.8176761303157</v>
      </c>
    </row>
    <row r="25" spans="2:14" x14ac:dyDescent="0.25">
      <c r="B25" s="41">
        <v>55</v>
      </c>
      <c r="C25" s="1">
        <f>B25*PI()/180</f>
        <v>0.95993108859688125</v>
      </c>
      <c r="D25" s="59">
        <f>TAN(C25)*$C$6-$C$9/(2*$C$5^2*(COS(C25))^2)*$C$6^2+$C$7-$C$8</f>
        <v>5.3255377784543469</v>
      </c>
      <c r="E25">
        <v>65</v>
      </c>
      <c r="F25" s="1">
        <f>E25*PI()/180</f>
        <v>1.1344640137963142</v>
      </c>
      <c r="G25" s="59">
        <f>TAN(F25)*$C$6-$C$9/(2*$C$5^2*(COS(F25))^2)*$C$6^2+$C$7-$C$8</f>
        <v>-8.0466332592775132</v>
      </c>
      <c r="H25" s="1">
        <f>(C25+F25)/2</f>
        <v>1.0471975511965979</v>
      </c>
      <c r="I25" s="59">
        <f>TAN(H25)*$C$6-$C$9/(2*$C$5^2*(COS(H25))^2)*$C$6^2+$C$7-$C$8</f>
        <v>1.5355282649106883</v>
      </c>
      <c r="L25" s="41">
        <f>L24+$L$1</f>
        <v>88</v>
      </c>
      <c r="M25" s="1">
        <f>L25*PI()/180</f>
        <v>1.5358897417550099</v>
      </c>
      <c r="N25" s="1">
        <f>TAN(M25)*$C$6-$C$9/(2*$C$5^2*(COS(M25))^2)*$C$6^2+$C$7-$C$8</f>
        <v>-11329.959733579721</v>
      </c>
    </row>
    <row r="26" spans="2:14" x14ac:dyDescent="0.25">
      <c r="B26" s="41">
        <f>C26*180/PI()</f>
        <v>60.000000000000007</v>
      </c>
      <c r="C26" s="1">
        <f>IF(D25*I25&lt;0,C25,H25)</f>
        <v>1.0471975511965979</v>
      </c>
      <c r="D26" s="59">
        <f>TAN(C26)*$C$6-$C$9/(2*$C$5^2*(COS(C26))^2)*$C$6^2+$C$7-$C$8</f>
        <v>1.5355282649106883</v>
      </c>
      <c r="E26" s="41">
        <f>F26*180/PI()</f>
        <v>65</v>
      </c>
      <c r="F26" s="1">
        <f>IF(G25*I25&lt;0,F25,H25)</f>
        <v>1.1344640137963142</v>
      </c>
      <c r="G26" s="59">
        <f>TAN(F26)*$C$6-$C$9/(2*$C$5^2*(COS(F26))^2)*$C$6^2+$C$7-$C$8</f>
        <v>-8.0466332592775132</v>
      </c>
      <c r="H26" s="1">
        <f>(C26+F26)/2</f>
        <v>1.090830782496456</v>
      </c>
      <c r="I26" s="59">
        <f>TAN(H26)*$C$6-$C$9/(2*$C$5^2*(COS(H26))^2)*$C$6^2+$C$7-$C$8</f>
        <v>-2.2193423790610041</v>
      </c>
      <c r="J26" s="3">
        <f>H26/H25-1</f>
        <v>4.1666666666666519E-2</v>
      </c>
    </row>
    <row r="27" spans="2:14" x14ac:dyDescent="0.25">
      <c r="B27" s="41">
        <f>C27*180/PI()</f>
        <v>60.000000000000007</v>
      </c>
      <c r="C27" s="1">
        <f>IF(D26*I26&lt;0,C26,H26)</f>
        <v>1.0471975511965979</v>
      </c>
      <c r="D27" s="59">
        <f>TAN(C27)*$C$6-$C$9/(2*$C$5^2*(COS(C27))^2)*$C$6^2+$C$7-$C$8</f>
        <v>1.5355282649106883</v>
      </c>
      <c r="E27" s="41">
        <f>F27*180/PI()</f>
        <v>62.500000000000007</v>
      </c>
      <c r="F27" s="1">
        <f>IF(G26*I26&lt;0,F26,H26)</f>
        <v>1.090830782496456</v>
      </c>
      <c r="G27" s="59">
        <f>TAN(F27)*$C$6-$C$9/(2*$C$5^2*(COS(F27))^2)*$C$6^2+$C$7-$C$8</f>
        <v>-2.2193423790610041</v>
      </c>
      <c r="H27" s="1">
        <f>(C27+F27)/2</f>
        <v>1.0690141668465269</v>
      </c>
      <c r="I27" s="59">
        <f>TAN(H27)*$C$6-$C$9/(2*$C$5^2*(COS(H27))^2)*$C$6^2+$C$7-$C$8</f>
        <v>-0.13339950864379091</v>
      </c>
      <c r="J27" s="3">
        <f>H27/H26-1</f>
        <v>-2.0000000000000018E-2</v>
      </c>
    </row>
    <row r="28" spans="2:14" x14ac:dyDescent="0.25">
      <c r="B28" s="41">
        <f>C28*180/PI()</f>
        <v>60.000000000000007</v>
      </c>
      <c r="C28" s="1">
        <f>IF(D27*I27&lt;0,C27,H27)</f>
        <v>1.0471975511965979</v>
      </c>
      <c r="D28" s="59">
        <f>TAN(C28)*$C$6-$C$9/(2*$C$5^2*(COS(C28))^2)*$C$6^2+$C$7-$C$8</f>
        <v>1.5355282649106883</v>
      </c>
      <c r="E28" s="41">
        <f>F28*180/PI()</f>
        <v>61.250000000000007</v>
      </c>
      <c r="F28" s="1">
        <f>IF(G27*I27&lt;0,F27,H27)</f>
        <v>1.0690141668465269</v>
      </c>
      <c r="G28" s="59">
        <f>TAN(F28)*$C$6-$C$9/(2*$C$5^2*(COS(F28))^2)*$C$6^2+$C$7-$C$8</f>
        <v>-0.13339950864379091</v>
      </c>
      <c r="H28" s="1">
        <f>(C28+F28)/2</f>
        <v>1.0581058590215624</v>
      </c>
      <c r="I28" s="59">
        <f>TAN(H28)*$C$6-$C$9/(2*$C$5^2*(COS(H28))^2)*$C$6^2+$C$7-$C$8</f>
        <v>0.74812387610973019</v>
      </c>
      <c r="J28" s="3">
        <f>H28/H27-1</f>
        <v>-1.0204081632653073E-2</v>
      </c>
    </row>
    <row r="29" spans="2:14" x14ac:dyDescent="0.25">
      <c r="B29" s="41">
        <f>C29*180/PI()</f>
        <v>60.625000000000007</v>
      </c>
      <c r="C29" s="1">
        <f>IF(D28*I28&lt;0,C28,H28)</f>
        <v>1.0581058590215624</v>
      </c>
      <c r="D29" s="59">
        <f>TAN(C29)*$C$6-$C$9/(2*$C$5^2*(COS(C29))^2)*$C$6^2+$C$7-$C$8</f>
        <v>0.74812387610973019</v>
      </c>
      <c r="E29" s="41">
        <f>F29*180/PI()</f>
        <v>61.250000000000007</v>
      </c>
      <c r="F29" s="1">
        <f>IF(G28*I28&lt;0,F28,H28)</f>
        <v>1.0690141668465269</v>
      </c>
      <c r="G29" s="59">
        <f>TAN(F29)*$C$6-$C$9/(2*$C$5^2*(COS(F29))^2)*$C$6^2+$C$7-$C$8</f>
        <v>-0.13339950864379091</v>
      </c>
      <c r="H29" s="1">
        <f>(C29+F29)/2</f>
        <v>1.0635600129340448</v>
      </c>
      <c r="I29" s="59">
        <f>TAN(H29)*$C$6-$C$9/(2*$C$5^2*(COS(H29))^2)*$C$6^2+$C$7-$C$8</f>
        <v>0.31971439747815111</v>
      </c>
      <c r="J29" s="3">
        <f>H29/H28-1</f>
        <v>5.1546391752579357E-3</v>
      </c>
    </row>
    <row r="30" spans="2:14" x14ac:dyDescent="0.25">
      <c r="B30" s="41">
        <f>C30*180/PI()</f>
        <v>60.937500000000014</v>
      </c>
      <c r="C30" s="1">
        <f>IF(D29*I29&lt;0,C29,H29)</f>
        <v>1.0635600129340448</v>
      </c>
      <c r="D30" s="59">
        <f>TAN(C30)*$C$6-$C$9/(2*$C$5^2*(COS(C30))^2)*$C$6^2+$C$7-$C$8</f>
        <v>0.31971439747815111</v>
      </c>
      <c r="E30" s="41">
        <f>F30*180/PI()</f>
        <v>61.250000000000007</v>
      </c>
      <c r="F30" s="1">
        <f>IF(G29*I29&lt;0,F29,H29)</f>
        <v>1.0690141668465269</v>
      </c>
      <c r="G30" s="59">
        <f>TAN(F30)*$C$6-$C$9/(2*$C$5^2*(COS(F30))^2)*$C$6^2+$C$7-$C$8</f>
        <v>-0.13339950864379091</v>
      </c>
      <c r="H30" s="1">
        <f>(C30+F30)/2</f>
        <v>1.0662870898902859</v>
      </c>
      <c r="I30" s="59">
        <f>TAN(H30)*$C$6-$C$9/(2*$C$5^2*(COS(H30))^2)*$C$6^2+$C$7-$C$8</f>
        <v>9.6322700205057288E-2</v>
      </c>
      <c r="J30" s="3">
        <f>H30/H29-1</f>
        <v>2.564102564102555E-3</v>
      </c>
    </row>
    <row r="31" spans="2:14" x14ac:dyDescent="0.25">
      <c r="B31" s="41">
        <f>C31*180/PI()</f>
        <v>61.093750000000014</v>
      </c>
      <c r="C31" s="1">
        <f>IF(D30*I30&lt;0,C30,H30)</f>
        <v>1.0662870898902859</v>
      </c>
      <c r="D31" s="59">
        <f>TAN(C31)*$C$6-$C$9/(2*$C$5^2*(COS(C31))^2)*$C$6^2+$C$7-$C$8</f>
        <v>9.6322700205057288E-2</v>
      </c>
      <c r="E31" s="41">
        <f>F31*180/PI()</f>
        <v>61.250000000000007</v>
      </c>
      <c r="F31" s="1">
        <f>IF(G30*I30&lt;0,F30,H30)</f>
        <v>1.0690141668465269</v>
      </c>
      <c r="G31" s="59">
        <f>TAN(F31)*$C$6-$C$9/(2*$C$5^2*(COS(F31))^2)*$C$6^2+$C$7-$C$8</f>
        <v>-0.13339950864379091</v>
      </c>
      <c r="H31" s="1">
        <f>(C31+F31)/2</f>
        <v>1.0676506283684064</v>
      </c>
      <c r="I31" s="59">
        <f>TAN(H31)*$C$6-$C$9/(2*$C$5^2*(COS(H31))^2)*$C$6^2+$C$7-$C$8</f>
        <v>-1.7737191249111106E-2</v>
      </c>
      <c r="J31" s="3">
        <f>H31/H30-1</f>
        <v>1.2787723785165905E-3</v>
      </c>
    </row>
    <row r="32" spans="2:14" x14ac:dyDescent="0.25">
      <c r="B32" s="41">
        <f>C32*180/PI()</f>
        <v>61.093750000000014</v>
      </c>
      <c r="C32" s="1">
        <f>IF(D31*I31&lt;0,C31,H31)</f>
        <v>1.0662870898902859</v>
      </c>
      <c r="D32" s="59">
        <f>TAN(C32)*$C$6-$C$9/(2*$C$5^2*(COS(C32))^2)*$C$6^2+$C$7-$C$8</f>
        <v>9.6322700205057288E-2</v>
      </c>
      <c r="E32" s="41">
        <f>F32*180/PI()</f>
        <v>61.171875000000007</v>
      </c>
      <c r="F32" s="1">
        <f>IF(G31*I31&lt;0,F31,H31)</f>
        <v>1.0676506283684064</v>
      </c>
      <c r="G32" s="59">
        <f>TAN(F32)*$C$6-$C$9/(2*$C$5^2*(COS(F32))^2)*$C$6^2+$C$7-$C$8</f>
        <v>-1.7737191249111106E-2</v>
      </c>
      <c r="H32" s="1">
        <f>(C32+F32)/2</f>
        <v>1.066968859129346</v>
      </c>
      <c r="I32" s="59">
        <f>TAN(H32)*$C$6-$C$9/(2*$C$5^2*(COS(H32))^2)*$C$6^2+$C$7-$C$8</f>
        <v>3.9491808992025312E-2</v>
      </c>
      <c r="J32" s="3">
        <f>H32/H31-1</f>
        <v>-6.3856960408692487E-4</v>
      </c>
    </row>
    <row r="33" spans="2:10" x14ac:dyDescent="0.25">
      <c r="B33" s="41">
        <f>C33*180/PI()</f>
        <v>61.1328125</v>
      </c>
      <c r="C33" s="1">
        <f>IF(D32*I32&lt;0,C32,H32)</f>
        <v>1.066968859129346</v>
      </c>
      <c r="D33" s="59">
        <f>TAN(C33)*$C$6-$C$9/(2*$C$5^2*(COS(C33))^2)*$C$6^2+$C$7-$C$8</f>
        <v>3.9491808992025312E-2</v>
      </c>
      <c r="E33" s="41">
        <f>F33*180/PI()</f>
        <v>61.171875000000007</v>
      </c>
      <c r="F33" s="1">
        <f>IF(G32*I32&lt;0,F32,H32)</f>
        <v>1.0676506283684064</v>
      </c>
      <c r="G33" s="59">
        <f>TAN(F33)*$C$6-$C$9/(2*$C$5^2*(COS(F33))^2)*$C$6^2+$C$7-$C$8</f>
        <v>-1.7737191249111106E-2</v>
      </c>
      <c r="H33" s="1">
        <f>(C33+F33)/2</f>
        <v>1.0673097437488761</v>
      </c>
      <c r="I33" s="59">
        <f>TAN(H33)*$C$6-$C$9/(2*$C$5^2*(COS(H33))^2)*$C$6^2+$C$7-$C$8</f>
        <v>1.09272278749728E-2</v>
      </c>
      <c r="J33" s="3">
        <f>H33/H32-1</f>
        <v>3.1948881789123362E-4</v>
      </c>
    </row>
    <row r="34" spans="2:10" x14ac:dyDescent="0.25">
      <c r="B34" s="41">
        <f>C34*180/PI()</f>
        <v>61.15234375</v>
      </c>
      <c r="C34" s="1">
        <f>IF(D33*I33&lt;0,C33,H33)</f>
        <v>1.0673097437488761</v>
      </c>
      <c r="D34" s="59">
        <f>TAN(C34)*$C$6-$C$9/(2*$C$5^2*(COS(C34))^2)*$C$6^2+$C$7-$C$8</f>
        <v>1.09272278749728E-2</v>
      </c>
      <c r="E34" s="41">
        <f>F34*180/PI()</f>
        <v>61.171875000000007</v>
      </c>
      <c r="F34" s="1">
        <f>IF(G33*I33&lt;0,F33,H33)</f>
        <v>1.0676506283684064</v>
      </c>
      <c r="G34" s="59">
        <f>TAN(F34)*$C$6-$C$9/(2*$C$5^2*(COS(F34))^2)*$C$6^2+$C$7-$C$8</f>
        <v>-1.7737191249111106E-2</v>
      </c>
      <c r="H34" s="1">
        <f>(C34+F34)/2</f>
        <v>1.0674801860586411</v>
      </c>
      <c r="I34" s="59">
        <f>TAN(H34)*$C$6-$C$9/(2*$C$5^2*(COS(H34))^2)*$C$6^2+$C$7-$C$8</f>
        <v>-3.3924824518791752E-3</v>
      </c>
      <c r="J34" s="3">
        <f>H34/H33-1</f>
        <v>1.5969338869359362E-4</v>
      </c>
    </row>
    <row r="35" spans="2:10" x14ac:dyDescent="0.25">
      <c r="B35" s="41">
        <f>C35*180/PI()</f>
        <v>61.15234375</v>
      </c>
      <c r="C35" s="1">
        <f>IF(D34*I34&lt;0,C34,H34)</f>
        <v>1.0673097437488761</v>
      </c>
      <c r="D35" s="59">
        <f>TAN(C35)*$C$6-$C$9/(2*$C$5^2*(COS(C35))^2)*$C$6^2+$C$7-$C$8</f>
        <v>1.09272278749728E-2</v>
      </c>
      <c r="E35" s="41">
        <f>F35*180/PI()</f>
        <v>61.162109375</v>
      </c>
      <c r="F35" s="1">
        <f>IF(G34*I34&lt;0,F34,H34)</f>
        <v>1.0674801860586411</v>
      </c>
      <c r="G35" s="59">
        <f>TAN(F35)*$C$6-$C$9/(2*$C$5^2*(COS(F35))^2)*$C$6^2+$C$7-$C$8</f>
        <v>-3.3924824518791752E-3</v>
      </c>
      <c r="H35" s="1">
        <f>(C35+F35)/2</f>
        <v>1.0673949649037586</v>
      </c>
      <c r="I35" s="59">
        <f>TAN(H35)*$C$6-$C$9/(2*$C$5^2*(COS(H35))^2)*$C$6^2+$C$7-$C$8</f>
        <v>3.770495082001446E-3</v>
      </c>
      <c r="J35" s="3">
        <f>H35/H34-1</f>
        <v>-7.983394539357036E-5</v>
      </c>
    </row>
    <row r="36" spans="2:10" x14ac:dyDescent="0.25">
      <c r="B36" s="41"/>
      <c r="C36" s="1"/>
      <c r="D36" s="59"/>
      <c r="E36" s="41"/>
      <c r="F36" s="1"/>
      <c r="G36" s="59"/>
      <c r="H36" s="1"/>
      <c r="I36" s="59"/>
      <c r="J36" s="3"/>
    </row>
    <row r="37" spans="2:10" x14ac:dyDescent="0.25">
      <c r="B37" s="41"/>
      <c r="C37" s="1"/>
      <c r="D37" s="59"/>
      <c r="E37" s="41"/>
      <c r="F37" s="1"/>
      <c r="G37" s="59"/>
      <c r="H37" s="1"/>
      <c r="I37" s="59"/>
      <c r="J37" s="3"/>
    </row>
    <row r="38" spans="2:10" x14ac:dyDescent="0.25">
      <c r="B38" s="41"/>
      <c r="C38" s="1"/>
      <c r="D38" s="59"/>
      <c r="E38" s="41"/>
      <c r="F38" s="1"/>
      <c r="G38" s="59"/>
      <c r="H38" s="1"/>
      <c r="I38" s="59"/>
      <c r="J38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B2:L72"/>
  <sheetViews>
    <sheetView tabSelected="1" workbookViewId="0">
      <selection activeCell="L17" sqref="L17"/>
    </sheetView>
  </sheetViews>
  <sheetFormatPr defaultRowHeight="15" x14ac:dyDescent="0.25"/>
  <cols>
    <col min="7" max="8" width="11.140625" customWidth="1"/>
  </cols>
  <sheetData>
    <row r="2" spans="2:12" x14ac:dyDescent="0.25">
      <c r="B2" t="s">
        <v>221</v>
      </c>
    </row>
    <row r="4" spans="2:12" x14ac:dyDescent="0.25">
      <c r="B4" s="5" t="s">
        <v>220</v>
      </c>
      <c r="C4" s="6">
        <v>3</v>
      </c>
      <c r="K4" t="s">
        <v>81</v>
      </c>
      <c r="L4" t="s">
        <v>218</v>
      </c>
    </row>
    <row r="5" spans="2:12" x14ac:dyDescent="0.25">
      <c r="B5" s="5" t="s">
        <v>204</v>
      </c>
      <c r="C5" s="6">
        <v>1</v>
      </c>
      <c r="K5">
        <v>0.2</v>
      </c>
      <c r="L5" s="1">
        <f>K5/(K5-1)*($C$4^((K5-1)/K5)-1)-$C$5</f>
        <v>-0.75308641975308643</v>
      </c>
    </row>
    <row r="6" spans="2:12" x14ac:dyDescent="0.25">
      <c r="B6" s="5" t="s">
        <v>10</v>
      </c>
      <c r="C6" s="6">
        <v>2.1000000000000001E-2</v>
      </c>
      <c r="K6">
        <f>K5+$C$6</f>
        <v>0.221</v>
      </c>
      <c r="L6" s="1">
        <f>K6/(K6-1)*($C$4^((K6-1)/K6)-1)-$C$5</f>
        <v>-0.72220572936354144</v>
      </c>
    </row>
    <row r="7" spans="2:12" x14ac:dyDescent="0.25">
      <c r="B7" s="5" t="s">
        <v>219</v>
      </c>
      <c r="C7" s="6">
        <v>0.7</v>
      </c>
      <c r="K7">
        <f>K6+$C$6</f>
        <v>0.24199999999999999</v>
      </c>
      <c r="L7" s="1">
        <f>K7/(K7-1)*($C$4^((K7-1)/K7)-1)-$C$5</f>
        <v>-0.69096446120438915</v>
      </c>
    </row>
    <row r="8" spans="2:12" x14ac:dyDescent="0.25">
      <c r="B8" s="5" t="s">
        <v>82</v>
      </c>
      <c r="C8" s="6" t="s">
        <v>81</v>
      </c>
      <c r="K8">
        <f>K7+$C$6</f>
        <v>0.26300000000000001</v>
      </c>
      <c r="L8" s="1">
        <f>K8/(K8-1)*($C$4^((K8-1)/K8)-1)-$C$5</f>
        <v>-0.65957119051726121</v>
      </c>
    </row>
    <row r="9" spans="2:12" x14ac:dyDescent="0.25">
      <c r="K9">
        <f>K8+$C$6</f>
        <v>0.28400000000000003</v>
      </c>
      <c r="L9" s="1">
        <f>K9/(K9-1)*($C$4^((K9-1)/K9)-1)-$C$5</f>
        <v>-0.6282131591484772</v>
      </c>
    </row>
    <row r="10" spans="2:12" x14ac:dyDescent="0.25">
      <c r="B10" t="s">
        <v>81</v>
      </c>
      <c r="C10" t="s">
        <v>218</v>
      </c>
      <c r="D10" t="s">
        <v>217</v>
      </c>
      <c r="E10" t="s">
        <v>216</v>
      </c>
      <c r="F10" t="s">
        <v>215</v>
      </c>
      <c r="G10" t="s">
        <v>214</v>
      </c>
      <c r="H10" t="s">
        <v>213</v>
      </c>
      <c r="I10" t="s">
        <v>212</v>
      </c>
      <c r="K10">
        <f>K9+$C$6</f>
        <v>0.30500000000000005</v>
      </c>
      <c r="L10" s="1">
        <f>K10/(K10-1)*($C$4^((K10-1)/K10)-1)-$C$5</f>
        <v>-0.5970518940532783</v>
      </c>
    </row>
    <row r="11" spans="2:12" ht="15.75" thickBot="1" x14ac:dyDescent="0.3">
      <c r="B11" s="1">
        <f>IF(C8="n",C7,I11)</f>
        <v>0.7</v>
      </c>
      <c r="C11" s="1">
        <f>B11/(B11-1)*($C$4^((B11-1)/B11)-1)-$C$5</f>
        <v>-0.12378978133570584</v>
      </c>
      <c r="D11" s="1">
        <f>B11+$C$6</f>
        <v>0.72099999999999997</v>
      </c>
      <c r="E11" s="1">
        <f>D11/(D11-1)*($C$4^((D11-1)/D11)-1)-$C$5</f>
        <v>-0.10505591014724747</v>
      </c>
      <c r="F11" s="1">
        <f>B11-$C$6</f>
        <v>0.67899999999999994</v>
      </c>
      <c r="G11" s="1">
        <f>F11/(F11-1)*($C$4^((F11-1)/F11)-1)-$C$5</f>
        <v>-0.14309181705391283</v>
      </c>
      <c r="H11" s="1">
        <f>(E11-G11)/(2*$C$6)</f>
        <v>0.90561683111108005</v>
      </c>
      <c r="I11" s="1">
        <f>B11-C11/H11</f>
        <v>0.83669112265043821</v>
      </c>
      <c r="K11">
        <f>K10+$C$6</f>
        <v>0.32600000000000007</v>
      </c>
      <c r="L11" s="1">
        <f>K11/(K11-1)*($C$4^((K11-1)/K11)-1)-$C$5</f>
        <v>-0.56622234555051498</v>
      </c>
    </row>
    <row r="12" spans="2:12" x14ac:dyDescent="0.25">
      <c r="B12" s="73">
        <f>B11-C11/H11</f>
        <v>0.83669112265043821</v>
      </c>
      <c r="C12" s="73">
        <f>B12/(B12-1)*($C$4^((B12-1)/B12)-1)-$C$5</f>
        <v>-1.1189828635209675E-2</v>
      </c>
      <c r="D12" s="73">
        <f>B12+$C$6</f>
        <v>0.85769112265043823</v>
      </c>
      <c r="E12" s="73">
        <f>D12/(D12-1)*($C$4^((D12-1)/D12)-1)-$C$5</f>
        <v>4.299753879718704E-3</v>
      </c>
      <c r="F12" s="73">
        <f>B12-$C$6</f>
        <v>0.81569112265043819</v>
      </c>
      <c r="G12" s="73">
        <f>F12/(F12-1)*($C$4^((F12-1)/F12)-1)-$C$5</f>
        <v>-2.7129208619600442E-2</v>
      </c>
      <c r="H12" s="73">
        <f>(E12-G12)/(2*$C$6)</f>
        <v>0.74830863093617006</v>
      </c>
      <c r="I12" s="72"/>
      <c r="K12">
        <f>K11+$C$6</f>
        <v>0.34700000000000009</v>
      </c>
      <c r="L12" s="1">
        <f>K12/(K12-1)*($C$4^((K12-1)/K12)-1)-$C$5</f>
        <v>-0.53583414550036568</v>
      </c>
    </row>
    <row r="13" spans="2:12" x14ac:dyDescent="0.25">
      <c r="B13" s="1">
        <f>B12-C12/H12</f>
        <v>0.85164461666695201</v>
      </c>
      <c r="C13" s="1">
        <f>B13/(B13-1)*($C$4^((B13-1)/B13)-1)-$C$5</f>
        <v>-1.1500091278515701E-4</v>
      </c>
      <c r="D13" s="1">
        <f>B13+$C$6</f>
        <v>0.87264461666695203</v>
      </c>
      <c r="E13" s="1">
        <f>D13/(D13-1)*($C$4^((D13-1)/D13)-1)-$C$5</f>
        <v>1.5064292759253028E-2</v>
      </c>
      <c r="F13" s="1">
        <f>B13-$C$6</f>
        <v>0.830644616666952</v>
      </c>
      <c r="G13" s="1">
        <f>F13/(F13-1)*($C$4^((F13-1)/F13)-1)-$C$5</f>
        <v>-1.5732392441458187E-2</v>
      </c>
      <c r="H13" s="1">
        <f>(E13-G13)/(2*$C$6)</f>
        <v>0.73325440954074317</v>
      </c>
      <c r="K13">
        <f>K12+$C$6</f>
        <v>0.3680000000000001</v>
      </c>
      <c r="L13" s="1">
        <f>K13/(K13-1)*($C$4^((K13-1)/K13)-1)-$C$5</f>
        <v>-0.50597398435458563</v>
      </c>
    </row>
    <row r="14" spans="2:12" x14ac:dyDescent="0.25">
      <c r="B14" s="1">
        <f>B13-C13/H13</f>
        <v>0.85180145297272636</v>
      </c>
      <c r="C14" s="1">
        <f>B14/(B14-1)*($C$4^((B14-1)/B14)-1)-$C$5</f>
        <v>-3.2419346873702182E-8</v>
      </c>
      <c r="D14" s="1">
        <f>B14+$C$6</f>
        <v>0.87280145297272638</v>
      </c>
      <c r="E14" s="1">
        <f>D14/(D14-1)*($C$4^((D14-1)/D14)-1)-$C$5</f>
        <v>1.5176050070273117E-2</v>
      </c>
      <c r="F14" s="1">
        <f>B14-$C$6</f>
        <v>0.83080145297272634</v>
      </c>
      <c r="G14" s="1">
        <f>F14/(F14-1)*($C$4^((F14-1)/F14)-1)-$C$5</f>
        <v>-1.5614091560028465E-2</v>
      </c>
      <c r="H14" s="1">
        <f>(E14-G14)/(2*$C$6)</f>
        <v>0.73309861024527567</v>
      </c>
      <c r="K14">
        <f>K13+$C$6</f>
        <v>0.38900000000000012</v>
      </c>
      <c r="L14" s="1">
        <f>K14/(K14-1)*($C$4^((K14-1)/K14)-1)-$C$5</f>
        <v>-0.47670845230283043</v>
      </c>
    </row>
    <row r="15" spans="2:12" x14ac:dyDescent="0.25">
      <c r="B15" s="1">
        <f>B14-C14/H14</f>
        <v>0.85180149719508125</v>
      </c>
      <c r="C15" s="1">
        <f>B15/(B15-1)*($C$4^((B15-1)/B15)-1)-$C$5</f>
        <v>-5.6965543393516782E-12</v>
      </c>
      <c r="D15" s="1">
        <f>B15+$C$6</f>
        <v>0.87280149719508127</v>
      </c>
      <c r="E15" s="1">
        <f>D15/(D15-1)*($C$4^((D15-1)/D15)-1)-$C$5</f>
        <v>1.5176081578607725E-2</v>
      </c>
      <c r="F15" s="1">
        <f>B15-$C$6</f>
        <v>0.83080149719508123</v>
      </c>
      <c r="G15" s="1">
        <f>F15/(F15-1)*($C$4^((F15-1)/F15)-1)-$C$5</f>
        <v>-1.5614058206890657E-2</v>
      </c>
      <c r="H15" s="1">
        <f>(E15-G15)/(2*$C$6)</f>
        <v>0.73309856632139003</v>
      </c>
      <c r="K15">
        <f>K14+$C$6</f>
        <v>0.41000000000000014</v>
      </c>
      <c r="L15" s="1">
        <f>K15/(K15-1)*($C$4^((K15-1)/K15)-1)-$C$5</f>
        <v>-0.44808694693657247</v>
      </c>
    </row>
    <row r="16" spans="2:12" x14ac:dyDescent="0.25">
      <c r="B16" s="1">
        <f>B15-C15/H15</f>
        <v>0.85180149720285181</v>
      </c>
      <c r="C16" s="1">
        <f>B16/(B16-1)*($C$4^((B16-1)/B16)-1)-$C$5</f>
        <v>0</v>
      </c>
      <c r="D16" s="1">
        <f>B16+$C$6</f>
        <v>0.87280149720285183</v>
      </c>
      <c r="E16" s="1">
        <f>D16/(D16-1)*($C$4^((D16-1)/D16)-1)-$C$5</f>
        <v>1.5176081584144852E-2</v>
      </c>
      <c r="F16" s="1">
        <f>B16-$C$6</f>
        <v>0.83080149720285179</v>
      </c>
      <c r="G16" s="1">
        <f>F16/(F16-1)*($C$4^((F16-1)/F16)-1)-$C$5</f>
        <v>-1.5614058201029901E-2</v>
      </c>
      <c r="H16" s="1">
        <f>(E16-G16)/(2*$C$6)</f>
        <v>0.73309856631368453</v>
      </c>
      <c r="K16">
        <f>K15+$C$6</f>
        <v>0.43100000000000016</v>
      </c>
      <c r="L16" s="1">
        <f>K16/(K16-1)*($C$4^((K16-1)/K16)-1)-$C$5</f>
        <v>-0.42014442515170125</v>
      </c>
    </row>
    <row r="17" spans="2:12" x14ac:dyDescent="0.25">
      <c r="B17" s="1">
        <f>B16-C16/H16</f>
        <v>0.85180149720285181</v>
      </c>
      <c r="C17" s="1">
        <f>B17/(B17-1)*($C$4^((B17-1)/B17)-1)-$C$5</f>
        <v>0</v>
      </c>
      <c r="D17" s="1">
        <f>B17+$C$6</f>
        <v>0.87280149720285183</v>
      </c>
      <c r="E17" s="1">
        <f>D17/(D17-1)*($C$4^((D17-1)/D17)-1)-$C$5</f>
        <v>1.5176081584144852E-2</v>
      </c>
      <c r="F17" s="1">
        <f>B17-$C$6</f>
        <v>0.83080149720285179</v>
      </c>
      <c r="G17" s="1">
        <f>F17/(F17-1)*($C$4^((F17-1)/F17)-1)-$C$5</f>
        <v>-1.5614058201029901E-2</v>
      </c>
      <c r="H17" s="1">
        <f>(E17-G17)/(2*$C$6)</f>
        <v>0.73309856631368453</v>
      </c>
      <c r="K17">
        <f>K16+$C$6</f>
        <v>0.45200000000000018</v>
      </c>
      <c r="L17" s="1">
        <f>K17/(K17-1)*($C$4^((K17-1)/K17)-1)-$C$5</f>
        <v>-0.3929038895770719</v>
      </c>
    </row>
    <row r="18" spans="2:12" x14ac:dyDescent="0.25">
      <c r="B18" s="1">
        <f>B17-C17/H17</f>
        <v>0.85180149720285181</v>
      </c>
      <c r="C18" s="1">
        <f>B18/(B18-1)*($C$4^((B18-1)/B18)-1)-$C$5</f>
        <v>0</v>
      </c>
      <c r="D18" s="1">
        <f>B18+$C$6</f>
        <v>0.87280149720285183</v>
      </c>
      <c r="E18" s="1">
        <f>D18/(D18-1)*($C$4^((D18-1)/D18)-1)-$C$5</f>
        <v>1.5176081584144852E-2</v>
      </c>
      <c r="F18" s="1">
        <f>B18-$C$6</f>
        <v>0.83080149720285179</v>
      </c>
      <c r="G18" s="1">
        <f>F18/(F18-1)*($C$4^((F18-1)/F18)-1)-$C$5</f>
        <v>-1.5614058201029901E-2</v>
      </c>
      <c r="H18" s="1">
        <f>(E18-G18)/(2*$C$6)</f>
        <v>0.73309856631368453</v>
      </c>
      <c r="K18">
        <f>K17+$C$6</f>
        <v>0.4730000000000002</v>
      </c>
      <c r="L18" s="1">
        <f>K18/(K18-1)*($C$4^((K18-1)/K18)-1)-$C$5</f>
        <v>-0.3663785684750549</v>
      </c>
    </row>
    <row r="19" spans="2:12" x14ac:dyDescent="0.25">
      <c r="B19" s="1">
        <f>B18-C18/H18</f>
        <v>0.85180149720285181</v>
      </c>
      <c r="C19" s="1">
        <f>B19/(B19-1)*($C$4^((B19-1)/B19)-1)-$C$5</f>
        <v>0</v>
      </c>
      <c r="D19" s="1">
        <f>B19+$C$6</f>
        <v>0.87280149720285183</v>
      </c>
      <c r="E19" s="1">
        <f>D19/(D19-1)*($C$4^((D19-1)/D19)-1)-$C$5</f>
        <v>1.5176081584144852E-2</v>
      </c>
      <c r="F19" s="1">
        <f>B19-$C$6</f>
        <v>0.83080149720285179</v>
      </c>
      <c r="G19" s="1">
        <f>F19/(F19-1)*($C$4^((F19-1)/F19)-1)-$C$5</f>
        <v>-1.5614058201029901E-2</v>
      </c>
      <c r="H19" s="1">
        <f>(E19-G19)/(2*$C$6)</f>
        <v>0.73309856631368453</v>
      </c>
      <c r="K19">
        <f>K18+$C$6</f>
        <v>0.49400000000000022</v>
      </c>
      <c r="L19" s="1">
        <f>K19/(K19-1)*($C$4^((K19-1)/K19)-1)-$C$5</f>
        <v>-0.34057378765674784</v>
      </c>
    </row>
    <row r="20" spans="2:12" x14ac:dyDescent="0.25">
      <c r="B20" s="1">
        <f>B19-C19/H19</f>
        <v>0.85180149720285181</v>
      </c>
      <c r="C20" s="1">
        <f>B20/(B20-1)*($C$4^((B20-1)/B20)-1)-$C$5</f>
        <v>0</v>
      </c>
      <c r="D20" s="1">
        <f>B20+$C$6</f>
        <v>0.87280149720285183</v>
      </c>
      <c r="E20" s="1">
        <f>D20/(D20-1)*($C$4^((D20-1)/D20)-1)-$C$5</f>
        <v>1.5176081584144852E-2</v>
      </c>
      <c r="F20" s="1">
        <f>B20-$C$6</f>
        <v>0.83080149720285179</v>
      </c>
      <c r="G20" s="1">
        <f>F20/(F20-1)*($C$4^((F20-1)/F20)-1)-$C$5</f>
        <v>-1.5614058201029901E-2</v>
      </c>
      <c r="H20" s="1">
        <f>(E20-G20)/(2*$C$6)</f>
        <v>0.73309856631368453</v>
      </c>
      <c r="K20">
        <f>K19+$C$6</f>
        <v>0.51500000000000024</v>
      </c>
      <c r="L20" s="1">
        <f>K20/(K20-1)*($C$4^((K20-1)/K20)-1)-$C$5</f>
        <v>-0.31548855409333454</v>
      </c>
    </row>
    <row r="21" spans="2:12" x14ac:dyDescent="0.25">
      <c r="B21" s="1">
        <f>B20-C20/H20</f>
        <v>0.85180149720285181</v>
      </c>
      <c r="C21" s="1">
        <f>B21/(B21-1)*($C$4^((B21-1)/B21)-1)-$C$5</f>
        <v>0</v>
      </c>
      <c r="D21" s="1">
        <f>B21+$C$6</f>
        <v>0.87280149720285183</v>
      </c>
      <c r="E21" s="1">
        <f>D21/(D21-1)*($C$4^((D21-1)/D21)-1)-$C$5</f>
        <v>1.5176081584144852E-2</v>
      </c>
      <c r="F21" s="1">
        <f>B21-$C$6</f>
        <v>0.83080149720285179</v>
      </c>
      <c r="G21" s="1">
        <f>F21/(F21-1)*($C$4^((F21-1)/F21)-1)-$C$5</f>
        <v>-1.5614058201029901E-2</v>
      </c>
      <c r="H21" s="1">
        <f>(E21-G21)/(2*$C$6)</f>
        <v>0.73309856631368453</v>
      </c>
      <c r="K21">
        <f>K20+$C$6</f>
        <v>0.53600000000000025</v>
      </c>
      <c r="L21" s="1">
        <f>K21/(K21-1)*($C$4^((K21-1)/K21)-1)-$C$5</f>
        <v>-0.29111688074453623</v>
      </c>
    </row>
    <row r="22" spans="2:12" x14ac:dyDescent="0.25">
      <c r="B22" s="1">
        <f>B21-C21/H21</f>
        <v>0.85180149720285181</v>
      </c>
      <c r="C22" s="1">
        <f>B22/(B22-1)*($C$4^((B22-1)/B22)-1)-$C$5</f>
        <v>0</v>
      </c>
      <c r="D22" s="1">
        <f>B22+$C$6</f>
        <v>0.87280149720285183</v>
      </c>
      <c r="E22" s="1">
        <f>D22/(D22-1)*($C$4^((D22-1)/D22)-1)-$C$5</f>
        <v>1.5176081584144852E-2</v>
      </c>
      <c r="F22" s="1">
        <f>B22-$C$6</f>
        <v>0.83080149720285179</v>
      </c>
      <c r="G22" s="1">
        <f>F22/(F22-1)*($C$4^((F22-1)/F22)-1)-$C$5</f>
        <v>-1.5614058201029901E-2</v>
      </c>
      <c r="H22" s="1">
        <f>(E22-G22)/(2*$C$6)</f>
        <v>0.73309856631368453</v>
      </c>
      <c r="K22">
        <f>K21+$C$6</f>
        <v>0.55700000000000027</v>
      </c>
      <c r="L22" s="1">
        <f>K22/(K22-1)*($C$4^((K22-1)/K22)-1)-$C$5</f>
        <v>-0.26744888531783051</v>
      </c>
    </row>
    <row r="23" spans="2:12" x14ac:dyDescent="0.25">
      <c r="B23" s="1">
        <f>B22-C22/H22</f>
        <v>0.85180149720285181</v>
      </c>
      <c r="C23" s="1">
        <f>B23/(B23-1)*($C$4^((B23-1)/B23)-1)-$C$5</f>
        <v>0</v>
      </c>
      <c r="D23" s="1">
        <f>B23+$C$6</f>
        <v>0.87280149720285183</v>
      </c>
      <c r="E23" s="1">
        <f>D23/(D23-1)*($C$4^((D23-1)/D23)-1)-$C$5</f>
        <v>1.5176081584144852E-2</v>
      </c>
      <c r="F23" s="1">
        <f>B23-$C$6</f>
        <v>0.83080149720285179</v>
      </c>
      <c r="G23" s="1">
        <f>F23/(F23-1)*($C$4^((F23-1)/F23)-1)-$C$5</f>
        <v>-1.5614058201029901E-2</v>
      </c>
      <c r="H23" s="1">
        <f>(E23-G23)/(2*$C$6)</f>
        <v>0.73309856631368453</v>
      </c>
      <c r="K23">
        <f>K22+$C$6</f>
        <v>0.57800000000000029</v>
      </c>
      <c r="L23" s="1">
        <f>K23/(K23-1)*($C$4^((K23-1)/K23)-1)-$C$5</f>
        <v>-0.24447169515422051</v>
      </c>
    </row>
    <row r="24" spans="2:12" x14ac:dyDescent="0.25">
      <c r="B24" s="1">
        <f>B23-C23/H23</f>
        <v>0.85180149720285181</v>
      </c>
      <c r="C24" s="1">
        <f>B24/(B24-1)*($C$4^((B24-1)/B24)-1)-$C$5</f>
        <v>0</v>
      </c>
      <c r="D24" s="1">
        <f>B24+$C$6</f>
        <v>0.87280149720285183</v>
      </c>
      <c r="E24" s="1">
        <f>D24/(D24-1)*($C$4^((D24-1)/D24)-1)-$C$5</f>
        <v>1.5176081584144852E-2</v>
      </c>
      <c r="F24" s="1">
        <f>B24-$C$6</f>
        <v>0.83080149720285179</v>
      </c>
      <c r="G24" s="1">
        <f>F24/(F24-1)*($C$4^((F24-1)/F24)-1)-$C$5</f>
        <v>-1.5614058201029901E-2</v>
      </c>
      <c r="H24" s="1">
        <f>(E24-G24)/(2*$C$6)</f>
        <v>0.73309856631368453</v>
      </c>
      <c r="K24">
        <f>K23+$C$6</f>
        <v>0.59900000000000031</v>
      </c>
      <c r="L24" s="1">
        <f>K24/(K24-1)*($C$4^((K24-1)/K24)-1)-$C$5</f>
        <v>-0.22217018801141664</v>
      </c>
    </row>
    <row r="25" spans="2:12" x14ac:dyDescent="0.25">
      <c r="B25" s="1">
        <f>B24-C24/H24</f>
        <v>0.85180149720285181</v>
      </c>
      <c r="C25" s="1">
        <f>B25/(B25-1)*($C$4^((B25-1)/B25)-1)-$C$5</f>
        <v>0</v>
      </c>
      <c r="D25" s="1">
        <f>B25+$C$6</f>
        <v>0.87280149720285183</v>
      </c>
      <c r="E25" s="1">
        <f>D25/(D25-1)*($C$4^((D25-1)/D25)-1)-$C$5</f>
        <v>1.5176081584144852E-2</v>
      </c>
      <c r="F25" s="1">
        <f>B25-$C$6</f>
        <v>0.83080149720285179</v>
      </c>
      <c r="G25" s="1">
        <f>F25/(F25-1)*($C$4^((F25-1)/F25)-1)-$C$5</f>
        <v>-1.5614058201029901E-2</v>
      </c>
      <c r="H25" s="1">
        <f>(E25-G25)/(2*$C$6)</f>
        <v>0.73309856631368453</v>
      </c>
      <c r="K25">
        <f>K24+$C$6</f>
        <v>0.62000000000000033</v>
      </c>
      <c r="L25" s="1">
        <f>K25/(K25-1)*($C$4^((K25-1)/K25)-1)-$C$5</f>
        <v>-0.20052759525920183</v>
      </c>
    </row>
    <row r="26" spans="2:12" x14ac:dyDescent="0.25">
      <c r="B26" s="1">
        <f>B25-C25/H25</f>
        <v>0.85180149720285181</v>
      </c>
      <c r="C26" s="1">
        <f>B26/(B26-1)*($C$4^((B26-1)/B26)-1)-$C$5</f>
        <v>0</v>
      </c>
      <c r="D26" s="1">
        <f>B26+$C$6</f>
        <v>0.87280149720285183</v>
      </c>
      <c r="E26" s="1">
        <f>D26/(D26-1)*($C$4^((D26-1)/D26)-1)-$C$5</f>
        <v>1.5176081584144852E-2</v>
      </c>
      <c r="F26" s="1">
        <f>B26-$C$6</f>
        <v>0.83080149720285179</v>
      </c>
      <c r="G26" s="1">
        <f>F26/(F26-1)*($C$4^((F26-1)/F26)-1)-$C$5</f>
        <v>-1.5614058201029901E-2</v>
      </c>
      <c r="H26" s="1">
        <f>(E26-G26)/(2*$C$6)</f>
        <v>0.73309856631368453</v>
      </c>
      <c r="K26">
        <f>K25+$C$6</f>
        <v>0.64100000000000035</v>
      </c>
      <c r="L26" s="1">
        <f>K26/(K26-1)*($C$4^((K26-1)/K26)-1)-$C$5</f>
        <v>-0.17952599053276486</v>
      </c>
    </row>
    <row r="27" spans="2:12" x14ac:dyDescent="0.25">
      <c r="B27" s="1">
        <f>B26-C26/H26</f>
        <v>0.85180149720285181</v>
      </c>
      <c r="C27" s="1">
        <f>B27/(B27-1)*($C$4^((B27-1)/B27)-1)-$C$5</f>
        <v>0</v>
      </c>
      <c r="D27" s="1">
        <f>B27+$C$6</f>
        <v>0.87280149720285183</v>
      </c>
      <c r="E27" s="1">
        <f>D27/(D27-1)*($C$4^((D27-1)/D27)-1)-$C$5</f>
        <v>1.5176081584144852E-2</v>
      </c>
      <c r="F27" s="1">
        <f>B27-$C$6</f>
        <v>0.83080149720285179</v>
      </c>
      <c r="G27" s="1">
        <f>F27/(F27-1)*($C$4^((F27-1)/F27)-1)-$C$5</f>
        <v>-1.5614058201029901E-2</v>
      </c>
      <c r="H27" s="1">
        <f>(E27-G27)/(2*$C$6)</f>
        <v>0.73309856631368453</v>
      </c>
      <c r="K27">
        <f>K26+$C$6</f>
        <v>0.66200000000000037</v>
      </c>
      <c r="L27" s="1">
        <f>K27/(K27-1)*($C$4^((K27-1)/K27)-1)-$C$5</f>
        <v>-0.15914668354413108</v>
      </c>
    </row>
    <row r="28" spans="2:12" x14ac:dyDescent="0.25">
      <c r="B28" s="1">
        <f>B27-C27/H27</f>
        <v>0.85180149720285181</v>
      </c>
      <c r="C28" s="1">
        <f>B28/(B28-1)*($C$4^((B28-1)/B28)-1)-$C$5</f>
        <v>0</v>
      </c>
      <c r="D28" s="1">
        <f>B28+$C$6</f>
        <v>0.87280149720285183</v>
      </c>
      <c r="E28" s="1">
        <f>D28/(D28-1)*($C$4^((D28-1)/D28)-1)-$C$5</f>
        <v>1.5176081584144852E-2</v>
      </c>
      <c r="F28" s="1">
        <f>B28-$C$6</f>
        <v>0.83080149720285179</v>
      </c>
      <c r="G28" s="1">
        <f>F28/(F28-1)*($C$4^((F28-1)/F28)-1)-$C$5</f>
        <v>-1.5614058201029901E-2</v>
      </c>
      <c r="H28" s="1">
        <f>(E28-G28)/(2*$C$6)</f>
        <v>0.73309856631368453</v>
      </c>
      <c r="K28">
        <f>K27+$C$6</f>
        <v>0.68300000000000038</v>
      </c>
      <c r="L28" s="1">
        <f>K28/(K28-1)*($C$4^((K28-1)/K28)-1)-$C$5</f>
        <v>-0.13937053569569302</v>
      </c>
    </row>
    <row r="29" spans="2:12" x14ac:dyDescent="0.25">
      <c r="K29">
        <f>K28+$C$6</f>
        <v>0.7040000000000004</v>
      </c>
      <c r="L29" s="1">
        <f>K29/(K29-1)*($C$4^((K29-1)/K29)-1)-$C$5</f>
        <v>-0.12017821143974694</v>
      </c>
    </row>
    <row r="30" spans="2:12" x14ac:dyDescent="0.25">
      <c r="K30">
        <f>K29+$C$6</f>
        <v>0.72500000000000042</v>
      </c>
      <c r="L30" s="1">
        <f>K30/(K30-1)*($C$4^((K30-1)/K30)-1)-$C$5</f>
        <v>-0.10155037699408809</v>
      </c>
    </row>
    <row r="31" spans="2:12" x14ac:dyDescent="0.25">
      <c r="K31">
        <f>K30+$C$6</f>
        <v>0.74600000000000044</v>
      </c>
      <c r="L31" s="1">
        <f>K31/(K31-1)*($C$4^((K31-1)/K31)-1)-$C$5</f>
        <v>-8.3467856036581578E-2</v>
      </c>
    </row>
    <row r="32" spans="2:12" x14ac:dyDescent="0.25">
      <c r="K32">
        <f>K31+$C$6</f>
        <v>0.76700000000000046</v>
      </c>
      <c r="L32" s="1">
        <f>K32/(K32-1)*($C$4^((K32-1)/K32)-1)-$C$5</f>
        <v>-6.5911750327508511E-2</v>
      </c>
    </row>
    <row r="33" spans="11:12" x14ac:dyDescent="0.25">
      <c r="K33">
        <f>K32+$C$6</f>
        <v>0.78800000000000048</v>
      </c>
      <c r="L33" s="1">
        <f>K33/(K33-1)*($C$4^((K33-1)/K33)-1)-$C$5</f>
        <v>-4.8863531808798877E-2</v>
      </c>
    </row>
    <row r="34" spans="11:12" x14ac:dyDescent="0.25">
      <c r="K34">
        <f>K33+$C$6</f>
        <v>0.8090000000000005</v>
      </c>
      <c r="L34" s="1">
        <f>K34/(K34-1)*($C$4^((K34-1)/K34)-1)-$C$5</f>
        <v>-3.2305111565456013E-2</v>
      </c>
    </row>
    <row r="35" spans="11:12" x14ac:dyDescent="0.25">
      <c r="K35">
        <f>K34+$C$6</f>
        <v>0.83000000000000052</v>
      </c>
      <c r="L35" s="1">
        <f>K35/(K35-1)*($C$4^((K35-1)/K35)-1)-$C$5</f>
        <v>-1.6218890070638925E-2</v>
      </c>
    </row>
    <row r="36" spans="11:12" x14ac:dyDescent="0.25">
      <c r="K36">
        <f>K35+$C$6</f>
        <v>0.85100000000000053</v>
      </c>
      <c r="L36" s="1">
        <f>K36/(K36-1)*($C$4^((K36-1)/K36)-1)-$C$5</f>
        <v>-5.8779233999373126E-4</v>
      </c>
    </row>
    <row r="37" spans="11:12" x14ac:dyDescent="0.25">
      <c r="K37">
        <f>K36+$C$6</f>
        <v>0.87200000000000055</v>
      </c>
      <c r="L37" s="1">
        <f>K37/(K37-1)*($C$4^((K37-1)/K37)-1)-$C$5</f>
        <v>1.4604709035024754E-2</v>
      </c>
    </row>
    <row r="38" spans="11:12" x14ac:dyDescent="0.25">
      <c r="K38">
        <f>K37+$C$6</f>
        <v>0.89300000000000057</v>
      </c>
      <c r="L38" s="1">
        <f>K38/(K38-1)*($C$4^((K38-1)/K38)-1)-$C$5</f>
        <v>2.9374580544703655E-2</v>
      </c>
    </row>
    <row r="39" spans="11:12" x14ac:dyDescent="0.25">
      <c r="K39">
        <f>K38+$C$6</f>
        <v>0.91400000000000059</v>
      </c>
      <c r="L39" s="1">
        <f>K39/(K39-1)*($C$4^((K39-1)/K39)-1)-$C$5</f>
        <v>4.3737222122926633E-2</v>
      </c>
    </row>
    <row r="40" spans="11:12" x14ac:dyDescent="0.25">
      <c r="K40">
        <f>K39+$C$6</f>
        <v>0.93500000000000061</v>
      </c>
      <c r="L40" s="1">
        <f>K40/(K40-1)*($C$4^((K40-1)/K40)-1)-$C$5</f>
        <v>5.7707467591056938E-2</v>
      </c>
    </row>
    <row r="41" spans="11:12" x14ac:dyDescent="0.25">
      <c r="K41">
        <f>K40+$C$6</f>
        <v>0.95600000000000063</v>
      </c>
      <c r="L41" s="1">
        <f>K41/(K41-1)*($C$4^((K41-1)/K41)-1)-$C$5</f>
        <v>7.1299589860658541E-2</v>
      </c>
    </row>
    <row r="42" spans="11:12" x14ac:dyDescent="0.25">
      <c r="K42">
        <f>K41+$C$6</f>
        <v>0.97700000000000065</v>
      </c>
      <c r="L42" s="1">
        <f>K42/(K42-1)*($C$4^((K42-1)/K42)-1)-$C$5</f>
        <v>8.4527309817359786E-2</v>
      </c>
    </row>
    <row r="43" spans="11:12" x14ac:dyDescent="0.25">
      <c r="K43">
        <f>K42+$C$6</f>
        <v>0.99800000000000066</v>
      </c>
      <c r="L43" s="1">
        <f>K43/(K43-1)*($C$4^((K43-1)/K43)-1)-$C$5</f>
        <v>9.7403808009455917E-2</v>
      </c>
    </row>
    <row r="44" spans="11:12" x14ac:dyDescent="0.25">
      <c r="K44">
        <f>K43+$C$6</f>
        <v>1.0190000000000006</v>
      </c>
      <c r="L44" s="1">
        <f>K44/(K44-1)*($C$4^((K44-1)/K44)-1)-$C$5</f>
        <v>0.10994173843039934</v>
      </c>
    </row>
    <row r="45" spans="11:12" x14ac:dyDescent="0.25">
      <c r="K45">
        <f>K44+$C$6</f>
        <v>1.0400000000000005</v>
      </c>
      <c r="L45" s="1">
        <f>K45/(K45-1)*($C$4^((K45-1)/K45)-1)-$C$5</f>
        <v>0.12215324381901027</v>
      </c>
    </row>
    <row r="46" spans="11:12" x14ac:dyDescent="0.25">
      <c r="K46">
        <f>K45+$C$6</f>
        <v>1.0610000000000004</v>
      </c>
      <c r="L46" s="1">
        <f>K46/(K46-1)*($C$4^((K46-1)/K46)-1)-$C$5</f>
        <v>0.13404997201376645</v>
      </c>
    </row>
    <row r="47" spans="11:12" x14ac:dyDescent="0.25">
      <c r="K47">
        <f>K46+$C$6</f>
        <v>1.0820000000000003</v>
      </c>
      <c r="L47" s="1">
        <f>K47/(K47-1)*($C$4^((K47-1)/K47)-1)-$C$5</f>
        <v>0.14564309298707845</v>
      </c>
    </row>
    <row r="48" spans="11:12" x14ac:dyDescent="0.25">
      <c r="K48">
        <f>K47+$C$6</f>
        <v>1.1030000000000002</v>
      </c>
      <c r="L48" s="1">
        <f>K48/(K48-1)*($C$4^((K48-1)/K48)-1)-$C$5</f>
        <v>0.15694331626113867</v>
      </c>
    </row>
    <row r="49" spans="11:12" x14ac:dyDescent="0.25">
      <c r="K49">
        <f>K48+$C$6</f>
        <v>1.1240000000000001</v>
      </c>
      <c r="L49" s="1">
        <f>K49/(K49-1)*($C$4^((K49-1)/K49)-1)-$C$5</f>
        <v>0.16796090846768652</v>
      </c>
    </row>
    <row r="50" spans="11:12" x14ac:dyDescent="0.25">
      <c r="K50">
        <f>K49+$C$6</f>
        <v>1.145</v>
      </c>
      <c r="L50" s="1">
        <f>K50/(K50-1)*($C$4^((K50-1)/K50)-1)-$C$5</f>
        <v>0.17870571086402287</v>
      </c>
    </row>
    <row r="51" spans="11:12" x14ac:dyDescent="0.25">
      <c r="K51">
        <f>K50+$C$6</f>
        <v>1.1659999999999999</v>
      </c>
      <c r="L51" s="1">
        <f>K51/(K51-1)*($C$4^((K51-1)/K51)-1)-$C$5</f>
        <v>0.18918715665857344</v>
      </c>
    </row>
    <row r="52" spans="11:12" x14ac:dyDescent="0.25">
      <c r="K52">
        <f>K51+$C$6</f>
        <v>1.1869999999999998</v>
      </c>
      <c r="L52" s="1">
        <f>K52/(K52-1)*($C$4^((K52-1)/K52)-1)-$C$5</f>
        <v>0.19941428803260175</v>
      </c>
    </row>
    <row r="53" spans="11:12" x14ac:dyDescent="0.25">
      <c r="K53">
        <f>K52+$C$6</f>
        <v>1.2079999999999997</v>
      </c>
      <c r="L53" s="1">
        <f>K53/(K53-1)*($C$4^((K53-1)/K53)-1)-$C$5</f>
        <v>0.20939577277190935</v>
      </c>
    </row>
    <row r="54" spans="11:12" x14ac:dyDescent="0.25">
      <c r="K54">
        <f>K53+$C$6</f>
        <v>1.2289999999999996</v>
      </c>
      <c r="L54" s="1">
        <f>K54/(K54-1)*($C$4^((K54-1)/K54)-1)-$C$5</f>
        <v>0.21913992044443131</v>
      </c>
    </row>
    <row r="55" spans="11:12" x14ac:dyDescent="0.25">
      <c r="K55">
        <f>K54+$C$6</f>
        <v>1.2499999999999996</v>
      </c>
      <c r="L55" s="1">
        <f>K55/(K55-1)*($C$4^((K55-1)/K55)-1)-$C$5</f>
        <v>0.22865469807758654</v>
      </c>
    </row>
    <row r="56" spans="11:12" x14ac:dyDescent="0.25">
      <c r="K56">
        <f>K55+$C$6</f>
        <v>1.2709999999999995</v>
      </c>
      <c r="L56" s="1">
        <f>K56/(K56-1)*($C$4^((K56-1)/K56)-1)-$C$5</f>
        <v>0.23794774530372353</v>
      </c>
    </row>
    <row r="57" spans="11:12" x14ac:dyDescent="0.25">
      <c r="K57">
        <f>K56+$C$6</f>
        <v>1.2919999999999994</v>
      </c>
      <c r="L57" s="1">
        <f>K57/(K57-1)*($C$4^((K57-1)/K57)-1)-$C$5</f>
        <v>0.24702638895367945</v>
      </c>
    </row>
    <row r="58" spans="11:12" x14ac:dyDescent="0.25">
      <c r="K58">
        <f>K57+$C$6</f>
        <v>1.3129999999999993</v>
      </c>
      <c r="L58" s="1">
        <f>K58/(K58-1)*($C$4^((K58-1)/K58)-1)-$C$5</f>
        <v>0.25589765708780288</v>
      </c>
    </row>
    <row r="59" spans="11:12" x14ac:dyDescent="0.25">
      <c r="K59">
        <f>K58+$C$6</f>
        <v>1.3339999999999992</v>
      </c>
      <c r="L59" s="1">
        <f>K59/(K59-1)*($C$4^((K59-1)/K59)-1)-$C$5</f>
        <v>0.26456829246123315</v>
      </c>
    </row>
    <row r="60" spans="11:12" x14ac:dyDescent="0.25">
      <c r="K60">
        <f>K59+$C$6</f>
        <v>1.3549999999999991</v>
      </c>
      <c r="L60" s="1">
        <f>K60/(K60-1)*($C$4^((K60-1)/K60)-1)-$C$5</f>
        <v>0.27304476542610101</v>
      </c>
    </row>
    <row r="61" spans="11:12" x14ac:dyDescent="0.25">
      <c r="K61">
        <f>K60+$C$6</f>
        <v>1.375999999999999</v>
      </c>
      <c r="L61" s="1">
        <f>K61/(K61-1)*($C$4^((K61-1)/K61)-1)-$C$5</f>
        <v>0.28133328627789678</v>
      </c>
    </row>
    <row r="62" spans="11:12" x14ac:dyDescent="0.25">
      <c r="K62">
        <f>K61+$C$6</f>
        <v>1.3969999999999989</v>
      </c>
      <c r="L62" s="1">
        <f>K62/(K62-1)*($C$4^((K62-1)/K62)-1)-$C$5</f>
        <v>0.28943981705680377</v>
      </c>
    </row>
    <row r="63" spans="11:12" x14ac:dyDescent="0.25">
      <c r="K63">
        <f>K62+$C$6</f>
        <v>1.4179999999999988</v>
      </c>
      <c r="L63" s="1">
        <f>K63/(K63-1)*($C$4^((K63-1)/K63)-1)-$C$5</f>
        <v>0.29737008281745703</v>
      </c>
    </row>
    <row r="64" spans="11:12" x14ac:dyDescent="0.25">
      <c r="K64">
        <f>K63+$C$6</f>
        <v>1.4389999999999987</v>
      </c>
      <c r="L64" s="1">
        <f>K64/(K64-1)*($C$4^((K64-1)/K64)-1)-$C$5</f>
        <v>0.30512958238259191</v>
      </c>
    </row>
    <row r="65" spans="11:12" x14ac:dyDescent="0.25">
      <c r="K65">
        <f>K64+$C$6</f>
        <v>1.4599999999999986</v>
      </c>
      <c r="L65" s="1">
        <f>K65/(K65-1)*($C$4^((K65-1)/K65)-1)-$C$5</f>
        <v>0.31272359859744325</v>
      </c>
    </row>
    <row r="66" spans="11:12" x14ac:dyDescent="0.25">
      <c r="K66">
        <f>K65+$C$6</f>
        <v>1.4809999999999985</v>
      </c>
      <c r="L66" s="1">
        <f>K66/(K66-1)*($C$4^((K66-1)/K66)-1)-$C$5</f>
        <v>0.32015720810271797</v>
      </c>
    </row>
    <row r="67" spans="11:12" x14ac:dyDescent="0.25">
      <c r="K67">
        <f>K66+$C$6</f>
        <v>1.5019999999999984</v>
      </c>
      <c r="L67" s="1">
        <f>K67/(K67-1)*($C$4^((K67-1)/K67)-1)-$C$5</f>
        <v>0.32743529064455901</v>
      </c>
    </row>
    <row r="68" spans="11:12" x14ac:dyDescent="0.25">
      <c r="K68">
        <f>K67+$C$6</f>
        <v>1.5229999999999984</v>
      </c>
      <c r="L68" s="1">
        <f>K68/(K68-1)*($C$4^((K68-1)/K68)-1)-$C$5</f>
        <v>0.33456253794017909</v>
      </c>
    </row>
    <row r="69" spans="11:12" x14ac:dyDescent="0.25">
      <c r="L69" s="1"/>
    </row>
    <row r="70" spans="11:12" x14ac:dyDescent="0.25">
      <c r="L70" s="1"/>
    </row>
    <row r="71" spans="11:12" x14ac:dyDescent="0.25">
      <c r="L71" s="1"/>
    </row>
    <row r="72" spans="11:12" x14ac:dyDescent="0.25">
      <c r="L72" s="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22</vt:i4>
      </vt:variant>
    </vt:vector>
  </HeadingPairs>
  <TitlesOfParts>
    <vt:vector size="41" baseType="lpstr">
      <vt:lpstr>newton raphson multivariado</vt:lpstr>
      <vt:lpstr>Bissecção via Excel</vt:lpstr>
      <vt:lpstr>Bissecção via VBA</vt:lpstr>
      <vt:lpstr>bissecção via VBA v.2</vt:lpstr>
      <vt:lpstr>secante via VBA</vt:lpstr>
      <vt:lpstr>gases ideais - sem iteração</vt:lpstr>
      <vt:lpstr>gases ideais - com iteração</vt:lpstr>
      <vt:lpstr>gases ideais - sem iteração v.2</vt:lpstr>
      <vt:lpstr>bissecção x secante</vt:lpstr>
      <vt:lpstr>bissecção com iteração</vt:lpstr>
      <vt:lpstr>tridente de newton</vt:lpstr>
      <vt:lpstr>inversa de x</vt:lpstr>
      <vt:lpstr>Redlich-Kwong com e sem iteraçã</vt:lpstr>
      <vt:lpstr>8_7</vt:lpstr>
      <vt:lpstr>8_8</vt:lpstr>
      <vt:lpstr>8_15</vt:lpstr>
      <vt:lpstr>8.32</vt:lpstr>
      <vt:lpstr>8.36</vt:lpstr>
      <vt:lpstr>8.40</vt:lpstr>
      <vt:lpstr>'Redlich-Kwong com e sem iteraçã'!a_</vt:lpstr>
      <vt:lpstr>a_</vt:lpstr>
      <vt:lpstr>'Redlich-Kwong com e sem iteraçã'!b_</vt:lpstr>
      <vt:lpstr>b_</vt:lpstr>
      <vt:lpstr>'Redlich-Kwong com e sem iteraçã'!h_</vt:lpstr>
      <vt:lpstr>h_</vt:lpstr>
      <vt:lpstr>Inicia_</vt:lpstr>
      <vt:lpstr>Inicio_</vt:lpstr>
      <vt:lpstr>'8_8'!L_</vt:lpstr>
      <vt:lpstr>L_</vt:lpstr>
      <vt:lpstr>'Redlich-Kwong com e sem iteraçã'!P_</vt:lpstr>
      <vt:lpstr>P_</vt:lpstr>
      <vt:lpstr>Pc_</vt:lpstr>
      <vt:lpstr>'8_8'!r_</vt:lpstr>
      <vt:lpstr>'Redlich-Kwong com e sem iteraçã'!R_</vt:lpstr>
      <vt:lpstr>R_</vt:lpstr>
      <vt:lpstr>r_2</vt:lpstr>
      <vt:lpstr>'Redlich-Kwong com e sem iteraçã'!T_</vt:lpstr>
      <vt:lpstr>T_</vt:lpstr>
      <vt:lpstr>Tc_</vt:lpstr>
      <vt:lpstr>'8_8'!V_</vt:lpstr>
      <vt:lpstr>V_</vt:lpstr>
    </vt:vector>
  </TitlesOfParts>
  <Company>FAAP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FAAP</dc:creator>
  <cp:lastModifiedBy>Gustavo</cp:lastModifiedBy>
  <dcterms:created xsi:type="dcterms:W3CDTF">2011-08-09T14:46:44Z</dcterms:created>
  <dcterms:modified xsi:type="dcterms:W3CDTF">2017-09-25T23:33:19Z</dcterms:modified>
</cp:coreProperties>
</file>