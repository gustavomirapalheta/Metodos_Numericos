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527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Z:\Google Drive\Disciplinas\Matemática II\cálculo, abordagem computacional\planilhas\"/>
    </mc:Choice>
  </mc:AlternateContent>
  <xr:revisionPtr revIDLastSave="0" documentId="13_ncr:40009_{26538930-5240-4D9C-B8EF-24360E0AF9ED}" xr6:coauthVersionLast="47" xr6:coauthVersionMax="47" xr10:uidLastSave="{00000000-0000-0000-0000-000000000000}"/>
  <bookViews>
    <workbookView xWindow="-120" yWindow="-120" windowWidth="27960" windowHeight="14220" activeTab="4"/>
  </bookViews>
  <sheets>
    <sheet name="Plan1" sheetId="3" r:id="rId1"/>
    <sheet name="Graf1" sheetId="4" r:id="rId2"/>
    <sheet name="Plan2" sheetId="5" r:id="rId3"/>
    <sheet name="Graf2" sheetId="6" r:id="rId4"/>
    <sheet name="Plan3" sheetId="1" r:id="rId5"/>
    <sheet name="Graf3" sheetId="2" r:id="rId6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5" l="1"/>
  <c r="R3" i="5"/>
  <c r="R4" i="5"/>
  <c r="R5" i="5"/>
  <c r="R6" i="5"/>
  <c r="R7" i="5"/>
  <c r="R8" i="5"/>
  <c r="S8" i="5"/>
  <c r="R9" i="5"/>
  <c r="S9" i="5"/>
  <c r="C10" i="5"/>
  <c r="E10" i="5"/>
  <c r="D10" i="5"/>
  <c r="F10" i="5"/>
  <c r="I10" i="5"/>
  <c r="S10" i="5"/>
  <c r="B11" i="5"/>
  <c r="E11" i="5"/>
  <c r="D11" i="5"/>
  <c r="I11" i="5"/>
  <c r="R11" i="5"/>
  <c r="S11" i="5"/>
  <c r="B12" i="5"/>
  <c r="I12" i="5"/>
  <c r="S12" i="5"/>
  <c r="B13" i="5"/>
  <c r="I13" i="5"/>
  <c r="B14" i="5"/>
  <c r="I14" i="5"/>
  <c r="B15" i="5"/>
  <c r="I15" i="5"/>
  <c r="B16" i="5"/>
  <c r="I16" i="5"/>
  <c r="B17" i="5"/>
  <c r="I17" i="5"/>
  <c r="B18" i="5"/>
  <c r="I18" i="5"/>
  <c r="B19" i="5"/>
  <c r="I19" i="5"/>
  <c r="B20" i="5"/>
  <c r="I20" i="5"/>
  <c r="B21" i="5"/>
  <c r="I21" i="5"/>
  <c r="B22" i="5"/>
  <c r="I22" i="5"/>
  <c r="B23" i="5"/>
  <c r="I23" i="5"/>
  <c r="B24" i="5"/>
  <c r="I24" i="5"/>
  <c r="B25" i="5"/>
  <c r="I25" i="5"/>
  <c r="B26" i="5"/>
  <c r="I26" i="5"/>
  <c r="B27" i="5"/>
  <c r="I27" i="5"/>
  <c r="B28" i="5"/>
  <c r="I28" i="5"/>
  <c r="B29" i="5"/>
  <c r="I29" i="5"/>
  <c r="B30" i="5"/>
  <c r="I30" i="5"/>
  <c r="B31" i="5"/>
  <c r="I31" i="5"/>
  <c r="B32" i="5"/>
  <c r="I32" i="5"/>
  <c r="B33" i="5"/>
  <c r="I33" i="5"/>
  <c r="B34" i="5"/>
  <c r="I34" i="5"/>
  <c r="B35" i="5"/>
  <c r="I35" i="5"/>
  <c r="B36" i="5"/>
  <c r="I36" i="5"/>
  <c r="B37" i="5"/>
  <c r="I37" i="5"/>
  <c r="B38" i="5"/>
  <c r="I38" i="5"/>
  <c r="B39" i="5"/>
  <c r="I39" i="5"/>
  <c r="B40" i="5"/>
  <c r="I40" i="5"/>
  <c r="B41" i="5"/>
  <c r="I41" i="5"/>
  <c r="B42" i="5"/>
  <c r="I42" i="5"/>
  <c r="B43" i="5"/>
  <c r="I43" i="5"/>
  <c r="B44" i="5"/>
  <c r="I44" i="5"/>
  <c r="B45" i="5"/>
  <c r="I45" i="5"/>
  <c r="B46" i="5"/>
  <c r="I46" i="5"/>
  <c r="B47" i="5"/>
  <c r="I47" i="5"/>
  <c r="B48" i="5"/>
  <c r="I48" i="5"/>
  <c r="B49" i="5"/>
  <c r="I49" i="5"/>
  <c r="B50" i="5"/>
  <c r="I50" i="5"/>
  <c r="B51" i="5"/>
  <c r="I51" i="5"/>
  <c r="B52" i="5"/>
  <c r="I52" i="5"/>
  <c r="B53" i="5"/>
  <c r="I53" i="5"/>
  <c r="B54" i="5"/>
  <c r="I54" i="5"/>
  <c r="B55" i="5"/>
  <c r="I55" i="5"/>
  <c r="B56" i="5"/>
  <c r="I56" i="5"/>
  <c r="B57" i="5"/>
  <c r="I57" i="5"/>
  <c r="B58" i="5"/>
  <c r="I58" i="5"/>
  <c r="B59" i="5"/>
  <c r="I59" i="5"/>
  <c r="B60" i="5"/>
  <c r="I60" i="5"/>
  <c r="B61" i="5"/>
  <c r="I61" i="5"/>
  <c r="B62" i="5"/>
  <c r="I62" i="5"/>
  <c r="B63" i="5"/>
  <c r="I63" i="5"/>
  <c r="B64" i="5"/>
  <c r="I64" i="5"/>
  <c r="B65" i="5"/>
  <c r="I65" i="5"/>
  <c r="B66" i="5"/>
  <c r="I66" i="5"/>
  <c r="B67" i="5"/>
  <c r="I67" i="5"/>
  <c r="B68" i="5"/>
  <c r="I68" i="5"/>
  <c r="B69" i="5"/>
  <c r="I69" i="5"/>
  <c r="B70" i="5"/>
  <c r="I70" i="5"/>
  <c r="B71" i="5"/>
  <c r="I71" i="5"/>
  <c r="B72" i="5"/>
  <c r="I72" i="5"/>
  <c r="B73" i="5"/>
  <c r="I73" i="5"/>
  <c r="B74" i="5"/>
  <c r="I74" i="5"/>
  <c r="B75" i="5"/>
  <c r="I75" i="5"/>
  <c r="B76" i="5"/>
  <c r="I76" i="5"/>
  <c r="B77" i="5"/>
  <c r="I77" i="5"/>
  <c r="B78" i="5"/>
  <c r="I78" i="5"/>
  <c r="B79" i="5"/>
  <c r="I79" i="5"/>
  <c r="B80" i="5"/>
  <c r="I80" i="5"/>
  <c r="B81" i="5"/>
  <c r="I81" i="5"/>
  <c r="B82" i="5"/>
  <c r="I82" i="5"/>
  <c r="B83" i="5"/>
  <c r="I83" i="5"/>
  <c r="B84" i="5"/>
  <c r="I84" i="5"/>
  <c r="B85" i="5"/>
  <c r="I85" i="5"/>
  <c r="B86" i="5"/>
  <c r="I86" i="5"/>
  <c r="B87" i="5"/>
  <c r="I87" i="5"/>
  <c r="B88" i="5"/>
  <c r="I88" i="5"/>
  <c r="B89" i="5"/>
  <c r="I89" i="5"/>
  <c r="B90" i="5"/>
  <c r="I90" i="5"/>
  <c r="B91" i="5"/>
  <c r="I91" i="5"/>
  <c r="B92" i="5"/>
  <c r="I92" i="5"/>
  <c r="B93" i="5"/>
  <c r="I93" i="5"/>
  <c r="B94" i="5"/>
  <c r="I94" i="5"/>
  <c r="B95" i="5"/>
  <c r="I95" i="5"/>
  <c r="B96" i="5"/>
  <c r="I96" i="5"/>
  <c r="B97" i="5"/>
  <c r="I97" i="5"/>
  <c r="B98" i="5"/>
  <c r="I98" i="5"/>
  <c r="B99" i="5"/>
  <c r="I99" i="5"/>
  <c r="B100" i="5"/>
  <c r="I100" i="5"/>
  <c r="B101" i="5"/>
  <c r="I101" i="5"/>
  <c r="B102" i="5"/>
  <c r="I102" i="5"/>
  <c r="B103" i="5"/>
  <c r="I103" i="5"/>
  <c r="B104" i="5"/>
  <c r="I104" i="5"/>
  <c r="B105" i="5"/>
  <c r="I105" i="5"/>
  <c r="B106" i="5"/>
  <c r="I106" i="5"/>
  <c r="B107" i="5"/>
  <c r="I107" i="5"/>
  <c r="B108" i="5"/>
  <c r="B109" i="5"/>
  <c r="I108" i="5"/>
  <c r="C2" i="3"/>
  <c r="C10" i="3"/>
  <c r="E10" i="3"/>
  <c r="D10" i="3" s="1"/>
  <c r="C11" i="3" s="1"/>
  <c r="F11" i="3" s="1"/>
  <c r="F10" i="3"/>
  <c r="B11" i="3"/>
  <c r="E11" i="3"/>
  <c r="D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F8" i="1"/>
  <c r="B110" i="5"/>
  <c r="I109" i="5"/>
  <c r="C11" i="5"/>
  <c r="H10" i="5"/>
  <c r="E12" i="3"/>
  <c r="C12" i="3"/>
  <c r="I110" i="5"/>
  <c r="B111" i="5"/>
  <c r="C12" i="5"/>
  <c r="F11" i="5"/>
  <c r="E12" i="5"/>
  <c r="D12" i="3"/>
  <c r="C13" i="3"/>
  <c r="F12" i="3"/>
  <c r="E13" i="3"/>
  <c r="D12" i="5"/>
  <c r="H11" i="5"/>
  <c r="B112" i="5"/>
  <c r="I111" i="5"/>
  <c r="F12" i="5"/>
  <c r="E13" i="5"/>
  <c r="C13" i="5"/>
  <c r="F13" i="3"/>
  <c r="E14" i="3"/>
  <c r="D13" i="3"/>
  <c r="C14" i="3"/>
  <c r="D13" i="5"/>
  <c r="I112" i="5"/>
  <c r="B113" i="5"/>
  <c r="H12" i="5"/>
  <c r="F13" i="5"/>
  <c r="E14" i="5"/>
  <c r="C14" i="5"/>
  <c r="D14" i="3"/>
  <c r="C15" i="3"/>
  <c r="F14" i="3"/>
  <c r="E15" i="3"/>
  <c r="D14" i="5"/>
  <c r="B114" i="5"/>
  <c r="I113" i="5"/>
  <c r="F14" i="5"/>
  <c r="E15" i="5" s="1"/>
  <c r="C15" i="5"/>
  <c r="H13" i="5"/>
  <c r="F15" i="3"/>
  <c r="E16" i="3"/>
  <c r="D15" i="3"/>
  <c r="C16" i="3"/>
  <c r="I114" i="5"/>
  <c r="B115" i="5"/>
  <c r="D16" i="3"/>
  <c r="C17" i="3"/>
  <c r="F16" i="3"/>
  <c r="E17" i="3"/>
  <c r="B116" i="5"/>
  <c r="I115" i="5"/>
  <c r="F17" i="3"/>
  <c r="E18" i="3"/>
  <c r="D17" i="3"/>
  <c r="C18" i="3"/>
  <c r="I116" i="5"/>
  <c r="B117" i="5"/>
  <c r="D18" i="3"/>
  <c r="C19" i="3"/>
  <c r="F18" i="3"/>
  <c r="E19" i="3"/>
  <c r="B118" i="5"/>
  <c r="I117" i="5"/>
  <c r="F19" i="3"/>
  <c r="E20" i="3"/>
  <c r="D19" i="3"/>
  <c r="C20" i="3"/>
  <c r="I118" i="5"/>
  <c r="B119" i="5"/>
  <c r="D20" i="3"/>
  <c r="C21" i="3"/>
  <c r="F20" i="3"/>
  <c r="E21" i="3"/>
  <c r="B120" i="5"/>
  <c r="I119" i="5"/>
  <c r="F21" i="3"/>
  <c r="E22" i="3"/>
  <c r="D21" i="3"/>
  <c r="C22" i="3"/>
  <c r="I120" i="5"/>
  <c r="B121" i="5"/>
  <c r="D22" i="3"/>
  <c r="C23" i="3"/>
  <c r="F22" i="3"/>
  <c r="E23" i="3"/>
  <c r="B122" i="5"/>
  <c r="I121" i="5"/>
  <c r="F23" i="3"/>
  <c r="E24" i="3"/>
  <c r="D23" i="3"/>
  <c r="C24" i="3"/>
  <c r="I122" i="5"/>
  <c r="B123" i="5"/>
  <c r="D24" i="3"/>
  <c r="C25" i="3"/>
  <c r="F24" i="3"/>
  <c r="E25" i="3"/>
  <c r="B124" i="5"/>
  <c r="I123" i="5"/>
  <c r="F25" i="3"/>
  <c r="E26" i="3"/>
  <c r="D25" i="3"/>
  <c r="C26" i="3"/>
  <c r="I124" i="5"/>
  <c r="B125" i="5"/>
  <c r="D26" i="3"/>
  <c r="C27" i="3"/>
  <c r="F26" i="3"/>
  <c r="E27" i="3"/>
  <c r="B126" i="5"/>
  <c r="I125" i="5"/>
  <c r="F27" i="3"/>
  <c r="E28" i="3"/>
  <c r="D27" i="3"/>
  <c r="C28" i="3"/>
  <c r="I126" i="5"/>
  <c r="B127" i="5"/>
  <c r="D28" i="3"/>
  <c r="C29" i="3"/>
  <c r="F28" i="3"/>
  <c r="E29" i="3"/>
  <c r="B128" i="5"/>
  <c r="I127" i="5"/>
  <c r="F29" i="3"/>
  <c r="E30" i="3"/>
  <c r="D29" i="3"/>
  <c r="C30" i="3"/>
  <c r="I128" i="5"/>
  <c r="B129" i="5"/>
  <c r="D30" i="3"/>
  <c r="C31" i="3"/>
  <c r="F30" i="3"/>
  <c r="E31" i="3"/>
  <c r="B130" i="5"/>
  <c r="I129" i="5"/>
  <c r="F31" i="3"/>
  <c r="E32" i="3"/>
  <c r="D31" i="3"/>
  <c r="C32" i="3"/>
  <c r="I130" i="5"/>
  <c r="B131" i="5"/>
  <c r="D32" i="3"/>
  <c r="C33" i="3"/>
  <c r="F32" i="3"/>
  <c r="E33" i="3"/>
  <c r="B132" i="5"/>
  <c r="I131" i="5"/>
  <c r="F33" i="3"/>
  <c r="E34" i="3"/>
  <c r="D33" i="3"/>
  <c r="C34" i="3"/>
  <c r="I132" i="5"/>
  <c r="B133" i="5"/>
  <c r="D34" i="3"/>
  <c r="C35" i="3"/>
  <c r="F34" i="3"/>
  <c r="E35" i="3"/>
  <c r="B134" i="5"/>
  <c r="I133" i="5"/>
  <c r="F35" i="3"/>
  <c r="E36" i="3"/>
  <c r="D35" i="3"/>
  <c r="C36" i="3"/>
  <c r="I134" i="5"/>
  <c r="B135" i="5"/>
  <c r="D36" i="3"/>
  <c r="C37" i="3"/>
  <c r="F36" i="3"/>
  <c r="E37" i="3"/>
  <c r="B136" i="5"/>
  <c r="I135" i="5"/>
  <c r="F37" i="3"/>
  <c r="E38" i="3"/>
  <c r="D37" i="3"/>
  <c r="C38" i="3"/>
  <c r="I136" i="5"/>
  <c r="B137" i="5"/>
  <c r="D38" i="3"/>
  <c r="C39" i="3"/>
  <c r="F38" i="3"/>
  <c r="E39" i="3"/>
  <c r="B138" i="5"/>
  <c r="I137" i="5"/>
  <c r="F39" i="3"/>
  <c r="E40" i="3"/>
  <c r="D39" i="3"/>
  <c r="C40" i="3"/>
  <c r="I138" i="5"/>
  <c r="B139" i="5"/>
  <c r="D40" i="3"/>
  <c r="C41" i="3"/>
  <c r="F40" i="3"/>
  <c r="E41" i="3"/>
  <c r="B140" i="5"/>
  <c r="I139" i="5"/>
  <c r="F41" i="3"/>
  <c r="E42" i="3"/>
  <c r="D41" i="3"/>
  <c r="C42" i="3"/>
  <c r="I140" i="5"/>
  <c r="B141" i="5"/>
  <c r="D42" i="3"/>
  <c r="C43" i="3"/>
  <c r="F42" i="3"/>
  <c r="E43" i="3"/>
  <c r="B142" i="5"/>
  <c r="I141" i="5"/>
  <c r="F43" i="3"/>
  <c r="E44" i="3"/>
  <c r="D43" i="3"/>
  <c r="C44" i="3"/>
  <c r="I142" i="5"/>
  <c r="B143" i="5"/>
  <c r="D44" i="3"/>
  <c r="C45" i="3"/>
  <c r="F44" i="3"/>
  <c r="E45" i="3"/>
  <c r="B144" i="5"/>
  <c r="I143" i="5"/>
  <c r="F45" i="3"/>
  <c r="E46" i="3"/>
  <c r="D45" i="3"/>
  <c r="C46" i="3"/>
  <c r="I144" i="5"/>
  <c r="B145" i="5"/>
  <c r="D46" i="3"/>
  <c r="C47" i="3"/>
  <c r="F46" i="3"/>
  <c r="E47" i="3"/>
  <c r="B146" i="5"/>
  <c r="I145" i="5"/>
  <c r="F47" i="3"/>
  <c r="E48" i="3"/>
  <c r="D47" i="3"/>
  <c r="C48" i="3"/>
  <c r="I146" i="5"/>
  <c r="B147" i="5"/>
  <c r="D48" i="3"/>
  <c r="C49" i="3"/>
  <c r="F48" i="3"/>
  <c r="E49" i="3"/>
  <c r="B148" i="5"/>
  <c r="I147" i="5"/>
  <c r="F49" i="3"/>
  <c r="E50" i="3"/>
  <c r="D49" i="3"/>
  <c r="C50" i="3"/>
  <c r="I148" i="5"/>
  <c r="B149" i="5"/>
  <c r="D50" i="3"/>
  <c r="C51" i="3"/>
  <c r="F50" i="3"/>
  <c r="E51" i="3"/>
  <c r="B150" i="5"/>
  <c r="I149" i="5"/>
  <c r="F51" i="3"/>
  <c r="E52" i="3"/>
  <c r="D51" i="3"/>
  <c r="C52" i="3"/>
  <c r="I150" i="5"/>
  <c r="B151" i="5"/>
  <c r="D52" i="3"/>
  <c r="C53" i="3"/>
  <c r="F52" i="3"/>
  <c r="E53" i="3"/>
  <c r="B152" i="5"/>
  <c r="I151" i="5"/>
  <c r="F53" i="3"/>
  <c r="E54" i="3"/>
  <c r="D53" i="3"/>
  <c r="C54" i="3"/>
  <c r="I152" i="5"/>
  <c r="B153" i="5"/>
  <c r="D54" i="3"/>
  <c r="C55" i="3"/>
  <c r="F54" i="3"/>
  <c r="E55" i="3"/>
  <c r="B154" i="5"/>
  <c r="I153" i="5"/>
  <c r="F55" i="3"/>
  <c r="E56" i="3"/>
  <c r="D55" i="3"/>
  <c r="C56" i="3"/>
  <c r="I154" i="5"/>
  <c r="B155" i="5"/>
  <c r="D56" i="3"/>
  <c r="C57" i="3"/>
  <c r="F56" i="3"/>
  <c r="E57" i="3"/>
  <c r="B156" i="5"/>
  <c r="I155" i="5"/>
  <c r="F57" i="3"/>
  <c r="E58" i="3"/>
  <c r="D57" i="3"/>
  <c r="C58" i="3"/>
  <c r="I156" i="5"/>
  <c r="B157" i="5"/>
  <c r="D58" i="3"/>
  <c r="C59" i="3"/>
  <c r="F58" i="3"/>
  <c r="E59" i="3"/>
  <c r="B158" i="5"/>
  <c r="I157" i="5"/>
  <c r="F59" i="3"/>
  <c r="E60" i="3"/>
  <c r="D59" i="3"/>
  <c r="C60" i="3"/>
  <c r="I158" i="5"/>
  <c r="B159" i="5"/>
  <c r="D60" i="3"/>
  <c r="C61" i="3"/>
  <c r="F60" i="3"/>
  <c r="E61" i="3"/>
  <c r="B160" i="5"/>
  <c r="I159" i="5"/>
  <c r="F61" i="3"/>
  <c r="E62" i="3"/>
  <c r="D61" i="3"/>
  <c r="C62" i="3"/>
  <c r="I160" i="5"/>
  <c r="B161" i="5"/>
  <c r="D62" i="3"/>
  <c r="C63" i="3"/>
  <c r="F62" i="3"/>
  <c r="E63" i="3"/>
  <c r="B162" i="5"/>
  <c r="I161" i="5"/>
  <c r="F63" i="3"/>
  <c r="E64" i="3"/>
  <c r="D63" i="3"/>
  <c r="C64" i="3"/>
  <c r="I162" i="5"/>
  <c r="B163" i="5"/>
  <c r="D64" i="3"/>
  <c r="C65" i="3"/>
  <c r="F64" i="3"/>
  <c r="E65" i="3"/>
  <c r="B164" i="5"/>
  <c r="I163" i="5"/>
  <c r="F65" i="3"/>
  <c r="E66" i="3"/>
  <c r="D65" i="3"/>
  <c r="C66" i="3"/>
  <c r="I164" i="5"/>
  <c r="B165" i="5"/>
  <c r="D66" i="3"/>
  <c r="C67" i="3"/>
  <c r="F66" i="3"/>
  <c r="E67" i="3"/>
  <c r="B166" i="5"/>
  <c r="I165" i="5"/>
  <c r="F67" i="3"/>
  <c r="E68" i="3"/>
  <c r="D67" i="3"/>
  <c r="C68" i="3"/>
  <c r="I166" i="5"/>
  <c r="B167" i="5"/>
  <c r="D68" i="3"/>
  <c r="C69" i="3"/>
  <c r="F68" i="3"/>
  <c r="E69" i="3"/>
  <c r="B168" i="5"/>
  <c r="I167" i="5"/>
  <c r="F69" i="3"/>
  <c r="E70" i="3"/>
  <c r="D69" i="3"/>
  <c r="C70" i="3"/>
  <c r="I168" i="5"/>
  <c r="B169" i="5"/>
  <c r="D70" i="3"/>
  <c r="C71" i="3"/>
  <c r="F70" i="3"/>
  <c r="E71" i="3"/>
  <c r="B170" i="5"/>
  <c r="I169" i="5"/>
  <c r="F71" i="3"/>
  <c r="E72" i="3"/>
  <c r="D71" i="3"/>
  <c r="C72" i="3"/>
  <c r="I170" i="5"/>
  <c r="B171" i="5"/>
  <c r="D72" i="3"/>
  <c r="C73" i="3"/>
  <c r="F72" i="3"/>
  <c r="E73" i="3"/>
  <c r="B172" i="5"/>
  <c r="I171" i="5"/>
  <c r="F73" i="3"/>
  <c r="E74" i="3"/>
  <c r="D73" i="3"/>
  <c r="C74" i="3"/>
  <c r="I172" i="5"/>
  <c r="B173" i="5"/>
  <c r="D74" i="3"/>
  <c r="C75" i="3"/>
  <c r="F74" i="3"/>
  <c r="E75" i="3"/>
  <c r="B174" i="5"/>
  <c r="I173" i="5"/>
  <c r="F75" i="3"/>
  <c r="E76" i="3"/>
  <c r="D75" i="3"/>
  <c r="C76" i="3"/>
  <c r="I174" i="5"/>
  <c r="B175" i="5"/>
  <c r="D76" i="3"/>
  <c r="C77" i="3"/>
  <c r="F76" i="3"/>
  <c r="E77" i="3"/>
  <c r="B176" i="5"/>
  <c r="I175" i="5"/>
  <c r="F77" i="3"/>
  <c r="E78" i="3"/>
  <c r="D77" i="3"/>
  <c r="C78" i="3"/>
  <c r="I176" i="5"/>
  <c r="B177" i="5"/>
  <c r="D78" i="3"/>
  <c r="C79" i="3"/>
  <c r="F78" i="3"/>
  <c r="E79" i="3"/>
  <c r="B178" i="5"/>
  <c r="I177" i="5"/>
  <c r="F79" i="3"/>
  <c r="E80" i="3"/>
  <c r="D79" i="3"/>
  <c r="C80" i="3"/>
  <c r="I178" i="5"/>
  <c r="B179" i="5"/>
  <c r="D80" i="3"/>
  <c r="C81" i="3"/>
  <c r="F80" i="3"/>
  <c r="E81" i="3"/>
  <c r="I179" i="5"/>
  <c r="B180" i="5"/>
  <c r="F81" i="3"/>
  <c r="E82" i="3"/>
  <c r="D81" i="3"/>
  <c r="C82" i="3"/>
  <c r="B181" i="5"/>
  <c r="I180" i="5"/>
  <c r="D82" i="3"/>
  <c r="C83" i="3"/>
  <c r="F82" i="3"/>
  <c r="E83" i="3"/>
  <c r="I181" i="5"/>
  <c r="B182" i="5"/>
  <c r="F83" i="3"/>
  <c r="E84" i="3"/>
  <c r="D83" i="3"/>
  <c r="C84" i="3"/>
  <c r="B183" i="5"/>
  <c r="I182" i="5"/>
  <c r="D84" i="3"/>
  <c r="C85" i="3"/>
  <c r="F84" i="3"/>
  <c r="E85" i="3"/>
  <c r="I183" i="5"/>
  <c r="B184" i="5"/>
  <c r="F85" i="3"/>
  <c r="E86" i="3"/>
  <c r="D85" i="3"/>
  <c r="C86" i="3"/>
  <c r="B185" i="5"/>
  <c r="I184" i="5"/>
  <c r="D86" i="3"/>
  <c r="C87" i="3"/>
  <c r="F86" i="3"/>
  <c r="E87" i="3"/>
  <c r="I185" i="5"/>
  <c r="B186" i="5"/>
  <c r="F87" i="3"/>
  <c r="E88" i="3"/>
  <c r="D87" i="3"/>
  <c r="C88" i="3"/>
  <c r="B187" i="5"/>
  <c r="I186" i="5"/>
  <c r="D88" i="3"/>
  <c r="C89" i="3"/>
  <c r="F88" i="3"/>
  <c r="E89" i="3"/>
  <c r="I187" i="5"/>
  <c r="B188" i="5"/>
  <c r="F89" i="3"/>
  <c r="E90" i="3"/>
  <c r="D89" i="3"/>
  <c r="C90" i="3"/>
  <c r="B189" i="5"/>
  <c r="I188" i="5"/>
  <c r="D90" i="3"/>
  <c r="C91" i="3"/>
  <c r="F90" i="3"/>
  <c r="E91" i="3"/>
  <c r="I189" i="5"/>
  <c r="B190" i="5"/>
  <c r="F91" i="3"/>
  <c r="E92" i="3"/>
  <c r="D91" i="3"/>
  <c r="C92" i="3"/>
  <c r="B191" i="5"/>
  <c r="I190" i="5"/>
  <c r="D92" i="3"/>
  <c r="C93" i="3"/>
  <c r="F92" i="3"/>
  <c r="E93" i="3"/>
  <c r="I191" i="5"/>
  <c r="B192" i="5"/>
  <c r="F93" i="3"/>
  <c r="E94" i="3"/>
  <c r="D93" i="3"/>
  <c r="C94" i="3"/>
  <c r="B193" i="5"/>
  <c r="I192" i="5"/>
  <c r="D94" i="3"/>
  <c r="C95" i="3"/>
  <c r="F94" i="3"/>
  <c r="E95" i="3"/>
  <c r="I193" i="5"/>
  <c r="B194" i="5"/>
  <c r="F95" i="3"/>
  <c r="E96" i="3"/>
  <c r="D95" i="3"/>
  <c r="C96" i="3"/>
  <c r="B195" i="5"/>
  <c r="I194" i="5"/>
  <c r="D96" i="3"/>
  <c r="C97" i="3"/>
  <c r="F96" i="3"/>
  <c r="E97" i="3"/>
  <c r="I195" i="5"/>
  <c r="B196" i="5"/>
  <c r="F97" i="3"/>
  <c r="E98" i="3"/>
  <c r="D97" i="3"/>
  <c r="C98" i="3"/>
  <c r="B197" i="5"/>
  <c r="I196" i="5"/>
  <c r="D98" i="3"/>
  <c r="C99" i="3"/>
  <c r="F98" i="3"/>
  <c r="E99" i="3"/>
  <c r="I197" i="5"/>
  <c r="B198" i="5"/>
  <c r="F99" i="3"/>
  <c r="E100" i="3"/>
  <c r="D99" i="3"/>
  <c r="C100" i="3"/>
  <c r="B199" i="5"/>
  <c r="I198" i="5"/>
  <c r="D100" i="3"/>
  <c r="C101" i="3"/>
  <c r="F100" i="3"/>
  <c r="E101" i="3"/>
  <c r="I199" i="5"/>
  <c r="B200" i="5"/>
  <c r="F101" i="3"/>
  <c r="E102" i="3"/>
  <c r="D101" i="3"/>
  <c r="C102" i="3"/>
  <c r="B201" i="5"/>
  <c r="I200" i="5"/>
  <c r="D102" i="3"/>
  <c r="C103" i="3"/>
  <c r="F102" i="3"/>
  <c r="E103" i="3"/>
  <c r="I201" i="5"/>
  <c r="B202" i="5"/>
  <c r="F103" i="3"/>
  <c r="E104" i="3"/>
  <c r="D103" i="3"/>
  <c r="C104" i="3"/>
  <c r="B203" i="5"/>
  <c r="I202" i="5"/>
  <c r="D104" i="3"/>
  <c r="C105" i="3"/>
  <c r="F104" i="3"/>
  <c r="E105" i="3"/>
  <c r="I203" i="5"/>
  <c r="B204" i="5"/>
  <c r="F105" i="3"/>
  <c r="E106" i="3"/>
  <c r="D105" i="3"/>
  <c r="C106" i="3"/>
  <c r="B205" i="5"/>
  <c r="I204" i="5"/>
  <c r="D106" i="3"/>
  <c r="C107" i="3"/>
  <c r="F106" i="3"/>
  <c r="E107" i="3"/>
  <c r="I205" i="5"/>
  <c r="B206" i="5"/>
  <c r="F107" i="3"/>
  <c r="E108" i="3"/>
  <c r="D107" i="3"/>
  <c r="C108" i="3"/>
  <c r="B207" i="5"/>
  <c r="I206" i="5"/>
  <c r="D108" i="3"/>
  <c r="C109" i="3"/>
  <c r="F108" i="3"/>
  <c r="E109" i="3"/>
  <c r="I207" i="5"/>
  <c r="B208" i="5"/>
  <c r="F109" i="3"/>
  <c r="E110" i="3"/>
  <c r="D109" i="3"/>
  <c r="C110" i="3"/>
  <c r="B209" i="5"/>
  <c r="I208" i="5"/>
  <c r="D110" i="3"/>
  <c r="C111" i="3"/>
  <c r="F110" i="3"/>
  <c r="E111" i="3"/>
  <c r="I209" i="5"/>
  <c r="B210" i="5"/>
  <c r="F111" i="3"/>
  <c r="E112" i="3"/>
  <c r="D111" i="3"/>
  <c r="C112" i="3"/>
  <c r="B211" i="5"/>
  <c r="I210" i="5"/>
  <c r="D112" i="3"/>
  <c r="C113" i="3"/>
  <c r="F112" i="3"/>
  <c r="E113" i="3"/>
  <c r="I211" i="5"/>
  <c r="B212" i="5"/>
  <c r="F113" i="3"/>
  <c r="E114" i="3"/>
  <c r="D113" i="3"/>
  <c r="C114" i="3"/>
  <c r="B213" i="5"/>
  <c r="I212" i="5"/>
  <c r="D114" i="3"/>
  <c r="C115" i="3"/>
  <c r="F114" i="3"/>
  <c r="E115" i="3"/>
  <c r="I213" i="5"/>
  <c r="B214" i="5"/>
  <c r="F115" i="3"/>
  <c r="E116" i="3"/>
  <c r="D115" i="3"/>
  <c r="C116" i="3"/>
  <c r="B215" i="5"/>
  <c r="I214" i="5"/>
  <c r="D116" i="3"/>
  <c r="C117" i="3"/>
  <c r="F116" i="3"/>
  <c r="E117" i="3"/>
  <c r="I215" i="5"/>
  <c r="B216" i="5"/>
  <c r="F117" i="3"/>
  <c r="E118" i="3"/>
  <c r="D117" i="3"/>
  <c r="C118" i="3"/>
  <c r="B217" i="5"/>
  <c r="I216" i="5"/>
  <c r="D118" i="3"/>
  <c r="C119" i="3"/>
  <c r="F118" i="3"/>
  <c r="E119" i="3"/>
  <c r="I217" i="5"/>
  <c r="B218" i="5"/>
  <c r="F119" i="3"/>
  <c r="E120" i="3"/>
  <c r="D119" i="3"/>
  <c r="C120" i="3"/>
  <c r="B219" i="5"/>
  <c r="I218" i="5"/>
  <c r="D120" i="3"/>
  <c r="C121" i="3"/>
  <c r="F120" i="3"/>
  <c r="E121" i="3"/>
  <c r="I219" i="5"/>
  <c r="B220" i="5"/>
  <c r="F121" i="3"/>
  <c r="E122" i="3"/>
  <c r="D121" i="3"/>
  <c r="C122" i="3"/>
  <c r="B221" i="5"/>
  <c r="I220" i="5"/>
  <c r="D122" i="3"/>
  <c r="C123" i="3"/>
  <c r="F122" i="3"/>
  <c r="E123" i="3"/>
  <c r="I221" i="5"/>
  <c r="B222" i="5"/>
  <c r="F123" i="3"/>
  <c r="E124" i="3"/>
  <c r="D123" i="3"/>
  <c r="C124" i="3"/>
  <c r="B223" i="5"/>
  <c r="I222" i="5"/>
  <c r="D124" i="3"/>
  <c r="C125" i="3"/>
  <c r="F124" i="3"/>
  <c r="E125" i="3"/>
  <c r="I223" i="5"/>
  <c r="B224" i="5"/>
  <c r="F125" i="3"/>
  <c r="E126" i="3"/>
  <c r="D125" i="3"/>
  <c r="C126" i="3"/>
  <c r="B225" i="5"/>
  <c r="I224" i="5"/>
  <c r="D126" i="3"/>
  <c r="C127" i="3"/>
  <c r="F126" i="3"/>
  <c r="E127" i="3"/>
  <c r="I225" i="5"/>
  <c r="B226" i="5"/>
  <c r="F127" i="3"/>
  <c r="E128" i="3"/>
  <c r="D127" i="3"/>
  <c r="C128" i="3"/>
  <c r="B227" i="5"/>
  <c r="I226" i="5"/>
  <c r="D128" i="3"/>
  <c r="C129" i="3"/>
  <c r="F128" i="3"/>
  <c r="E129" i="3"/>
  <c r="I227" i="5"/>
  <c r="B228" i="5"/>
  <c r="F129" i="3"/>
  <c r="E130" i="3"/>
  <c r="D129" i="3"/>
  <c r="C130" i="3"/>
  <c r="B229" i="5"/>
  <c r="I228" i="5"/>
  <c r="D130" i="3"/>
  <c r="C131" i="3"/>
  <c r="F130" i="3"/>
  <c r="E131" i="3"/>
  <c r="I229" i="5"/>
  <c r="B230" i="5"/>
  <c r="F131" i="3"/>
  <c r="E132" i="3"/>
  <c r="D131" i="3"/>
  <c r="C132" i="3"/>
  <c r="B231" i="5"/>
  <c r="I230" i="5"/>
  <c r="D132" i="3"/>
  <c r="C133" i="3"/>
  <c r="F132" i="3"/>
  <c r="E133" i="3"/>
  <c r="I231" i="5"/>
  <c r="B232" i="5"/>
  <c r="F133" i="3"/>
  <c r="E134" i="3"/>
  <c r="D133" i="3"/>
  <c r="C134" i="3"/>
  <c r="B233" i="5"/>
  <c r="I232" i="5"/>
  <c r="D134" i="3"/>
  <c r="C135" i="3"/>
  <c r="F134" i="3"/>
  <c r="E135" i="3"/>
  <c r="I233" i="5"/>
  <c r="B234" i="5"/>
  <c r="F135" i="3"/>
  <c r="E136" i="3"/>
  <c r="D135" i="3"/>
  <c r="C136" i="3"/>
  <c r="B235" i="5"/>
  <c r="I234" i="5"/>
  <c r="D136" i="3"/>
  <c r="C137" i="3"/>
  <c r="F136" i="3"/>
  <c r="E137" i="3"/>
  <c r="I235" i="5"/>
  <c r="B236" i="5"/>
  <c r="F137" i="3"/>
  <c r="E138" i="3"/>
  <c r="D137" i="3"/>
  <c r="C138" i="3"/>
  <c r="B237" i="5"/>
  <c r="I236" i="5"/>
  <c r="D138" i="3"/>
  <c r="C139" i="3"/>
  <c r="F138" i="3"/>
  <c r="E139" i="3"/>
  <c r="I237" i="5"/>
  <c r="B238" i="5"/>
  <c r="F139" i="3"/>
  <c r="E140" i="3"/>
  <c r="D139" i="3"/>
  <c r="C140" i="3"/>
  <c r="B239" i="5"/>
  <c r="I238" i="5"/>
  <c r="D140" i="3"/>
  <c r="C141" i="3"/>
  <c r="F140" i="3"/>
  <c r="E141" i="3"/>
  <c r="I239" i="5"/>
  <c r="B240" i="5"/>
  <c r="F141" i="3"/>
  <c r="E142" i="3"/>
  <c r="D141" i="3"/>
  <c r="C142" i="3"/>
  <c r="B241" i="5"/>
  <c r="I240" i="5"/>
  <c r="D142" i="3"/>
  <c r="F142" i="3"/>
  <c r="E143" i="3" s="1"/>
  <c r="C143" i="3"/>
  <c r="I241" i="5"/>
  <c r="B242" i="5"/>
  <c r="B243" i="5"/>
  <c r="I242" i="5"/>
  <c r="I243" i="5"/>
  <c r="B244" i="5"/>
  <c r="B245" i="5"/>
  <c r="I244" i="5"/>
  <c r="I245" i="5"/>
  <c r="B246" i="5"/>
  <c r="B247" i="5"/>
  <c r="I246" i="5"/>
  <c r="I247" i="5"/>
  <c r="B248" i="5"/>
  <c r="B249" i="5"/>
  <c r="I248" i="5"/>
  <c r="I249" i="5"/>
  <c r="B250" i="5"/>
  <c r="B251" i="5"/>
  <c r="I250" i="5"/>
  <c r="I251" i="5"/>
  <c r="B252" i="5"/>
  <c r="B253" i="5"/>
  <c r="I252" i="5"/>
  <c r="I253" i="5"/>
  <c r="B254" i="5"/>
  <c r="B255" i="5"/>
  <c r="I254" i="5"/>
  <c r="I255" i="5"/>
  <c r="B256" i="5"/>
  <c r="B257" i="5"/>
  <c r="I256" i="5"/>
  <c r="I257" i="5"/>
  <c r="B258" i="5"/>
  <c r="B259" i="5"/>
  <c r="I258" i="5"/>
  <c r="I259" i="5"/>
  <c r="B260" i="5"/>
  <c r="B261" i="5"/>
  <c r="I260" i="5"/>
  <c r="I261" i="5"/>
  <c r="B262" i="5"/>
  <c r="B263" i="5"/>
  <c r="I262" i="5"/>
  <c r="I263" i="5"/>
  <c r="B264" i="5"/>
  <c r="B265" i="5"/>
  <c r="I264" i="5"/>
  <c r="I265" i="5"/>
  <c r="B266" i="5"/>
  <c r="B267" i="5"/>
  <c r="I266" i="5"/>
  <c r="I267" i="5"/>
  <c r="B268" i="5"/>
  <c r="B269" i="5"/>
  <c r="I268" i="5"/>
  <c r="I269" i="5"/>
  <c r="B270" i="5"/>
  <c r="B271" i="5"/>
  <c r="I270" i="5"/>
  <c r="I271" i="5"/>
  <c r="B272" i="5"/>
  <c r="B273" i="5"/>
  <c r="I272" i="5"/>
  <c r="I273" i="5"/>
  <c r="B274" i="5"/>
  <c r="B275" i="5"/>
  <c r="I274" i="5"/>
  <c r="I275" i="5"/>
  <c r="B276" i="5"/>
  <c r="B277" i="5"/>
  <c r="I276" i="5"/>
  <c r="I277" i="5"/>
  <c r="B278" i="5"/>
  <c r="B279" i="5"/>
  <c r="I278" i="5"/>
  <c r="I279" i="5"/>
  <c r="B280" i="5"/>
  <c r="B281" i="5"/>
  <c r="I280" i="5"/>
  <c r="I281" i="5"/>
  <c r="B282" i="5"/>
  <c r="B283" i="5"/>
  <c r="I282" i="5"/>
  <c r="I283" i="5"/>
  <c r="B284" i="5"/>
  <c r="B285" i="5"/>
  <c r="I284" i="5"/>
  <c r="I285" i="5"/>
  <c r="B286" i="5"/>
  <c r="B287" i="5"/>
  <c r="I286" i="5"/>
  <c r="I287" i="5"/>
  <c r="B288" i="5"/>
  <c r="B289" i="5"/>
  <c r="I288" i="5"/>
  <c r="I289" i="5"/>
  <c r="B290" i="5"/>
  <c r="B291" i="5"/>
  <c r="I290" i="5"/>
  <c r="I291" i="5"/>
  <c r="B292" i="5"/>
  <c r="B293" i="5"/>
  <c r="I292" i="5"/>
  <c r="I293" i="5"/>
  <c r="B294" i="5"/>
  <c r="B295" i="5"/>
  <c r="I294" i="5"/>
  <c r="I295" i="5"/>
  <c r="B296" i="5"/>
  <c r="B297" i="5"/>
  <c r="I296" i="5"/>
  <c r="I297" i="5"/>
  <c r="B298" i="5"/>
  <c r="B299" i="5"/>
  <c r="I298" i="5"/>
  <c r="I299" i="5"/>
  <c r="B300" i="5"/>
  <c r="B301" i="5"/>
  <c r="I300" i="5"/>
  <c r="I301" i="5"/>
  <c r="B302" i="5"/>
  <c r="B303" i="5"/>
  <c r="I302" i="5"/>
  <c r="I303" i="5"/>
  <c r="B304" i="5"/>
  <c r="B305" i="5"/>
  <c r="I304" i="5"/>
  <c r="I305" i="5"/>
  <c r="B306" i="5"/>
  <c r="B307" i="5"/>
  <c r="I306" i="5"/>
  <c r="I307" i="5"/>
  <c r="B308" i="5"/>
  <c r="B309" i="5"/>
  <c r="I308" i="5"/>
  <c r="I309" i="5"/>
  <c r="B310" i="5"/>
  <c r="B311" i="5"/>
  <c r="I310" i="5"/>
  <c r="I311" i="5"/>
  <c r="B312" i="5"/>
  <c r="B313" i="5"/>
  <c r="I312" i="5"/>
  <c r="I313" i="5"/>
  <c r="B314" i="5"/>
  <c r="B315" i="5"/>
  <c r="I314" i="5"/>
  <c r="I315" i="5"/>
  <c r="B316" i="5"/>
  <c r="B317" i="5"/>
  <c r="I316" i="5"/>
  <c r="I317" i="5"/>
  <c r="B318" i="5"/>
  <c r="B319" i="5"/>
  <c r="I318" i="5"/>
  <c r="I319" i="5"/>
  <c r="B320" i="5"/>
  <c r="B321" i="5"/>
  <c r="I320" i="5"/>
  <c r="I321" i="5"/>
  <c r="B322" i="5"/>
  <c r="B323" i="5"/>
  <c r="I322" i="5"/>
  <c r="I323" i="5"/>
  <c r="B324" i="5"/>
  <c r="B325" i="5"/>
  <c r="I324" i="5"/>
  <c r="I325" i="5"/>
  <c r="B326" i="5"/>
  <c r="B327" i="5"/>
  <c r="I326" i="5"/>
  <c r="I327" i="5"/>
  <c r="B328" i="5"/>
  <c r="B329" i="5"/>
  <c r="I328" i="5"/>
  <c r="I329" i="5"/>
  <c r="B330" i="5"/>
  <c r="B331" i="5"/>
  <c r="I330" i="5"/>
  <c r="I331" i="5"/>
  <c r="B332" i="5"/>
  <c r="B333" i="5"/>
  <c r="I332" i="5"/>
  <c r="I333" i="5"/>
  <c r="B334" i="5"/>
  <c r="B335" i="5"/>
  <c r="I334" i="5"/>
  <c r="I335" i="5"/>
  <c r="B336" i="5"/>
  <c r="B337" i="5"/>
  <c r="I336" i="5"/>
  <c r="I337" i="5"/>
  <c r="B338" i="5"/>
  <c r="B339" i="5"/>
  <c r="I338" i="5"/>
  <c r="I339" i="5"/>
  <c r="B340" i="5"/>
  <c r="B341" i="5"/>
  <c r="I340" i="5"/>
  <c r="I341" i="5"/>
  <c r="B342" i="5"/>
  <c r="B343" i="5"/>
  <c r="I342" i="5"/>
  <c r="I343" i="5"/>
  <c r="B344" i="5"/>
  <c r="B345" i="5"/>
  <c r="I344" i="5"/>
  <c r="I345" i="5"/>
  <c r="B346" i="5"/>
  <c r="B347" i="5"/>
  <c r="I346" i="5"/>
  <c r="I347" i="5"/>
  <c r="B348" i="5"/>
  <c r="B349" i="5"/>
  <c r="I348" i="5"/>
  <c r="I349" i="5"/>
  <c r="B350" i="5"/>
  <c r="B351" i="5"/>
  <c r="I350" i="5"/>
  <c r="I351" i="5"/>
  <c r="B352" i="5"/>
  <c r="B353" i="5"/>
  <c r="I352" i="5"/>
  <c r="I353" i="5"/>
  <c r="B354" i="5"/>
  <c r="B355" i="5"/>
  <c r="I354" i="5"/>
  <c r="I355" i="5"/>
  <c r="B356" i="5"/>
  <c r="B357" i="5"/>
  <c r="I356" i="5"/>
  <c r="I357" i="5"/>
  <c r="B358" i="5"/>
  <c r="B359" i="5"/>
  <c r="I358" i="5"/>
  <c r="I359" i="5"/>
  <c r="B360" i="5"/>
  <c r="B361" i="5"/>
  <c r="I360" i="5"/>
  <c r="I361" i="5"/>
  <c r="B362" i="5"/>
  <c r="B363" i="5"/>
  <c r="I362" i="5"/>
  <c r="I363" i="5"/>
  <c r="B364" i="5"/>
  <c r="B365" i="5"/>
  <c r="I364" i="5"/>
  <c r="I365" i="5"/>
  <c r="B366" i="5"/>
  <c r="B367" i="5"/>
  <c r="I366" i="5"/>
  <c r="I367" i="5"/>
  <c r="B368" i="5"/>
  <c r="B369" i="5"/>
  <c r="I368" i="5"/>
  <c r="I369" i="5"/>
  <c r="B370" i="5"/>
  <c r="B371" i="5"/>
  <c r="I370" i="5"/>
  <c r="I371" i="5"/>
  <c r="B372" i="5"/>
  <c r="B373" i="5"/>
  <c r="I372" i="5"/>
  <c r="I373" i="5"/>
  <c r="B374" i="5"/>
  <c r="B375" i="5"/>
  <c r="I374" i="5"/>
  <c r="I375" i="5"/>
  <c r="B376" i="5"/>
  <c r="B377" i="5"/>
  <c r="I376" i="5"/>
  <c r="I377" i="5"/>
  <c r="B378" i="5"/>
  <c r="B379" i="5"/>
  <c r="I378" i="5"/>
  <c r="I379" i="5"/>
  <c r="B380" i="5"/>
  <c r="B381" i="5"/>
  <c r="I380" i="5"/>
  <c r="I381" i="5"/>
  <c r="B382" i="5"/>
  <c r="B383" i="5"/>
  <c r="I382" i="5"/>
  <c r="I383" i="5"/>
  <c r="B384" i="5"/>
  <c r="B385" i="5"/>
  <c r="I384" i="5"/>
  <c r="I385" i="5"/>
  <c r="B386" i="5"/>
  <c r="B387" i="5"/>
  <c r="I386" i="5"/>
  <c r="I387" i="5"/>
  <c r="B388" i="5"/>
  <c r="B389" i="5"/>
  <c r="I388" i="5"/>
  <c r="I389" i="5"/>
  <c r="B390" i="5"/>
  <c r="B391" i="5"/>
  <c r="I390" i="5"/>
  <c r="I391" i="5"/>
  <c r="B392" i="5"/>
  <c r="B393" i="5"/>
  <c r="I392" i="5"/>
  <c r="I393" i="5"/>
  <c r="B394" i="5"/>
  <c r="B395" i="5"/>
  <c r="I394" i="5"/>
  <c r="I395" i="5"/>
  <c r="B396" i="5"/>
  <c r="B397" i="5"/>
  <c r="I396" i="5"/>
  <c r="I397" i="5"/>
  <c r="B398" i="5"/>
  <c r="B399" i="5"/>
  <c r="I398" i="5"/>
  <c r="I399" i="5"/>
  <c r="B400" i="5"/>
  <c r="B401" i="5"/>
  <c r="I400" i="5"/>
  <c r="I401" i="5"/>
  <c r="B402" i="5"/>
  <c r="B403" i="5"/>
  <c r="I402" i="5"/>
  <c r="I403" i="5"/>
  <c r="B404" i="5"/>
  <c r="B405" i="5"/>
  <c r="I404" i="5"/>
  <c r="I405" i="5"/>
  <c r="B406" i="5"/>
  <c r="B407" i="5"/>
  <c r="I406" i="5"/>
  <c r="I407" i="5"/>
  <c r="B408" i="5"/>
  <c r="B409" i="5"/>
  <c r="I408" i="5"/>
  <c r="I409" i="5"/>
  <c r="B410" i="5"/>
  <c r="B411" i="5"/>
  <c r="I410" i="5"/>
  <c r="I411" i="5"/>
  <c r="B412" i="5"/>
  <c r="B413" i="5"/>
  <c r="I412" i="5"/>
  <c r="I413" i="5"/>
  <c r="B414" i="5"/>
  <c r="B415" i="5"/>
  <c r="I414" i="5"/>
  <c r="I415" i="5"/>
  <c r="B416" i="5"/>
  <c r="B417" i="5"/>
  <c r="I416" i="5"/>
  <c r="I417" i="5"/>
  <c r="B418" i="5"/>
  <c r="B419" i="5"/>
  <c r="I418" i="5"/>
  <c r="I419" i="5"/>
  <c r="B420" i="5"/>
  <c r="B421" i="5"/>
  <c r="I420" i="5"/>
  <c r="I421" i="5"/>
  <c r="B422" i="5"/>
  <c r="B423" i="5"/>
  <c r="I422" i="5"/>
  <c r="I423" i="5"/>
  <c r="B424" i="5"/>
  <c r="B425" i="5"/>
  <c r="I424" i="5"/>
  <c r="I425" i="5"/>
  <c r="B426" i="5"/>
  <c r="B427" i="5"/>
  <c r="I426" i="5"/>
  <c r="I427" i="5"/>
  <c r="B428" i="5"/>
  <c r="B429" i="5"/>
  <c r="I428" i="5"/>
  <c r="I429" i="5"/>
  <c r="B430" i="5"/>
  <c r="B431" i="5"/>
  <c r="I430" i="5"/>
  <c r="I431" i="5"/>
  <c r="B432" i="5"/>
  <c r="B433" i="5"/>
  <c r="I432" i="5"/>
  <c r="I433" i="5"/>
  <c r="B434" i="5"/>
  <c r="B435" i="5"/>
  <c r="I434" i="5"/>
  <c r="I435" i="5"/>
  <c r="B436" i="5"/>
  <c r="B437" i="5"/>
  <c r="I436" i="5"/>
  <c r="I437" i="5"/>
  <c r="B438" i="5"/>
  <c r="B439" i="5"/>
  <c r="I438" i="5"/>
  <c r="I439" i="5"/>
  <c r="B440" i="5"/>
  <c r="B441" i="5"/>
  <c r="I440" i="5"/>
  <c r="I441" i="5"/>
  <c r="B442" i="5"/>
  <c r="B443" i="5"/>
  <c r="I442" i="5"/>
  <c r="I443" i="5"/>
  <c r="B444" i="5"/>
  <c r="B445" i="5"/>
  <c r="I444" i="5"/>
  <c r="I445" i="5"/>
  <c r="B446" i="5"/>
  <c r="B447" i="5"/>
  <c r="I446" i="5"/>
  <c r="I447" i="5"/>
  <c r="B448" i="5"/>
  <c r="B449" i="5"/>
  <c r="I448" i="5"/>
  <c r="I449" i="5"/>
  <c r="B450" i="5"/>
  <c r="B451" i="5"/>
  <c r="I450" i="5"/>
  <c r="I451" i="5"/>
  <c r="B452" i="5"/>
  <c r="B453" i="5"/>
  <c r="I452" i="5"/>
  <c r="I453" i="5"/>
  <c r="B454" i="5"/>
  <c r="B455" i="5"/>
  <c r="I454" i="5"/>
  <c r="I455" i="5"/>
  <c r="B456" i="5"/>
  <c r="B457" i="5"/>
  <c r="I456" i="5"/>
  <c r="I457" i="5"/>
  <c r="B458" i="5"/>
  <c r="B459" i="5"/>
  <c r="I458" i="5"/>
  <c r="I459" i="5"/>
  <c r="B460" i="5"/>
  <c r="B461" i="5"/>
  <c r="I460" i="5"/>
  <c r="I461" i="5"/>
  <c r="B462" i="5"/>
  <c r="B463" i="5"/>
  <c r="I462" i="5"/>
  <c r="I463" i="5"/>
  <c r="B464" i="5"/>
  <c r="B465" i="5"/>
  <c r="I464" i="5"/>
  <c r="I465" i="5"/>
  <c r="B466" i="5"/>
  <c r="B467" i="5"/>
  <c r="I466" i="5"/>
  <c r="I467" i="5"/>
  <c r="B468" i="5"/>
  <c r="B469" i="5"/>
  <c r="I468" i="5"/>
  <c r="I469" i="5"/>
  <c r="B470" i="5"/>
  <c r="B471" i="5"/>
  <c r="I470" i="5"/>
  <c r="I471" i="5"/>
  <c r="B472" i="5"/>
  <c r="B473" i="5"/>
  <c r="I472" i="5"/>
  <c r="I473" i="5"/>
  <c r="B474" i="5"/>
  <c r="B475" i="5"/>
  <c r="I474" i="5"/>
  <c r="I475" i="5"/>
  <c r="B476" i="5"/>
  <c r="B477" i="5"/>
  <c r="I476" i="5"/>
  <c r="I477" i="5"/>
  <c r="B478" i="5"/>
  <c r="B479" i="5"/>
  <c r="I478" i="5"/>
  <c r="I479" i="5"/>
  <c r="B480" i="5"/>
  <c r="B481" i="5"/>
  <c r="I480" i="5"/>
  <c r="I481" i="5"/>
  <c r="B482" i="5"/>
  <c r="B483" i="5"/>
  <c r="I482" i="5"/>
  <c r="I483" i="5"/>
  <c r="B484" i="5"/>
  <c r="B485" i="5"/>
  <c r="I484" i="5"/>
  <c r="I485" i="5"/>
  <c r="B486" i="5"/>
  <c r="B487" i="5"/>
  <c r="I486" i="5"/>
  <c r="I487" i="5"/>
  <c r="B488" i="5"/>
  <c r="B489" i="5"/>
  <c r="I488" i="5"/>
  <c r="I489" i="5"/>
  <c r="B490" i="5"/>
  <c r="B491" i="5"/>
  <c r="I490" i="5"/>
  <c r="I491" i="5"/>
  <c r="B492" i="5"/>
  <c r="B493" i="5"/>
  <c r="I492" i="5"/>
  <c r="I493" i="5"/>
  <c r="B494" i="5"/>
  <c r="B495" i="5"/>
  <c r="I494" i="5"/>
  <c r="I495" i="5"/>
  <c r="B496" i="5"/>
  <c r="B497" i="5"/>
  <c r="I496" i="5"/>
  <c r="I497" i="5"/>
  <c r="B498" i="5"/>
  <c r="B499" i="5"/>
  <c r="I498" i="5"/>
  <c r="I499" i="5"/>
  <c r="B500" i="5"/>
  <c r="B501" i="5"/>
  <c r="I500" i="5"/>
  <c r="I501" i="5"/>
  <c r="B502" i="5"/>
  <c r="B503" i="5"/>
  <c r="I502" i="5"/>
  <c r="I503" i="5"/>
  <c r="B504" i="5"/>
  <c r="B505" i="5"/>
  <c r="I504" i="5"/>
  <c r="I505" i="5"/>
  <c r="B506" i="5"/>
  <c r="B507" i="5"/>
  <c r="I506" i="5"/>
  <c r="I507" i="5"/>
  <c r="B508" i="5"/>
  <c r="B509" i="5"/>
  <c r="I508" i="5"/>
  <c r="I509" i="5"/>
  <c r="B510" i="5"/>
  <c r="T10" i="5"/>
  <c r="T11" i="5"/>
  <c r="T8" i="5"/>
  <c r="B511" i="5"/>
  <c r="I510" i="5"/>
  <c r="T9" i="5"/>
  <c r="T12" i="5"/>
  <c r="I511" i="5"/>
  <c r="B512" i="5"/>
  <c r="B513" i="5"/>
  <c r="I512" i="5"/>
  <c r="I513" i="5"/>
  <c r="B514" i="5"/>
  <c r="B515" i="5"/>
  <c r="I514" i="5"/>
  <c r="I515" i="5"/>
  <c r="B516" i="5"/>
  <c r="B517" i="5"/>
  <c r="I516" i="5"/>
  <c r="I517" i="5"/>
  <c r="B518" i="5"/>
  <c r="B519" i="5"/>
  <c r="I518" i="5"/>
  <c r="I519" i="5"/>
  <c r="B520" i="5"/>
  <c r="B521" i="5"/>
  <c r="I520" i="5"/>
  <c r="I521" i="5"/>
  <c r="B522" i="5"/>
  <c r="B523" i="5"/>
  <c r="I522" i="5"/>
  <c r="I523" i="5"/>
  <c r="B524" i="5"/>
  <c r="B525" i="5"/>
  <c r="I524" i="5"/>
  <c r="I525" i="5"/>
  <c r="B526" i="5"/>
  <c r="B527" i="5"/>
  <c r="I526" i="5"/>
  <c r="I527" i="5"/>
  <c r="B528" i="5"/>
  <c r="B529" i="5"/>
  <c r="I528" i="5"/>
  <c r="I529" i="5"/>
  <c r="B530" i="5"/>
  <c r="B531" i="5"/>
  <c r="I530" i="5"/>
  <c r="I531" i="5"/>
  <c r="B532" i="5"/>
  <c r="B533" i="5"/>
  <c r="I532" i="5"/>
  <c r="I533" i="5"/>
  <c r="B534" i="5"/>
  <c r="B535" i="5"/>
  <c r="I534" i="5"/>
  <c r="I535" i="5"/>
  <c r="B536" i="5"/>
  <c r="B537" i="5"/>
  <c r="I536" i="5"/>
  <c r="I537" i="5"/>
  <c r="B538" i="5"/>
  <c r="B539" i="5"/>
  <c r="I538" i="5"/>
  <c r="I539" i="5"/>
  <c r="B540" i="5"/>
  <c r="B541" i="5"/>
  <c r="I540" i="5"/>
  <c r="I541" i="5"/>
  <c r="B542" i="5"/>
  <c r="B543" i="5"/>
  <c r="I542" i="5"/>
  <c r="I543" i="5"/>
  <c r="B544" i="5"/>
  <c r="B545" i="5"/>
  <c r="I544" i="5"/>
  <c r="I545" i="5"/>
  <c r="B546" i="5"/>
  <c r="B547" i="5"/>
  <c r="I546" i="5"/>
  <c r="I547" i="5"/>
  <c r="B548" i="5"/>
  <c r="B549" i="5"/>
  <c r="I548" i="5"/>
  <c r="I549" i="5"/>
  <c r="B550" i="5"/>
  <c r="B551" i="5"/>
  <c r="I550" i="5"/>
  <c r="I551" i="5"/>
  <c r="B552" i="5"/>
  <c r="B553" i="5"/>
  <c r="I552" i="5"/>
  <c r="I553" i="5"/>
  <c r="B554" i="5"/>
  <c r="B555" i="5"/>
  <c r="I554" i="5"/>
  <c r="I555" i="5"/>
  <c r="B556" i="5"/>
  <c r="B557" i="5"/>
  <c r="I556" i="5"/>
  <c r="I557" i="5"/>
  <c r="B558" i="5"/>
  <c r="B559" i="5"/>
  <c r="I558" i="5"/>
  <c r="I559" i="5"/>
  <c r="B560" i="5"/>
  <c r="B561" i="5"/>
  <c r="I560" i="5"/>
  <c r="I561" i="5"/>
  <c r="B562" i="5"/>
  <c r="B563" i="5"/>
  <c r="I562" i="5"/>
  <c r="I563" i="5"/>
  <c r="B564" i="5"/>
  <c r="B565" i="5"/>
  <c r="I564" i="5"/>
  <c r="I565" i="5"/>
  <c r="B566" i="5"/>
  <c r="B567" i="5"/>
  <c r="I566" i="5"/>
  <c r="I567" i="5"/>
  <c r="B568" i="5"/>
  <c r="B569" i="5"/>
  <c r="I568" i="5"/>
  <c r="I569" i="5"/>
  <c r="B570" i="5"/>
  <c r="B571" i="5"/>
  <c r="I570" i="5"/>
  <c r="I571" i="5"/>
  <c r="B572" i="5"/>
  <c r="B573" i="5"/>
  <c r="I572" i="5"/>
  <c r="I573" i="5"/>
  <c r="B574" i="5"/>
  <c r="B575" i="5"/>
  <c r="I574" i="5"/>
  <c r="I575" i="5"/>
  <c r="B576" i="5"/>
  <c r="B577" i="5"/>
  <c r="I576" i="5"/>
  <c r="I577" i="5"/>
  <c r="B578" i="5"/>
  <c r="B579" i="5"/>
  <c r="I578" i="5"/>
  <c r="I579" i="5"/>
  <c r="B580" i="5"/>
  <c r="B581" i="5"/>
  <c r="I580" i="5"/>
  <c r="I581" i="5"/>
  <c r="B582" i="5"/>
  <c r="B583" i="5"/>
  <c r="I582" i="5"/>
  <c r="I583" i="5"/>
  <c r="B584" i="5"/>
  <c r="B585" i="5"/>
  <c r="I584" i="5"/>
  <c r="I585" i="5"/>
  <c r="B586" i="5"/>
  <c r="B587" i="5"/>
  <c r="I586" i="5"/>
  <c r="I587" i="5"/>
  <c r="B588" i="5"/>
  <c r="B589" i="5"/>
  <c r="I588" i="5"/>
  <c r="I589" i="5"/>
  <c r="B590" i="5"/>
  <c r="B591" i="5"/>
  <c r="I590" i="5"/>
  <c r="I591" i="5"/>
  <c r="B592" i="5"/>
  <c r="B593" i="5"/>
  <c r="I592" i="5"/>
  <c r="I593" i="5"/>
  <c r="B594" i="5"/>
  <c r="B595" i="5"/>
  <c r="I594" i="5"/>
  <c r="I595" i="5"/>
  <c r="B596" i="5"/>
  <c r="B597" i="5"/>
  <c r="I596" i="5"/>
  <c r="I597" i="5"/>
  <c r="B598" i="5"/>
  <c r="B599" i="5"/>
  <c r="I598" i="5"/>
  <c r="I599" i="5"/>
  <c r="B600" i="5"/>
  <c r="B601" i="5"/>
  <c r="I600" i="5"/>
  <c r="I601" i="5"/>
  <c r="B602" i="5"/>
  <c r="B603" i="5"/>
  <c r="I602" i="5"/>
  <c r="I603" i="5"/>
  <c r="B604" i="5"/>
  <c r="B605" i="5"/>
  <c r="I604" i="5"/>
  <c r="I605" i="5"/>
  <c r="B606" i="5"/>
  <c r="B607" i="5"/>
  <c r="I606" i="5"/>
  <c r="I607" i="5"/>
  <c r="B608" i="5"/>
  <c r="B609" i="5"/>
  <c r="I608" i="5"/>
  <c r="I609" i="5"/>
  <c r="B610" i="5"/>
  <c r="B611" i="5"/>
  <c r="I610" i="5"/>
  <c r="I611" i="5"/>
  <c r="B612" i="5"/>
  <c r="B613" i="5"/>
  <c r="I612" i="5"/>
  <c r="I613" i="5"/>
  <c r="B614" i="5"/>
  <c r="B615" i="5"/>
  <c r="I614" i="5"/>
  <c r="I615" i="5"/>
  <c r="B616" i="5"/>
  <c r="B617" i="5"/>
  <c r="I616" i="5"/>
  <c r="I617" i="5"/>
  <c r="B618" i="5"/>
  <c r="I618" i="5"/>
  <c r="B619" i="5"/>
  <c r="B620" i="5"/>
  <c r="I619" i="5"/>
  <c r="I620" i="5"/>
  <c r="B621" i="5"/>
  <c r="B622" i="5"/>
  <c r="I621" i="5"/>
  <c r="I622" i="5"/>
  <c r="B623" i="5"/>
  <c r="B624" i="5"/>
  <c r="I623" i="5"/>
  <c r="I624" i="5"/>
  <c r="B625" i="5"/>
  <c r="B626" i="5"/>
  <c r="I625" i="5"/>
  <c r="I626" i="5"/>
  <c r="B627" i="5"/>
  <c r="B628" i="5"/>
  <c r="I627" i="5"/>
  <c r="I628" i="5"/>
  <c r="B629" i="5"/>
  <c r="B630" i="5"/>
  <c r="I629" i="5"/>
  <c r="I630" i="5"/>
  <c r="B631" i="5"/>
  <c r="B632" i="5"/>
  <c r="I631" i="5"/>
  <c r="I632" i="5"/>
  <c r="B633" i="5"/>
  <c r="B634" i="5"/>
  <c r="I633" i="5"/>
  <c r="I634" i="5"/>
  <c r="B635" i="5"/>
  <c r="B636" i="5"/>
  <c r="I635" i="5"/>
  <c r="I636" i="5"/>
  <c r="B637" i="5"/>
  <c r="B638" i="5"/>
  <c r="I637" i="5"/>
  <c r="I638" i="5"/>
  <c r="B639" i="5"/>
  <c r="B640" i="5"/>
  <c r="I639" i="5"/>
  <c r="I640" i="5"/>
  <c r="B641" i="5"/>
  <c r="B642" i="5"/>
  <c r="I641" i="5"/>
  <c r="I642" i="5"/>
  <c r="B643" i="5"/>
  <c r="B644" i="5"/>
  <c r="I643" i="5"/>
  <c r="I644" i="5"/>
  <c r="B645" i="5"/>
  <c r="B646" i="5"/>
  <c r="I645" i="5"/>
  <c r="I646" i="5"/>
  <c r="B647" i="5"/>
  <c r="B648" i="5"/>
  <c r="I647" i="5"/>
  <c r="I648" i="5"/>
  <c r="B649" i="5"/>
  <c r="B650" i="5"/>
  <c r="I649" i="5"/>
  <c r="I650" i="5"/>
  <c r="B651" i="5"/>
  <c r="B652" i="5"/>
  <c r="I651" i="5"/>
  <c r="I652" i="5"/>
  <c r="B653" i="5"/>
  <c r="B654" i="5"/>
  <c r="I653" i="5"/>
  <c r="I654" i="5"/>
  <c r="B655" i="5"/>
  <c r="B656" i="5"/>
  <c r="I655" i="5"/>
  <c r="I656" i="5"/>
  <c r="B657" i="5"/>
  <c r="B658" i="5"/>
  <c r="I657" i="5"/>
  <c r="I658" i="5"/>
  <c r="B659" i="5"/>
  <c r="B660" i="5"/>
  <c r="I659" i="5"/>
  <c r="I660" i="5"/>
  <c r="B661" i="5"/>
  <c r="B662" i="5"/>
  <c r="I661" i="5"/>
  <c r="I662" i="5"/>
  <c r="B663" i="5"/>
  <c r="B664" i="5"/>
  <c r="I663" i="5"/>
  <c r="I664" i="5"/>
  <c r="B665" i="5"/>
  <c r="B666" i="5"/>
  <c r="I665" i="5"/>
  <c r="I666" i="5"/>
  <c r="B667" i="5"/>
  <c r="B668" i="5"/>
  <c r="I667" i="5"/>
  <c r="I668" i="5"/>
  <c r="B669" i="5"/>
  <c r="B670" i="5"/>
  <c r="I669" i="5"/>
  <c r="I670" i="5"/>
  <c r="B671" i="5"/>
  <c r="B672" i="5"/>
  <c r="I671" i="5"/>
  <c r="I672" i="5"/>
  <c r="B673" i="5"/>
  <c r="B674" i="5"/>
  <c r="I673" i="5"/>
  <c r="I674" i="5"/>
  <c r="B675" i="5"/>
  <c r="B676" i="5"/>
  <c r="I675" i="5"/>
  <c r="I676" i="5"/>
  <c r="B677" i="5"/>
  <c r="B678" i="5"/>
  <c r="I677" i="5"/>
  <c r="I678" i="5"/>
  <c r="B679" i="5"/>
  <c r="B680" i="5"/>
  <c r="I679" i="5"/>
  <c r="I680" i="5"/>
  <c r="B681" i="5"/>
  <c r="B682" i="5"/>
  <c r="I681" i="5"/>
  <c r="I682" i="5"/>
  <c r="B683" i="5"/>
  <c r="B684" i="5"/>
  <c r="I683" i="5"/>
  <c r="I684" i="5"/>
  <c r="B685" i="5"/>
  <c r="B686" i="5"/>
  <c r="I685" i="5"/>
  <c r="I686" i="5"/>
  <c r="B687" i="5"/>
  <c r="B688" i="5"/>
  <c r="I687" i="5"/>
  <c r="I688" i="5"/>
  <c r="B689" i="5"/>
  <c r="B690" i="5"/>
  <c r="I689" i="5"/>
  <c r="I690" i="5"/>
  <c r="B691" i="5"/>
  <c r="B692" i="5"/>
  <c r="I691" i="5"/>
  <c r="I692" i="5"/>
  <c r="B693" i="5"/>
  <c r="B694" i="5"/>
  <c r="I693" i="5"/>
  <c r="I694" i="5"/>
  <c r="B695" i="5"/>
  <c r="B696" i="5"/>
  <c r="I695" i="5"/>
  <c r="I696" i="5"/>
  <c r="B697" i="5"/>
  <c r="B698" i="5"/>
  <c r="I697" i="5"/>
  <c r="I698" i="5"/>
  <c r="B699" i="5"/>
  <c r="B700" i="5"/>
  <c r="I699" i="5"/>
  <c r="I700" i="5"/>
  <c r="B701" i="5"/>
  <c r="B702" i="5"/>
  <c r="I701" i="5"/>
  <c r="I702" i="5"/>
  <c r="B703" i="5"/>
  <c r="B704" i="5"/>
  <c r="I703" i="5"/>
  <c r="I704" i="5"/>
  <c r="B705" i="5"/>
  <c r="B706" i="5"/>
  <c r="I705" i="5"/>
  <c r="I706" i="5"/>
  <c r="B707" i="5"/>
  <c r="B708" i="5"/>
  <c r="I707" i="5"/>
  <c r="I708" i="5"/>
  <c r="B709" i="5"/>
  <c r="B710" i="5"/>
  <c r="I709" i="5"/>
  <c r="I710" i="5"/>
  <c r="B711" i="5"/>
  <c r="B712" i="5"/>
  <c r="I711" i="5"/>
  <c r="I712" i="5"/>
  <c r="B713" i="5"/>
  <c r="B714" i="5"/>
  <c r="I713" i="5"/>
  <c r="I714" i="5"/>
  <c r="B715" i="5"/>
  <c r="B716" i="5"/>
  <c r="I715" i="5"/>
  <c r="I716" i="5"/>
  <c r="B717" i="5"/>
  <c r="B718" i="5"/>
  <c r="I717" i="5"/>
  <c r="I718" i="5"/>
  <c r="B719" i="5"/>
  <c r="B720" i="5"/>
  <c r="I719" i="5"/>
  <c r="I720" i="5"/>
  <c r="B721" i="5"/>
  <c r="B722" i="5"/>
  <c r="I721" i="5"/>
  <c r="I722" i="5"/>
  <c r="B723" i="5"/>
  <c r="B724" i="5"/>
  <c r="I723" i="5"/>
  <c r="I724" i="5"/>
  <c r="B725" i="5"/>
  <c r="B726" i="5"/>
  <c r="I725" i="5"/>
  <c r="I726" i="5"/>
  <c r="B727" i="5"/>
  <c r="B728" i="5"/>
  <c r="I727" i="5"/>
  <c r="I728" i="5"/>
  <c r="B729" i="5"/>
  <c r="B730" i="5"/>
  <c r="I729" i="5"/>
  <c r="I730" i="5"/>
  <c r="B731" i="5"/>
  <c r="B732" i="5"/>
  <c r="I731" i="5"/>
  <c r="I732" i="5"/>
  <c r="B733" i="5"/>
  <c r="B734" i="5"/>
  <c r="I733" i="5"/>
  <c r="I734" i="5"/>
  <c r="B735" i="5"/>
  <c r="B736" i="5"/>
  <c r="I735" i="5"/>
  <c r="I736" i="5"/>
  <c r="B737" i="5"/>
  <c r="B738" i="5"/>
  <c r="I737" i="5"/>
  <c r="I738" i="5"/>
  <c r="B739" i="5"/>
  <c r="B740" i="5"/>
  <c r="I739" i="5"/>
  <c r="I740" i="5"/>
  <c r="B741" i="5"/>
  <c r="B742" i="5"/>
  <c r="I741" i="5"/>
  <c r="I742" i="5"/>
  <c r="B743" i="5"/>
  <c r="B744" i="5"/>
  <c r="I743" i="5"/>
  <c r="I744" i="5"/>
  <c r="B745" i="5"/>
  <c r="B746" i="5"/>
  <c r="I745" i="5"/>
  <c r="I746" i="5"/>
  <c r="B747" i="5"/>
  <c r="B748" i="5"/>
  <c r="I747" i="5"/>
  <c r="I748" i="5"/>
  <c r="B749" i="5"/>
  <c r="B750" i="5"/>
  <c r="I749" i="5"/>
  <c r="I750" i="5"/>
  <c r="B751" i="5"/>
  <c r="B752" i="5"/>
  <c r="I751" i="5"/>
  <c r="I752" i="5"/>
  <c r="B753" i="5"/>
  <c r="B754" i="5"/>
  <c r="I753" i="5"/>
  <c r="I754" i="5"/>
  <c r="B755" i="5"/>
  <c r="B756" i="5"/>
  <c r="I755" i="5"/>
  <c r="I756" i="5"/>
  <c r="B757" i="5"/>
  <c r="B758" i="5"/>
  <c r="I757" i="5"/>
  <c r="I758" i="5"/>
  <c r="B759" i="5"/>
  <c r="B760" i="5"/>
  <c r="I759" i="5"/>
  <c r="I760" i="5"/>
  <c r="B761" i="5"/>
  <c r="B762" i="5"/>
  <c r="I761" i="5"/>
  <c r="I762" i="5"/>
  <c r="B763" i="5"/>
  <c r="B764" i="5"/>
  <c r="I763" i="5"/>
  <c r="I764" i="5"/>
  <c r="B765" i="5"/>
  <c r="B766" i="5"/>
  <c r="I765" i="5"/>
  <c r="I766" i="5"/>
  <c r="B767" i="5"/>
  <c r="B768" i="5"/>
  <c r="I767" i="5"/>
  <c r="I768" i="5"/>
  <c r="B769" i="5"/>
  <c r="B770" i="5"/>
  <c r="I769" i="5"/>
  <c r="I770" i="5"/>
  <c r="B771" i="5"/>
  <c r="B772" i="5"/>
  <c r="I771" i="5"/>
  <c r="I772" i="5"/>
  <c r="B773" i="5"/>
  <c r="B774" i="5"/>
  <c r="I773" i="5"/>
  <c r="I774" i="5"/>
  <c r="B775" i="5"/>
  <c r="B776" i="5"/>
  <c r="I775" i="5"/>
  <c r="I776" i="5"/>
  <c r="B777" i="5"/>
  <c r="B778" i="5"/>
  <c r="I777" i="5"/>
  <c r="I778" i="5"/>
  <c r="B779" i="5"/>
  <c r="B780" i="5"/>
  <c r="I779" i="5"/>
  <c r="I780" i="5"/>
  <c r="B781" i="5"/>
  <c r="B782" i="5"/>
  <c r="I781" i="5"/>
  <c r="I782" i="5"/>
  <c r="B783" i="5"/>
  <c r="B784" i="5"/>
  <c r="I783" i="5"/>
  <c r="I784" i="5"/>
  <c r="B785" i="5"/>
  <c r="B786" i="5"/>
  <c r="I785" i="5"/>
  <c r="I786" i="5"/>
  <c r="B787" i="5"/>
  <c r="B788" i="5"/>
  <c r="I787" i="5"/>
  <c r="I788" i="5"/>
  <c r="B789" i="5"/>
  <c r="B790" i="5"/>
  <c r="I789" i="5"/>
  <c r="I790" i="5"/>
  <c r="B791" i="5"/>
  <c r="B792" i="5"/>
  <c r="I791" i="5"/>
  <c r="I792" i="5"/>
  <c r="B793" i="5"/>
  <c r="B794" i="5"/>
  <c r="I793" i="5"/>
  <c r="I794" i="5"/>
  <c r="B795" i="5"/>
  <c r="B796" i="5"/>
  <c r="I795" i="5"/>
  <c r="I796" i="5"/>
  <c r="B797" i="5"/>
  <c r="B798" i="5"/>
  <c r="I797" i="5"/>
  <c r="I798" i="5"/>
  <c r="B799" i="5"/>
  <c r="B800" i="5"/>
  <c r="I799" i="5"/>
  <c r="I800" i="5"/>
  <c r="B801" i="5"/>
  <c r="B802" i="5"/>
  <c r="I801" i="5"/>
  <c r="I802" i="5"/>
  <c r="B803" i="5"/>
  <c r="B804" i="5"/>
  <c r="I803" i="5"/>
  <c r="I804" i="5"/>
  <c r="B805" i="5"/>
  <c r="B806" i="5"/>
  <c r="I805" i="5"/>
  <c r="I806" i="5"/>
  <c r="B807" i="5"/>
  <c r="B808" i="5"/>
  <c r="I807" i="5"/>
  <c r="I808" i="5"/>
  <c r="B809" i="5"/>
  <c r="B810" i="5"/>
  <c r="I809" i="5"/>
  <c r="I810" i="5"/>
  <c r="B811" i="5"/>
  <c r="B812" i="5"/>
  <c r="I811" i="5"/>
  <c r="I812" i="5"/>
  <c r="B813" i="5"/>
  <c r="B814" i="5"/>
  <c r="I813" i="5"/>
  <c r="I814" i="5"/>
  <c r="B815" i="5"/>
  <c r="B816" i="5"/>
  <c r="I815" i="5"/>
  <c r="I816" i="5"/>
  <c r="B817" i="5"/>
  <c r="B818" i="5"/>
  <c r="I817" i="5"/>
  <c r="I818" i="5"/>
  <c r="B819" i="5"/>
  <c r="B820" i="5"/>
  <c r="I819" i="5"/>
  <c r="I820" i="5"/>
  <c r="B821" i="5"/>
  <c r="B822" i="5"/>
  <c r="I821" i="5"/>
  <c r="I822" i="5"/>
  <c r="B823" i="5"/>
  <c r="B824" i="5"/>
  <c r="I823" i="5"/>
  <c r="I824" i="5"/>
  <c r="B825" i="5"/>
  <c r="B826" i="5"/>
  <c r="I825" i="5"/>
  <c r="I826" i="5"/>
  <c r="B827" i="5"/>
  <c r="B828" i="5"/>
  <c r="I827" i="5"/>
  <c r="I828" i="5"/>
  <c r="B829" i="5"/>
  <c r="B830" i="5"/>
  <c r="I829" i="5"/>
  <c r="I830" i="5"/>
  <c r="B831" i="5"/>
  <c r="B832" i="5"/>
  <c r="I831" i="5"/>
  <c r="I832" i="5"/>
  <c r="B833" i="5"/>
  <c r="B834" i="5"/>
  <c r="I833" i="5"/>
  <c r="I834" i="5"/>
  <c r="B835" i="5"/>
  <c r="B836" i="5"/>
  <c r="I835" i="5"/>
  <c r="I836" i="5"/>
  <c r="B837" i="5"/>
  <c r="B838" i="5"/>
  <c r="I837" i="5"/>
  <c r="I838" i="5"/>
  <c r="B839" i="5"/>
  <c r="B840" i="5"/>
  <c r="I839" i="5"/>
  <c r="I840" i="5"/>
  <c r="B841" i="5"/>
  <c r="B842" i="5"/>
  <c r="I841" i="5"/>
  <c r="I842" i="5"/>
  <c r="B843" i="5"/>
  <c r="B844" i="5"/>
  <c r="I843" i="5"/>
  <c r="I844" i="5"/>
  <c r="B845" i="5"/>
  <c r="B846" i="5"/>
  <c r="I845" i="5"/>
  <c r="I846" i="5"/>
  <c r="B847" i="5"/>
  <c r="B848" i="5"/>
  <c r="I847" i="5"/>
  <c r="I848" i="5"/>
  <c r="B849" i="5"/>
  <c r="B850" i="5"/>
  <c r="I849" i="5"/>
  <c r="I850" i="5"/>
  <c r="B851" i="5"/>
  <c r="B852" i="5"/>
  <c r="I851" i="5"/>
  <c r="I852" i="5"/>
  <c r="B853" i="5"/>
  <c r="B854" i="5"/>
  <c r="I853" i="5"/>
  <c r="I854" i="5"/>
  <c r="B855" i="5"/>
  <c r="B856" i="5"/>
  <c r="I855" i="5"/>
  <c r="I856" i="5"/>
  <c r="B857" i="5"/>
  <c r="B858" i="5"/>
  <c r="I857" i="5"/>
  <c r="I858" i="5"/>
  <c r="B859" i="5"/>
  <c r="B860" i="5"/>
  <c r="I859" i="5"/>
  <c r="I860" i="5"/>
  <c r="B861" i="5"/>
  <c r="B862" i="5"/>
  <c r="I861" i="5"/>
  <c r="I862" i="5"/>
  <c r="B863" i="5"/>
  <c r="B864" i="5"/>
  <c r="I863" i="5"/>
  <c r="I864" i="5"/>
  <c r="B865" i="5"/>
  <c r="B866" i="5"/>
  <c r="I865" i="5"/>
  <c r="I866" i="5"/>
  <c r="B867" i="5"/>
  <c r="B868" i="5"/>
  <c r="I867" i="5"/>
  <c r="I868" i="5"/>
  <c r="B869" i="5"/>
  <c r="B870" i="5"/>
  <c r="I869" i="5"/>
  <c r="I870" i="5"/>
  <c r="B871" i="5"/>
  <c r="B872" i="5"/>
  <c r="I871" i="5"/>
  <c r="I872" i="5"/>
  <c r="B873" i="5"/>
  <c r="B874" i="5"/>
  <c r="I873" i="5"/>
  <c r="I874" i="5"/>
  <c r="B875" i="5"/>
  <c r="B876" i="5"/>
  <c r="I875" i="5"/>
  <c r="I876" i="5"/>
  <c r="B877" i="5"/>
  <c r="B878" i="5"/>
  <c r="I877" i="5"/>
  <c r="I878" i="5"/>
  <c r="B879" i="5"/>
  <c r="B880" i="5"/>
  <c r="I879" i="5"/>
  <c r="I880" i="5"/>
  <c r="B881" i="5"/>
  <c r="B882" i="5"/>
  <c r="I881" i="5"/>
  <c r="I882" i="5"/>
  <c r="B883" i="5"/>
  <c r="B884" i="5"/>
  <c r="I883" i="5"/>
  <c r="I884" i="5"/>
  <c r="B885" i="5"/>
  <c r="B886" i="5"/>
  <c r="I885" i="5"/>
  <c r="I886" i="5"/>
  <c r="B887" i="5"/>
  <c r="B888" i="5"/>
  <c r="I887" i="5"/>
  <c r="I888" i="5"/>
  <c r="B889" i="5"/>
  <c r="B890" i="5"/>
  <c r="I889" i="5"/>
  <c r="I890" i="5"/>
  <c r="B891" i="5"/>
  <c r="B892" i="5"/>
  <c r="I891" i="5"/>
  <c r="I892" i="5"/>
  <c r="B893" i="5"/>
  <c r="B894" i="5"/>
  <c r="I893" i="5"/>
  <c r="I894" i="5"/>
  <c r="B895" i="5"/>
  <c r="B896" i="5"/>
  <c r="I895" i="5"/>
  <c r="I896" i="5"/>
  <c r="B897" i="5"/>
  <c r="B898" i="5"/>
  <c r="I897" i="5"/>
  <c r="I898" i="5"/>
  <c r="B899" i="5"/>
  <c r="B900" i="5"/>
  <c r="I899" i="5"/>
  <c r="I900" i="5"/>
  <c r="B901" i="5"/>
  <c r="B902" i="5"/>
  <c r="I901" i="5"/>
  <c r="I902" i="5"/>
  <c r="B903" i="5"/>
  <c r="B904" i="5"/>
  <c r="I903" i="5"/>
  <c r="I904" i="5"/>
  <c r="B905" i="5"/>
  <c r="B906" i="5"/>
  <c r="I905" i="5"/>
  <c r="I906" i="5"/>
  <c r="B907" i="5"/>
  <c r="B908" i="5"/>
  <c r="I907" i="5"/>
  <c r="I908" i="5"/>
  <c r="B909" i="5"/>
  <c r="B910" i="5"/>
  <c r="I909" i="5"/>
  <c r="I910" i="5"/>
  <c r="B911" i="5"/>
  <c r="I911" i="5"/>
  <c r="B912" i="5"/>
  <c r="B913" i="5"/>
  <c r="I912" i="5"/>
  <c r="I913" i="5"/>
  <c r="B914" i="5"/>
  <c r="B915" i="5"/>
  <c r="I914" i="5"/>
  <c r="I915" i="5"/>
  <c r="B916" i="5"/>
  <c r="B917" i="5"/>
  <c r="I916" i="5"/>
  <c r="I917" i="5"/>
  <c r="B918" i="5"/>
  <c r="B919" i="5"/>
  <c r="I918" i="5"/>
  <c r="I919" i="5"/>
  <c r="B920" i="5"/>
  <c r="B921" i="5"/>
  <c r="I920" i="5"/>
  <c r="I921" i="5"/>
  <c r="B922" i="5"/>
  <c r="B923" i="5"/>
  <c r="I922" i="5"/>
  <c r="I923" i="5"/>
  <c r="B924" i="5"/>
  <c r="B925" i="5"/>
  <c r="I924" i="5"/>
  <c r="I925" i="5"/>
  <c r="B926" i="5"/>
  <c r="B927" i="5"/>
  <c r="I926" i="5"/>
  <c r="I927" i="5"/>
  <c r="B928" i="5"/>
  <c r="B929" i="5"/>
  <c r="I928" i="5"/>
  <c r="I929" i="5"/>
  <c r="B930" i="5"/>
  <c r="B931" i="5"/>
  <c r="I930" i="5"/>
  <c r="I931" i="5"/>
  <c r="B932" i="5"/>
  <c r="B933" i="5"/>
  <c r="I932" i="5"/>
  <c r="I933" i="5"/>
  <c r="B934" i="5"/>
  <c r="B935" i="5"/>
  <c r="I934" i="5"/>
  <c r="I935" i="5"/>
  <c r="B936" i="5"/>
  <c r="B937" i="5"/>
  <c r="I936" i="5"/>
  <c r="I937" i="5"/>
  <c r="B938" i="5"/>
  <c r="B939" i="5"/>
  <c r="I938" i="5"/>
  <c r="I939" i="5"/>
  <c r="B940" i="5"/>
  <c r="B941" i="5"/>
  <c r="I940" i="5"/>
  <c r="I941" i="5"/>
  <c r="B942" i="5"/>
  <c r="B943" i="5"/>
  <c r="I942" i="5"/>
  <c r="I943" i="5"/>
  <c r="B944" i="5"/>
  <c r="B945" i="5"/>
  <c r="I944" i="5"/>
  <c r="I945" i="5"/>
  <c r="B946" i="5"/>
  <c r="B947" i="5"/>
  <c r="I946" i="5"/>
  <c r="I947" i="5"/>
  <c r="B948" i="5"/>
  <c r="B949" i="5"/>
  <c r="I948" i="5"/>
  <c r="I949" i="5"/>
  <c r="B950" i="5"/>
  <c r="B951" i="5"/>
  <c r="I950" i="5"/>
  <c r="I951" i="5"/>
  <c r="B952" i="5"/>
  <c r="B953" i="5"/>
  <c r="I952" i="5"/>
  <c r="I953" i="5"/>
  <c r="B954" i="5"/>
  <c r="B955" i="5"/>
  <c r="I954" i="5"/>
  <c r="I955" i="5"/>
  <c r="B956" i="5"/>
  <c r="B957" i="5"/>
  <c r="I956" i="5"/>
  <c r="I957" i="5"/>
  <c r="B958" i="5"/>
  <c r="B959" i="5"/>
  <c r="I958" i="5"/>
  <c r="I959" i="5"/>
  <c r="B960" i="5"/>
  <c r="B961" i="5"/>
  <c r="I960" i="5"/>
  <c r="I961" i="5"/>
  <c r="B962" i="5"/>
  <c r="B963" i="5"/>
  <c r="I962" i="5"/>
  <c r="I963" i="5"/>
  <c r="B964" i="5"/>
  <c r="B965" i="5"/>
  <c r="I964" i="5"/>
  <c r="I965" i="5"/>
  <c r="B966" i="5"/>
  <c r="B967" i="5"/>
  <c r="I966" i="5"/>
  <c r="I967" i="5"/>
  <c r="B968" i="5"/>
  <c r="B969" i="5"/>
  <c r="I968" i="5"/>
  <c r="I969" i="5"/>
  <c r="B970" i="5"/>
  <c r="B971" i="5"/>
  <c r="I970" i="5"/>
  <c r="I971" i="5"/>
  <c r="B972" i="5"/>
  <c r="B973" i="5"/>
  <c r="I972" i="5"/>
  <c r="I973" i="5"/>
  <c r="B974" i="5"/>
  <c r="B975" i="5"/>
  <c r="I974" i="5"/>
  <c r="I975" i="5"/>
  <c r="B976" i="5"/>
  <c r="B977" i="5"/>
  <c r="I976" i="5"/>
  <c r="I977" i="5"/>
  <c r="B978" i="5"/>
  <c r="B979" i="5"/>
  <c r="I978" i="5"/>
  <c r="I979" i="5"/>
  <c r="B980" i="5"/>
  <c r="B981" i="5"/>
  <c r="I980" i="5"/>
  <c r="I981" i="5"/>
  <c r="B982" i="5"/>
  <c r="B983" i="5"/>
  <c r="I982" i="5"/>
  <c r="I983" i="5"/>
  <c r="B984" i="5"/>
  <c r="B985" i="5"/>
  <c r="I984" i="5"/>
  <c r="I985" i="5"/>
  <c r="B986" i="5"/>
  <c r="B987" i="5"/>
  <c r="I986" i="5"/>
  <c r="I987" i="5"/>
  <c r="B988" i="5"/>
  <c r="B989" i="5"/>
  <c r="I988" i="5"/>
  <c r="I989" i="5"/>
  <c r="B990" i="5"/>
  <c r="B991" i="5"/>
  <c r="I990" i="5"/>
  <c r="I991" i="5"/>
  <c r="B992" i="5"/>
  <c r="B993" i="5"/>
  <c r="I992" i="5"/>
  <c r="I993" i="5"/>
  <c r="B994" i="5"/>
  <c r="B995" i="5"/>
  <c r="I994" i="5"/>
  <c r="I995" i="5"/>
  <c r="B996" i="5"/>
  <c r="B997" i="5"/>
  <c r="I996" i="5"/>
  <c r="I997" i="5"/>
  <c r="B998" i="5"/>
  <c r="B999" i="5"/>
  <c r="I998" i="5"/>
  <c r="I999" i="5"/>
  <c r="B1000" i="5"/>
  <c r="B1001" i="5"/>
  <c r="I1000" i="5"/>
  <c r="I1001" i="5"/>
  <c r="B1002" i="5"/>
  <c r="B1003" i="5"/>
  <c r="I1002" i="5"/>
  <c r="I1003" i="5"/>
  <c r="B1004" i="5"/>
  <c r="B1005" i="5"/>
  <c r="I1004" i="5"/>
  <c r="I1005" i="5"/>
  <c r="B1006" i="5"/>
  <c r="B1007" i="5"/>
  <c r="I1006" i="5"/>
  <c r="I1007" i="5"/>
  <c r="B1008" i="5"/>
  <c r="B1009" i="5"/>
  <c r="I1008" i="5"/>
  <c r="I1009" i="5"/>
  <c r="B1010" i="5"/>
  <c r="I1010" i="5"/>
  <c r="A9" i="1" a="1"/>
  <c r="A9" i="1" l="1"/>
  <c r="B9" i="1"/>
  <c r="C9" i="1"/>
  <c r="F9" i="1"/>
  <c r="F143" i="3"/>
  <c r="D143" i="3"/>
  <c r="C144" i="3" s="1"/>
  <c r="E144" i="3"/>
  <c r="F15" i="5"/>
  <c r="D15" i="5"/>
  <c r="E16" i="5"/>
  <c r="A10" i="1" a="1"/>
  <c r="A10" i="1" l="1"/>
  <c r="B10" i="1"/>
  <c r="F10" i="1" s="1"/>
  <c r="C10" i="1"/>
  <c r="E8" i="1"/>
  <c r="E9" i="1"/>
  <c r="D16" i="5"/>
  <c r="H14" i="5"/>
  <c r="H15" i="5" s="1"/>
  <c r="C16" i="5"/>
  <c r="D144" i="3"/>
  <c r="F144" i="3"/>
  <c r="E145" i="3" s="1"/>
  <c r="C145" i="3"/>
  <c r="A11" i="1" a="1"/>
  <c r="A11" i="1" l="1"/>
  <c r="B11" i="1"/>
  <c r="F11" i="1" s="1"/>
  <c r="C11" i="1"/>
  <c r="E10" i="1"/>
  <c r="D145" i="3"/>
  <c r="F145" i="3"/>
  <c r="E146" i="3" s="1"/>
  <c r="C146" i="3"/>
  <c r="F16" i="5"/>
  <c r="E17" i="5" s="1"/>
  <c r="C17" i="5"/>
  <c r="A12" i="1" a="1"/>
  <c r="A12" i="1" l="1"/>
  <c r="B12" i="1"/>
  <c r="F12" i="1" s="1"/>
  <c r="C12" i="1"/>
  <c r="D146" i="3"/>
  <c r="F17" i="5"/>
  <c r="D17" i="5"/>
  <c r="H16" i="5" s="1"/>
  <c r="E18" i="5"/>
  <c r="F146" i="3"/>
  <c r="E147" i="3" s="1"/>
  <c r="C147" i="3"/>
  <c r="A13" i="1" a="1"/>
  <c r="A13" i="1" l="1"/>
  <c r="B13" i="1"/>
  <c r="F13" i="1" s="1"/>
  <c r="C13" i="1"/>
  <c r="E11" i="1"/>
  <c r="D147" i="3"/>
  <c r="F147" i="3"/>
  <c r="E148" i="3" s="1"/>
  <c r="C148" i="3"/>
  <c r="D18" i="5"/>
  <c r="H17" i="5"/>
  <c r="C18" i="5"/>
  <c r="A14" i="1" a="1"/>
  <c r="A14" i="1" l="1"/>
  <c r="B14" i="1"/>
  <c r="F14" i="1" s="1"/>
  <c r="C14" i="1"/>
  <c r="E12" i="1"/>
  <c r="D148" i="3"/>
  <c r="F18" i="5"/>
  <c r="E19" i="5" s="1"/>
  <c r="C19" i="5"/>
  <c r="F148" i="3"/>
  <c r="E149" i="3" s="1"/>
  <c r="C149" i="3"/>
  <c r="A15" i="1" a="1"/>
  <c r="A15" i="1" l="1"/>
  <c r="B15" i="1"/>
  <c r="F15" i="1" s="1"/>
  <c r="C15" i="1"/>
  <c r="E13" i="1"/>
  <c r="D149" i="3"/>
  <c r="F149" i="3"/>
  <c r="E150" i="3" s="1"/>
  <c r="C150" i="3"/>
  <c r="F19" i="5"/>
  <c r="D19" i="5"/>
  <c r="H18" i="5" s="1"/>
  <c r="E20" i="5"/>
  <c r="A16" i="1" a="1"/>
  <c r="A16" i="1" l="1"/>
  <c r="B16" i="1"/>
  <c r="F16" i="1" s="1"/>
  <c r="C16" i="1"/>
  <c r="E14" i="1"/>
  <c r="D150" i="3"/>
  <c r="D20" i="5"/>
  <c r="H19" i="5"/>
  <c r="C20" i="5"/>
  <c r="F150" i="3"/>
  <c r="E151" i="3" s="1"/>
  <c r="C151" i="3"/>
  <c r="A17" i="1" a="1"/>
  <c r="A17" i="1" l="1"/>
  <c r="B17" i="1"/>
  <c r="F17" i="1" s="1"/>
  <c r="C17" i="1"/>
  <c r="E15" i="1"/>
  <c r="D151" i="3"/>
  <c r="F151" i="3"/>
  <c r="E152" i="3" s="1"/>
  <c r="C152" i="3"/>
  <c r="F20" i="5"/>
  <c r="E21" i="5" s="1"/>
  <c r="C21" i="5"/>
  <c r="A18" i="1" a="1"/>
  <c r="A18" i="1" l="1"/>
  <c r="B18" i="1"/>
  <c r="F18" i="1" s="1"/>
  <c r="C18" i="1"/>
  <c r="E16" i="1"/>
  <c r="D152" i="3"/>
  <c r="F21" i="5"/>
  <c r="D21" i="5"/>
  <c r="H20" i="5" s="1"/>
  <c r="E22" i="5"/>
  <c r="F152" i="3"/>
  <c r="E153" i="3" s="1"/>
  <c r="C153" i="3"/>
  <c r="A19" i="1" a="1"/>
  <c r="A19" i="1" l="1"/>
  <c r="B19" i="1"/>
  <c r="F19" i="1" s="1"/>
  <c r="C19" i="1"/>
  <c r="E17" i="1"/>
  <c r="D153" i="3"/>
  <c r="F153" i="3"/>
  <c r="E154" i="3" s="1"/>
  <c r="C154" i="3"/>
  <c r="D22" i="5"/>
  <c r="H21" i="5"/>
  <c r="C22" i="5"/>
  <c r="A20" i="1" a="1"/>
  <c r="A20" i="1" l="1"/>
  <c r="B20" i="1"/>
  <c r="F20" i="1" s="1"/>
  <c r="C20" i="1"/>
  <c r="E18" i="1"/>
  <c r="D154" i="3"/>
  <c r="F22" i="5"/>
  <c r="E23" i="5" s="1"/>
  <c r="C23" i="5"/>
  <c r="F154" i="3"/>
  <c r="E155" i="3" s="1"/>
  <c r="C155" i="3"/>
  <c r="A21" i="1" a="1"/>
  <c r="A21" i="1" l="1"/>
  <c r="B21" i="1"/>
  <c r="F21" i="1" s="1"/>
  <c r="C21" i="1"/>
  <c r="E19" i="1"/>
  <c r="D155" i="3"/>
  <c r="F155" i="3"/>
  <c r="E156" i="3" s="1"/>
  <c r="C156" i="3"/>
  <c r="F23" i="5"/>
  <c r="D23" i="5"/>
  <c r="H22" i="5" s="1"/>
  <c r="E24" i="5"/>
  <c r="A22" i="1" a="1"/>
  <c r="A22" i="1" l="1"/>
  <c r="B22" i="1"/>
  <c r="F22" i="1" s="1"/>
  <c r="C22" i="1"/>
  <c r="E20" i="1"/>
  <c r="D156" i="3"/>
  <c r="D24" i="5"/>
  <c r="H23" i="5"/>
  <c r="C24" i="5"/>
  <c r="F156" i="3"/>
  <c r="E157" i="3" s="1"/>
  <c r="C157" i="3"/>
  <c r="A23" i="1" a="1"/>
  <c r="A23" i="1" l="1"/>
  <c r="B23" i="1"/>
  <c r="F23" i="1" s="1"/>
  <c r="C23" i="1"/>
  <c r="E21" i="1"/>
  <c r="D157" i="3"/>
  <c r="F157" i="3"/>
  <c r="E158" i="3" s="1"/>
  <c r="C158" i="3"/>
  <c r="F24" i="5"/>
  <c r="E25" i="5" s="1"/>
  <c r="C25" i="5"/>
  <c r="A24" i="1" a="1"/>
  <c r="A24" i="1" l="1"/>
  <c r="B24" i="1"/>
  <c r="F24" i="1" s="1"/>
  <c r="C24" i="1"/>
  <c r="E22" i="1"/>
  <c r="D158" i="3"/>
  <c r="F25" i="5"/>
  <c r="D25" i="5"/>
  <c r="H24" i="5" s="1"/>
  <c r="E26" i="5"/>
  <c r="F158" i="3"/>
  <c r="E159" i="3" s="1"/>
  <c r="C159" i="3"/>
  <c r="A25" i="1" a="1"/>
  <c r="A25" i="1" l="1"/>
  <c r="B25" i="1"/>
  <c r="F25" i="1" s="1"/>
  <c r="C25" i="1"/>
  <c r="E23" i="1"/>
  <c r="D159" i="3"/>
  <c r="F159" i="3"/>
  <c r="E160" i="3" s="1"/>
  <c r="C160" i="3"/>
  <c r="D26" i="5"/>
  <c r="H25" i="5"/>
  <c r="C26" i="5"/>
  <c r="A26" i="1" a="1"/>
  <c r="A26" i="1" l="1"/>
  <c r="B26" i="1"/>
  <c r="F26" i="1" s="1"/>
  <c r="C26" i="1"/>
  <c r="E24" i="1"/>
  <c r="D160" i="3"/>
  <c r="F26" i="5"/>
  <c r="E27" i="5" s="1"/>
  <c r="C27" i="5"/>
  <c r="F160" i="3"/>
  <c r="E161" i="3" s="1"/>
  <c r="C161" i="3"/>
  <c r="A27" i="1" a="1"/>
  <c r="A27" i="1" l="1"/>
  <c r="B27" i="1"/>
  <c r="F27" i="1" s="1"/>
  <c r="C27" i="1"/>
  <c r="E25" i="1"/>
  <c r="D161" i="3"/>
  <c r="F161" i="3"/>
  <c r="E162" i="3" s="1"/>
  <c r="C162" i="3"/>
  <c r="F27" i="5"/>
  <c r="D27" i="5"/>
  <c r="H26" i="5" s="1"/>
  <c r="E28" i="5"/>
  <c r="A28" i="1" a="1"/>
  <c r="A28" i="1" l="1"/>
  <c r="B28" i="1"/>
  <c r="F28" i="1" s="1"/>
  <c r="C28" i="1"/>
  <c r="E26" i="1"/>
  <c r="D162" i="3"/>
  <c r="D28" i="5"/>
  <c r="H27" i="5"/>
  <c r="C28" i="5"/>
  <c r="F162" i="3"/>
  <c r="E163" i="3" s="1"/>
  <c r="C163" i="3"/>
  <c r="A29" i="1" a="1"/>
  <c r="A29" i="1" l="1"/>
  <c r="B29" i="1"/>
  <c r="F29" i="1" s="1"/>
  <c r="C29" i="1"/>
  <c r="E27" i="1"/>
  <c r="D163" i="3"/>
  <c r="F163" i="3"/>
  <c r="E164" i="3" s="1"/>
  <c r="C164" i="3"/>
  <c r="F28" i="5"/>
  <c r="E29" i="5" s="1"/>
  <c r="C29" i="5"/>
  <c r="A30" i="1" a="1"/>
  <c r="A30" i="1" l="1"/>
  <c r="B30" i="1"/>
  <c r="F30" i="1" s="1"/>
  <c r="C30" i="1"/>
  <c r="E28" i="1"/>
  <c r="D164" i="3"/>
  <c r="F29" i="5"/>
  <c r="D29" i="5"/>
  <c r="H28" i="5" s="1"/>
  <c r="E30" i="5"/>
  <c r="F164" i="3"/>
  <c r="E165" i="3" s="1"/>
  <c r="C165" i="3"/>
  <c r="A31" i="1" a="1"/>
  <c r="A31" i="1" l="1"/>
  <c r="B31" i="1"/>
  <c r="F31" i="1" s="1"/>
  <c r="C31" i="1"/>
  <c r="E29" i="1"/>
  <c r="D165" i="3"/>
  <c r="F165" i="3"/>
  <c r="E166" i="3" s="1"/>
  <c r="C166" i="3"/>
  <c r="D30" i="5"/>
  <c r="H29" i="5"/>
  <c r="C30" i="5"/>
  <c r="A32" i="1" a="1"/>
  <c r="A32" i="1" l="1"/>
  <c r="B32" i="1"/>
  <c r="F32" i="1" s="1"/>
  <c r="C32" i="1"/>
  <c r="E30" i="1"/>
  <c r="D166" i="3"/>
  <c r="F30" i="5"/>
  <c r="E31" i="5" s="1"/>
  <c r="C31" i="5"/>
  <c r="F166" i="3"/>
  <c r="E167" i="3" s="1"/>
  <c r="C167" i="3"/>
  <c r="A33" i="1" a="1"/>
  <c r="A33" i="1" l="1"/>
  <c r="B33" i="1"/>
  <c r="F33" i="1" s="1"/>
  <c r="C33" i="1"/>
  <c r="E31" i="1"/>
  <c r="D167" i="3"/>
  <c r="F167" i="3"/>
  <c r="E168" i="3" s="1"/>
  <c r="C168" i="3"/>
  <c r="F31" i="5"/>
  <c r="D31" i="5"/>
  <c r="H30" i="5" s="1"/>
  <c r="E32" i="5"/>
  <c r="A34" i="1" a="1"/>
  <c r="A34" i="1" l="1"/>
  <c r="B34" i="1"/>
  <c r="F34" i="1" s="1"/>
  <c r="C34" i="1"/>
  <c r="E32" i="1"/>
  <c r="D168" i="3"/>
  <c r="D32" i="5"/>
  <c r="H31" i="5"/>
  <c r="C32" i="5"/>
  <c r="F168" i="3"/>
  <c r="E169" i="3" s="1"/>
  <c r="C169" i="3"/>
  <c r="A35" i="1" a="1"/>
  <c r="A35" i="1" l="1"/>
  <c r="B35" i="1"/>
  <c r="F35" i="1" s="1"/>
  <c r="C35" i="1"/>
  <c r="E33" i="1"/>
  <c r="D169" i="3"/>
  <c r="F169" i="3"/>
  <c r="E170" i="3" s="1"/>
  <c r="C170" i="3"/>
  <c r="F32" i="5"/>
  <c r="E33" i="5" s="1"/>
  <c r="C33" i="5"/>
  <c r="A36" i="1" a="1"/>
  <c r="A36" i="1" l="1"/>
  <c r="B36" i="1"/>
  <c r="F36" i="1" s="1"/>
  <c r="C36" i="1"/>
  <c r="E34" i="1"/>
  <c r="D170" i="3"/>
  <c r="F33" i="5"/>
  <c r="D33" i="5"/>
  <c r="H32" i="5" s="1"/>
  <c r="E34" i="5"/>
  <c r="F170" i="3"/>
  <c r="E171" i="3" s="1"/>
  <c r="C171" i="3"/>
  <c r="A37" i="1" a="1"/>
  <c r="A37" i="1" l="1"/>
  <c r="B37" i="1"/>
  <c r="F37" i="1" s="1"/>
  <c r="C37" i="1"/>
  <c r="E35" i="1"/>
  <c r="D171" i="3"/>
  <c r="F171" i="3"/>
  <c r="E172" i="3" s="1"/>
  <c r="C172" i="3"/>
  <c r="D34" i="5"/>
  <c r="H33" i="5"/>
  <c r="C34" i="5"/>
  <c r="A38" i="1" a="1"/>
  <c r="A38" i="1" l="1"/>
  <c r="B38" i="1"/>
  <c r="F38" i="1" s="1"/>
  <c r="C38" i="1"/>
  <c r="E36" i="1"/>
  <c r="D172" i="3"/>
  <c r="F34" i="5"/>
  <c r="E35" i="5" s="1"/>
  <c r="C35" i="5"/>
  <c r="F172" i="3"/>
  <c r="E173" i="3" s="1"/>
  <c r="C173" i="3"/>
  <c r="A39" i="1" a="1"/>
  <c r="A39" i="1" l="1"/>
  <c r="B39" i="1"/>
  <c r="F39" i="1" s="1"/>
  <c r="C39" i="1"/>
  <c r="E37" i="1"/>
  <c r="D173" i="3"/>
  <c r="F173" i="3"/>
  <c r="E174" i="3" s="1"/>
  <c r="C174" i="3"/>
  <c r="F35" i="5"/>
  <c r="D35" i="5"/>
  <c r="H34" i="5" s="1"/>
  <c r="E36" i="5"/>
  <c r="A40" i="1" a="1"/>
  <c r="A40" i="1" l="1"/>
  <c r="B40" i="1"/>
  <c r="F40" i="1" s="1"/>
  <c r="C40" i="1"/>
  <c r="E38" i="1"/>
  <c r="D174" i="3"/>
  <c r="D36" i="5"/>
  <c r="H35" i="5"/>
  <c r="C36" i="5"/>
  <c r="F174" i="3"/>
  <c r="E175" i="3" s="1"/>
  <c r="C175" i="3"/>
  <c r="A41" i="1" a="1"/>
  <c r="A41" i="1" l="1"/>
  <c r="B41" i="1"/>
  <c r="F41" i="1" s="1"/>
  <c r="C41" i="1"/>
  <c r="E39" i="1"/>
  <c r="D175" i="3"/>
  <c r="F175" i="3"/>
  <c r="E176" i="3" s="1"/>
  <c r="C176" i="3"/>
  <c r="F36" i="5"/>
  <c r="E37" i="5" s="1"/>
  <c r="C37" i="5"/>
  <c r="A42" i="1" a="1"/>
  <c r="A42" i="1" l="1"/>
  <c r="B42" i="1"/>
  <c r="F42" i="1" s="1"/>
  <c r="C42" i="1"/>
  <c r="E40" i="1"/>
  <c r="D176" i="3"/>
  <c r="F37" i="5"/>
  <c r="D37" i="5"/>
  <c r="H36" i="5" s="1"/>
  <c r="E38" i="5"/>
  <c r="F176" i="3"/>
  <c r="E177" i="3" s="1"/>
  <c r="C177" i="3"/>
  <c r="A43" i="1" a="1"/>
  <c r="A43" i="1" l="1"/>
  <c r="B43" i="1"/>
  <c r="F43" i="1" s="1"/>
  <c r="C43" i="1"/>
  <c r="E41" i="1"/>
  <c r="D177" i="3"/>
  <c r="F177" i="3"/>
  <c r="E178" i="3" s="1"/>
  <c r="C178" i="3"/>
  <c r="D38" i="5"/>
  <c r="H37" i="5"/>
  <c r="C38" i="5"/>
  <c r="A44" i="1" a="1"/>
  <c r="A44" i="1" l="1"/>
  <c r="B44" i="1"/>
  <c r="F44" i="1" s="1"/>
  <c r="C44" i="1"/>
  <c r="E42" i="1"/>
  <c r="D178" i="3"/>
  <c r="F38" i="5"/>
  <c r="E39" i="5" s="1"/>
  <c r="C39" i="5"/>
  <c r="F178" i="3"/>
  <c r="E179" i="3" s="1"/>
  <c r="C179" i="3"/>
  <c r="A45" i="1" a="1"/>
  <c r="A45" i="1" l="1"/>
  <c r="B45" i="1"/>
  <c r="F45" i="1" s="1"/>
  <c r="C45" i="1"/>
  <c r="E43" i="1"/>
  <c r="D179" i="3"/>
  <c r="F179" i="3"/>
  <c r="E180" i="3" s="1"/>
  <c r="C180" i="3"/>
  <c r="F39" i="5"/>
  <c r="D39" i="5"/>
  <c r="H38" i="5" s="1"/>
  <c r="E40" i="5"/>
  <c r="A46" i="1" a="1"/>
  <c r="A46" i="1" l="1"/>
  <c r="B46" i="1"/>
  <c r="F46" i="1" s="1"/>
  <c r="C46" i="1"/>
  <c r="E44" i="1"/>
  <c r="D180" i="3"/>
  <c r="D40" i="5"/>
  <c r="H39" i="5"/>
  <c r="C40" i="5"/>
  <c r="F180" i="3"/>
  <c r="E181" i="3" s="1"/>
  <c r="C181" i="3"/>
  <c r="A47" i="1" a="1"/>
  <c r="A47" i="1" l="1"/>
  <c r="B47" i="1"/>
  <c r="F47" i="1" s="1"/>
  <c r="C47" i="1"/>
  <c r="E45" i="1"/>
  <c r="D181" i="3"/>
  <c r="F181" i="3"/>
  <c r="E182" i="3" s="1"/>
  <c r="C182" i="3"/>
  <c r="F40" i="5"/>
  <c r="E41" i="5" s="1"/>
  <c r="C41" i="5"/>
  <c r="A48" i="1" a="1"/>
  <c r="A48" i="1" l="1"/>
  <c r="B48" i="1"/>
  <c r="F48" i="1" s="1"/>
  <c r="C48" i="1"/>
  <c r="E46" i="1"/>
  <c r="D182" i="3"/>
  <c r="F41" i="5"/>
  <c r="D41" i="5"/>
  <c r="H40" i="5" s="1"/>
  <c r="E42" i="5"/>
  <c r="C183" i="3"/>
  <c r="F182" i="3"/>
  <c r="E183" i="3" s="1"/>
  <c r="A49" i="1" a="1"/>
  <c r="A49" i="1" l="1"/>
  <c r="B49" i="1"/>
  <c r="F49" i="1" s="1"/>
  <c r="C49" i="1"/>
  <c r="E47" i="1"/>
  <c r="D183" i="3"/>
  <c r="F183" i="3"/>
  <c r="E184" i="3" s="1"/>
  <c r="C184" i="3"/>
  <c r="D42" i="5"/>
  <c r="H41" i="5"/>
  <c r="C42" i="5"/>
  <c r="A50" i="1" a="1"/>
  <c r="A50" i="1" l="1"/>
  <c r="B50" i="1"/>
  <c r="F50" i="1" s="1"/>
  <c r="C50" i="1"/>
  <c r="E48" i="1"/>
  <c r="D184" i="3"/>
  <c r="F42" i="5"/>
  <c r="E43" i="5" s="1"/>
  <c r="C43" i="5"/>
  <c r="F184" i="3"/>
  <c r="E185" i="3" s="1"/>
  <c r="C185" i="3"/>
  <c r="A51" i="1" a="1"/>
  <c r="A51" i="1" l="1"/>
  <c r="B51" i="1"/>
  <c r="F51" i="1" s="1"/>
  <c r="C51" i="1"/>
  <c r="E49" i="1"/>
  <c r="D185" i="3"/>
  <c r="F185" i="3"/>
  <c r="E186" i="3" s="1"/>
  <c r="C186" i="3"/>
  <c r="F43" i="5"/>
  <c r="D43" i="5"/>
  <c r="H42" i="5" s="1"/>
  <c r="E44" i="5"/>
  <c r="A52" i="1" a="1"/>
  <c r="A52" i="1" l="1"/>
  <c r="B52" i="1"/>
  <c r="F52" i="1" s="1"/>
  <c r="C52" i="1"/>
  <c r="E50" i="1"/>
  <c r="D186" i="3"/>
  <c r="D44" i="5"/>
  <c r="H43" i="5"/>
  <c r="C44" i="5"/>
  <c r="F186" i="3"/>
  <c r="E187" i="3" s="1"/>
  <c r="C187" i="3"/>
  <c r="A53" i="1" a="1"/>
  <c r="A53" i="1" l="1"/>
  <c r="B53" i="1"/>
  <c r="F53" i="1" s="1"/>
  <c r="C53" i="1"/>
  <c r="E51" i="1"/>
  <c r="D187" i="3"/>
  <c r="F187" i="3"/>
  <c r="E188" i="3" s="1"/>
  <c r="C188" i="3"/>
  <c r="F44" i="5"/>
  <c r="E45" i="5" s="1"/>
  <c r="C45" i="5"/>
  <c r="A54" i="1" a="1"/>
  <c r="A54" i="1" l="1"/>
  <c r="B54" i="1"/>
  <c r="F54" i="1" s="1"/>
  <c r="C54" i="1"/>
  <c r="E52" i="1"/>
  <c r="D188" i="3"/>
  <c r="F45" i="5"/>
  <c r="D45" i="5"/>
  <c r="H44" i="5" s="1"/>
  <c r="E46" i="5"/>
  <c r="F188" i="3"/>
  <c r="E189" i="3" s="1"/>
  <c r="C189" i="3"/>
  <c r="A55" i="1" a="1"/>
  <c r="A55" i="1" l="1"/>
  <c r="B55" i="1"/>
  <c r="F55" i="1" s="1"/>
  <c r="C55" i="1"/>
  <c r="E53" i="1"/>
  <c r="D189" i="3"/>
  <c r="F189" i="3"/>
  <c r="E190" i="3" s="1"/>
  <c r="C190" i="3"/>
  <c r="D46" i="5"/>
  <c r="H45" i="5"/>
  <c r="C46" i="5"/>
  <c r="A56" i="1" a="1"/>
  <c r="A56" i="1" l="1"/>
  <c r="B56" i="1"/>
  <c r="F56" i="1" s="1"/>
  <c r="C56" i="1"/>
  <c r="E54" i="1"/>
  <c r="D190" i="3"/>
  <c r="F46" i="5"/>
  <c r="E47" i="5" s="1"/>
  <c r="C47" i="5"/>
  <c r="F190" i="3"/>
  <c r="E191" i="3" s="1"/>
  <c r="C191" i="3"/>
  <c r="A57" i="1" a="1"/>
  <c r="A57" i="1" l="1"/>
  <c r="B57" i="1"/>
  <c r="F57" i="1" s="1"/>
  <c r="C57" i="1"/>
  <c r="E55" i="1"/>
  <c r="D191" i="3"/>
  <c r="F191" i="3"/>
  <c r="E192" i="3" s="1"/>
  <c r="C192" i="3"/>
  <c r="F47" i="5"/>
  <c r="D47" i="5"/>
  <c r="H46" i="5" s="1"/>
  <c r="E48" i="5"/>
  <c r="A58" i="1" a="1"/>
  <c r="A58" i="1" l="1"/>
  <c r="B58" i="1"/>
  <c r="F58" i="1" s="1"/>
  <c r="C58" i="1"/>
  <c r="E56" i="1"/>
  <c r="D192" i="3"/>
  <c r="D48" i="5"/>
  <c r="H47" i="5"/>
  <c r="C48" i="5"/>
  <c r="F192" i="3"/>
  <c r="E193" i="3" s="1"/>
  <c r="C193" i="3"/>
  <c r="A59" i="1" a="1"/>
  <c r="A59" i="1" l="1"/>
  <c r="B59" i="1"/>
  <c r="F59" i="1" s="1"/>
  <c r="C59" i="1"/>
  <c r="E57" i="1"/>
  <c r="D193" i="3"/>
  <c r="F193" i="3"/>
  <c r="E194" i="3" s="1"/>
  <c r="C194" i="3"/>
  <c r="F48" i="5"/>
  <c r="E49" i="5" s="1"/>
  <c r="C49" i="5"/>
  <c r="A60" i="1" a="1"/>
  <c r="A60" i="1" l="1"/>
  <c r="B60" i="1"/>
  <c r="F60" i="1" s="1"/>
  <c r="C60" i="1"/>
  <c r="E58" i="1"/>
  <c r="D194" i="3"/>
  <c r="F49" i="5"/>
  <c r="D49" i="5"/>
  <c r="H48" i="5" s="1"/>
  <c r="E50" i="5"/>
  <c r="F194" i="3"/>
  <c r="E195" i="3" s="1"/>
  <c r="C195" i="3"/>
  <c r="A61" i="1" a="1"/>
  <c r="A61" i="1" l="1"/>
  <c r="B61" i="1"/>
  <c r="F61" i="1" s="1"/>
  <c r="C61" i="1"/>
  <c r="E59" i="1"/>
  <c r="D195" i="3"/>
  <c r="F195" i="3"/>
  <c r="E196" i="3" s="1"/>
  <c r="C196" i="3"/>
  <c r="D50" i="5"/>
  <c r="H49" i="5"/>
  <c r="C50" i="5"/>
  <c r="A62" i="1" a="1"/>
  <c r="A62" i="1" l="1"/>
  <c r="B62" i="1"/>
  <c r="F62" i="1" s="1"/>
  <c r="C62" i="1"/>
  <c r="E60" i="1"/>
  <c r="D196" i="3"/>
  <c r="F50" i="5"/>
  <c r="E51" i="5" s="1"/>
  <c r="C51" i="5"/>
  <c r="F196" i="3"/>
  <c r="E197" i="3" s="1"/>
  <c r="C197" i="3"/>
  <c r="A63" i="1" a="1"/>
  <c r="A63" i="1" l="1"/>
  <c r="B63" i="1"/>
  <c r="F63" i="1" s="1"/>
  <c r="C63" i="1"/>
  <c r="E61" i="1"/>
  <c r="D197" i="3"/>
  <c r="F197" i="3"/>
  <c r="E198" i="3" s="1"/>
  <c r="C198" i="3"/>
  <c r="F51" i="5"/>
  <c r="D51" i="5"/>
  <c r="H50" i="5" s="1"/>
  <c r="E52" i="5"/>
  <c r="A64" i="1" a="1"/>
  <c r="A64" i="1" l="1"/>
  <c r="B64" i="1"/>
  <c r="F64" i="1" s="1"/>
  <c r="C64" i="1"/>
  <c r="E62" i="1"/>
  <c r="D198" i="3"/>
  <c r="D52" i="5"/>
  <c r="H51" i="5"/>
  <c r="C52" i="5"/>
  <c r="C199" i="3"/>
  <c r="F198" i="3"/>
  <c r="E199" i="3" s="1"/>
  <c r="A65" i="1" a="1"/>
  <c r="A65" i="1" l="1"/>
  <c r="B65" i="1"/>
  <c r="F65" i="1" s="1"/>
  <c r="C65" i="1"/>
  <c r="E63" i="1"/>
  <c r="D199" i="3"/>
  <c r="F199" i="3"/>
  <c r="E200" i="3" s="1"/>
  <c r="C200" i="3"/>
  <c r="F52" i="5"/>
  <c r="E53" i="5" s="1"/>
  <c r="C53" i="5"/>
  <c r="A66" i="1" a="1"/>
  <c r="A66" i="1" l="1"/>
  <c r="B66" i="1"/>
  <c r="F66" i="1" s="1"/>
  <c r="C66" i="1"/>
  <c r="E64" i="1"/>
  <c r="D200" i="3"/>
  <c r="F53" i="5"/>
  <c r="D53" i="5"/>
  <c r="H52" i="5" s="1"/>
  <c r="E54" i="5"/>
  <c r="C201" i="3"/>
  <c r="F200" i="3"/>
  <c r="E201" i="3" s="1"/>
  <c r="A67" i="1" a="1"/>
  <c r="A67" i="1" l="1"/>
  <c r="B67" i="1"/>
  <c r="F67" i="1" s="1"/>
  <c r="C67" i="1"/>
  <c r="E65" i="1"/>
  <c r="D201" i="3"/>
  <c r="F201" i="3"/>
  <c r="E202" i="3" s="1"/>
  <c r="C202" i="3"/>
  <c r="D54" i="5"/>
  <c r="H53" i="5"/>
  <c r="C54" i="5"/>
  <c r="A68" i="1" a="1"/>
  <c r="A68" i="1" l="1"/>
  <c r="B68" i="1"/>
  <c r="F68" i="1" s="1"/>
  <c r="C68" i="1"/>
  <c r="E66" i="1"/>
  <c r="D202" i="3"/>
  <c r="F54" i="5"/>
  <c r="E55" i="5" s="1"/>
  <c r="C55" i="5"/>
  <c r="F202" i="3"/>
  <c r="E203" i="3" s="1"/>
  <c r="C203" i="3"/>
  <c r="A69" i="1" a="1"/>
  <c r="A69" i="1" l="1"/>
  <c r="B69" i="1"/>
  <c r="F69" i="1" s="1"/>
  <c r="C69" i="1"/>
  <c r="E67" i="1"/>
  <c r="D203" i="3"/>
  <c r="F203" i="3"/>
  <c r="E204" i="3" s="1"/>
  <c r="C204" i="3"/>
  <c r="F55" i="5"/>
  <c r="D55" i="5"/>
  <c r="H54" i="5" s="1"/>
  <c r="E56" i="5"/>
  <c r="A70" i="1" a="1"/>
  <c r="A70" i="1" l="1"/>
  <c r="B70" i="1"/>
  <c r="F70" i="1" s="1"/>
  <c r="C70" i="1"/>
  <c r="E68" i="1"/>
  <c r="D204" i="3"/>
  <c r="D56" i="5"/>
  <c r="H55" i="5"/>
  <c r="C56" i="5"/>
  <c r="F204" i="3"/>
  <c r="E205" i="3" s="1"/>
  <c r="C205" i="3"/>
  <c r="A71" i="1" a="1"/>
  <c r="A71" i="1" l="1"/>
  <c r="B71" i="1"/>
  <c r="F71" i="1" s="1"/>
  <c r="C71" i="1"/>
  <c r="E69" i="1"/>
  <c r="D205" i="3"/>
  <c r="F205" i="3"/>
  <c r="E206" i="3" s="1"/>
  <c r="C206" i="3"/>
  <c r="F56" i="5"/>
  <c r="E57" i="5" s="1"/>
  <c r="C57" i="5"/>
  <c r="A72" i="1" a="1"/>
  <c r="A72" i="1" l="1"/>
  <c r="B72" i="1"/>
  <c r="F72" i="1" s="1"/>
  <c r="C72" i="1"/>
  <c r="E70" i="1"/>
  <c r="D206" i="3"/>
  <c r="F57" i="5"/>
  <c r="D57" i="5"/>
  <c r="H56" i="5" s="1"/>
  <c r="E58" i="5"/>
  <c r="F206" i="3"/>
  <c r="E207" i="3" s="1"/>
  <c r="C207" i="3"/>
  <c r="A73" i="1" a="1"/>
  <c r="A73" i="1" l="1"/>
  <c r="B73" i="1"/>
  <c r="F73" i="1" s="1"/>
  <c r="C73" i="1"/>
  <c r="E71" i="1"/>
  <c r="D207" i="3"/>
  <c r="F207" i="3"/>
  <c r="E208" i="3" s="1"/>
  <c r="C208" i="3"/>
  <c r="D58" i="5"/>
  <c r="H57" i="5"/>
  <c r="C58" i="5"/>
  <c r="A74" i="1" a="1"/>
  <c r="A74" i="1" l="1"/>
  <c r="B74" i="1"/>
  <c r="F74" i="1" s="1"/>
  <c r="C74" i="1"/>
  <c r="E72" i="1"/>
  <c r="D208" i="3"/>
  <c r="F58" i="5"/>
  <c r="E59" i="5" s="1"/>
  <c r="C59" i="5"/>
  <c r="F208" i="3"/>
  <c r="E209" i="3" s="1"/>
  <c r="C209" i="3"/>
  <c r="A75" i="1" a="1"/>
  <c r="A75" i="1" l="1"/>
  <c r="B75" i="1"/>
  <c r="F75" i="1" s="1"/>
  <c r="C75" i="1"/>
  <c r="E73" i="1"/>
  <c r="D209" i="3"/>
  <c r="F209" i="3"/>
  <c r="E210" i="3" s="1"/>
  <c r="C210" i="3"/>
  <c r="F59" i="5"/>
  <c r="D59" i="5"/>
  <c r="H58" i="5" s="1"/>
  <c r="E60" i="5"/>
  <c r="A76" i="1" a="1"/>
  <c r="A76" i="1" l="1"/>
  <c r="B76" i="1"/>
  <c r="F76" i="1" s="1"/>
  <c r="C76" i="1"/>
  <c r="E74" i="1"/>
  <c r="D210" i="3"/>
  <c r="D60" i="5"/>
  <c r="H59" i="5"/>
  <c r="C60" i="5"/>
  <c r="F210" i="3"/>
  <c r="E211" i="3" s="1"/>
  <c r="C211" i="3"/>
  <c r="A77" i="1" a="1"/>
  <c r="A77" i="1" l="1"/>
  <c r="B77" i="1"/>
  <c r="F77" i="1" s="1"/>
  <c r="C77" i="1"/>
  <c r="E75" i="1"/>
  <c r="D211" i="3"/>
  <c r="F211" i="3"/>
  <c r="E212" i="3" s="1"/>
  <c r="C212" i="3"/>
  <c r="F60" i="5"/>
  <c r="E61" i="5" s="1"/>
  <c r="C61" i="5"/>
  <c r="A78" i="1" a="1"/>
  <c r="A78" i="1" l="1"/>
  <c r="B78" i="1"/>
  <c r="F78" i="1" s="1"/>
  <c r="C78" i="1"/>
  <c r="E76" i="1"/>
  <c r="D212" i="3"/>
  <c r="F61" i="5"/>
  <c r="D61" i="5"/>
  <c r="H60" i="5" s="1"/>
  <c r="E62" i="5"/>
  <c r="F212" i="3"/>
  <c r="E213" i="3" s="1"/>
  <c r="C213" i="3"/>
  <c r="A79" i="1" a="1"/>
  <c r="A79" i="1" l="1"/>
  <c r="B79" i="1"/>
  <c r="F79" i="1" s="1"/>
  <c r="C79" i="1"/>
  <c r="E77" i="1"/>
  <c r="D213" i="3"/>
  <c r="F213" i="3"/>
  <c r="E214" i="3" s="1"/>
  <c r="C214" i="3"/>
  <c r="D62" i="5"/>
  <c r="H61" i="5"/>
  <c r="C62" i="5"/>
  <c r="A80" i="1" a="1"/>
  <c r="A80" i="1" l="1"/>
  <c r="B80" i="1"/>
  <c r="F80" i="1" s="1"/>
  <c r="C80" i="1"/>
  <c r="E78" i="1"/>
  <c r="D214" i="3"/>
  <c r="F62" i="5"/>
  <c r="E63" i="5" s="1"/>
  <c r="C63" i="5"/>
  <c r="F214" i="3"/>
  <c r="E215" i="3" s="1"/>
  <c r="C215" i="3"/>
  <c r="A81" i="1" a="1"/>
  <c r="A81" i="1" l="1"/>
  <c r="B81" i="1"/>
  <c r="F81" i="1" s="1"/>
  <c r="C81" i="1"/>
  <c r="E79" i="1"/>
  <c r="D215" i="3"/>
  <c r="F215" i="3"/>
  <c r="E216" i="3" s="1"/>
  <c r="C216" i="3"/>
  <c r="F63" i="5"/>
  <c r="D63" i="5"/>
  <c r="H62" i="5" s="1"/>
  <c r="E64" i="5"/>
  <c r="A82" i="1" a="1"/>
  <c r="A82" i="1" l="1"/>
  <c r="B82" i="1"/>
  <c r="F82" i="1" s="1"/>
  <c r="C82" i="1"/>
  <c r="E80" i="1"/>
  <c r="D216" i="3"/>
  <c r="D64" i="5"/>
  <c r="H63" i="5"/>
  <c r="C64" i="5"/>
  <c r="F216" i="3"/>
  <c r="E217" i="3" s="1"/>
  <c r="C217" i="3"/>
  <c r="A83" i="1" a="1"/>
  <c r="A83" i="1" l="1"/>
  <c r="B83" i="1"/>
  <c r="F83" i="1" s="1"/>
  <c r="C83" i="1"/>
  <c r="E81" i="1"/>
  <c r="D217" i="3"/>
  <c r="F217" i="3"/>
  <c r="E218" i="3" s="1"/>
  <c r="C218" i="3"/>
  <c r="F64" i="5"/>
  <c r="E65" i="5" s="1"/>
  <c r="C65" i="5"/>
  <c r="A84" i="1" a="1"/>
  <c r="A84" i="1" l="1"/>
  <c r="B84" i="1"/>
  <c r="F84" i="1" s="1"/>
  <c r="C84" i="1"/>
  <c r="E82" i="1"/>
  <c r="D218" i="3"/>
  <c r="F65" i="5"/>
  <c r="D65" i="5"/>
  <c r="H64" i="5" s="1"/>
  <c r="E66" i="5"/>
  <c r="F218" i="3"/>
  <c r="E219" i="3" s="1"/>
  <c r="C219" i="3"/>
  <c r="A85" i="1" a="1"/>
  <c r="A85" i="1" l="1"/>
  <c r="B85" i="1"/>
  <c r="F85" i="1" s="1"/>
  <c r="C85" i="1"/>
  <c r="E83" i="1"/>
  <c r="D219" i="3"/>
  <c r="F219" i="3"/>
  <c r="E220" i="3" s="1"/>
  <c r="C220" i="3"/>
  <c r="D66" i="5"/>
  <c r="H65" i="5"/>
  <c r="C66" i="5"/>
  <c r="A86" i="1" a="1"/>
  <c r="A86" i="1" l="1"/>
  <c r="B86" i="1"/>
  <c r="F86" i="1" s="1"/>
  <c r="C86" i="1"/>
  <c r="E84" i="1"/>
  <c r="D220" i="3"/>
  <c r="F66" i="5"/>
  <c r="E67" i="5" s="1"/>
  <c r="C67" i="5"/>
  <c r="F220" i="3"/>
  <c r="E221" i="3" s="1"/>
  <c r="C221" i="3"/>
  <c r="A87" i="1" a="1"/>
  <c r="A87" i="1" l="1"/>
  <c r="B87" i="1"/>
  <c r="F87" i="1" s="1"/>
  <c r="C87" i="1"/>
  <c r="E85" i="1"/>
  <c r="D221" i="3"/>
  <c r="C222" i="3"/>
  <c r="F221" i="3"/>
  <c r="E222" i="3" s="1"/>
  <c r="F67" i="5"/>
  <c r="D67" i="5"/>
  <c r="H66" i="5" s="1"/>
  <c r="E68" i="5"/>
  <c r="A88" i="1" a="1"/>
  <c r="A88" i="1" l="1"/>
  <c r="B88" i="1"/>
  <c r="F88" i="1" s="1"/>
  <c r="C88" i="1"/>
  <c r="E86" i="1"/>
  <c r="D222" i="3"/>
  <c r="D68" i="5"/>
  <c r="H67" i="5"/>
  <c r="C68" i="5"/>
  <c r="F222" i="3"/>
  <c r="E223" i="3" s="1"/>
  <c r="C223" i="3"/>
  <c r="A89" i="1" a="1"/>
  <c r="A89" i="1" l="1"/>
  <c r="B89" i="1"/>
  <c r="F89" i="1" s="1"/>
  <c r="C89" i="1"/>
  <c r="E87" i="1"/>
  <c r="D223" i="3"/>
  <c r="F223" i="3"/>
  <c r="E224" i="3" s="1"/>
  <c r="C224" i="3"/>
  <c r="F68" i="5"/>
  <c r="E69" i="5" s="1"/>
  <c r="C69" i="5"/>
  <c r="A90" i="1" a="1"/>
  <c r="A90" i="1" l="1"/>
  <c r="B90" i="1"/>
  <c r="F90" i="1" s="1"/>
  <c r="C90" i="1"/>
  <c r="E88" i="1"/>
  <c r="D224" i="3"/>
  <c r="F69" i="5"/>
  <c r="D69" i="5"/>
  <c r="H68" i="5" s="1"/>
  <c r="E70" i="5"/>
  <c r="F224" i="3"/>
  <c r="E225" i="3" s="1"/>
  <c r="C225" i="3"/>
  <c r="A91" i="1" a="1"/>
  <c r="A91" i="1" l="1"/>
  <c r="B91" i="1"/>
  <c r="F91" i="1" s="1"/>
  <c r="C91" i="1"/>
  <c r="E89" i="1"/>
  <c r="D225" i="3"/>
  <c r="F225" i="3"/>
  <c r="E226" i="3" s="1"/>
  <c r="C226" i="3"/>
  <c r="D70" i="5"/>
  <c r="H69" i="5"/>
  <c r="C70" i="5"/>
  <c r="A92" i="1" a="1"/>
  <c r="A92" i="1" l="1"/>
  <c r="B92" i="1"/>
  <c r="F92" i="1" s="1"/>
  <c r="C92" i="1"/>
  <c r="E90" i="1"/>
  <c r="D226" i="3"/>
  <c r="F70" i="5"/>
  <c r="E71" i="5" s="1"/>
  <c r="C71" i="5"/>
  <c r="F226" i="3"/>
  <c r="E227" i="3" s="1"/>
  <c r="C227" i="3"/>
  <c r="A93" i="1" a="1"/>
  <c r="A93" i="1" l="1"/>
  <c r="B93" i="1"/>
  <c r="F93" i="1" s="1"/>
  <c r="C93" i="1"/>
  <c r="E91" i="1"/>
  <c r="D227" i="3"/>
  <c r="F227" i="3"/>
  <c r="E228" i="3" s="1"/>
  <c r="C228" i="3"/>
  <c r="F71" i="5"/>
  <c r="D71" i="5"/>
  <c r="H70" i="5" s="1"/>
  <c r="E72" i="5"/>
  <c r="A94" i="1" a="1"/>
  <c r="A94" i="1" l="1"/>
  <c r="B94" i="1"/>
  <c r="F94" i="1" s="1"/>
  <c r="C94" i="1"/>
  <c r="E92" i="1"/>
  <c r="D228" i="3"/>
  <c r="D72" i="5"/>
  <c r="H71" i="5"/>
  <c r="C72" i="5"/>
  <c r="F228" i="3"/>
  <c r="E229" i="3" s="1"/>
  <c r="C229" i="3"/>
  <c r="A95" i="1" a="1"/>
  <c r="A95" i="1" l="1"/>
  <c r="B95" i="1"/>
  <c r="F95" i="1" s="1"/>
  <c r="C95" i="1"/>
  <c r="E93" i="1"/>
  <c r="D229" i="3"/>
  <c r="F229" i="3"/>
  <c r="E230" i="3" s="1"/>
  <c r="C230" i="3"/>
  <c r="F72" i="5"/>
  <c r="E73" i="5" s="1"/>
  <c r="C73" i="5"/>
  <c r="A96" i="1" a="1"/>
  <c r="A96" i="1" l="1"/>
  <c r="B96" i="1"/>
  <c r="F96" i="1" s="1"/>
  <c r="C96" i="1"/>
  <c r="E94" i="1"/>
  <c r="D230" i="3"/>
  <c r="F73" i="5"/>
  <c r="D73" i="5"/>
  <c r="H72" i="5" s="1"/>
  <c r="E74" i="5"/>
  <c r="F230" i="3"/>
  <c r="E231" i="3" s="1"/>
  <c r="C231" i="3"/>
  <c r="A97" i="1" a="1"/>
  <c r="A97" i="1" l="1"/>
  <c r="B97" i="1"/>
  <c r="F97" i="1" s="1"/>
  <c r="C97" i="1"/>
  <c r="E95" i="1"/>
  <c r="D231" i="3"/>
  <c r="F231" i="3"/>
  <c r="E232" i="3" s="1"/>
  <c r="C232" i="3"/>
  <c r="D74" i="5"/>
  <c r="H73" i="5"/>
  <c r="C74" i="5"/>
  <c r="A98" i="1" a="1"/>
  <c r="A98" i="1" l="1"/>
  <c r="B98" i="1"/>
  <c r="F98" i="1" s="1"/>
  <c r="C98" i="1"/>
  <c r="E96" i="1"/>
  <c r="D232" i="3"/>
  <c r="F74" i="5"/>
  <c r="E75" i="5" s="1"/>
  <c r="C75" i="5"/>
  <c r="F232" i="3"/>
  <c r="E233" i="3" s="1"/>
  <c r="C233" i="3"/>
  <c r="A99" i="1" a="1"/>
  <c r="A99" i="1" l="1"/>
  <c r="B99" i="1"/>
  <c r="F99" i="1" s="1"/>
  <c r="C99" i="1"/>
  <c r="E97" i="1"/>
  <c r="D233" i="3"/>
  <c r="F233" i="3"/>
  <c r="E234" i="3" s="1"/>
  <c r="C234" i="3"/>
  <c r="F75" i="5"/>
  <c r="D75" i="5"/>
  <c r="H74" i="5" s="1"/>
  <c r="E76" i="5"/>
  <c r="A100" i="1" a="1"/>
  <c r="A100" i="1" l="1"/>
  <c r="B100" i="1"/>
  <c r="F100" i="1" s="1"/>
  <c r="C100" i="1"/>
  <c r="E98" i="1"/>
  <c r="D234" i="3"/>
  <c r="D76" i="5"/>
  <c r="H75" i="5"/>
  <c r="C76" i="5"/>
  <c r="F234" i="3"/>
  <c r="E235" i="3" s="1"/>
  <c r="C235" i="3"/>
  <c r="A101" i="1" a="1"/>
  <c r="A101" i="1" l="1"/>
  <c r="B101" i="1"/>
  <c r="F101" i="1" s="1"/>
  <c r="C101" i="1"/>
  <c r="E99" i="1"/>
  <c r="D235" i="3"/>
  <c r="F235" i="3"/>
  <c r="E236" i="3" s="1"/>
  <c r="C236" i="3"/>
  <c r="F76" i="5"/>
  <c r="E77" i="5" s="1"/>
  <c r="C77" i="5"/>
  <c r="A102" i="1" a="1"/>
  <c r="A102" i="1" l="1"/>
  <c r="B102" i="1"/>
  <c r="F102" i="1" s="1"/>
  <c r="C102" i="1"/>
  <c r="E100" i="1"/>
  <c r="D236" i="3"/>
  <c r="F77" i="5"/>
  <c r="D77" i="5"/>
  <c r="H76" i="5" s="1"/>
  <c r="E78" i="5"/>
  <c r="F236" i="3"/>
  <c r="E237" i="3" s="1"/>
  <c r="C237" i="3"/>
  <c r="A103" i="1" a="1"/>
  <c r="A103" i="1" l="1"/>
  <c r="B103" i="1"/>
  <c r="F103" i="1" s="1"/>
  <c r="C103" i="1"/>
  <c r="E101" i="1"/>
  <c r="D237" i="3"/>
  <c r="F237" i="3"/>
  <c r="E238" i="3" s="1"/>
  <c r="C238" i="3"/>
  <c r="D78" i="5"/>
  <c r="H77" i="5"/>
  <c r="C78" i="5"/>
  <c r="A104" i="1" a="1"/>
  <c r="A104" i="1" l="1"/>
  <c r="B104" i="1"/>
  <c r="F104" i="1" s="1"/>
  <c r="C104" i="1"/>
  <c r="E102" i="1"/>
  <c r="D238" i="3"/>
  <c r="F78" i="5"/>
  <c r="E79" i="5" s="1"/>
  <c r="C79" i="5"/>
  <c r="F238" i="3"/>
  <c r="E239" i="3" s="1"/>
  <c r="C239" i="3"/>
  <c r="A105" i="1" a="1"/>
  <c r="A105" i="1" l="1"/>
  <c r="B105" i="1"/>
  <c r="F105" i="1" s="1"/>
  <c r="C105" i="1"/>
  <c r="E103" i="1"/>
  <c r="D239" i="3"/>
  <c r="F239" i="3"/>
  <c r="E240" i="3" s="1"/>
  <c r="C240" i="3"/>
  <c r="F79" i="5"/>
  <c r="D79" i="5"/>
  <c r="H78" i="5" s="1"/>
  <c r="E80" i="5"/>
  <c r="A106" i="1" a="1"/>
  <c r="A106" i="1" l="1"/>
  <c r="B106" i="1"/>
  <c r="F106" i="1" s="1"/>
  <c r="C106" i="1"/>
  <c r="E104" i="1"/>
  <c r="D240" i="3"/>
  <c r="D80" i="5"/>
  <c r="H79" i="5"/>
  <c r="C80" i="5"/>
  <c r="F240" i="3"/>
  <c r="E241" i="3" s="1"/>
  <c r="C241" i="3"/>
  <c r="A107" i="1" a="1"/>
  <c r="A107" i="1" l="1"/>
  <c r="B107" i="1"/>
  <c r="F107" i="1" s="1"/>
  <c r="C107" i="1"/>
  <c r="E105" i="1"/>
  <c r="D241" i="3"/>
  <c r="F241" i="3"/>
  <c r="E242" i="3" s="1"/>
  <c r="C242" i="3"/>
  <c r="F80" i="5"/>
  <c r="E81" i="5" s="1"/>
  <c r="C81" i="5"/>
  <c r="A108" i="1" a="1"/>
  <c r="A108" i="1" l="1"/>
  <c r="B108" i="1"/>
  <c r="F108" i="1" s="1"/>
  <c r="C108" i="1"/>
  <c r="E106" i="1"/>
  <c r="D242" i="3"/>
  <c r="F81" i="5"/>
  <c r="D81" i="5"/>
  <c r="H80" i="5" s="1"/>
  <c r="E82" i="5"/>
  <c r="F242" i="3"/>
  <c r="E243" i="3" s="1"/>
  <c r="C243" i="3"/>
  <c r="A109" i="1" a="1"/>
  <c r="A109" i="1" l="1"/>
  <c r="B109" i="1"/>
  <c r="F109" i="1" s="1"/>
  <c r="C109" i="1"/>
  <c r="E107" i="1"/>
  <c r="D243" i="3"/>
  <c r="F243" i="3"/>
  <c r="E244" i="3" s="1"/>
  <c r="C244" i="3"/>
  <c r="D82" i="5"/>
  <c r="H81" i="5"/>
  <c r="C82" i="5"/>
  <c r="A110" i="1" a="1"/>
  <c r="A110" i="1" l="1"/>
  <c r="B110" i="1"/>
  <c r="F110" i="1" s="1"/>
  <c r="C110" i="1"/>
  <c r="E108" i="1"/>
  <c r="D244" i="3"/>
  <c r="F82" i="5"/>
  <c r="E83" i="5" s="1"/>
  <c r="C83" i="5"/>
  <c r="F244" i="3"/>
  <c r="E245" i="3" s="1"/>
  <c r="C245" i="3"/>
  <c r="A111" i="1" a="1"/>
  <c r="A111" i="1" l="1"/>
  <c r="B111" i="1"/>
  <c r="F111" i="1" s="1"/>
  <c r="C111" i="1"/>
  <c r="E109" i="1"/>
  <c r="D245" i="3"/>
  <c r="F245" i="3"/>
  <c r="E246" i="3" s="1"/>
  <c r="C246" i="3"/>
  <c r="F83" i="5"/>
  <c r="D83" i="5"/>
  <c r="H82" i="5" s="1"/>
  <c r="E84" i="5"/>
  <c r="A112" i="1" a="1"/>
  <c r="A112" i="1" l="1"/>
  <c r="B112" i="1"/>
  <c r="F112" i="1" s="1"/>
  <c r="C112" i="1"/>
  <c r="E110" i="1"/>
  <c r="D246" i="3"/>
  <c r="D84" i="5"/>
  <c r="H83" i="5"/>
  <c r="C84" i="5"/>
  <c r="F246" i="3"/>
  <c r="E247" i="3" s="1"/>
  <c r="C247" i="3"/>
  <c r="A113" i="1" a="1"/>
  <c r="A113" i="1" l="1"/>
  <c r="B113" i="1"/>
  <c r="F113" i="1" s="1"/>
  <c r="C113" i="1"/>
  <c r="E111" i="1"/>
  <c r="D247" i="3"/>
  <c r="F247" i="3"/>
  <c r="E248" i="3" s="1"/>
  <c r="C248" i="3"/>
  <c r="F84" i="5"/>
  <c r="E85" i="5" s="1"/>
  <c r="C85" i="5"/>
  <c r="A114" i="1" a="1"/>
  <c r="A114" i="1" l="1"/>
  <c r="B114" i="1"/>
  <c r="F114" i="1" s="1"/>
  <c r="C114" i="1"/>
  <c r="E112" i="1"/>
  <c r="D248" i="3"/>
  <c r="F85" i="5"/>
  <c r="D85" i="5"/>
  <c r="H84" i="5" s="1"/>
  <c r="E86" i="5"/>
  <c r="F248" i="3"/>
  <c r="E249" i="3" s="1"/>
  <c r="C249" i="3"/>
  <c r="A115" i="1" a="1"/>
  <c r="A115" i="1" l="1"/>
  <c r="B115" i="1"/>
  <c r="F115" i="1" s="1"/>
  <c r="C115" i="1"/>
  <c r="E113" i="1"/>
  <c r="D249" i="3"/>
  <c r="F249" i="3"/>
  <c r="E250" i="3" s="1"/>
  <c r="C250" i="3"/>
  <c r="D86" i="5"/>
  <c r="H85" i="5"/>
  <c r="C86" i="5"/>
  <c r="A116" i="1" a="1"/>
  <c r="A116" i="1" l="1"/>
  <c r="B116" i="1"/>
  <c r="F116" i="1" s="1"/>
  <c r="C116" i="1"/>
  <c r="E114" i="1"/>
  <c r="D250" i="3"/>
  <c r="F86" i="5"/>
  <c r="E87" i="5" s="1"/>
  <c r="C87" i="5"/>
  <c r="F250" i="3"/>
  <c r="E251" i="3" s="1"/>
  <c r="C251" i="3"/>
  <c r="A117" i="1" a="1"/>
  <c r="A117" i="1" l="1"/>
  <c r="B117" i="1"/>
  <c r="F117" i="1" s="1"/>
  <c r="C117" i="1"/>
  <c r="E115" i="1"/>
  <c r="D251" i="3"/>
  <c r="F251" i="3"/>
  <c r="E252" i="3" s="1"/>
  <c r="C252" i="3"/>
  <c r="F87" i="5"/>
  <c r="D87" i="5"/>
  <c r="H86" i="5" s="1"/>
  <c r="E88" i="5"/>
  <c r="A118" i="1" a="1"/>
  <c r="A118" i="1" l="1"/>
  <c r="B118" i="1"/>
  <c r="F118" i="1" s="1"/>
  <c r="C118" i="1"/>
  <c r="E116" i="1"/>
  <c r="D252" i="3"/>
  <c r="D88" i="5"/>
  <c r="H87" i="5"/>
  <c r="C88" i="5"/>
  <c r="F252" i="3"/>
  <c r="E253" i="3" s="1"/>
  <c r="C253" i="3"/>
  <c r="A119" i="1" a="1"/>
  <c r="A119" i="1" l="1"/>
  <c r="B119" i="1"/>
  <c r="F119" i="1" s="1"/>
  <c r="C119" i="1"/>
  <c r="E117" i="1"/>
  <c r="D253" i="3"/>
  <c r="F253" i="3"/>
  <c r="E254" i="3" s="1"/>
  <c r="C254" i="3"/>
  <c r="F88" i="5"/>
  <c r="E89" i="5" s="1"/>
  <c r="C89" i="5"/>
  <c r="A120" i="1" a="1"/>
  <c r="A120" i="1" l="1"/>
  <c r="B120" i="1"/>
  <c r="F120" i="1" s="1"/>
  <c r="C120" i="1"/>
  <c r="E118" i="1"/>
  <c r="D254" i="3"/>
  <c r="F89" i="5"/>
  <c r="D89" i="5"/>
  <c r="H88" i="5" s="1"/>
  <c r="E90" i="5"/>
  <c r="F254" i="3"/>
  <c r="E255" i="3" s="1"/>
  <c r="C255" i="3"/>
  <c r="A121" i="1" a="1"/>
  <c r="A121" i="1" l="1"/>
  <c r="B121" i="1"/>
  <c r="F121" i="1" s="1"/>
  <c r="C121" i="1"/>
  <c r="E119" i="1"/>
  <c r="D255" i="3"/>
  <c r="F255" i="3"/>
  <c r="E256" i="3" s="1"/>
  <c r="C256" i="3"/>
  <c r="D90" i="5"/>
  <c r="H89" i="5"/>
  <c r="C90" i="5"/>
  <c r="A122" i="1" a="1"/>
  <c r="A122" i="1" l="1"/>
  <c r="B122" i="1"/>
  <c r="F122" i="1" s="1"/>
  <c r="C122" i="1"/>
  <c r="E120" i="1"/>
  <c r="D256" i="3"/>
  <c r="F90" i="5"/>
  <c r="E91" i="5" s="1"/>
  <c r="C91" i="5"/>
  <c r="F256" i="3"/>
  <c r="E257" i="3" s="1"/>
  <c r="C257" i="3"/>
  <c r="A123" i="1" a="1"/>
  <c r="A123" i="1" l="1"/>
  <c r="B123" i="1"/>
  <c r="F123" i="1" s="1"/>
  <c r="C123" i="1"/>
  <c r="E121" i="1"/>
  <c r="D257" i="3"/>
  <c r="F257" i="3"/>
  <c r="E258" i="3" s="1"/>
  <c r="C258" i="3"/>
  <c r="F91" i="5"/>
  <c r="D91" i="5"/>
  <c r="H90" i="5" s="1"/>
  <c r="E92" i="5"/>
  <c r="A124" i="1" a="1"/>
  <c r="A124" i="1" l="1"/>
  <c r="B124" i="1"/>
  <c r="F124" i="1" s="1"/>
  <c r="C124" i="1"/>
  <c r="E122" i="1"/>
  <c r="D258" i="3"/>
  <c r="D92" i="5"/>
  <c r="H91" i="5"/>
  <c r="C92" i="5"/>
  <c r="F258" i="3"/>
  <c r="E259" i="3" s="1"/>
  <c r="C259" i="3"/>
  <c r="A125" i="1" a="1"/>
  <c r="A125" i="1" l="1"/>
  <c r="B125" i="1"/>
  <c r="F125" i="1" s="1"/>
  <c r="C125" i="1"/>
  <c r="E123" i="1"/>
  <c r="D259" i="3"/>
  <c r="F259" i="3"/>
  <c r="E260" i="3" s="1"/>
  <c r="C260" i="3"/>
  <c r="F92" i="5"/>
  <c r="E93" i="5" s="1"/>
  <c r="C93" i="5"/>
  <c r="A126" i="1" a="1"/>
  <c r="A126" i="1" l="1"/>
  <c r="B126" i="1"/>
  <c r="F126" i="1" s="1"/>
  <c r="C126" i="1"/>
  <c r="E124" i="1"/>
  <c r="D260" i="3"/>
  <c r="F93" i="5"/>
  <c r="D93" i="5"/>
  <c r="H92" i="5" s="1"/>
  <c r="E94" i="5"/>
  <c r="F260" i="3"/>
  <c r="E261" i="3" s="1"/>
  <c r="C261" i="3"/>
  <c r="A127" i="1" a="1"/>
  <c r="A127" i="1" l="1"/>
  <c r="B127" i="1"/>
  <c r="F127" i="1" s="1"/>
  <c r="C127" i="1"/>
  <c r="E125" i="1"/>
  <c r="D261" i="3"/>
  <c r="F261" i="3"/>
  <c r="E262" i="3" s="1"/>
  <c r="C262" i="3"/>
  <c r="D94" i="5"/>
  <c r="H93" i="5"/>
  <c r="C94" i="5"/>
  <c r="A128" i="1" a="1"/>
  <c r="A128" i="1" l="1"/>
  <c r="B128" i="1"/>
  <c r="F128" i="1" s="1"/>
  <c r="C128" i="1"/>
  <c r="E126" i="1"/>
  <c r="D262" i="3"/>
  <c r="F94" i="5"/>
  <c r="E95" i="5" s="1"/>
  <c r="C95" i="5"/>
  <c r="F262" i="3"/>
  <c r="E263" i="3" s="1"/>
  <c r="C263" i="3"/>
  <c r="A129" i="1" a="1"/>
  <c r="A129" i="1" l="1"/>
  <c r="B129" i="1"/>
  <c r="F129" i="1" s="1"/>
  <c r="C129" i="1"/>
  <c r="E127" i="1"/>
  <c r="D263" i="3"/>
  <c r="F263" i="3"/>
  <c r="E264" i="3" s="1"/>
  <c r="C264" i="3"/>
  <c r="F95" i="5"/>
  <c r="D95" i="5"/>
  <c r="H94" i="5" s="1"/>
  <c r="E96" i="5"/>
  <c r="A130" i="1" a="1"/>
  <c r="A130" i="1" l="1"/>
  <c r="B130" i="1"/>
  <c r="F130" i="1" s="1"/>
  <c r="C130" i="1"/>
  <c r="E128" i="1"/>
  <c r="D264" i="3"/>
  <c r="D96" i="5"/>
  <c r="H95" i="5"/>
  <c r="C96" i="5"/>
  <c r="F264" i="3"/>
  <c r="E265" i="3" s="1"/>
  <c r="C265" i="3"/>
  <c r="A131" i="1" a="1"/>
  <c r="A131" i="1" l="1"/>
  <c r="B131" i="1"/>
  <c r="F131" i="1" s="1"/>
  <c r="C131" i="1"/>
  <c r="E129" i="1"/>
  <c r="D265" i="3"/>
  <c r="F265" i="3"/>
  <c r="E266" i="3" s="1"/>
  <c r="C266" i="3"/>
  <c r="F96" i="5"/>
  <c r="E97" i="5" s="1"/>
  <c r="C97" i="5"/>
  <c r="A132" i="1" a="1"/>
  <c r="A132" i="1" l="1"/>
  <c r="B132" i="1"/>
  <c r="F132" i="1" s="1"/>
  <c r="C132" i="1"/>
  <c r="E130" i="1"/>
  <c r="D266" i="3"/>
  <c r="F97" i="5"/>
  <c r="D97" i="5"/>
  <c r="H96" i="5" s="1"/>
  <c r="E98" i="5"/>
  <c r="F266" i="3"/>
  <c r="E267" i="3" s="1"/>
  <c r="C267" i="3"/>
  <c r="A133" i="1" a="1"/>
  <c r="A133" i="1" l="1"/>
  <c r="B133" i="1"/>
  <c r="F133" i="1" s="1"/>
  <c r="C133" i="1"/>
  <c r="E131" i="1"/>
  <c r="D267" i="3"/>
  <c r="F267" i="3"/>
  <c r="E268" i="3" s="1"/>
  <c r="C268" i="3"/>
  <c r="D98" i="5"/>
  <c r="H97" i="5"/>
  <c r="C98" i="5"/>
  <c r="A134" i="1" a="1"/>
  <c r="A134" i="1" l="1"/>
  <c r="B134" i="1"/>
  <c r="F134" i="1" s="1"/>
  <c r="C134" i="1"/>
  <c r="E132" i="1"/>
  <c r="D268" i="3"/>
  <c r="F98" i="5"/>
  <c r="E99" i="5" s="1"/>
  <c r="C99" i="5"/>
  <c r="F268" i="3"/>
  <c r="E269" i="3" s="1"/>
  <c r="C269" i="3"/>
  <c r="A135" i="1" a="1"/>
  <c r="A135" i="1" l="1"/>
  <c r="B135" i="1"/>
  <c r="F135" i="1" s="1"/>
  <c r="C135" i="1"/>
  <c r="E133" i="1"/>
  <c r="D269" i="3"/>
  <c r="F269" i="3"/>
  <c r="E270" i="3" s="1"/>
  <c r="C270" i="3"/>
  <c r="F99" i="5"/>
  <c r="D99" i="5"/>
  <c r="H98" i="5" s="1"/>
  <c r="E100" i="5"/>
  <c r="A136" i="1" a="1"/>
  <c r="A136" i="1" l="1"/>
  <c r="B136" i="1"/>
  <c r="F136" i="1" s="1"/>
  <c r="C136" i="1"/>
  <c r="E134" i="1"/>
  <c r="D270" i="3"/>
  <c r="D100" i="5"/>
  <c r="H99" i="5"/>
  <c r="C100" i="5"/>
  <c r="F270" i="3"/>
  <c r="E271" i="3" s="1"/>
  <c r="C271" i="3"/>
  <c r="A137" i="1" a="1"/>
  <c r="A137" i="1" l="1"/>
  <c r="B137" i="1"/>
  <c r="F137" i="1" s="1"/>
  <c r="C137" i="1"/>
  <c r="E135" i="1"/>
  <c r="D271" i="3"/>
  <c r="F271" i="3"/>
  <c r="E272" i="3" s="1"/>
  <c r="C272" i="3"/>
  <c r="F100" i="5"/>
  <c r="E101" i="5" s="1"/>
  <c r="C101" i="5"/>
  <c r="A138" i="1" a="1"/>
  <c r="A138" i="1" l="1"/>
  <c r="B138" i="1"/>
  <c r="F138" i="1" s="1"/>
  <c r="C138" i="1"/>
  <c r="E136" i="1"/>
  <c r="D272" i="3"/>
  <c r="F101" i="5"/>
  <c r="D101" i="5"/>
  <c r="H100" i="5" s="1"/>
  <c r="E102" i="5"/>
  <c r="F272" i="3"/>
  <c r="E273" i="3" s="1"/>
  <c r="C273" i="3"/>
  <c r="A139" i="1" a="1"/>
  <c r="A139" i="1" l="1"/>
  <c r="B139" i="1"/>
  <c r="F139" i="1" s="1"/>
  <c r="C139" i="1"/>
  <c r="E137" i="1"/>
  <c r="D273" i="3"/>
  <c r="F273" i="3"/>
  <c r="E274" i="3" s="1"/>
  <c r="C274" i="3"/>
  <c r="D102" i="5"/>
  <c r="H101" i="5"/>
  <c r="C102" i="5"/>
  <c r="A140" i="1" a="1"/>
  <c r="A140" i="1" l="1"/>
  <c r="B140" i="1"/>
  <c r="F140" i="1" s="1"/>
  <c r="C140" i="1"/>
  <c r="E138" i="1"/>
  <c r="D274" i="3"/>
  <c r="F102" i="5"/>
  <c r="E103" i="5" s="1"/>
  <c r="C103" i="5"/>
  <c r="F274" i="3"/>
  <c r="E275" i="3" s="1"/>
  <c r="C275" i="3"/>
  <c r="A141" i="1" a="1"/>
  <c r="A141" i="1" l="1"/>
  <c r="B141" i="1"/>
  <c r="F141" i="1" s="1"/>
  <c r="C141" i="1"/>
  <c r="E139" i="1"/>
  <c r="D275" i="3"/>
  <c r="F275" i="3"/>
  <c r="E276" i="3" s="1"/>
  <c r="C276" i="3"/>
  <c r="F103" i="5"/>
  <c r="D103" i="5"/>
  <c r="H102" i="5" s="1"/>
  <c r="E104" i="5"/>
  <c r="A142" i="1" a="1"/>
  <c r="A142" i="1" l="1"/>
  <c r="B142" i="1"/>
  <c r="F142" i="1" s="1"/>
  <c r="C142" i="1"/>
  <c r="E140" i="1"/>
  <c r="D276" i="3"/>
  <c r="D104" i="5"/>
  <c r="H103" i="5"/>
  <c r="C104" i="5"/>
  <c r="F276" i="3"/>
  <c r="E277" i="3" s="1"/>
  <c r="C277" i="3"/>
  <c r="A143" i="1" a="1"/>
  <c r="A143" i="1" l="1"/>
  <c r="B143" i="1"/>
  <c r="F143" i="1" s="1"/>
  <c r="C143" i="1"/>
  <c r="E141" i="1"/>
  <c r="D277" i="3"/>
  <c r="F277" i="3"/>
  <c r="E278" i="3" s="1"/>
  <c r="C278" i="3"/>
  <c r="F104" i="5"/>
  <c r="E105" i="5" s="1"/>
  <c r="C105" i="5"/>
  <c r="A144" i="1" a="1"/>
  <c r="A144" i="1" l="1"/>
  <c r="B144" i="1"/>
  <c r="F144" i="1" s="1"/>
  <c r="C144" i="1"/>
  <c r="E142" i="1"/>
  <c r="D278" i="3"/>
  <c r="F105" i="5"/>
  <c r="D105" i="5"/>
  <c r="H104" i="5" s="1"/>
  <c r="E106" i="5"/>
  <c r="F278" i="3"/>
  <c r="E279" i="3" s="1"/>
  <c r="C279" i="3"/>
  <c r="A145" i="1" a="1"/>
  <c r="A145" i="1" l="1"/>
  <c r="B145" i="1"/>
  <c r="F145" i="1" s="1"/>
  <c r="C145" i="1"/>
  <c r="E143" i="1"/>
  <c r="D279" i="3"/>
  <c r="F279" i="3"/>
  <c r="E280" i="3" s="1"/>
  <c r="C280" i="3"/>
  <c r="D106" i="5"/>
  <c r="H105" i="5"/>
  <c r="C106" i="5"/>
  <c r="A146" i="1" a="1"/>
  <c r="A146" i="1" l="1"/>
  <c r="B146" i="1"/>
  <c r="F146" i="1" s="1"/>
  <c r="C146" i="1"/>
  <c r="E144" i="1"/>
  <c r="D280" i="3"/>
  <c r="F106" i="5"/>
  <c r="E107" i="5" s="1"/>
  <c r="C107" i="5"/>
  <c r="F280" i="3"/>
  <c r="E281" i="3" s="1"/>
  <c r="C281" i="3"/>
  <c r="A147" i="1" a="1"/>
  <c r="A147" i="1" l="1"/>
  <c r="B147" i="1"/>
  <c r="F147" i="1" s="1"/>
  <c r="C147" i="1"/>
  <c r="E145" i="1"/>
  <c r="D281" i="3"/>
  <c r="F281" i="3"/>
  <c r="E282" i="3" s="1"/>
  <c r="C282" i="3"/>
  <c r="F107" i="5"/>
  <c r="D107" i="5"/>
  <c r="H106" i="5" s="1"/>
  <c r="E108" i="5"/>
  <c r="A148" i="1" a="1"/>
  <c r="A148" i="1" l="1"/>
  <c r="B148" i="1"/>
  <c r="F148" i="1" s="1"/>
  <c r="C148" i="1"/>
  <c r="E146" i="1"/>
  <c r="D282" i="3"/>
  <c r="D108" i="5"/>
  <c r="H107" i="5"/>
  <c r="C108" i="5"/>
  <c r="F282" i="3"/>
  <c r="E283" i="3" s="1"/>
  <c r="C283" i="3"/>
  <c r="A149" i="1" a="1"/>
  <c r="A149" i="1" l="1"/>
  <c r="B149" i="1"/>
  <c r="F149" i="1" s="1"/>
  <c r="C149" i="1"/>
  <c r="E147" i="1"/>
  <c r="D283" i="3"/>
  <c r="F283" i="3"/>
  <c r="E284" i="3" s="1"/>
  <c r="C284" i="3"/>
  <c r="F108" i="5"/>
  <c r="E109" i="5" s="1"/>
  <c r="C109" i="5"/>
  <c r="A150" i="1" a="1"/>
  <c r="A150" i="1" l="1"/>
  <c r="B150" i="1"/>
  <c r="F150" i="1" s="1"/>
  <c r="C150" i="1"/>
  <c r="E148" i="1"/>
  <c r="D284" i="3"/>
  <c r="F109" i="5"/>
  <c r="D109" i="5"/>
  <c r="H108" i="5" s="1"/>
  <c r="E110" i="5"/>
  <c r="F284" i="3"/>
  <c r="E285" i="3" s="1"/>
  <c r="C285" i="3"/>
  <c r="A151" i="1" a="1"/>
  <c r="A151" i="1" l="1"/>
  <c r="B151" i="1"/>
  <c r="F151" i="1" s="1"/>
  <c r="C151" i="1"/>
  <c r="E149" i="1"/>
  <c r="D285" i="3"/>
  <c r="F285" i="3"/>
  <c r="E286" i="3" s="1"/>
  <c r="C286" i="3"/>
  <c r="D110" i="5"/>
  <c r="H109" i="5"/>
  <c r="C110" i="5"/>
  <c r="A152" i="1" a="1"/>
  <c r="A152" i="1" l="1"/>
  <c r="B152" i="1"/>
  <c r="F152" i="1" s="1"/>
  <c r="C152" i="1"/>
  <c r="E150" i="1"/>
  <c r="D286" i="3"/>
  <c r="F110" i="5"/>
  <c r="E111" i="5" s="1"/>
  <c r="C111" i="5"/>
  <c r="F286" i="3"/>
  <c r="E287" i="3" s="1"/>
  <c r="C287" i="3"/>
  <c r="A153" i="1" a="1"/>
  <c r="A153" i="1" l="1"/>
  <c r="B153" i="1"/>
  <c r="F153" i="1" s="1"/>
  <c r="C153" i="1"/>
  <c r="E151" i="1"/>
  <c r="D287" i="3"/>
  <c r="F287" i="3"/>
  <c r="E288" i="3" s="1"/>
  <c r="C288" i="3"/>
  <c r="F111" i="5"/>
  <c r="D111" i="5"/>
  <c r="H110" i="5" s="1"/>
  <c r="E112" i="5"/>
  <c r="A154" i="1" a="1"/>
  <c r="A154" i="1" l="1"/>
  <c r="B154" i="1"/>
  <c r="F154" i="1" s="1"/>
  <c r="C154" i="1"/>
  <c r="E152" i="1"/>
  <c r="D288" i="3"/>
  <c r="D112" i="5"/>
  <c r="H111" i="5"/>
  <c r="C112" i="5"/>
  <c r="F288" i="3"/>
  <c r="E289" i="3" s="1"/>
  <c r="C289" i="3"/>
  <c r="A155" i="1" a="1"/>
  <c r="A155" i="1" l="1"/>
  <c r="B155" i="1"/>
  <c r="F155" i="1" s="1"/>
  <c r="C155" i="1"/>
  <c r="E153" i="1"/>
  <c r="D289" i="3"/>
  <c r="F289" i="3"/>
  <c r="E290" i="3" s="1"/>
  <c r="C290" i="3"/>
  <c r="F112" i="5"/>
  <c r="E113" i="5" s="1"/>
  <c r="C113" i="5"/>
  <c r="A156" i="1" a="1"/>
  <c r="A156" i="1" l="1"/>
  <c r="B156" i="1"/>
  <c r="F156" i="1" s="1"/>
  <c r="C156" i="1"/>
  <c r="E154" i="1"/>
  <c r="D290" i="3"/>
  <c r="F113" i="5"/>
  <c r="D113" i="5"/>
  <c r="H112" i="5" s="1"/>
  <c r="E114" i="5"/>
  <c r="F290" i="3"/>
  <c r="E291" i="3" s="1"/>
  <c r="C291" i="3"/>
  <c r="A157" i="1" a="1"/>
  <c r="A157" i="1" l="1"/>
  <c r="B157" i="1"/>
  <c r="F157" i="1" s="1"/>
  <c r="C157" i="1"/>
  <c r="E155" i="1"/>
  <c r="D291" i="3"/>
  <c r="F291" i="3"/>
  <c r="E292" i="3" s="1"/>
  <c r="C292" i="3"/>
  <c r="D114" i="5"/>
  <c r="H113" i="5"/>
  <c r="C114" i="5"/>
  <c r="A158" i="1" a="1"/>
  <c r="A158" i="1" l="1"/>
  <c r="B158" i="1"/>
  <c r="F158" i="1" s="1"/>
  <c r="C158" i="1"/>
  <c r="E156" i="1"/>
  <c r="D292" i="3"/>
  <c r="F114" i="5"/>
  <c r="E115" i="5" s="1"/>
  <c r="C115" i="5"/>
  <c r="F292" i="3"/>
  <c r="E293" i="3" s="1"/>
  <c r="C293" i="3"/>
  <c r="A159" i="1" a="1"/>
  <c r="A159" i="1" l="1"/>
  <c r="B159" i="1"/>
  <c r="F159" i="1" s="1"/>
  <c r="C159" i="1"/>
  <c r="E157" i="1"/>
  <c r="D293" i="3"/>
  <c r="F293" i="3"/>
  <c r="E294" i="3" s="1"/>
  <c r="C294" i="3"/>
  <c r="F115" i="5"/>
  <c r="D115" i="5"/>
  <c r="H114" i="5" s="1"/>
  <c r="E116" i="5"/>
  <c r="A160" i="1" a="1"/>
  <c r="A160" i="1" l="1"/>
  <c r="B160" i="1"/>
  <c r="F160" i="1" s="1"/>
  <c r="C160" i="1"/>
  <c r="E158" i="1"/>
  <c r="D294" i="3"/>
  <c r="D116" i="5"/>
  <c r="H115" i="5"/>
  <c r="C116" i="5"/>
  <c r="F294" i="3"/>
  <c r="E295" i="3" s="1"/>
  <c r="C295" i="3"/>
  <c r="A161" i="1" a="1"/>
  <c r="A161" i="1" l="1"/>
  <c r="B161" i="1"/>
  <c r="F161" i="1" s="1"/>
  <c r="C161" i="1"/>
  <c r="E159" i="1"/>
  <c r="D295" i="3"/>
  <c r="F295" i="3"/>
  <c r="E296" i="3" s="1"/>
  <c r="C296" i="3"/>
  <c r="F116" i="5"/>
  <c r="E117" i="5" s="1"/>
  <c r="C117" i="5"/>
  <c r="A162" i="1" a="1"/>
  <c r="A162" i="1" l="1"/>
  <c r="B162" i="1"/>
  <c r="F162" i="1" s="1"/>
  <c r="C162" i="1"/>
  <c r="E160" i="1"/>
  <c r="D296" i="3"/>
  <c r="F117" i="5"/>
  <c r="D117" i="5"/>
  <c r="H116" i="5" s="1"/>
  <c r="E118" i="5"/>
  <c r="F296" i="3"/>
  <c r="E297" i="3" s="1"/>
  <c r="C297" i="3"/>
  <c r="A163" i="1" a="1"/>
  <c r="A163" i="1" l="1"/>
  <c r="B163" i="1"/>
  <c r="F163" i="1" s="1"/>
  <c r="C163" i="1"/>
  <c r="E161" i="1"/>
  <c r="D297" i="3"/>
  <c r="F297" i="3"/>
  <c r="E298" i="3" s="1"/>
  <c r="C298" i="3"/>
  <c r="D118" i="5"/>
  <c r="H117" i="5"/>
  <c r="C118" i="5"/>
  <c r="A164" i="1" a="1"/>
  <c r="A164" i="1" l="1"/>
  <c r="B164" i="1"/>
  <c r="F164" i="1" s="1"/>
  <c r="C164" i="1"/>
  <c r="E162" i="1"/>
  <c r="D298" i="3"/>
  <c r="F118" i="5"/>
  <c r="E119" i="5" s="1"/>
  <c r="C119" i="5"/>
  <c r="F298" i="3"/>
  <c r="E299" i="3" s="1"/>
  <c r="C299" i="3"/>
  <c r="A165" i="1" a="1"/>
  <c r="A165" i="1" l="1"/>
  <c r="B165" i="1"/>
  <c r="F165" i="1" s="1"/>
  <c r="C165" i="1"/>
  <c r="E163" i="1"/>
  <c r="D299" i="3"/>
  <c r="F299" i="3"/>
  <c r="E300" i="3" s="1"/>
  <c r="C300" i="3"/>
  <c r="F119" i="5"/>
  <c r="D119" i="5"/>
  <c r="H118" i="5" s="1"/>
  <c r="E120" i="5"/>
  <c r="A166" i="1" a="1"/>
  <c r="A166" i="1" l="1"/>
  <c r="B166" i="1"/>
  <c r="F166" i="1" s="1"/>
  <c r="C166" i="1"/>
  <c r="E164" i="1"/>
  <c r="D300" i="3"/>
  <c r="D120" i="5"/>
  <c r="H119" i="5"/>
  <c r="C120" i="5"/>
  <c r="F300" i="3"/>
  <c r="E301" i="3" s="1"/>
  <c r="C301" i="3"/>
  <c r="A167" i="1" a="1"/>
  <c r="A167" i="1" l="1"/>
  <c r="B167" i="1"/>
  <c r="F167" i="1" s="1"/>
  <c r="C167" i="1"/>
  <c r="E165" i="1"/>
  <c r="D301" i="3"/>
  <c r="F301" i="3"/>
  <c r="E302" i="3" s="1"/>
  <c r="C302" i="3"/>
  <c r="F120" i="5"/>
  <c r="E121" i="5" s="1"/>
  <c r="C121" i="5"/>
  <c r="A168" i="1" a="1"/>
  <c r="A168" i="1" l="1"/>
  <c r="B168" i="1"/>
  <c r="F168" i="1" s="1"/>
  <c r="C168" i="1"/>
  <c r="E166" i="1"/>
  <c r="D302" i="3"/>
  <c r="F121" i="5"/>
  <c r="D121" i="5"/>
  <c r="H120" i="5" s="1"/>
  <c r="E122" i="5"/>
  <c r="F302" i="3"/>
  <c r="E303" i="3" s="1"/>
  <c r="C303" i="3"/>
  <c r="A169" i="1" a="1"/>
  <c r="A169" i="1" l="1"/>
  <c r="B169" i="1"/>
  <c r="F169" i="1" s="1"/>
  <c r="C169" i="1"/>
  <c r="E167" i="1"/>
  <c r="D303" i="3"/>
  <c r="F303" i="3"/>
  <c r="E304" i="3" s="1"/>
  <c r="C304" i="3"/>
  <c r="D122" i="5"/>
  <c r="H121" i="5"/>
  <c r="C122" i="5"/>
  <c r="A170" i="1" a="1"/>
  <c r="A170" i="1" l="1"/>
  <c r="B170" i="1"/>
  <c r="F170" i="1" s="1"/>
  <c r="C170" i="1"/>
  <c r="E168" i="1"/>
  <c r="D304" i="3"/>
  <c r="F122" i="5"/>
  <c r="E123" i="5" s="1"/>
  <c r="C123" i="5"/>
  <c r="F304" i="3"/>
  <c r="E305" i="3" s="1"/>
  <c r="C305" i="3"/>
  <c r="A171" i="1" a="1"/>
  <c r="A171" i="1" l="1"/>
  <c r="B171" i="1"/>
  <c r="F171" i="1" s="1"/>
  <c r="C171" i="1"/>
  <c r="E169" i="1"/>
  <c r="D305" i="3"/>
  <c r="F305" i="3"/>
  <c r="E306" i="3" s="1"/>
  <c r="C306" i="3"/>
  <c r="F123" i="5"/>
  <c r="D123" i="5"/>
  <c r="H122" i="5" s="1"/>
  <c r="E124" i="5"/>
  <c r="A172" i="1" a="1"/>
  <c r="A172" i="1" l="1"/>
  <c r="B172" i="1"/>
  <c r="F172" i="1" s="1"/>
  <c r="C172" i="1"/>
  <c r="E170" i="1"/>
  <c r="D306" i="3"/>
  <c r="D124" i="5"/>
  <c r="H123" i="5"/>
  <c r="C124" i="5"/>
  <c r="F306" i="3"/>
  <c r="E307" i="3" s="1"/>
  <c r="C307" i="3"/>
  <c r="A173" i="1" a="1"/>
  <c r="A173" i="1" l="1"/>
  <c r="B173" i="1"/>
  <c r="F173" i="1" s="1"/>
  <c r="C173" i="1"/>
  <c r="E171" i="1"/>
  <c r="D307" i="3"/>
  <c r="F307" i="3"/>
  <c r="E308" i="3" s="1"/>
  <c r="C308" i="3"/>
  <c r="F124" i="5"/>
  <c r="E125" i="5" s="1"/>
  <c r="C125" i="5"/>
  <c r="A174" i="1" a="1"/>
  <c r="A174" i="1" l="1"/>
  <c r="B174" i="1"/>
  <c r="F174" i="1" s="1"/>
  <c r="C174" i="1"/>
  <c r="E172" i="1"/>
  <c r="D308" i="3"/>
  <c r="F125" i="5"/>
  <c r="D125" i="5"/>
  <c r="H124" i="5" s="1"/>
  <c r="E126" i="5"/>
  <c r="F308" i="3"/>
  <c r="E309" i="3" s="1"/>
  <c r="C309" i="3"/>
  <c r="A175" i="1" a="1"/>
  <c r="A175" i="1" l="1"/>
  <c r="B175" i="1"/>
  <c r="F175" i="1" s="1"/>
  <c r="C175" i="1"/>
  <c r="E173" i="1"/>
  <c r="D309" i="3"/>
  <c r="F309" i="3"/>
  <c r="E310" i="3" s="1"/>
  <c r="C310" i="3"/>
  <c r="D126" i="5"/>
  <c r="H125" i="5"/>
  <c r="C126" i="5"/>
  <c r="A176" i="1" a="1"/>
  <c r="A176" i="1" l="1"/>
  <c r="B176" i="1"/>
  <c r="F176" i="1" s="1"/>
  <c r="C176" i="1"/>
  <c r="E174" i="1"/>
  <c r="D310" i="3"/>
  <c r="F126" i="5"/>
  <c r="E127" i="5" s="1"/>
  <c r="C127" i="5"/>
  <c r="F310" i="3"/>
  <c r="E311" i="3" s="1"/>
  <c r="C311" i="3"/>
  <c r="A177" i="1" a="1"/>
  <c r="A177" i="1" l="1"/>
  <c r="B177" i="1"/>
  <c r="F177" i="1" s="1"/>
  <c r="C177" i="1"/>
  <c r="E175" i="1"/>
  <c r="D311" i="3"/>
  <c r="F311" i="3"/>
  <c r="E312" i="3" s="1"/>
  <c r="C312" i="3"/>
  <c r="F127" i="5"/>
  <c r="D127" i="5"/>
  <c r="H126" i="5" s="1"/>
  <c r="E128" i="5"/>
  <c r="A178" i="1" a="1"/>
  <c r="A178" i="1" l="1"/>
  <c r="B178" i="1"/>
  <c r="F178" i="1" s="1"/>
  <c r="C178" i="1"/>
  <c r="E176" i="1"/>
  <c r="D312" i="3"/>
  <c r="D128" i="5"/>
  <c r="H127" i="5"/>
  <c r="C128" i="5"/>
  <c r="F312" i="3"/>
  <c r="E313" i="3" s="1"/>
  <c r="C313" i="3"/>
  <c r="A179" i="1" a="1"/>
  <c r="A179" i="1" l="1"/>
  <c r="B179" i="1"/>
  <c r="F179" i="1" s="1"/>
  <c r="C179" i="1"/>
  <c r="E177" i="1"/>
  <c r="D313" i="3"/>
  <c r="F313" i="3"/>
  <c r="E314" i="3" s="1"/>
  <c r="C314" i="3"/>
  <c r="F128" i="5"/>
  <c r="E129" i="5" s="1"/>
  <c r="C129" i="5"/>
  <c r="A180" i="1" a="1"/>
  <c r="A180" i="1" l="1"/>
  <c r="B180" i="1"/>
  <c r="F180" i="1" s="1"/>
  <c r="C180" i="1"/>
  <c r="E178" i="1"/>
  <c r="D314" i="3"/>
  <c r="F129" i="5"/>
  <c r="D129" i="5"/>
  <c r="H128" i="5" s="1"/>
  <c r="E130" i="5"/>
  <c r="F314" i="3"/>
  <c r="E315" i="3" s="1"/>
  <c r="C315" i="3"/>
  <c r="A181" i="1" a="1"/>
  <c r="A181" i="1" l="1"/>
  <c r="B181" i="1"/>
  <c r="F181" i="1" s="1"/>
  <c r="C181" i="1"/>
  <c r="E179" i="1"/>
  <c r="D315" i="3"/>
  <c r="F315" i="3"/>
  <c r="E316" i="3" s="1"/>
  <c r="C316" i="3"/>
  <c r="D130" i="5"/>
  <c r="H129" i="5"/>
  <c r="C130" i="5"/>
  <c r="A182" i="1" a="1"/>
  <c r="A182" i="1" l="1"/>
  <c r="B182" i="1"/>
  <c r="F182" i="1" s="1"/>
  <c r="C182" i="1"/>
  <c r="E180" i="1"/>
  <c r="D316" i="3"/>
  <c r="F130" i="5"/>
  <c r="E131" i="5" s="1"/>
  <c r="C131" i="5"/>
  <c r="F316" i="3"/>
  <c r="E317" i="3" s="1"/>
  <c r="C317" i="3"/>
  <c r="A183" i="1" a="1"/>
  <c r="A183" i="1" l="1"/>
  <c r="B183" i="1"/>
  <c r="F183" i="1" s="1"/>
  <c r="C183" i="1"/>
  <c r="E181" i="1"/>
  <c r="D317" i="3"/>
  <c r="F317" i="3"/>
  <c r="E318" i="3" s="1"/>
  <c r="C318" i="3"/>
  <c r="F131" i="5"/>
  <c r="D131" i="5"/>
  <c r="H130" i="5" s="1"/>
  <c r="E132" i="5"/>
  <c r="A184" i="1" a="1"/>
  <c r="A184" i="1" l="1"/>
  <c r="B184" i="1"/>
  <c r="F184" i="1" s="1"/>
  <c r="C184" i="1"/>
  <c r="E182" i="1"/>
  <c r="D318" i="3"/>
  <c r="D132" i="5"/>
  <c r="H131" i="5"/>
  <c r="C132" i="5"/>
  <c r="F318" i="3"/>
  <c r="E319" i="3" s="1"/>
  <c r="C319" i="3"/>
  <c r="A185" i="1" a="1"/>
  <c r="A185" i="1" l="1"/>
  <c r="B185" i="1"/>
  <c r="F185" i="1" s="1"/>
  <c r="C185" i="1"/>
  <c r="E183" i="1"/>
  <c r="D319" i="3"/>
  <c r="F319" i="3"/>
  <c r="E320" i="3" s="1"/>
  <c r="C320" i="3"/>
  <c r="F132" i="5"/>
  <c r="E133" i="5" s="1"/>
  <c r="C133" i="5"/>
  <c r="A186" i="1" a="1"/>
  <c r="A186" i="1" l="1"/>
  <c r="B186" i="1"/>
  <c r="F186" i="1" s="1"/>
  <c r="C186" i="1"/>
  <c r="E184" i="1"/>
  <c r="D320" i="3"/>
  <c r="F133" i="5"/>
  <c r="D133" i="5"/>
  <c r="H132" i="5" s="1"/>
  <c r="E134" i="5"/>
  <c r="F320" i="3"/>
  <c r="E321" i="3" s="1"/>
  <c r="C321" i="3"/>
  <c r="A187" i="1" a="1"/>
  <c r="A187" i="1" l="1"/>
  <c r="B187" i="1"/>
  <c r="F187" i="1" s="1"/>
  <c r="C187" i="1"/>
  <c r="E185" i="1"/>
  <c r="D321" i="3"/>
  <c r="F321" i="3"/>
  <c r="E322" i="3" s="1"/>
  <c r="C322" i="3"/>
  <c r="D134" i="5"/>
  <c r="H133" i="5"/>
  <c r="C134" i="5"/>
  <c r="A188" i="1" a="1"/>
  <c r="A188" i="1" l="1"/>
  <c r="B188" i="1"/>
  <c r="F188" i="1" s="1"/>
  <c r="C188" i="1"/>
  <c r="E186" i="1"/>
  <c r="D322" i="3"/>
  <c r="F134" i="5"/>
  <c r="E135" i="5" s="1"/>
  <c r="C135" i="5"/>
  <c r="F322" i="3"/>
  <c r="E323" i="3" s="1"/>
  <c r="C323" i="3"/>
  <c r="A189" i="1" a="1"/>
  <c r="A189" i="1" l="1"/>
  <c r="B189" i="1"/>
  <c r="F189" i="1" s="1"/>
  <c r="C189" i="1"/>
  <c r="E187" i="1"/>
  <c r="D323" i="3"/>
  <c r="F323" i="3"/>
  <c r="E324" i="3" s="1"/>
  <c r="C324" i="3"/>
  <c r="F135" i="5"/>
  <c r="D135" i="5"/>
  <c r="H134" i="5" s="1"/>
  <c r="E136" i="5"/>
  <c r="A190" i="1" a="1"/>
  <c r="A190" i="1" l="1"/>
  <c r="B190" i="1"/>
  <c r="F190" i="1" s="1"/>
  <c r="C190" i="1"/>
  <c r="E188" i="1"/>
  <c r="D324" i="3"/>
  <c r="D136" i="5"/>
  <c r="H135" i="5"/>
  <c r="C136" i="5"/>
  <c r="F324" i="3"/>
  <c r="E325" i="3" s="1"/>
  <c r="C325" i="3"/>
  <c r="A191" i="1" a="1"/>
  <c r="A191" i="1" l="1"/>
  <c r="B191" i="1"/>
  <c r="F191" i="1" s="1"/>
  <c r="C191" i="1"/>
  <c r="E189" i="1"/>
  <c r="D325" i="3"/>
  <c r="F325" i="3"/>
  <c r="E326" i="3" s="1"/>
  <c r="C326" i="3"/>
  <c r="F136" i="5"/>
  <c r="E137" i="5" s="1"/>
  <c r="C137" i="5"/>
  <c r="A192" i="1" a="1"/>
  <c r="A192" i="1" l="1"/>
  <c r="B192" i="1"/>
  <c r="F192" i="1" s="1"/>
  <c r="C192" i="1"/>
  <c r="E190" i="1"/>
  <c r="D326" i="3"/>
  <c r="F137" i="5"/>
  <c r="D137" i="5"/>
  <c r="H136" i="5" s="1"/>
  <c r="E138" i="5"/>
  <c r="F326" i="3"/>
  <c r="E327" i="3" s="1"/>
  <c r="C327" i="3"/>
  <c r="A193" i="1" a="1"/>
  <c r="A193" i="1" l="1"/>
  <c r="B193" i="1"/>
  <c r="F193" i="1" s="1"/>
  <c r="C193" i="1"/>
  <c r="E191" i="1"/>
  <c r="D327" i="3"/>
  <c r="F327" i="3"/>
  <c r="E328" i="3" s="1"/>
  <c r="C328" i="3"/>
  <c r="D138" i="5"/>
  <c r="H137" i="5"/>
  <c r="C138" i="5"/>
  <c r="A194" i="1" a="1"/>
  <c r="A194" i="1" l="1"/>
  <c r="B194" i="1"/>
  <c r="F194" i="1" s="1"/>
  <c r="C194" i="1"/>
  <c r="E192" i="1"/>
  <c r="D328" i="3"/>
  <c r="F138" i="5"/>
  <c r="E139" i="5" s="1"/>
  <c r="C139" i="5"/>
  <c r="F328" i="3"/>
  <c r="E329" i="3" s="1"/>
  <c r="C329" i="3"/>
  <c r="A195" i="1" a="1"/>
  <c r="A195" i="1" l="1"/>
  <c r="B195" i="1"/>
  <c r="F195" i="1" s="1"/>
  <c r="C195" i="1"/>
  <c r="E193" i="1"/>
  <c r="D329" i="3"/>
  <c r="F329" i="3"/>
  <c r="E330" i="3" s="1"/>
  <c r="C330" i="3"/>
  <c r="F139" i="5"/>
  <c r="D139" i="5"/>
  <c r="H138" i="5" s="1"/>
  <c r="E140" i="5"/>
  <c r="A196" i="1" a="1"/>
  <c r="A196" i="1" l="1"/>
  <c r="B196" i="1"/>
  <c r="F196" i="1" s="1"/>
  <c r="C196" i="1"/>
  <c r="E194" i="1"/>
  <c r="D330" i="3"/>
  <c r="D140" i="5"/>
  <c r="H139" i="5"/>
  <c r="C140" i="5"/>
  <c r="F330" i="3"/>
  <c r="E331" i="3" s="1"/>
  <c r="C331" i="3"/>
  <c r="A197" i="1" a="1"/>
  <c r="A197" i="1" l="1"/>
  <c r="B197" i="1"/>
  <c r="F197" i="1" s="1"/>
  <c r="C197" i="1"/>
  <c r="E195" i="1"/>
  <c r="D331" i="3"/>
  <c r="F331" i="3"/>
  <c r="E332" i="3" s="1"/>
  <c r="C332" i="3"/>
  <c r="F140" i="5"/>
  <c r="E141" i="5" s="1"/>
  <c r="C141" i="5"/>
  <c r="A198" i="1" a="1"/>
  <c r="A198" i="1" l="1"/>
  <c r="B198" i="1"/>
  <c r="F198" i="1" s="1"/>
  <c r="C198" i="1"/>
  <c r="E196" i="1"/>
  <c r="D332" i="3"/>
  <c r="F141" i="5"/>
  <c r="D141" i="5"/>
  <c r="H140" i="5" s="1"/>
  <c r="E142" i="5"/>
  <c r="F332" i="3"/>
  <c r="E333" i="3" s="1"/>
  <c r="C333" i="3"/>
  <c r="A199" i="1" a="1"/>
  <c r="A199" i="1" l="1"/>
  <c r="B199" i="1"/>
  <c r="F199" i="1" s="1"/>
  <c r="C199" i="1"/>
  <c r="E197" i="1"/>
  <c r="D333" i="3"/>
  <c r="F333" i="3"/>
  <c r="E334" i="3" s="1"/>
  <c r="C334" i="3"/>
  <c r="D142" i="5"/>
  <c r="H141" i="5"/>
  <c r="C142" i="5"/>
  <c r="A200" i="1" a="1"/>
  <c r="A200" i="1" l="1"/>
  <c r="B200" i="1"/>
  <c r="F200" i="1" s="1"/>
  <c r="C200" i="1"/>
  <c r="E198" i="1"/>
  <c r="D334" i="3"/>
  <c r="F142" i="5"/>
  <c r="E143" i="5" s="1"/>
  <c r="C143" i="5"/>
  <c r="F334" i="3"/>
  <c r="E335" i="3" s="1"/>
  <c r="C335" i="3"/>
  <c r="A201" i="1" a="1"/>
  <c r="A201" i="1" l="1"/>
  <c r="B201" i="1"/>
  <c r="F201" i="1" s="1"/>
  <c r="C201" i="1"/>
  <c r="E199" i="1"/>
  <c r="D335" i="3"/>
  <c r="F335" i="3"/>
  <c r="E336" i="3" s="1"/>
  <c r="C336" i="3"/>
  <c r="F143" i="5"/>
  <c r="D143" i="5"/>
  <c r="H142" i="5" s="1"/>
  <c r="E144" i="5"/>
  <c r="A202" i="1" a="1"/>
  <c r="A202" i="1" l="1"/>
  <c r="B202" i="1"/>
  <c r="F202" i="1" s="1"/>
  <c r="C202" i="1"/>
  <c r="E200" i="1"/>
  <c r="D336" i="3"/>
  <c r="D144" i="5"/>
  <c r="H143" i="5"/>
  <c r="C144" i="5"/>
  <c r="F336" i="3"/>
  <c r="E337" i="3" s="1"/>
  <c r="C337" i="3"/>
  <c r="A203" i="1" a="1"/>
  <c r="A203" i="1" l="1"/>
  <c r="B203" i="1"/>
  <c r="F203" i="1" s="1"/>
  <c r="C203" i="1"/>
  <c r="E201" i="1"/>
  <c r="D337" i="3"/>
  <c r="F337" i="3"/>
  <c r="E338" i="3" s="1"/>
  <c r="C338" i="3"/>
  <c r="F144" i="5"/>
  <c r="E145" i="5" s="1"/>
  <c r="C145" i="5"/>
  <c r="A204" i="1" a="1"/>
  <c r="A204" i="1" l="1"/>
  <c r="B204" i="1"/>
  <c r="F204" i="1" s="1"/>
  <c r="C204" i="1"/>
  <c r="E202" i="1"/>
  <c r="D338" i="3"/>
  <c r="F145" i="5"/>
  <c r="D145" i="5"/>
  <c r="H144" i="5" s="1"/>
  <c r="E146" i="5"/>
  <c r="F338" i="3"/>
  <c r="E339" i="3" s="1"/>
  <c r="C339" i="3"/>
  <c r="A205" i="1" a="1"/>
  <c r="A205" i="1" l="1"/>
  <c r="B205" i="1"/>
  <c r="F205" i="1" s="1"/>
  <c r="C205" i="1"/>
  <c r="E203" i="1"/>
  <c r="D339" i="3"/>
  <c r="F339" i="3"/>
  <c r="E340" i="3" s="1"/>
  <c r="C340" i="3"/>
  <c r="D146" i="5"/>
  <c r="H145" i="5"/>
  <c r="C146" i="5"/>
  <c r="A206" i="1" a="1"/>
  <c r="A206" i="1" l="1"/>
  <c r="B206" i="1"/>
  <c r="F206" i="1" s="1"/>
  <c r="C206" i="1"/>
  <c r="E204" i="1"/>
  <c r="D340" i="3"/>
  <c r="F146" i="5"/>
  <c r="E147" i="5" s="1"/>
  <c r="C147" i="5"/>
  <c r="F340" i="3"/>
  <c r="E341" i="3" s="1"/>
  <c r="C341" i="3"/>
  <c r="A207" i="1" a="1"/>
  <c r="A207" i="1" l="1"/>
  <c r="B207" i="1"/>
  <c r="F207" i="1" s="1"/>
  <c r="C207" i="1"/>
  <c r="E205" i="1"/>
  <c r="D341" i="3"/>
  <c r="F341" i="3"/>
  <c r="E342" i="3" s="1"/>
  <c r="C342" i="3"/>
  <c r="F147" i="5"/>
  <c r="D147" i="5"/>
  <c r="H146" i="5" s="1"/>
  <c r="E148" i="5"/>
  <c r="A208" i="1" a="1"/>
  <c r="A208" i="1" l="1"/>
  <c r="B208" i="1"/>
  <c r="F208" i="1" s="1"/>
  <c r="C208" i="1"/>
  <c r="E206" i="1"/>
  <c r="D342" i="3"/>
  <c r="D148" i="5"/>
  <c r="H147" i="5"/>
  <c r="C148" i="5"/>
  <c r="F342" i="3"/>
  <c r="E343" i="3" s="1"/>
  <c r="C343" i="3"/>
  <c r="A209" i="1" a="1"/>
  <c r="A209" i="1" l="1"/>
  <c r="B209" i="1"/>
  <c r="F209" i="1" s="1"/>
  <c r="C209" i="1"/>
  <c r="E207" i="1"/>
  <c r="D343" i="3"/>
  <c r="F343" i="3"/>
  <c r="E344" i="3" s="1"/>
  <c r="C344" i="3"/>
  <c r="F148" i="5"/>
  <c r="E149" i="5" s="1"/>
  <c r="C149" i="5"/>
  <c r="A210" i="1" a="1"/>
  <c r="A210" i="1" l="1"/>
  <c r="B210" i="1"/>
  <c r="F210" i="1" s="1"/>
  <c r="C210" i="1"/>
  <c r="E208" i="1"/>
  <c r="D344" i="3"/>
  <c r="F149" i="5"/>
  <c r="D149" i="5"/>
  <c r="H148" i="5" s="1"/>
  <c r="E150" i="5"/>
  <c r="F344" i="3"/>
  <c r="E345" i="3" s="1"/>
  <c r="C345" i="3"/>
  <c r="A211" i="1" a="1"/>
  <c r="A211" i="1" l="1"/>
  <c r="B211" i="1"/>
  <c r="F211" i="1" s="1"/>
  <c r="C211" i="1"/>
  <c r="E209" i="1"/>
  <c r="D345" i="3"/>
  <c r="F345" i="3"/>
  <c r="E346" i="3" s="1"/>
  <c r="C346" i="3"/>
  <c r="D150" i="5"/>
  <c r="H149" i="5"/>
  <c r="C150" i="5"/>
  <c r="A212" i="1" a="1"/>
  <c r="A212" i="1" l="1"/>
  <c r="B212" i="1"/>
  <c r="F212" i="1" s="1"/>
  <c r="C212" i="1"/>
  <c r="E210" i="1"/>
  <c r="D346" i="3"/>
  <c r="F150" i="5"/>
  <c r="E151" i="5" s="1"/>
  <c r="C151" i="5"/>
  <c r="F346" i="3"/>
  <c r="E347" i="3" s="1"/>
  <c r="C347" i="3"/>
  <c r="A213" i="1" a="1"/>
  <c r="A213" i="1" l="1"/>
  <c r="B213" i="1"/>
  <c r="F213" i="1" s="1"/>
  <c r="C213" i="1"/>
  <c r="E211" i="1"/>
  <c r="D347" i="3"/>
  <c r="F347" i="3"/>
  <c r="E348" i="3" s="1"/>
  <c r="C348" i="3"/>
  <c r="F151" i="5"/>
  <c r="D151" i="5"/>
  <c r="H150" i="5" s="1"/>
  <c r="E152" i="5"/>
  <c r="A214" i="1" a="1"/>
  <c r="A214" i="1" l="1"/>
  <c r="B214" i="1"/>
  <c r="F214" i="1" s="1"/>
  <c r="C214" i="1"/>
  <c r="E212" i="1"/>
  <c r="D348" i="3"/>
  <c r="D152" i="5"/>
  <c r="H151" i="5"/>
  <c r="C152" i="5"/>
  <c r="F348" i="3"/>
  <c r="E349" i="3" s="1"/>
  <c r="C349" i="3"/>
  <c r="A215" i="1" a="1"/>
  <c r="A215" i="1" l="1"/>
  <c r="B215" i="1"/>
  <c r="F215" i="1" s="1"/>
  <c r="C215" i="1"/>
  <c r="E213" i="1"/>
  <c r="D349" i="3"/>
  <c r="F349" i="3"/>
  <c r="E350" i="3" s="1"/>
  <c r="C350" i="3"/>
  <c r="F152" i="5"/>
  <c r="E153" i="5" s="1"/>
  <c r="C153" i="5"/>
  <c r="A216" i="1" a="1"/>
  <c r="A216" i="1" l="1"/>
  <c r="B216" i="1"/>
  <c r="F216" i="1" s="1"/>
  <c r="C216" i="1"/>
  <c r="E214" i="1"/>
  <c r="D350" i="3"/>
  <c r="F153" i="5"/>
  <c r="D153" i="5"/>
  <c r="H152" i="5" s="1"/>
  <c r="E154" i="5"/>
  <c r="F350" i="3"/>
  <c r="E351" i="3" s="1"/>
  <c r="C351" i="3"/>
  <c r="A217" i="1" a="1"/>
  <c r="A217" i="1" l="1"/>
  <c r="B217" i="1"/>
  <c r="F217" i="1" s="1"/>
  <c r="C217" i="1"/>
  <c r="E215" i="1"/>
  <c r="D351" i="3"/>
  <c r="F351" i="3"/>
  <c r="E352" i="3" s="1"/>
  <c r="C352" i="3"/>
  <c r="D154" i="5"/>
  <c r="H153" i="5"/>
  <c r="C154" i="5"/>
  <c r="A218" i="1" a="1"/>
  <c r="A218" i="1" l="1"/>
  <c r="B218" i="1"/>
  <c r="F218" i="1" s="1"/>
  <c r="C218" i="1"/>
  <c r="E216" i="1"/>
  <c r="D352" i="3"/>
  <c r="F154" i="5"/>
  <c r="E155" i="5" s="1"/>
  <c r="C155" i="5"/>
  <c r="F352" i="3"/>
  <c r="E353" i="3" s="1"/>
  <c r="C353" i="3"/>
  <c r="A219" i="1" a="1"/>
  <c r="A219" i="1" l="1"/>
  <c r="B219" i="1"/>
  <c r="F219" i="1" s="1"/>
  <c r="C219" i="1"/>
  <c r="E217" i="1"/>
  <c r="D353" i="3"/>
  <c r="F353" i="3"/>
  <c r="E354" i="3" s="1"/>
  <c r="C354" i="3"/>
  <c r="F155" i="5"/>
  <c r="D155" i="5"/>
  <c r="H154" i="5" s="1"/>
  <c r="E156" i="5"/>
  <c r="A220" i="1" a="1"/>
  <c r="A220" i="1" l="1"/>
  <c r="B220" i="1"/>
  <c r="F220" i="1" s="1"/>
  <c r="C220" i="1"/>
  <c r="E218" i="1"/>
  <c r="D354" i="3"/>
  <c r="D156" i="5"/>
  <c r="H155" i="5"/>
  <c r="C156" i="5"/>
  <c r="F354" i="3"/>
  <c r="E355" i="3" s="1"/>
  <c r="C355" i="3"/>
  <c r="A221" i="1" a="1"/>
  <c r="A221" i="1" l="1"/>
  <c r="B221" i="1"/>
  <c r="F221" i="1" s="1"/>
  <c r="C221" i="1"/>
  <c r="E219" i="1"/>
  <c r="D355" i="3"/>
  <c r="F355" i="3"/>
  <c r="E356" i="3" s="1"/>
  <c r="C356" i="3"/>
  <c r="F156" i="5"/>
  <c r="E157" i="5" s="1"/>
  <c r="C157" i="5"/>
  <c r="A222" i="1" a="1"/>
  <c r="A222" i="1" l="1"/>
  <c r="B222" i="1"/>
  <c r="F222" i="1" s="1"/>
  <c r="C222" i="1"/>
  <c r="E220" i="1"/>
  <c r="D356" i="3"/>
  <c r="F157" i="5"/>
  <c r="D157" i="5"/>
  <c r="H156" i="5" s="1"/>
  <c r="E158" i="5"/>
  <c r="F356" i="3"/>
  <c r="E357" i="3" s="1"/>
  <c r="C357" i="3"/>
  <c r="A223" i="1" a="1"/>
  <c r="A223" i="1" l="1"/>
  <c r="B223" i="1"/>
  <c r="F223" i="1" s="1"/>
  <c r="C223" i="1"/>
  <c r="E221" i="1"/>
  <c r="D357" i="3"/>
  <c r="F357" i="3"/>
  <c r="E358" i="3" s="1"/>
  <c r="C358" i="3"/>
  <c r="D158" i="5"/>
  <c r="H157" i="5"/>
  <c r="C158" i="5"/>
  <c r="A224" i="1" a="1"/>
  <c r="A224" i="1" l="1"/>
  <c r="B224" i="1"/>
  <c r="F224" i="1" s="1"/>
  <c r="C224" i="1"/>
  <c r="E222" i="1"/>
  <c r="D358" i="3"/>
  <c r="F158" i="5"/>
  <c r="E159" i="5" s="1"/>
  <c r="C159" i="5"/>
  <c r="F358" i="3"/>
  <c r="E359" i="3" s="1"/>
  <c r="C359" i="3"/>
  <c r="A225" i="1" a="1"/>
  <c r="A225" i="1" l="1"/>
  <c r="B225" i="1"/>
  <c r="F225" i="1" s="1"/>
  <c r="C225" i="1"/>
  <c r="E223" i="1"/>
  <c r="D359" i="3"/>
  <c r="F359" i="3"/>
  <c r="E360" i="3" s="1"/>
  <c r="C360" i="3"/>
  <c r="F159" i="5"/>
  <c r="D159" i="5"/>
  <c r="H158" i="5" s="1"/>
  <c r="E160" i="5"/>
  <c r="A226" i="1" a="1"/>
  <c r="A226" i="1" l="1"/>
  <c r="B226" i="1"/>
  <c r="F226" i="1" s="1"/>
  <c r="C226" i="1"/>
  <c r="E224" i="1"/>
  <c r="D360" i="3"/>
  <c r="D160" i="5"/>
  <c r="H159" i="5"/>
  <c r="C160" i="5"/>
  <c r="F360" i="3"/>
  <c r="E361" i="3" s="1"/>
  <c r="C361" i="3"/>
  <c r="A227" i="1" a="1"/>
  <c r="A227" i="1" l="1"/>
  <c r="B227" i="1"/>
  <c r="F227" i="1" s="1"/>
  <c r="C227" i="1"/>
  <c r="E225" i="1"/>
  <c r="D361" i="3"/>
  <c r="F361" i="3"/>
  <c r="E362" i="3" s="1"/>
  <c r="C362" i="3"/>
  <c r="F160" i="5"/>
  <c r="E161" i="5" s="1"/>
  <c r="C161" i="5"/>
  <c r="A228" i="1" a="1"/>
  <c r="A228" i="1" l="1"/>
  <c r="B228" i="1"/>
  <c r="F228" i="1" s="1"/>
  <c r="C228" i="1"/>
  <c r="E226" i="1"/>
  <c r="D362" i="3"/>
  <c r="F161" i="5"/>
  <c r="D161" i="5"/>
  <c r="H160" i="5" s="1"/>
  <c r="E162" i="5"/>
  <c r="F362" i="3"/>
  <c r="E363" i="3" s="1"/>
  <c r="C363" i="3"/>
  <c r="A229" i="1" a="1"/>
  <c r="A229" i="1" l="1"/>
  <c r="B229" i="1"/>
  <c r="F229" i="1" s="1"/>
  <c r="C229" i="1"/>
  <c r="E227" i="1"/>
  <c r="D363" i="3"/>
  <c r="F363" i="3"/>
  <c r="E364" i="3" s="1"/>
  <c r="C364" i="3"/>
  <c r="D162" i="5"/>
  <c r="H161" i="5"/>
  <c r="C162" i="5"/>
  <c r="A230" i="1" a="1"/>
  <c r="A230" i="1" l="1"/>
  <c r="B230" i="1"/>
  <c r="F230" i="1" s="1"/>
  <c r="C230" i="1"/>
  <c r="E228" i="1"/>
  <c r="D364" i="3"/>
  <c r="F162" i="5"/>
  <c r="E163" i="5" s="1"/>
  <c r="C163" i="5"/>
  <c r="F364" i="3"/>
  <c r="E365" i="3" s="1"/>
  <c r="C365" i="3"/>
  <c r="A231" i="1" a="1"/>
  <c r="A231" i="1" l="1"/>
  <c r="B231" i="1"/>
  <c r="F231" i="1" s="1"/>
  <c r="C231" i="1"/>
  <c r="E229" i="1"/>
  <c r="D365" i="3"/>
  <c r="F365" i="3"/>
  <c r="E366" i="3" s="1"/>
  <c r="C366" i="3"/>
  <c r="F163" i="5"/>
  <c r="D163" i="5"/>
  <c r="H162" i="5" s="1"/>
  <c r="E164" i="5"/>
  <c r="A232" i="1" a="1"/>
  <c r="A232" i="1" l="1"/>
  <c r="B232" i="1"/>
  <c r="F232" i="1" s="1"/>
  <c r="C232" i="1"/>
  <c r="E230" i="1"/>
  <c r="D366" i="3"/>
  <c r="D164" i="5"/>
  <c r="H163" i="5"/>
  <c r="C164" i="5"/>
  <c r="F366" i="3"/>
  <c r="E367" i="3" s="1"/>
  <c r="C367" i="3"/>
  <c r="A233" i="1" a="1"/>
  <c r="A233" i="1" l="1"/>
  <c r="B233" i="1"/>
  <c r="F233" i="1" s="1"/>
  <c r="C233" i="1"/>
  <c r="E231" i="1"/>
  <c r="D367" i="3"/>
  <c r="F367" i="3"/>
  <c r="E368" i="3" s="1"/>
  <c r="C368" i="3"/>
  <c r="F164" i="5"/>
  <c r="E165" i="5" s="1"/>
  <c r="C165" i="5"/>
  <c r="A234" i="1" a="1"/>
  <c r="A234" i="1" l="1"/>
  <c r="B234" i="1"/>
  <c r="F234" i="1" s="1"/>
  <c r="C234" i="1"/>
  <c r="E232" i="1"/>
  <c r="D368" i="3"/>
  <c r="F165" i="5"/>
  <c r="D165" i="5"/>
  <c r="H164" i="5" s="1"/>
  <c r="E166" i="5"/>
  <c r="F368" i="3"/>
  <c r="E369" i="3" s="1"/>
  <c r="C369" i="3"/>
  <c r="A235" i="1" a="1"/>
  <c r="A235" i="1" l="1"/>
  <c r="B235" i="1"/>
  <c r="F235" i="1" s="1"/>
  <c r="C235" i="1"/>
  <c r="E233" i="1"/>
  <c r="D369" i="3"/>
  <c r="F369" i="3"/>
  <c r="E370" i="3" s="1"/>
  <c r="C370" i="3"/>
  <c r="D166" i="5"/>
  <c r="H165" i="5"/>
  <c r="C166" i="5"/>
  <c r="A236" i="1" a="1"/>
  <c r="A236" i="1" l="1"/>
  <c r="B236" i="1"/>
  <c r="F236" i="1" s="1"/>
  <c r="C236" i="1"/>
  <c r="E234" i="1"/>
  <c r="D370" i="3"/>
  <c r="F166" i="5"/>
  <c r="E167" i="5" s="1"/>
  <c r="C167" i="5"/>
  <c r="F370" i="3"/>
  <c r="E371" i="3" s="1"/>
  <c r="C371" i="3"/>
  <c r="A237" i="1" a="1"/>
  <c r="A237" i="1" l="1"/>
  <c r="B237" i="1"/>
  <c r="F237" i="1" s="1"/>
  <c r="C237" i="1"/>
  <c r="E235" i="1"/>
  <c r="D371" i="3"/>
  <c r="F371" i="3"/>
  <c r="E372" i="3" s="1"/>
  <c r="C372" i="3"/>
  <c r="F167" i="5"/>
  <c r="D167" i="5"/>
  <c r="H166" i="5" s="1"/>
  <c r="E168" i="5"/>
  <c r="A238" i="1" a="1"/>
  <c r="A238" i="1" l="1"/>
  <c r="B238" i="1"/>
  <c r="F238" i="1" s="1"/>
  <c r="C238" i="1"/>
  <c r="E236" i="1"/>
  <c r="D372" i="3"/>
  <c r="D168" i="5"/>
  <c r="H167" i="5"/>
  <c r="C168" i="5"/>
  <c r="F372" i="3"/>
  <c r="E373" i="3" s="1"/>
  <c r="C373" i="3"/>
  <c r="A239" i="1" a="1"/>
  <c r="A239" i="1" l="1"/>
  <c r="B239" i="1"/>
  <c r="F239" i="1" s="1"/>
  <c r="C239" i="1"/>
  <c r="E237" i="1"/>
  <c r="D373" i="3"/>
  <c r="F373" i="3"/>
  <c r="E374" i="3" s="1"/>
  <c r="C374" i="3"/>
  <c r="F168" i="5"/>
  <c r="E169" i="5" s="1"/>
  <c r="C169" i="5"/>
  <c r="A240" i="1" a="1"/>
  <c r="A240" i="1" l="1"/>
  <c r="B240" i="1"/>
  <c r="F240" i="1" s="1"/>
  <c r="C240" i="1"/>
  <c r="E238" i="1"/>
  <c r="D374" i="3"/>
  <c r="F169" i="5"/>
  <c r="D169" i="5"/>
  <c r="H168" i="5" s="1"/>
  <c r="E170" i="5"/>
  <c r="F374" i="3"/>
  <c r="E375" i="3" s="1"/>
  <c r="C375" i="3"/>
  <c r="A241" i="1" a="1"/>
  <c r="A241" i="1" l="1"/>
  <c r="B241" i="1"/>
  <c r="F241" i="1" s="1"/>
  <c r="C241" i="1"/>
  <c r="E239" i="1"/>
  <c r="D375" i="3"/>
  <c r="F375" i="3"/>
  <c r="E376" i="3" s="1"/>
  <c r="C376" i="3"/>
  <c r="D170" i="5"/>
  <c r="H169" i="5"/>
  <c r="C170" i="5"/>
  <c r="A242" i="1" a="1"/>
  <c r="A242" i="1" l="1"/>
  <c r="B242" i="1"/>
  <c r="F242" i="1" s="1"/>
  <c r="C242" i="1"/>
  <c r="E240" i="1"/>
  <c r="D376" i="3"/>
  <c r="F170" i="5"/>
  <c r="E171" i="5" s="1"/>
  <c r="C171" i="5"/>
  <c r="F376" i="3"/>
  <c r="E377" i="3" s="1"/>
  <c r="C377" i="3"/>
  <c r="A243" i="1" a="1"/>
  <c r="A243" i="1" l="1"/>
  <c r="B243" i="1"/>
  <c r="F243" i="1" s="1"/>
  <c r="C243" i="1"/>
  <c r="E241" i="1"/>
  <c r="D377" i="3"/>
  <c r="F377" i="3"/>
  <c r="E378" i="3" s="1"/>
  <c r="C378" i="3"/>
  <c r="F171" i="5"/>
  <c r="D171" i="5"/>
  <c r="H170" i="5" s="1"/>
  <c r="E172" i="5"/>
  <c r="A244" i="1" a="1"/>
  <c r="A244" i="1" l="1"/>
  <c r="B244" i="1"/>
  <c r="F244" i="1" s="1"/>
  <c r="C244" i="1"/>
  <c r="E242" i="1"/>
  <c r="D378" i="3"/>
  <c r="D172" i="5"/>
  <c r="H171" i="5"/>
  <c r="C172" i="5"/>
  <c r="F378" i="3"/>
  <c r="E379" i="3" s="1"/>
  <c r="C379" i="3"/>
  <c r="A245" i="1" a="1"/>
  <c r="A245" i="1" l="1"/>
  <c r="B245" i="1"/>
  <c r="F245" i="1" s="1"/>
  <c r="C245" i="1"/>
  <c r="E243" i="1"/>
  <c r="D379" i="3"/>
  <c r="F379" i="3"/>
  <c r="E380" i="3" s="1"/>
  <c r="C380" i="3"/>
  <c r="F172" i="5"/>
  <c r="E173" i="5" s="1"/>
  <c r="C173" i="5"/>
  <c r="A246" i="1" a="1"/>
  <c r="A246" i="1" l="1"/>
  <c r="B246" i="1"/>
  <c r="F246" i="1" s="1"/>
  <c r="C246" i="1"/>
  <c r="E244" i="1"/>
  <c r="D380" i="3"/>
  <c r="F173" i="5"/>
  <c r="D173" i="5"/>
  <c r="H172" i="5" s="1"/>
  <c r="E174" i="5"/>
  <c r="F380" i="3"/>
  <c r="E381" i="3" s="1"/>
  <c r="C381" i="3"/>
  <c r="A247" i="1" a="1"/>
  <c r="A247" i="1" l="1"/>
  <c r="B247" i="1"/>
  <c r="F247" i="1" s="1"/>
  <c r="C247" i="1"/>
  <c r="E245" i="1"/>
  <c r="D381" i="3"/>
  <c r="F381" i="3"/>
  <c r="E382" i="3" s="1"/>
  <c r="C382" i="3"/>
  <c r="D174" i="5"/>
  <c r="H173" i="5"/>
  <c r="C174" i="5"/>
  <c r="A248" i="1" a="1"/>
  <c r="A248" i="1" l="1"/>
  <c r="B248" i="1"/>
  <c r="F248" i="1" s="1"/>
  <c r="C248" i="1"/>
  <c r="E246" i="1"/>
  <c r="D382" i="3"/>
  <c r="F174" i="5"/>
  <c r="E175" i="5" s="1"/>
  <c r="C175" i="5"/>
  <c r="F382" i="3"/>
  <c r="E383" i="3" s="1"/>
  <c r="C383" i="3"/>
  <c r="A249" i="1" a="1"/>
  <c r="A249" i="1" l="1"/>
  <c r="B249" i="1"/>
  <c r="F249" i="1" s="1"/>
  <c r="C249" i="1"/>
  <c r="E247" i="1"/>
  <c r="D383" i="3"/>
  <c r="F383" i="3"/>
  <c r="E384" i="3" s="1"/>
  <c r="C384" i="3"/>
  <c r="F175" i="5"/>
  <c r="D175" i="5"/>
  <c r="H174" i="5" s="1"/>
  <c r="E176" i="5"/>
  <c r="A250" i="1" a="1"/>
  <c r="A250" i="1" l="1"/>
  <c r="B250" i="1"/>
  <c r="F250" i="1" s="1"/>
  <c r="C250" i="1"/>
  <c r="E248" i="1"/>
  <c r="D384" i="3"/>
  <c r="D176" i="5"/>
  <c r="H175" i="5"/>
  <c r="C176" i="5"/>
  <c r="F384" i="3"/>
  <c r="E385" i="3" s="1"/>
  <c r="C385" i="3"/>
  <c r="A251" i="1" a="1"/>
  <c r="A251" i="1" l="1"/>
  <c r="B251" i="1"/>
  <c r="F251" i="1" s="1"/>
  <c r="C251" i="1"/>
  <c r="E249" i="1"/>
  <c r="D385" i="3"/>
  <c r="F385" i="3"/>
  <c r="E386" i="3" s="1"/>
  <c r="C386" i="3"/>
  <c r="F176" i="5"/>
  <c r="E177" i="5" s="1"/>
  <c r="C177" i="5"/>
  <c r="A252" i="1" a="1"/>
  <c r="A252" i="1" l="1"/>
  <c r="B252" i="1"/>
  <c r="F252" i="1" s="1"/>
  <c r="C252" i="1"/>
  <c r="E250" i="1"/>
  <c r="D386" i="3"/>
  <c r="F177" i="5"/>
  <c r="D177" i="5"/>
  <c r="H176" i="5" s="1"/>
  <c r="E178" i="5"/>
  <c r="F386" i="3"/>
  <c r="E387" i="3" s="1"/>
  <c r="C387" i="3"/>
  <c r="A253" i="1" a="1"/>
  <c r="A253" i="1" l="1"/>
  <c r="B253" i="1"/>
  <c r="F253" i="1" s="1"/>
  <c r="C253" i="1"/>
  <c r="E251" i="1"/>
  <c r="D387" i="3"/>
  <c r="F387" i="3"/>
  <c r="E388" i="3" s="1"/>
  <c r="C388" i="3"/>
  <c r="D178" i="5"/>
  <c r="H177" i="5"/>
  <c r="C178" i="5"/>
  <c r="A254" i="1" a="1"/>
  <c r="A254" i="1" l="1"/>
  <c r="B254" i="1"/>
  <c r="F254" i="1" s="1"/>
  <c r="C254" i="1"/>
  <c r="E252" i="1"/>
  <c r="D388" i="3"/>
  <c r="F178" i="5"/>
  <c r="E179" i="5" s="1"/>
  <c r="C179" i="5"/>
  <c r="F388" i="3"/>
  <c r="E389" i="3" s="1"/>
  <c r="C389" i="3"/>
  <c r="A255" i="1" a="1"/>
  <c r="A255" i="1" l="1"/>
  <c r="B255" i="1"/>
  <c r="F255" i="1" s="1"/>
  <c r="C255" i="1"/>
  <c r="E253" i="1"/>
  <c r="D389" i="3"/>
  <c r="C390" i="3"/>
  <c r="F389" i="3"/>
  <c r="E390" i="3" s="1"/>
  <c r="F179" i="5"/>
  <c r="D179" i="5"/>
  <c r="H178" i="5" s="1"/>
  <c r="E180" i="5"/>
  <c r="A256" i="1" a="1"/>
  <c r="A256" i="1" l="1"/>
  <c r="B256" i="1"/>
  <c r="F256" i="1" s="1"/>
  <c r="C256" i="1"/>
  <c r="E254" i="1"/>
  <c r="D390" i="3"/>
  <c r="D180" i="5"/>
  <c r="H179" i="5"/>
  <c r="C180" i="5"/>
  <c r="F390" i="3"/>
  <c r="E391" i="3" s="1"/>
  <c r="C391" i="3"/>
  <c r="A257" i="1" a="1"/>
  <c r="A257" i="1" l="1"/>
  <c r="B257" i="1"/>
  <c r="F257" i="1" s="1"/>
  <c r="C257" i="1"/>
  <c r="E255" i="1"/>
  <c r="D391" i="3"/>
  <c r="F391" i="3"/>
  <c r="E392" i="3" s="1"/>
  <c r="C392" i="3"/>
  <c r="F180" i="5"/>
  <c r="E181" i="5" s="1"/>
  <c r="C181" i="5"/>
  <c r="A258" i="1" a="1"/>
  <c r="A258" i="1" l="1"/>
  <c r="B258" i="1"/>
  <c r="F258" i="1" s="1"/>
  <c r="C258" i="1"/>
  <c r="E256" i="1"/>
  <c r="D392" i="3"/>
  <c r="F181" i="5"/>
  <c r="D181" i="5"/>
  <c r="H180" i="5" s="1"/>
  <c r="E182" i="5"/>
  <c r="C393" i="3"/>
  <c r="F392" i="3"/>
  <c r="E393" i="3" s="1"/>
  <c r="A259" i="1" a="1"/>
  <c r="A259" i="1" l="1"/>
  <c r="B259" i="1"/>
  <c r="F259" i="1" s="1"/>
  <c r="C259" i="1"/>
  <c r="E257" i="1"/>
  <c r="D393" i="3"/>
  <c r="F393" i="3"/>
  <c r="E394" i="3" s="1"/>
  <c r="C394" i="3"/>
  <c r="D182" i="5"/>
  <c r="H181" i="5"/>
  <c r="C182" i="5"/>
  <c r="A260" i="1" a="1"/>
  <c r="A260" i="1" l="1"/>
  <c r="B260" i="1"/>
  <c r="F260" i="1" s="1"/>
  <c r="C260" i="1"/>
  <c r="E258" i="1"/>
  <c r="D394" i="3"/>
  <c r="F182" i="5"/>
  <c r="E183" i="5" s="1"/>
  <c r="C183" i="5"/>
  <c r="F394" i="3"/>
  <c r="E395" i="3" s="1"/>
  <c r="C395" i="3"/>
  <c r="A261" i="1" a="1"/>
  <c r="A261" i="1" l="1"/>
  <c r="B261" i="1"/>
  <c r="F261" i="1" s="1"/>
  <c r="C261" i="1"/>
  <c r="E259" i="1"/>
  <c r="D395" i="3"/>
  <c r="F395" i="3"/>
  <c r="E396" i="3" s="1"/>
  <c r="C396" i="3"/>
  <c r="F183" i="5"/>
  <c r="D183" i="5"/>
  <c r="H182" i="5" s="1"/>
  <c r="E184" i="5"/>
  <c r="A262" i="1" a="1"/>
  <c r="A262" i="1" l="1"/>
  <c r="B262" i="1"/>
  <c r="F262" i="1" s="1"/>
  <c r="C262" i="1"/>
  <c r="E260" i="1"/>
  <c r="D396" i="3"/>
  <c r="D184" i="5"/>
  <c r="H183" i="5"/>
  <c r="C184" i="5"/>
  <c r="F396" i="3"/>
  <c r="E397" i="3" s="1"/>
  <c r="C397" i="3"/>
  <c r="A263" i="1" a="1"/>
  <c r="A263" i="1" l="1"/>
  <c r="B263" i="1"/>
  <c r="F263" i="1" s="1"/>
  <c r="C263" i="1"/>
  <c r="E261" i="1"/>
  <c r="D397" i="3"/>
  <c r="F397" i="3"/>
  <c r="E398" i="3" s="1"/>
  <c r="C398" i="3"/>
  <c r="F184" i="5"/>
  <c r="E185" i="5" s="1"/>
  <c r="C185" i="5"/>
  <c r="A264" i="1" a="1"/>
  <c r="A264" i="1" l="1"/>
  <c r="B264" i="1"/>
  <c r="F264" i="1" s="1"/>
  <c r="C264" i="1"/>
  <c r="E262" i="1"/>
  <c r="D398" i="3"/>
  <c r="F185" i="5"/>
  <c r="D185" i="5"/>
  <c r="H184" i="5" s="1"/>
  <c r="E186" i="5"/>
  <c r="F398" i="3"/>
  <c r="E399" i="3" s="1"/>
  <c r="C399" i="3"/>
  <c r="A265" i="1" a="1"/>
  <c r="A265" i="1" l="1"/>
  <c r="B265" i="1"/>
  <c r="F265" i="1" s="1"/>
  <c r="C265" i="1"/>
  <c r="E263" i="1"/>
  <c r="D399" i="3"/>
  <c r="F399" i="3"/>
  <c r="E400" i="3" s="1"/>
  <c r="C400" i="3"/>
  <c r="D186" i="5"/>
  <c r="H185" i="5"/>
  <c r="C186" i="5"/>
  <c r="A266" i="1" a="1"/>
  <c r="A266" i="1" l="1"/>
  <c r="B266" i="1"/>
  <c r="F266" i="1" s="1"/>
  <c r="C266" i="1"/>
  <c r="E264" i="1"/>
  <c r="D400" i="3"/>
  <c r="F186" i="5"/>
  <c r="E187" i="5" s="1"/>
  <c r="C187" i="5"/>
  <c r="F400" i="3"/>
  <c r="E401" i="3" s="1"/>
  <c r="C401" i="3"/>
  <c r="A267" i="1" a="1"/>
  <c r="A267" i="1" l="1"/>
  <c r="B267" i="1"/>
  <c r="F267" i="1" s="1"/>
  <c r="C267" i="1"/>
  <c r="E265" i="1"/>
  <c r="D401" i="3"/>
  <c r="F401" i="3"/>
  <c r="E402" i="3" s="1"/>
  <c r="C402" i="3"/>
  <c r="F187" i="5"/>
  <c r="D187" i="5"/>
  <c r="H186" i="5" s="1"/>
  <c r="E188" i="5"/>
  <c r="A268" i="1" a="1"/>
  <c r="A268" i="1" l="1"/>
  <c r="B268" i="1"/>
  <c r="F268" i="1" s="1"/>
  <c r="C268" i="1"/>
  <c r="E266" i="1"/>
  <c r="D402" i="3"/>
  <c r="D188" i="5"/>
  <c r="H187" i="5"/>
  <c r="C188" i="5"/>
  <c r="F402" i="3"/>
  <c r="E403" i="3" s="1"/>
  <c r="C403" i="3"/>
  <c r="A269" i="1" a="1"/>
  <c r="A269" i="1" l="1"/>
  <c r="B269" i="1"/>
  <c r="F269" i="1" s="1"/>
  <c r="C269" i="1"/>
  <c r="E267" i="1"/>
  <c r="D403" i="3"/>
  <c r="F403" i="3"/>
  <c r="E404" i="3" s="1"/>
  <c r="C404" i="3"/>
  <c r="F188" i="5"/>
  <c r="E189" i="5" s="1"/>
  <c r="C189" i="5"/>
  <c r="A270" i="1" a="1"/>
  <c r="A270" i="1" l="1"/>
  <c r="B270" i="1"/>
  <c r="F270" i="1" s="1"/>
  <c r="C270" i="1"/>
  <c r="E268" i="1"/>
  <c r="D404" i="3"/>
  <c r="F189" i="5"/>
  <c r="D189" i="5"/>
  <c r="H188" i="5" s="1"/>
  <c r="E190" i="5"/>
  <c r="F404" i="3"/>
  <c r="E405" i="3" s="1"/>
  <c r="C405" i="3"/>
  <c r="A271" i="1" a="1"/>
  <c r="A271" i="1" l="1"/>
  <c r="B271" i="1"/>
  <c r="F271" i="1" s="1"/>
  <c r="C271" i="1"/>
  <c r="E269" i="1"/>
  <c r="D405" i="3"/>
  <c r="F405" i="3"/>
  <c r="E406" i="3" s="1"/>
  <c r="C406" i="3"/>
  <c r="D190" i="5"/>
  <c r="H189" i="5"/>
  <c r="C190" i="5"/>
  <c r="A272" i="1" a="1"/>
  <c r="A272" i="1" l="1"/>
  <c r="B272" i="1"/>
  <c r="F272" i="1" s="1"/>
  <c r="C272" i="1"/>
  <c r="E270" i="1"/>
  <c r="D406" i="3"/>
  <c r="F190" i="5"/>
  <c r="E191" i="5" s="1"/>
  <c r="C191" i="5"/>
  <c r="F406" i="3"/>
  <c r="E407" i="3" s="1"/>
  <c r="C407" i="3"/>
  <c r="A273" i="1" a="1"/>
  <c r="A273" i="1" l="1"/>
  <c r="B273" i="1"/>
  <c r="F273" i="1" s="1"/>
  <c r="C273" i="1"/>
  <c r="E271" i="1"/>
  <c r="D407" i="3"/>
  <c r="F407" i="3"/>
  <c r="E408" i="3" s="1"/>
  <c r="C408" i="3"/>
  <c r="F191" i="5"/>
  <c r="D191" i="5"/>
  <c r="H190" i="5" s="1"/>
  <c r="E192" i="5"/>
  <c r="A274" i="1" a="1"/>
  <c r="A274" i="1" l="1"/>
  <c r="B274" i="1"/>
  <c r="F274" i="1" s="1"/>
  <c r="C274" i="1"/>
  <c r="E272" i="1"/>
  <c r="D408" i="3"/>
  <c r="D192" i="5"/>
  <c r="H191" i="5"/>
  <c r="C192" i="5"/>
  <c r="C409" i="3"/>
  <c r="F408" i="3"/>
  <c r="E409" i="3" s="1"/>
  <c r="A275" i="1" a="1"/>
  <c r="A275" i="1" l="1"/>
  <c r="B275" i="1"/>
  <c r="F275" i="1" s="1"/>
  <c r="C275" i="1"/>
  <c r="E273" i="1"/>
  <c r="D409" i="3"/>
  <c r="F409" i="3"/>
  <c r="E410" i="3" s="1"/>
  <c r="C410" i="3"/>
  <c r="F192" i="5"/>
  <c r="E193" i="5" s="1"/>
  <c r="C193" i="5"/>
  <c r="A276" i="1" a="1"/>
  <c r="A276" i="1" l="1"/>
  <c r="B276" i="1"/>
  <c r="F276" i="1" s="1"/>
  <c r="C276" i="1"/>
  <c r="E274" i="1"/>
  <c r="D410" i="3"/>
  <c r="F193" i="5"/>
  <c r="D193" i="5"/>
  <c r="H192" i="5" s="1"/>
  <c r="E194" i="5"/>
  <c r="F410" i="3"/>
  <c r="E411" i="3" s="1"/>
  <c r="C411" i="3"/>
  <c r="A277" i="1" a="1"/>
  <c r="A277" i="1" l="1"/>
  <c r="B277" i="1"/>
  <c r="F277" i="1" s="1"/>
  <c r="C277" i="1"/>
  <c r="E275" i="1"/>
  <c r="D411" i="3"/>
  <c r="F411" i="3"/>
  <c r="E412" i="3" s="1"/>
  <c r="C412" i="3"/>
  <c r="D194" i="5"/>
  <c r="H193" i="5"/>
  <c r="C194" i="5"/>
  <c r="A278" i="1" a="1"/>
  <c r="A278" i="1" l="1"/>
  <c r="B278" i="1"/>
  <c r="F278" i="1" s="1"/>
  <c r="C278" i="1"/>
  <c r="E276" i="1"/>
  <c r="D412" i="3"/>
  <c r="F194" i="5"/>
  <c r="E195" i="5" s="1"/>
  <c r="C195" i="5"/>
  <c r="C413" i="3"/>
  <c r="F412" i="3"/>
  <c r="E413" i="3" s="1"/>
  <c r="A279" i="1" a="1"/>
  <c r="A279" i="1" l="1"/>
  <c r="B279" i="1"/>
  <c r="F279" i="1" s="1"/>
  <c r="C279" i="1"/>
  <c r="E277" i="1"/>
  <c r="D413" i="3"/>
  <c r="F413" i="3"/>
  <c r="E414" i="3" s="1"/>
  <c r="C414" i="3"/>
  <c r="F195" i="5"/>
  <c r="D195" i="5"/>
  <c r="H194" i="5" s="1"/>
  <c r="E196" i="5"/>
  <c r="A280" i="1" a="1"/>
  <c r="A280" i="1" l="1"/>
  <c r="B280" i="1"/>
  <c r="F280" i="1" s="1"/>
  <c r="C280" i="1"/>
  <c r="E278" i="1"/>
  <c r="D414" i="3"/>
  <c r="D196" i="5"/>
  <c r="H195" i="5"/>
  <c r="C196" i="5"/>
  <c r="F414" i="3"/>
  <c r="E415" i="3" s="1"/>
  <c r="C415" i="3"/>
  <c r="A281" i="1" a="1"/>
  <c r="A281" i="1" l="1"/>
  <c r="B281" i="1"/>
  <c r="F281" i="1" s="1"/>
  <c r="C281" i="1"/>
  <c r="E279" i="1"/>
  <c r="D415" i="3"/>
  <c r="F415" i="3"/>
  <c r="E416" i="3" s="1"/>
  <c r="C416" i="3"/>
  <c r="F196" i="5"/>
  <c r="E197" i="5" s="1"/>
  <c r="C197" i="5"/>
  <c r="A282" i="1" a="1"/>
  <c r="A282" i="1" l="1"/>
  <c r="B282" i="1"/>
  <c r="F282" i="1" s="1"/>
  <c r="C282" i="1"/>
  <c r="E280" i="1"/>
  <c r="D416" i="3"/>
  <c r="F197" i="5"/>
  <c r="D197" i="5"/>
  <c r="H196" i="5" s="1"/>
  <c r="E198" i="5"/>
  <c r="F416" i="3"/>
  <c r="E417" i="3" s="1"/>
  <c r="C417" i="3"/>
  <c r="A283" i="1" a="1"/>
  <c r="A283" i="1" l="1"/>
  <c r="B283" i="1"/>
  <c r="F283" i="1" s="1"/>
  <c r="C283" i="1"/>
  <c r="E281" i="1"/>
  <c r="D417" i="3"/>
  <c r="F417" i="3"/>
  <c r="E418" i="3" s="1"/>
  <c r="C418" i="3"/>
  <c r="D198" i="5"/>
  <c r="H197" i="5"/>
  <c r="C198" i="5"/>
  <c r="A284" i="1" a="1"/>
  <c r="A284" i="1" l="1"/>
  <c r="B284" i="1"/>
  <c r="F284" i="1" s="1"/>
  <c r="C284" i="1"/>
  <c r="E282" i="1"/>
  <c r="D418" i="3"/>
  <c r="F198" i="5"/>
  <c r="E199" i="5" s="1"/>
  <c r="C199" i="5"/>
  <c r="F418" i="3"/>
  <c r="E419" i="3" s="1"/>
  <c r="C419" i="3"/>
  <c r="A285" i="1" a="1"/>
  <c r="A285" i="1" l="1"/>
  <c r="B285" i="1"/>
  <c r="F285" i="1" s="1"/>
  <c r="C285" i="1"/>
  <c r="E283" i="1"/>
  <c r="D419" i="3"/>
  <c r="F419" i="3"/>
  <c r="E420" i="3" s="1"/>
  <c r="C420" i="3"/>
  <c r="F199" i="5"/>
  <c r="D199" i="5"/>
  <c r="H198" i="5" s="1"/>
  <c r="E200" i="5"/>
  <c r="A286" i="1" a="1"/>
  <c r="A286" i="1" l="1"/>
  <c r="B286" i="1"/>
  <c r="F286" i="1" s="1"/>
  <c r="C286" i="1"/>
  <c r="E284" i="1"/>
  <c r="D420" i="3"/>
  <c r="D200" i="5"/>
  <c r="H199" i="5"/>
  <c r="C200" i="5"/>
  <c r="F420" i="3"/>
  <c r="E421" i="3" s="1"/>
  <c r="C421" i="3"/>
  <c r="A287" i="1" a="1"/>
  <c r="A287" i="1" l="1"/>
  <c r="B287" i="1"/>
  <c r="F287" i="1" s="1"/>
  <c r="C287" i="1"/>
  <c r="E285" i="1"/>
  <c r="D421" i="3"/>
  <c r="F421" i="3"/>
  <c r="E422" i="3" s="1"/>
  <c r="C422" i="3"/>
  <c r="F200" i="5"/>
  <c r="E201" i="5" s="1"/>
  <c r="C201" i="5"/>
  <c r="A288" i="1" a="1"/>
  <c r="A288" i="1" l="1"/>
  <c r="B288" i="1"/>
  <c r="F288" i="1" s="1"/>
  <c r="C288" i="1"/>
  <c r="E286" i="1"/>
  <c r="D422" i="3"/>
  <c r="F201" i="5"/>
  <c r="D201" i="5"/>
  <c r="H200" i="5" s="1"/>
  <c r="E202" i="5"/>
  <c r="F422" i="3"/>
  <c r="E423" i="3" s="1"/>
  <c r="C423" i="3"/>
  <c r="A289" i="1" a="1"/>
  <c r="A289" i="1" l="1"/>
  <c r="B289" i="1"/>
  <c r="F289" i="1" s="1"/>
  <c r="C289" i="1"/>
  <c r="E287" i="1"/>
  <c r="D423" i="3"/>
  <c r="F423" i="3"/>
  <c r="E424" i="3" s="1"/>
  <c r="C424" i="3"/>
  <c r="D202" i="5"/>
  <c r="H201" i="5"/>
  <c r="C202" i="5"/>
  <c r="A290" i="1" a="1"/>
  <c r="A290" i="1" l="1"/>
  <c r="B290" i="1"/>
  <c r="F290" i="1" s="1"/>
  <c r="C290" i="1"/>
  <c r="E288" i="1"/>
  <c r="D424" i="3"/>
  <c r="F202" i="5"/>
  <c r="E203" i="5" s="1"/>
  <c r="C203" i="5"/>
  <c r="F424" i="3"/>
  <c r="E425" i="3" s="1"/>
  <c r="C425" i="3"/>
  <c r="A291" i="1" a="1"/>
  <c r="A291" i="1" l="1"/>
  <c r="B291" i="1"/>
  <c r="F291" i="1" s="1"/>
  <c r="C291" i="1"/>
  <c r="E289" i="1"/>
  <c r="D425" i="3"/>
  <c r="F425" i="3"/>
  <c r="E426" i="3" s="1"/>
  <c r="C426" i="3"/>
  <c r="F203" i="5"/>
  <c r="D203" i="5"/>
  <c r="H202" i="5" s="1"/>
  <c r="E204" i="5"/>
  <c r="A292" i="1" a="1"/>
  <c r="A292" i="1" l="1"/>
  <c r="B292" i="1"/>
  <c r="F292" i="1" s="1"/>
  <c r="C292" i="1"/>
  <c r="E290" i="1"/>
  <c r="D426" i="3"/>
  <c r="D204" i="5"/>
  <c r="H203" i="5"/>
  <c r="C204" i="5"/>
  <c r="F426" i="3"/>
  <c r="E427" i="3" s="1"/>
  <c r="C427" i="3"/>
  <c r="A293" i="1" a="1"/>
  <c r="A293" i="1" l="1"/>
  <c r="B293" i="1"/>
  <c r="F293" i="1" s="1"/>
  <c r="C293" i="1"/>
  <c r="E291" i="1"/>
  <c r="D427" i="3"/>
  <c r="F427" i="3"/>
  <c r="E428" i="3" s="1"/>
  <c r="C428" i="3"/>
  <c r="F204" i="5"/>
  <c r="E205" i="5" s="1"/>
  <c r="C205" i="5"/>
  <c r="A294" i="1" a="1"/>
  <c r="A294" i="1" l="1"/>
  <c r="B294" i="1"/>
  <c r="F294" i="1" s="1"/>
  <c r="C294" i="1"/>
  <c r="E292" i="1"/>
  <c r="D428" i="3"/>
  <c r="F205" i="5"/>
  <c r="D205" i="5"/>
  <c r="H204" i="5" s="1"/>
  <c r="E206" i="5"/>
  <c r="F428" i="3"/>
  <c r="E429" i="3" s="1"/>
  <c r="C429" i="3"/>
  <c r="A295" i="1" a="1"/>
  <c r="A295" i="1" l="1"/>
  <c r="B295" i="1"/>
  <c r="F295" i="1" s="1"/>
  <c r="C295" i="1"/>
  <c r="E293" i="1"/>
  <c r="D429" i="3"/>
  <c r="F429" i="3"/>
  <c r="E430" i="3" s="1"/>
  <c r="C430" i="3"/>
  <c r="D206" i="5"/>
  <c r="H205" i="5"/>
  <c r="C206" i="5"/>
  <c r="A296" i="1" a="1"/>
  <c r="A296" i="1" l="1"/>
  <c r="B296" i="1"/>
  <c r="F296" i="1" s="1"/>
  <c r="C296" i="1"/>
  <c r="E294" i="1"/>
  <c r="D430" i="3"/>
  <c r="F206" i="5"/>
  <c r="E207" i="5" s="1"/>
  <c r="C207" i="5"/>
  <c r="F430" i="3"/>
  <c r="E431" i="3" s="1"/>
  <c r="C431" i="3"/>
  <c r="A297" i="1" a="1"/>
  <c r="A297" i="1" l="1"/>
  <c r="B297" i="1"/>
  <c r="F297" i="1" s="1"/>
  <c r="C297" i="1"/>
  <c r="E295" i="1"/>
  <c r="D431" i="3"/>
  <c r="F431" i="3"/>
  <c r="E432" i="3" s="1"/>
  <c r="C432" i="3"/>
  <c r="F207" i="5"/>
  <c r="D207" i="5"/>
  <c r="H206" i="5" s="1"/>
  <c r="E208" i="5"/>
  <c r="A298" i="1" a="1"/>
  <c r="A298" i="1" l="1"/>
  <c r="B298" i="1"/>
  <c r="F298" i="1" s="1"/>
  <c r="C298" i="1"/>
  <c r="E296" i="1"/>
  <c r="D432" i="3"/>
  <c r="D208" i="5"/>
  <c r="H207" i="5"/>
  <c r="C208" i="5"/>
  <c r="F432" i="3"/>
  <c r="E433" i="3" s="1"/>
  <c r="C433" i="3"/>
  <c r="A299" i="1" a="1"/>
  <c r="A299" i="1" l="1"/>
  <c r="B299" i="1"/>
  <c r="F299" i="1" s="1"/>
  <c r="C299" i="1"/>
  <c r="E297" i="1"/>
  <c r="D433" i="3"/>
  <c r="F433" i="3"/>
  <c r="E434" i="3" s="1"/>
  <c r="C434" i="3"/>
  <c r="F208" i="5"/>
  <c r="E209" i="5" s="1"/>
  <c r="C209" i="5"/>
  <c r="A300" i="1" a="1"/>
  <c r="A300" i="1" l="1"/>
  <c r="B300" i="1"/>
  <c r="F300" i="1" s="1"/>
  <c r="C300" i="1"/>
  <c r="E298" i="1"/>
  <c r="D434" i="3"/>
  <c r="F209" i="5"/>
  <c r="D209" i="5"/>
  <c r="H208" i="5" s="1"/>
  <c r="E210" i="5"/>
  <c r="F434" i="3"/>
  <c r="E435" i="3" s="1"/>
  <c r="C435" i="3"/>
  <c r="A301" i="1" a="1"/>
  <c r="A301" i="1" l="1"/>
  <c r="B301" i="1"/>
  <c r="F301" i="1" s="1"/>
  <c r="C301" i="1"/>
  <c r="E299" i="1"/>
  <c r="D435" i="3"/>
  <c r="F435" i="3"/>
  <c r="E436" i="3" s="1"/>
  <c r="C436" i="3"/>
  <c r="D210" i="5"/>
  <c r="H209" i="5"/>
  <c r="C210" i="5"/>
  <c r="A302" i="1" a="1"/>
  <c r="A302" i="1" l="1"/>
  <c r="B302" i="1"/>
  <c r="F302" i="1" s="1"/>
  <c r="C302" i="1"/>
  <c r="E300" i="1"/>
  <c r="D436" i="3"/>
  <c r="F210" i="5"/>
  <c r="E211" i="5" s="1"/>
  <c r="C211" i="5"/>
  <c r="C437" i="3"/>
  <c r="F436" i="3"/>
  <c r="E437" i="3" s="1"/>
  <c r="A303" i="1" a="1"/>
  <c r="A303" i="1" l="1"/>
  <c r="B303" i="1"/>
  <c r="F303" i="1" s="1"/>
  <c r="C303" i="1"/>
  <c r="E301" i="1"/>
  <c r="D437" i="3"/>
  <c r="F437" i="3"/>
  <c r="E438" i="3" s="1"/>
  <c r="C438" i="3"/>
  <c r="F211" i="5"/>
  <c r="D211" i="5"/>
  <c r="H210" i="5" s="1"/>
  <c r="E212" i="5"/>
  <c r="A304" i="1" a="1"/>
  <c r="A304" i="1" l="1"/>
  <c r="B304" i="1"/>
  <c r="F304" i="1" s="1"/>
  <c r="C304" i="1"/>
  <c r="E302" i="1"/>
  <c r="D438" i="3"/>
  <c r="D212" i="5"/>
  <c r="H211" i="5"/>
  <c r="C212" i="5"/>
  <c r="C439" i="3"/>
  <c r="F438" i="3"/>
  <c r="E439" i="3" s="1"/>
  <c r="A305" i="1" a="1"/>
  <c r="A305" i="1" l="1"/>
  <c r="B305" i="1"/>
  <c r="F305" i="1" s="1"/>
  <c r="C305" i="1"/>
  <c r="E303" i="1"/>
  <c r="D439" i="3"/>
  <c r="F439" i="3"/>
  <c r="E440" i="3" s="1"/>
  <c r="C440" i="3"/>
  <c r="F212" i="5"/>
  <c r="E213" i="5" s="1"/>
  <c r="C213" i="5"/>
  <c r="A306" i="1" a="1"/>
  <c r="A306" i="1" l="1"/>
  <c r="B306" i="1"/>
  <c r="F306" i="1" s="1"/>
  <c r="C306" i="1"/>
  <c r="E304" i="1"/>
  <c r="D440" i="3"/>
  <c r="F213" i="5"/>
  <c r="D213" i="5"/>
  <c r="H212" i="5" s="1"/>
  <c r="E214" i="5"/>
  <c r="F440" i="3"/>
  <c r="E441" i="3" s="1"/>
  <c r="C441" i="3"/>
  <c r="A307" i="1" a="1"/>
  <c r="A307" i="1" l="1"/>
  <c r="B307" i="1"/>
  <c r="F307" i="1" s="1"/>
  <c r="C307" i="1"/>
  <c r="E305" i="1"/>
  <c r="D441" i="3"/>
  <c r="F441" i="3"/>
  <c r="E442" i="3" s="1"/>
  <c r="C442" i="3"/>
  <c r="D214" i="5"/>
  <c r="H213" i="5"/>
  <c r="C214" i="5"/>
  <c r="A308" i="1" a="1"/>
  <c r="A308" i="1" l="1"/>
  <c r="B308" i="1"/>
  <c r="F308" i="1" s="1"/>
  <c r="C308" i="1"/>
  <c r="E306" i="1"/>
  <c r="D442" i="3"/>
  <c r="F214" i="5"/>
  <c r="E215" i="5" s="1"/>
  <c r="C215" i="5"/>
  <c r="F442" i="3"/>
  <c r="E443" i="3" s="1"/>
  <c r="C443" i="3"/>
  <c r="A309" i="1" a="1"/>
  <c r="A309" i="1" l="1"/>
  <c r="B309" i="1"/>
  <c r="F309" i="1" s="1"/>
  <c r="C309" i="1"/>
  <c r="E307" i="1"/>
  <c r="D443" i="3"/>
  <c r="F443" i="3"/>
  <c r="E444" i="3" s="1"/>
  <c r="C444" i="3"/>
  <c r="F215" i="5"/>
  <c r="D215" i="5"/>
  <c r="H214" i="5" s="1"/>
  <c r="E216" i="5"/>
  <c r="A310" i="1" a="1"/>
  <c r="A310" i="1" l="1"/>
  <c r="B310" i="1"/>
  <c r="F310" i="1" s="1"/>
  <c r="C310" i="1"/>
  <c r="E308" i="1"/>
  <c r="D444" i="3"/>
  <c r="D216" i="5"/>
  <c r="H215" i="5"/>
  <c r="C216" i="5"/>
  <c r="F444" i="3"/>
  <c r="E445" i="3" s="1"/>
  <c r="C445" i="3"/>
  <c r="A311" i="1" a="1"/>
  <c r="A311" i="1" l="1"/>
  <c r="B311" i="1"/>
  <c r="F311" i="1" s="1"/>
  <c r="C311" i="1"/>
  <c r="E309" i="1"/>
  <c r="D445" i="3"/>
  <c r="F445" i="3"/>
  <c r="E446" i="3" s="1"/>
  <c r="C446" i="3"/>
  <c r="F216" i="5"/>
  <c r="E217" i="5" s="1"/>
  <c r="C217" i="5"/>
  <c r="A312" i="1" a="1"/>
  <c r="A312" i="1" l="1"/>
  <c r="B312" i="1"/>
  <c r="F312" i="1" s="1"/>
  <c r="C312" i="1"/>
  <c r="E310" i="1"/>
  <c r="D446" i="3"/>
  <c r="F217" i="5"/>
  <c r="D217" i="5"/>
  <c r="H216" i="5" s="1"/>
  <c r="E218" i="5"/>
  <c r="F446" i="3"/>
  <c r="E447" i="3" s="1"/>
  <c r="C447" i="3"/>
  <c r="A313" i="1" a="1"/>
  <c r="A313" i="1" l="1"/>
  <c r="B313" i="1"/>
  <c r="F313" i="1" s="1"/>
  <c r="C313" i="1"/>
  <c r="E311" i="1"/>
  <c r="D447" i="3"/>
  <c r="F447" i="3"/>
  <c r="E448" i="3" s="1"/>
  <c r="C448" i="3"/>
  <c r="D218" i="5"/>
  <c r="H217" i="5"/>
  <c r="C218" i="5"/>
  <c r="A314" i="1" a="1"/>
  <c r="A314" i="1" l="1"/>
  <c r="B314" i="1"/>
  <c r="F314" i="1" s="1"/>
  <c r="C314" i="1"/>
  <c r="E312" i="1"/>
  <c r="D448" i="3"/>
  <c r="F218" i="5"/>
  <c r="E219" i="5" s="1"/>
  <c r="C219" i="5"/>
  <c r="F448" i="3"/>
  <c r="E449" i="3" s="1"/>
  <c r="C449" i="3"/>
  <c r="A315" i="1" a="1"/>
  <c r="A315" i="1" l="1"/>
  <c r="B315" i="1"/>
  <c r="F315" i="1" s="1"/>
  <c r="C315" i="1"/>
  <c r="E313" i="1"/>
  <c r="D449" i="3"/>
  <c r="F449" i="3"/>
  <c r="E450" i="3" s="1"/>
  <c r="C450" i="3"/>
  <c r="F219" i="5"/>
  <c r="D219" i="5"/>
  <c r="H218" i="5" s="1"/>
  <c r="E220" i="5"/>
  <c r="A316" i="1" a="1"/>
  <c r="A316" i="1" l="1"/>
  <c r="B316" i="1"/>
  <c r="F316" i="1" s="1"/>
  <c r="C316" i="1"/>
  <c r="E314" i="1"/>
  <c r="D450" i="3"/>
  <c r="D220" i="5"/>
  <c r="H219" i="5"/>
  <c r="C220" i="5"/>
  <c r="F450" i="3"/>
  <c r="E451" i="3" s="1"/>
  <c r="C451" i="3"/>
  <c r="A317" i="1" a="1"/>
  <c r="A317" i="1" l="1"/>
  <c r="B317" i="1"/>
  <c r="F317" i="1" s="1"/>
  <c r="C317" i="1"/>
  <c r="E315" i="1"/>
  <c r="D451" i="3"/>
  <c r="F451" i="3"/>
  <c r="E452" i="3" s="1"/>
  <c r="C452" i="3"/>
  <c r="F220" i="5"/>
  <c r="E221" i="5" s="1"/>
  <c r="C221" i="5"/>
  <c r="A318" i="1" a="1"/>
  <c r="A318" i="1" l="1"/>
  <c r="B318" i="1"/>
  <c r="F318" i="1" s="1"/>
  <c r="C318" i="1"/>
  <c r="E316" i="1"/>
  <c r="D452" i="3"/>
  <c r="F221" i="5"/>
  <c r="D221" i="5"/>
  <c r="H220" i="5" s="1"/>
  <c r="E222" i="5"/>
  <c r="F452" i="3"/>
  <c r="E453" i="3" s="1"/>
  <c r="C453" i="3"/>
  <c r="A319" i="1" a="1"/>
  <c r="A319" i="1" l="1"/>
  <c r="B319" i="1"/>
  <c r="F319" i="1" s="1"/>
  <c r="C319" i="1"/>
  <c r="E317" i="1"/>
  <c r="D453" i="3"/>
  <c r="F453" i="3"/>
  <c r="E454" i="3" s="1"/>
  <c r="C454" i="3"/>
  <c r="D222" i="5"/>
  <c r="H221" i="5"/>
  <c r="C222" i="5"/>
  <c r="A320" i="1" a="1"/>
  <c r="A320" i="1" l="1"/>
  <c r="B320" i="1"/>
  <c r="F320" i="1" s="1"/>
  <c r="C320" i="1"/>
  <c r="E318" i="1"/>
  <c r="D454" i="3"/>
  <c r="F222" i="5"/>
  <c r="E223" i="5" s="1"/>
  <c r="C223" i="5"/>
  <c r="F454" i="3"/>
  <c r="E455" i="3" s="1"/>
  <c r="C455" i="3"/>
  <c r="A321" i="1" a="1"/>
  <c r="A321" i="1" l="1"/>
  <c r="B321" i="1"/>
  <c r="F321" i="1" s="1"/>
  <c r="C321" i="1"/>
  <c r="E319" i="1"/>
  <c r="D455" i="3"/>
  <c r="F455" i="3"/>
  <c r="E456" i="3" s="1"/>
  <c r="C456" i="3"/>
  <c r="F223" i="5"/>
  <c r="D223" i="5"/>
  <c r="H222" i="5" s="1"/>
  <c r="E224" i="5"/>
  <c r="A322" i="1" a="1"/>
  <c r="A322" i="1" l="1"/>
  <c r="B322" i="1"/>
  <c r="F322" i="1" s="1"/>
  <c r="C322" i="1"/>
  <c r="E320" i="1"/>
  <c r="D456" i="3"/>
  <c r="D224" i="5"/>
  <c r="H223" i="5"/>
  <c r="C224" i="5"/>
  <c r="F456" i="3"/>
  <c r="E457" i="3" s="1"/>
  <c r="C457" i="3"/>
  <c r="A323" i="1" a="1"/>
  <c r="A323" i="1" l="1"/>
  <c r="B323" i="1"/>
  <c r="F323" i="1" s="1"/>
  <c r="C323" i="1"/>
  <c r="E321" i="1"/>
  <c r="D457" i="3"/>
  <c r="F457" i="3"/>
  <c r="E458" i="3" s="1"/>
  <c r="C458" i="3"/>
  <c r="F224" i="5"/>
  <c r="E225" i="5" s="1"/>
  <c r="C225" i="5"/>
  <c r="A324" i="1" a="1"/>
  <c r="A324" i="1" l="1"/>
  <c r="B324" i="1"/>
  <c r="F324" i="1" s="1"/>
  <c r="C324" i="1"/>
  <c r="E322" i="1"/>
  <c r="D458" i="3"/>
  <c r="F225" i="5"/>
  <c r="D225" i="5"/>
  <c r="H224" i="5" s="1"/>
  <c r="E226" i="5"/>
  <c r="F458" i="3"/>
  <c r="E459" i="3" s="1"/>
  <c r="C459" i="3"/>
  <c r="A325" i="1" a="1"/>
  <c r="A325" i="1" l="1"/>
  <c r="B325" i="1"/>
  <c r="F325" i="1" s="1"/>
  <c r="C325" i="1"/>
  <c r="E323" i="1"/>
  <c r="D459" i="3"/>
  <c r="F459" i="3"/>
  <c r="E460" i="3" s="1"/>
  <c r="C460" i="3"/>
  <c r="D226" i="5"/>
  <c r="H225" i="5"/>
  <c r="C226" i="5"/>
  <c r="A326" i="1" a="1"/>
  <c r="A326" i="1" l="1"/>
  <c r="B326" i="1"/>
  <c r="F326" i="1" s="1"/>
  <c r="C326" i="1"/>
  <c r="E324" i="1"/>
  <c r="D460" i="3"/>
  <c r="F226" i="5"/>
  <c r="E227" i="5" s="1"/>
  <c r="C227" i="5"/>
  <c r="F460" i="3"/>
  <c r="E461" i="3" s="1"/>
  <c r="C461" i="3"/>
  <c r="A327" i="1" a="1"/>
  <c r="A327" i="1" l="1"/>
  <c r="B327" i="1"/>
  <c r="F327" i="1" s="1"/>
  <c r="C327" i="1"/>
  <c r="E325" i="1"/>
  <c r="D461" i="3"/>
  <c r="F461" i="3"/>
  <c r="E462" i="3" s="1"/>
  <c r="C462" i="3"/>
  <c r="F227" i="5"/>
  <c r="D227" i="5"/>
  <c r="H226" i="5" s="1"/>
  <c r="E228" i="5"/>
  <c r="A328" i="1" a="1"/>
  <c r="A328" i="1" l="1"/>
  <c r="B328" i="1"/>
  <c r="F328" i="1" s="1"/>
  <c r="C328" i="1"/>
  <c r="E326" i="1"/>
  <c r="D462" i="3"/>
  <c r="D228" i="5"/>
  <c r="H227" i="5"/>
  <c r="C228" i="5"/>
  <c r="F462" i="3"/>
  <c r="E463" i="3" s="1"/>
  <c r="C463" i="3"/>
  <c r="A329" i="1" a="1"/>
  <c r="A329" i="1" l="1"/>
  <c r="B329" i="1"/>
  <c r="F329" i="1" s="1"/>
  <c r="C329" i="1"/>
  <c r="E327" i="1"/>
  <c r="D463" i="3"/>
  <c r="F463" i="3"/>
  <c r="E464" i="3" s="1"/>
  <c r="C464" i="3"/>
  <c r="F228" i="5"/>
  <c r="E229" i="5" s="1"/>
  <c r="C229" i="5"/>
  <c r="A330" i="1" a="1"/>
  <c r="A330" i="1" l="1"/>
  <c r="B330" i="1"/>
  <c r="F330" i="1" s="1"/>
  <c r="C330" i="1"/>
  <c r="E328" i="1"/>
  <c r="D464" i="3"/>
  <c r="F229" i="5"/>
  <c r="D229" i="5"/>
  <c r="H228" i="5" s="1"/>
  <c r="E230" i="5"/>
  <c r="F464" i="3"/>
  <c r="E465" i="3" s="1"/>
  <c r="C465" i="3"/>
  <c r="A331" i="1" a="1"/>
  <c r="A331" i="1" l="1"/>
  <c r="B331" i="1"/>
  <c r="F331" i="1" s="1"/>
  <c r="C331" i="1"/>
  <c r="E329" i="1"/>
  <c r="D465" i="3"/>
  <c r="F465" i="3"/>
  <c r="E466" i="3" s="1"/>
  <c r="C466" i="3"/>
  <c r="D230" i="5"/>
  <c r="H229" i="5"/>
  <c r="C230" i="5"/>
  <c r="A332" i="1" a="1"/>
  <c r="A332" i="1" l="1"/>
  <c r="B332" i="1"/>
  <c r="F332" i="1" s="1"/>
  <c r="C332" i="1"/>
  <c r="E330" i="1"/>
  <c r="D466" i="3"/>
  <c r="F230" i="5"/>
  <c r="E231" i="5" s="1"/>
  <c r="C231" i="5"/>
  <c r="F466" i="3"/>
  <c r="E467" i="3" s="1"/>
  <c r="C467" i="3"/>
  <c r="A333" i="1" a="1"/>
  <c r="A333" i="1" l="1"/>
  <c r="B333" i="1"/>
  <c r="F333" i="1" s="1"/>
  <c r="C333" i="1"/>
  <c r="E331" i="1"/>
  <c r="D467" i="3"/>
  <c r="F467" i="3"/>
  <c r="E468" i="3" s="1"/>
  <c r="C468" i="3"/>
  <c r="F231" i="5"/>
  <c r="D231" i="5"/>
  <c r="H230" i="5" s="1"/>
  <c r="E232" i="5"/>
  <c r="A334" i="1" a="1"/>
  <c r="A334" i="1" l="1"/>
  <c r="B334" i="1"/>
  <c r="F334" i="1" s="1"/>
  <c r="C334" i="1"/>
  <c r="E332" i="1"/>
  <c r="D468" i="3"/>
  <c r="D232" i="5"/>
  <c r="H231" i="5"/>
  <c r="C232" i="5"/>
  <c r="F468" i="3"/>
  <c r="E469" i="3" s="1"/>
  <c r="C469" i="3"/>
  <c r="A335" i="1" a="1"/>
  <c r="A335" i="1" l="1"/>
  <c r="B335" i="1"/>
  <c r="F335" i="1" s="1"/>
  <c r="C335" i="1"/>
  <c r="E333" i="1"/>
  <c r="D469" i="3"/>
  <c r="F469" i="3"/>
  <c r="E470" i="3" s="1"/>
  <c r="C470" i="3"/>
  <c r="F232" i="5"/>
  <c r="E233" i="5" s="1"/>
  <c r="C233" i="5"/>
  <c r="A336" i="1" a="1"/>
  <c r="A336" i="1" l="1"/>
  <c r="B336" i="1"/>
  <c r="F336" i="1" s="1"/>
  <c r="C336" i="1"/>
  <c r="E334" i="1"/>
  <c r="D470" i="3"/>
  <c r="F233" i="5"/>
  <c r="D233" i="5"/>
  <c r="H232" i="5" s="1"/>
  <c r="E234" i="5"/>
  <c r="F470" i="3"/>
  <c r="E471" i="3" s="1"/>
  <c r="C471" i="3"/>
  <c r="A337" i="1" a="1"/>
  <c r="A337" i="1" l="1"/>
  <c r="B337" i="1"/>
  <c r="F337" i="1" s="1"/>
  <c r="C337" i="1"/>
  <c r="E335" i="1"/>
  <c r="D471" i="3"/>
  <c r="F471" i="3"/>
  <c r="E472" i="3" s="1"/>
  <c r="C472" i="3"/>
  <c r="D234" i="5"/>
  <c r="H233" i="5"/>
  <c r="C234" i="5"/>
  <c r="A338" i="1" a="1"/>
  <c r="A338" i="1" l="1"/>
  <c r="B338" i="1"/>
  <c r="F338" i="1" s="1"/>
  <c r="C338" i="1"/>
  <c r="E336" i="1"/>
  <c r="D472" i="3"/>
  <c r="F234" i="5"/>
  <c r="E235" i="5" s="1"/>
  <c r="C235" i="5"/>
  <c r="F472" i="3"/>
  <c r="E473" i="3" s="1"/>
  <c r="C473" i="3"/>
  <c r="A339" i="1" a="1"/>
  <c r="A339" i="1" l="1"/>
  <c r="B339" i="1"/>
  <c r="F339" i="1" s="1"/>
  <c r="C339" i="1"/>
  <c r="E337" i="1"/>
  <c r="D473" i="3"/>
  <c r="F473" i="3"/>
  <c r="E474" i="3" s="1"/>
  <c r="C474" i="3"/>
  <c r="F235" i="5"/>
  <c r="D235" i="5"/>
  <c r="H234" i="5" s="1"/>
  <c r="E236" i="5"/>
  <c r="A340" i="1" a="1"/>
  <c r="A340" i="1" l="1"/>
  <c r="B340" i="1"/>
  <c r="F340" i="1" s="1"/>
  <c r="C340" i="1"/>
  <c r="E338" i="1"/>
  <c r="D474" i="3"/>
  <c r="D236" i="5"/>
  <c r="H235" i="5"/>
  <c r="C236" i="5"/>
  <c r="F474" i="3"/>
  <c r="E475" i="3" s="1"/>
  <c r="C475" i="3"/>
  <c r="A341" i="1" a="1"/>
  <c r="A341" i="1" l="1"/>
  <c r="B341" i="1"/>
  <c r="F341" i="1" s="1"/>
  <c r="C341" i="1"/>
  <c r="E339" i="1"/>
  <c r="D475" i="3"/>
  <c r="F475" i="3"/>
  <c r="E476" i="3" s="1"/>
  <c r="C476" i="3"/>
  <c r="F236" i="5"/>
  <c r="E237" i="5" s="1"/>
  <c r="C237" i="5"/>
  <c r="A342" i="1" a="1"/>
  <c r="A342" i="1" l="1"/>
  <c r="B342" i="1"/>
  <c r="F342" i="1" s="1"/>
  <c r="C342" i="1"/>
  <c r="E340" i="1"/>
  <c r="D476" i="3"/>
  <c r="F237" i="5"/>
  <c r="D237" i="5"/>
  <c r="H236" i="5" s="1"/>
  <c r="E238" i="5"/>
  <c r="F476" i="3"/>
  <c r="E477" i="3" s="1"/>
  <c r="C477" i="3"/>
  <c r="A343" i="1" a="1"/>
  <c r="A343" i="1" l="1"/>
  <c r="B343" i="1"/>
  <c r="F343" i="1" s="1"/>
  <c r="C343" i="1"/>
  <c r="E341" i="1"/>
  <c r="D477" i="3"/>
  <c r="F477" i="3"/>
  <c r="E478" i="3" s="1"/>
  <c r="C478" i="3"/>
  <c r="D238" i="5"/>
  <c r="H237" i="5"/>
  <c r="C238" i="5"/>
  <c r="A344" i="1" a="1"/>
  <c r="A344" i="1" l="1"/>
  <c r="B344" i="1"/>
  <c r="F344" i="1" s="1"/>
  <c r="C344" i="1"/>
  <c r="E342" i="1"/>
  <c r="D478" i="3"/>
  <c r="F238" i="5"/>
  <c r="E239" i="5" s="1"/>
  <c r="C239" i="5"/>
  <c r="F478" i="3"/>
  <c r="E479" i="3" s="1"/>
  <c r="C479" i="3"/>
  <c r="A345" i="1" a="1"/>
  <c r="A345" i="1" l="1"/>
  <c r="B345" i="1"/>
  <c r="F345" i="1" s="1"/>
  <c r="C345" i="1"/>
  <c r="E343" i="1"/>
  <c r="D479" i="3"/>
  <c r="F479" i="3"/>
  <c r="E480" i="3" s="1"/>
  <c r="C480" i="3"/>
  <c r="F239" i="5"/>
  <c r="D239" i="5"/>
  <c r="H238" i="5" s="1"/>
  <c r="E240" i="5"/>
  <c r="A346" i="1" a="1"/>
  <c r="A346" i="1" l="1"/>
  <c r="B346" i="1"/>
  <c r="F346" i="1" s="1"/>
  <c r="C346" i="1"/>
  <c r="E344" i="1"/>
  <c r="D480" i="3"/>
  <c r="D240" i="5"/>
  <c r="H239" i="5"/>
  <c r="C240" i="5"/>
  <c r="F480" i="3"/>
  <c r="E481" i="3" s="1"/>
  <c r="C481" i="3"/>
  <c r="A347" i="1" a="1"/>
  <c r="A347" i="1" l="1"/>
  <c r="B347" i="1"/>
  <c r="F347" i="1" s="1"/>
  <c r="C347" i="1"/>
  <c r="E345" i="1"/>
  <c r="D481" i="3"/>
  <c r="F481" i="3"/>
  <c r="E482" i="3" s="1"/>
  <c r="C482" i="3"/>
  <c r="F240" i="5"/>
  <c r="E241" i="5" s="1"/>
  <c r="C241" i="5"/>
  <c r="A348" i="1" a="1"/>
  <c r="A348" i="1" l="1"/>
  <c r="B348" i="1"/>
  <c r="F348" i="1" s="1"/>
  <c r="C348" i="1"/>
  <c r="E346" i="1"/>
  <c r="D482" i="3"/>
  <c r="F241" i="5"/>
  <c r="D241" i="5"/>
  <c r="H240" i="5" s="1"/>
  <c r="E242" i="5"/>
  <c r="F482" i="3"/>
  <c r="E483" i="3" s="1"/>
  <c r="C483" i="3"/>
  <c r="A349" i="1" a="1"/>
  <c r="A349" i="1" l="1"/>
  <c r="B349" i="1"/>
  <c r="F349" i="1" s="1"/>
  <c r="C349" i="1"/>
  <c r="E347" i="1"/>
  <c r="D483" i="3"/>
  <c r="F483" i="3"/>
  <c r="E484" i="3" s="1"/>
  <c r="C484" i="3"/>
  <c r="D242" i="5"/>
  <c r="H241" i="5"/>
  <c r="C242" i="5"/>
  <c r="A350" i="1" a="1"/>
  <c r="A350" i="1" l="1"/>
  <c r="B350" i="1"/>
  <c r="F350" i="1" s="1"/>
  <c r="C350" i="1"/>
  <c r="E348" i="1"/>
  <c r="D484" i="3"/>
  <c r="F242" i="5"/>
  <c r="E243" i="5" s="1"/>
  <c r="C243" i="5"/>
  <c r="F484" i="3"/>
  <c r="E485" i="3" s="1"/>
  <c r="C485" i="3"/>
  <c r="A351" i="1" a="1"/>
  <c r="A351" i="1" l="1"/>
  <c r="B351" i="1"/>
  <c r="F351" i="1" s="1"/>
  <c r="C351" i="1"/>
  <c r="E349" i="1"/>
  <c r="D485" i="3"/>
  <c r="F485" i="3"/>
  <c r="E486" i="3" s="1"/>
  <c r="C486" i="3"/>
  <c r="F243" i="5"/>
  <c r="D243" i="5"/>
  <c r="H242" i="5" s="1"/>
  <c r="E244" i="5"/>
  <c r="A352" i="1" a="1"/>
  <c r="A352" i="1" l="1"/>
  <c r="B352" i="1"/>
  <c r="F352" i="1" s="1"/>
  <c r="C352" i="1"/>
  <c r="E350" i="1"/>
  <c r="D486" i="3"/>
  <c r="D244" i="5"/>
  <c r="H243" i="5"/>
  <c r="C244" i="5"/>
  <c r="F486" i="3"/>
  <c r="E487" i="3" s="1"/>
  <c r="C487" i="3"/>
  <c r="A353" i="1" a="1"/>
  <c r="A353" i="1" l="1"/>
  <c r="B353" i="1"/>
  <c r="F353" i="1" s="1"/>
  <c r="C353" i="1"/>
  <c r="E351" i="1"/>
  <c r="D487" i="3"/>
  <c r="F487" i="3"/>
  <c r="E488" i="3" s="1"/>
  <c r="C488" i="3"/>
  <c r="F244" i="5"/>
  <c r="E245" i="5" s="1"/>
  <c r="C245" i="5"/>
  <c r="A354" i="1" a="1"/>
  <c r="A354" i="1" l="1"/>
  <c r="B354" i="1"/>
  <c r="F354" i="1" s="1"/>
  <c r="C354" i="1"/>
  <c r="E352" i="1"/>
  <c r="D488" i="3"/>
  <c r="F245" i="5"/>
  <c r="D245" i="5"/>
  <c r="H244" i="5" s="1"/>
  <c r="E246" i="5"/>
  <c r="F488" i="3"/>
  <c r="E489" i="3" s="1"/>
  <c r="C489" i="3"/>
  <c r="A355" i="1" a="1"/>
  <c r="A355" i="1" l="1"/>
  <c r="B355" i="1"/>
  <c r="F355" i="1" s="1"/>
  <c r="C355" i="1"/>
  <c r="E353" i="1"/>
  <c r="D489" i="3"/>
  <c r="F489" i="3"/>
  <c r="E490" i="3" s="1"/>
  <c r="C490" i="3"/>
  <c r="D246" i="5"/>
  <c r="H245" i="5"/>
  <c r="C246" i="5"/>
  <c r="A356" i="1" a="1"/>
  <c r="A356" i="1" l="1"/>
  <c r="B356" i="1"/>
  <c r="F356" i="1" s="1"/>
  <c r="C356" i="1"/>
  <c r="E354" i="1"/>
  <c r="D490" i="3"/>
  <c r="F246" i="5"/>
  <c r="E247" i="5" s="1"/>
  <c r="C247" i="5"/>
  <c r="F490" i="3"/>
  <c r="E491" i="3" s="1"/>
  <c r="C491" i="3"/>
  <c r="A357" i="1" a="1"/>
  <c r="A357" i="1" l="1"/>
  <c r="B357" i="1"/>
  <c r="F357" i="1" s="1"/>
  <c r="C357" i="1"/>
  <c r="E355" i="1"/>
  <c r="D491" i="3"/>
  <c r="F491" i="3"/>
  <c r="E492" i="3" s="1"/>
  <c r="C492" i="3"/>
  <c r="F247" i="5"/>
  <c r="D247" i="5"/>
  <c r="H246" i="5" s="1"/>
  <c r="E248" i="5"/>
  <c r="A358" i="1" a="1"/>
  <c r="A358" i="1" l="1"/>
  <c r="B358" i="1"/>
  <c r="F358" i="1" s="1"/>
  <c r="C358" i="1"/>
  <c r="E356" i="1"/>
  <c r="D492" i="3"/>
  <c r="D248" i="5"/>
  <c r="H247" i="5"/>
  <c r="C248" i="5"/>
  <c r="F492" i="3"/>
  <c r="E493" i="3" s="1"/>
  <c r="C493" i="3"/>
  <c r="A359" i="1" a="1"/>
  <c r="A359" i="1" l="1"/>
  <c r="B359" i="1"/>
  <c r="F359" i="1" s="1"/>
  <c r="C359" i="1"/>
  <c r="E357" i="1"/>
  <c r="D493" i="3"/>
  <c r="F493" i="3"/>
  <c r="E494" i="3" s="1"/>
  <c r="C494" i="3"/>
  <c r="F248" i="5"/>
  <c r="E249" i="5" s="1"/>
  <c r="C249" i="5"/>
  <c r="A360" i="1" a="1"/>
  <c r="A360" i="1" l="1"/>
  <c r="B360" i="1"/>
  <c r="F360" i="1" s="1"/>
  <c r="C360" i="1"/>
  <c r="E358" i="1"/>
  <c r="D494" i="3"/>
  <c r="F249" i="5"/>
  <c r="D249" i="5"/>
  <c r="H248" i="5" s="1"/>
  <c r="E250" i="5"/>
  <c r="F494" i="3"/>
  <c r="E495" i="3" s="1"/>
  <c r="C495" i="3"/>
  <c r="A361" i="1" a="1"/>
  <c r="A361" i="1" l="1"/>
  <c r="B361" i="1"/>
  <c r="F361" i="1" s="1"/>
  <c r="C361" i="1"/>
  <c r="E359" i="1"/>
  <c r="D495" i="3"/>
  <c r="F495" i="3"/>
  <c r="E496" i="3" s="1"/>
  <c r="C496" i="3"/>
  <c r="D250" i="5"/>
  <c r="H249" i="5"/>
  <c r="C250" i="5"/>
  <c r="A362" i="1" a="1"/>
  <c r="A362" i="1" l="1"/>
  <c r="B362" i="1"/>
  <c r="F362" i="1" s="1"/>
  <c r="C362" i="1"/>
  <c r="E360" i="1"/>
  <c r="D496" i="3"/>
  <c r="F250" i="5"/>
  <c r="E251" i="5" s="1"/>
  <c r="C251" i="5"/>
  <c r="F496" i="3"/>
  <c r="E497" i="3" s="1"/>
  <c r="C497" i="3"/>
  <c r="A363" i="1" a="1"/>
  <c r="A363" i="1" l="1"/>
  <c r="B363" i="1"/>
  <c r="F363" i="1" s="1"/>
  <c r="C363" i="1"/>
  <c r="E361" i="1"/>
  <c r="D497" i="3"/>
  <c r="F497" i="3"/>
  <c r="E498" i="3" s="1"/>
  <c r="C498" i="3"/>
  <c r="F251" i="5"/>
  <c r="D251" i="5"/>
  <c r="H250" i="5" s="1"/>
  <c r="E252" i="5"/>
  <c r="A364" i="1" a="1"/>
  <c r="A364" i="1" l="1"/>
  <c r="B364" i="1"/>
  <c r="F364" i="1" s="1"/>
  <c r="C364" i="1"/>
  <c r="E362" i="1"/>
  <c r="D498" i="3"/>
  <c r="D252" i="5"/>
  <c r="H251" i="5"/>
  <c r="C252" i="5"/>
  <c r="F498" i="3"/>
  <c r="E499" i="3" s="1"/>
  <c r="C499" i="3"/>
  <c r="A365" i="1" a="1"/>
  <c r="A365" i="1" l="1"/>
  <c r="B365" i="1"/>
  <c r="F365" i="1" s="1"/>
  <c r="C365" i="1"/>
  <c r="E363" i="1"/>
  <c r="D499" i="3"/>
  <c r="F499" i="3"/>
  <c r="E500" i="3" s="1"/>
  <c r="C500" i="3"/>
  <c r="F252" i="5"/>
  <c r="E253" i="5" s="1"/>
  <c r="C253" i="5"/>
  <c r="A366" i="1" a="1"/>
  <c r="A366" i="1" l="1"/>
  <c r="B366" i="1"/>
  <c r="F366" i="1" s="1"/>
  <c r="C366" i="1"/>
  <c r="E364" i="1"/>
  <c r="D500" i="3"/>
  <c r="F253" i="5"/>
  <c r="D253" i="5"/>
  <c r="H252" i="5" s="1"/>
  <c r="E254" i="5"/>
  <c r="F500" i="3"/>
  <c r="E501" i="3" s="1"/>
  <c r="C501" i="3"/>
  <c r="A367" i="1" a="1"/>
  <c r="A367" i="1" l="1"/>
  <c r="B367" i="1"/>
  <c r="F367" i="1" s="1"/>
  <c r="C367" i="1"/>
  <c r="E365" i="1"/>
  <c r="D501" i="3"/>
  <c r="F501" i="3"/>
  <c r="E502" i="3" s="1"/>
  <c r="C502" i="3"/>
  <c r="D254" i="5"/>
  <c r="H253" i="5"/>
  <c r="C254" i="5"/>
  <c r="A368" i="1" a="1"/>
  <c r="A368" i="1" l="1"/>
  <c r="B368" i="1"/>
  <c r="F368" i="1" s="1"/>
  <c r="C368" i="1"/>
  <c r="E366" i="1"/>
  <c r="D502" i="3"/>
  <c r="F254" i="5"/>
  <c r="E255" i="5" s="1"/>
  <c r="C255" i="5"/>
  <c r="F502" i="3"/>
  <c r="E503" i="3" s="1"/>
  <c r="C503" i="3"/>
  <c r="A369" i="1" a="1"/>
  <c r="A369" i="1" l="1"/>
  <c r="B369" i="1"/>
  <c r="F369" i="1" s="1"/>
  <c r="C369" i="1"/>
  <c r="E367" i="1"/>
  <c r="D503" i="3"/>
  <c r="F503" i="3"/>
  <c r="E504" i="3" s="1"/>
  <c r="C504" i="3"/>
  <c r="F255" i="5"/>
  <c r="D255" i="5"/>
  <c r="H254" i="5" s="1"/>
  <c r="E256" i="5"/>
  <c r="A370" i="1" a="1"/>
  <c r="A370" i="1" l="1"/>
  <c r="B370" i="1"/>
  <c r="F370" i="1" s="1"/>
  <c r="C370" i="1"/>
  <c r="E368" i="1"/>
  <c r="D504" i="3"/>
  <c r="D256" i="5"/>
  <c r="H255" i="5"/>
  <c r="C256" i="5"/>
  <c r="F504" i="3"/>
  <c r="E505" i="3" s="1"/>
  <c r="C505" i="3"/>
  <c r="A371" i="1" a="1"/>
  <c r="A371" i="1" l="1"/>
  <c r="B371" i="1"/>
  <c r="F371" i="1" s="1"/>
  <c r="C371" i="1"/>
  <c r="E369" i="1"/>
  <c r="D505" i="3"/>
  <c r="F505" i="3"/>
  <c r="E506" i="3" s="1"/>
  <c r="C506" i="3"/>
  <c r="F256" i="5"/>
  <c r="E257" i="5" s="1"/>
  <c r="C257" i="5"/>
  <c r="A372" i="1" a="1"/>
  <c r="A372" i="1" l="1"/>
  <c r="B372" i="1"/>
  <c r="F372" i="1" s="1"/>
  <c r="C372" i="1"/>
  <c r="E370" i="1"/>
  <c r="D506" i="3"/>
  <c r="F257" i="5"/>
  <c r="D257" i="5"/>
  <c r="H256" i="5" s="1"/>
  <c r="E258" i="5"/>
  <c r="F506" i="3"/>
  <c r="E507" i="3" s="1"/>
  <c r="C507" i="3"/>
  <c r="A373" i="1" a="1"/>
  <c r="A373" i="1" l="1"/>
  <c r="B373" i="1"/>
  <c r="F373" i="1" s="1"/>
  <c r="C373" i="1"/>
  <c r="E371" i="1"/>
  <c r="D507" i="3"/>
  <c r="F507" i="3"/>
  <c r="E508" i="3" s="1"/>
  <c r="C508" i="3"/>
  <c r="D258" i="5"/>
  <c r="H257" i="5"/>
  <c r="C258" i="5"/>
  <c r="A374" i="1" a="1"/>
  <c r="A374" i="1" l="1"/>
  <c r="B374" i="1"/>
  <c r="F374" i="1" s="1"/>
  <c r="C374" i="1"/>
  <c r="E372" i="1"/>
  <c r="D508" i="3"/>
  <c r="F258" i="5"/>
  <c r="E259" i="5" s="1"/>
  <c r="C259" i="5"/>
  <c r="F508" i="3"/>
  <c r="E509" i="3" s="1"/>
  <c r="C509" i="3"/>
  <c r="A375" i="1" a="1"/>
  <c r="A375" i="1" l="1"/>
  <c r="B375" i="1"/>
  <c r="F375" i="1" s="1"/>
  <c r="C375" i="1"/>
  <c r="E373" i="1"/>
  <c r="D509" i="3"/>
  <c r="F509" i="3"/>
  <c r="E510" i="3" s="1"/>
  <c r="C510" i="3"/>
  <c r="F259" i="5"/>
  <c r="D259" i="5"/>
  <c r="H258" i="5" s="1"/>
  <c r="E260" i="5"/>
  <c r="A376" i="1" a="1"/>
  <c r="A376" i="1" l="1"/>
  <c r="B376" i="1"/>
  <c r="F376" i="1" s="1"/>
  <c r="C376" i="1"/>
  <c r="E374" i="1"/>
  <c r="D510" i="3"/>
  <c r="D260" i="5"/>
  <c r="H259" i="5"/>
  <c r="C260" i="5"/>
  <c r="F510" i="3"/>
  <c r="E511" i="3" s="1"/>
  <c r="C511" i="3"/>
  <c r="A377" i="1" a="1"/>
  <c r="A377" i="1" l="1"/>
  <c r="B377" i="1"/>
  <c r="F377" i="1" s="1"/>
  <c r="C377" i="1"/>
  <c r="E375" i="1"/>
  <c r="D511" i="3"/>
  <c r="F511" i="3"/>
  <c r="E512" i="3" s="1"/>
  <c r="C512" i="3"/>
  <c r="F260" i="5"/>
  <c r="E261" i="5" s="1"/>
  <c r="C261" i="5"/>
  <c r="A378" i="1" a="1"/>
  <c r="A378" i="1" l="1"/>
  <c r="B378" i="1"/>
  <c r="F378" i="1" s="1"/>
  <c r="C378" i="1"/>
  <c r="E376" i="1"/>
  <c r="D512" i="3"/>
  <c r="F261" i="5"/>
  <c r="D261" i="5"/>
  <c r="H260" i="5" s="1"/>
  <c r="E262" i="5"/>
  <c r="F512" i="3"/>
  <c r="E513" i="3" s="1"/>
  <c r="C513" i="3"/>
  <c r="A379" i="1" a="1"/>
  <c r="A379" i="1" l="1"/>
  <c r="B379" i="1"/>
  <c r="F379" i="1" s="1"/>
  <c r="C379" i="1"/>
  <c r="E377" i="1"/>
  <c r="D513" i="3"/>
  <c r="F513" i="3"/>
  <c r="E514" i="3" s="1"/>
  <c r="C514" i="3"/>
  <c r="D262" i="5"/>
  <c r="H261" i="5"/>
  <c r="C262" i="5"/>
  <c r="A380" i="1" a="1"/>
  <c r="A380" i="1" l="1"/>
  <c r="B380" i="1"/>
  <c r="F380" i="1" s="1"/>
  <c r="C380" i="1"/>
  <c r="E378" i="1"/>
  <c r="D514" i="3"/>
  <c r="F262" i="5"/>
  <c r="E263" i="5" s="1"/>
  <c r="C263" i="5"/>
  <c r="F514" i="3"/>
  <c r="E515" i="3" s="1"/>
  <c r="C515" i="3"/>
  <c r="A381" i="1" a="1"/>
  <c r="A381" i="1" l="1"/>
  <c r="B381" i="1"/>
  <c r="F381" i="1" s="1"/>
  <c r="C381" i="1"/>
  <c r="E379" i="1"/>
  <c r="D515" i="3"/>
  <c r="F515" i="3"/>
  <c r="E516" i="3" s="1"/>
  <c r="C516" i="3"/>
  <c r="F263" i="5"/>
  <c r="D263" i="5"/>
  <c r="H262" i="5" s="1"/>
  <c r="E264" i="5"/>
  <c r="A382" i="1" a="1"/>
  <c r="A382" i="1" l="1"/>
  <c r="B382" i="1"/>
  <c r="F382" i="1" s="1"/>
  <c r="C382" i="1"/>
  <c r="E380" i="1"/>
  <c r="D516" i="3"/>
  <c r="D264" i="5"/>
  <c r="H263" i="5"/>
  <c r="C264" i="5"/>
  <c r="F516" i="3"/>
  <c r="E517" i="3" s="1"/>
  <c r="C517" i="3"/>
  <c r="A383" i="1" a="1"/>
  <c r="A383" i="1" l="1"/>
  <c r="B383" i="1"/>
  <c r="F383" i="1" s="1"/>
  <c r="C383" i="1"/>
  <c r="E381" i="1"/>
  <c r="D517" i="3"/>
  <c r="F517" i="3"/>
  <c r="E518" i="3" s="1"/>
  <c r="C518" i="3"/>
  <c r="F264" i="5"/>
  <c r="E265" i="5" s="1"/>
  <c r="C265" i="5"/>
  <c r="A384" i="1" a="1"/>
  <c r="A384" i="1" l="1"/>
  <c r="B384" i="1"/>
  <c r="F384" i="1" s="1"/>
  <c r="C384" i="1"/>
  <c r="E382" i="1"/>
  <c r="D518" i="3"/>
  <c r="F265" i="5"/>
  <c r="D265" i="5"/>
  <c r="H264" i="5" s="1"/>
  <c r="E266" i="5"/>
  <c r="F518" i="3"/>
  <c r="E519" i="3" s="1"/>
  <c r="C519" i="3"/>
  <c r="A385" i="1" a="1"/>
  <c r="A385" i="1" l="1"/>
  <c r="B385" i="1"/>
  <c r="F385" i="1" s="1"/>
  <c r="C385" i="1"/>
  <c r="E383" i="1"/>
  <c r="D519" i="3"/>
  <c r="F519" i="3"/>
  <c r="E520" i="3" s="1"/>
  <c r="C520" i="3"/>
  <c r="D266" i="5"/>
  <c r="H265" i="5"/>
  <c r="C266" i="5"/>
  <c r="A386" i="1" a="1"/>
  <c r="A386" i="1" l="1"/>
  <c r="B386" i="1"/>
  <c r="F386" i="1" s="1"/>
  <c r="C386" i="1"/>
  <c r="E384" i="1"/>
  <c r="D520" i="3"/>
  <c r="F266" i="5"/>
  <c r="E267" i="5" s="1"/>
  <c r="C267" i="5"/>
  <c r="F520" i="3"/>
  <c r="E521" i="3" s="1"/>
  <c r="C521" i="3"/>
  <c r="A387" i="1" a="1"/>
  <c r="A387" i="1" l="1"/>
  <c r="B387" i="1"/>
  <c r="F387" i="1" s="1"/>
  <c r="C387" i="1"/>
  <c r="E385" i="1"/>
  <c r="D521" i="3"/>
  <c r="F521" i="3"/>
  <c r="E522" i="3" s="1"/>
  <c r="C522" i="3"/>
  <c r="F267" i="5"/>
  <c r="D267" i="5"/>
  <c r="H266" i="5" s="1"/>
  <c r="E268" i="5"/>
  <c r="A388" i="1" a="1"/>
  <c r="A388" i="1" l="1"/>
  <c r="B388" i="1"/>
  <c r="F388" i="1" s="1"/>
  <c r="C388" i="1"/>
  <c r="E386" i="1"/>
  <c r="D522" i="3"/>
  <c r="D268" i="5"/>
  <c r="H267" i="5"/>
  <c r="C268" i="5"/>
  <c r="F522" i="3"/>
  <c r="E523" i="3" s="1"/>
  <c r="C523" i="3"/>
  <c r="A389" i="1" a="1"/>
  <c r="A389" i="1" l="1"/>
  <c r="B389" i="1"/>
  <c r="F389" i="1" s="1"/>
  <c r="C389" i="1"/>
  <c r="E387" i="1"/>
  <c r="D523" i="3"/>
  <c r="F523" i="3"/>
  <c r="E524" i="3" s="1"/>
  <c r="C524" i="3"/>
  <c r="F268" i="5"/>
  <c r="E269" i="5" s="1"/>
  <c r="C269" i="5"/>
  <c r="A390" i="1" a="1"/>
  <c r="A390" i="1" l="1"/>
  <c r="B390" i="1"/>
  <c r="F390" i="1" s="1"/>
  <c r="C390" i="1"/>
  <c r="E388" i="1"/>
  <c r="D524" i="3"/>
  <c r="F269" i="5"/>
  <c r="D269" i="5"/>
  <c r="H268" i="5" s="1"/>
  <c r="E270" i="5"/>
  <c r="F524" i="3"/>
  <c r="E525" i="3" s="1"/>
  <c r="C525" i="3"/>
  <c r="A391" i="1" a="1"/>
  <c r="A391" i="1" l="1"/>
  <c r="B391" i="1"/>
  <c r="F391" i="1" s="1"/>
  <c r="C391" i="1"/>
  <c r="E389" i="1"/>
  <c r="D525" i="3"/>
  <c r="F525" i="3"/>
  <c r="E526" i="3" s="1"/>
  <c r="C526" i="3"/>
  <c r="D270" i="5"/>
  <c r="H269" i="5"/>
  <c r="C270" i="5"/>
  <c r="A392" i="1" a="1"/>
  <c r="A392" i="1" l="1"/>
  <c r="B392" i="1"/>
  <c r="F392" i="1" s="1"/>
  <c r="C392" i="1"/>
  <c r="E390" i="1"/>
  <c r="D526" i="3"/>
  <c r="F270" i="5"/>
  <c r="E271" i="5" s="1"/>
  <c r="C271" i="5"/>
  <c r="F526" i="3"/>
  <c r="E527" i="3" s="1"/>
  <c r="C527" i="3"/>
  <c r="A393" i="1" a="1"/>
  <c r="A393" i="1" l="1"/>
  <c r="B393" i="1"/>
  <c r="F393" i="1" s="1"/>
  <c r="C393" i="1"/>
  <c r="E391" i="1"/>
  <c r="D527" i="3"/>
  <c r="F527" i="3"/>
  <c r="E528" i="3" s="1"/>
  <c r="C528" i="3"/>
  <c r="F271" i="5"/>
  <c r="D271" i="5"/>
  <c r="H270" i="5" s="1"/>
  <c r="E272" i="5"/>
  <c r="A394" i="1" a="1"/>
  <c r="A394" i="1" l="1"/>
  <c r="B394" i="1"/>
  <c r="F394" i="1" s="1"/>
  <c r="C394" i="1"/>
  <c r="E392" i="1"/>
  <c r="D528" i="3"/>
  <c r="D272" i="5"/>
  <c r="H271" i="5"/>
  <c r="C272" i="5"/>
  <c r="F528" i="3"/>
  <c r="E529" i="3" s="1"/>
  <c r="C529" i="3"/>
  <c r="A395" i="1" a="1"/>
  <c r="A395" i="1" l="1"/>
  <c r="B395" i="1"/>
  <c r="F395" i="1" s="1"/>
  <c r="C395" i="1"/>
  <c r="E393" i="1"/>
  <c r="D529" i="3"/>
  <c r="F529" i="3"/>
  <c r="E530" i="3" s="1"/>
  <c r="C530" i="3"/>
  <c r="F272" i="5"/>
  <c r="E273" i="5" s="1"/>
  <c r="C273" i="5"/>
  <c r="A396" i="1" a="1"/>
  <c r="A396" i="1" l="1"/>
  <c r="B396" i="1"/>
  <c r="F396" i="1" s="1"/>
  <c r="C396" i="1"/>
  <c r="E394" i="1"/>
  <c r="D530" i="3"/>
  <c r="F273" i="5"/>
  <c r="D273" i="5"/>
  <c r="H272" i="5" s="1"/>
  <c r="E274" i="5"/>
  <c r="F530" i="3"/>
  <c r="E531" i="3" s="1"/>
  <c r="C531" i="3"/>
  <c r="A397" i="1" a="1"/>
  <c r="A397" i="1" l="1"/>
  <c r="B397" i="1"/>
  <c r="F397" i="1" s="1"/>
  <c r="C397" i="1"/>
  <c r="E395" i="1"/>
  <c r="D531" i="3"/>
  <c r="F531" i="3"/>
  <c r="E532" i="3" s="1"/>
  <c r="C532" i="3"/>
  <c r="D274" i="5"/>
  <c r="H273" i="5"/>
  <c r="C274" i="5"/>
  <c r="A398" i="1" a="1"/>
  <c r="A398" i="1" l="1"/>
  <c r="B398" i="1"/>
  <c r="F398" i="1" s="1"/>
  <c r="C398" i="1"/>
  <c r="E396" i="1"/>
  <c r="D532" i="3"/>
  <c r="C275" i="5"/>
  <c r="F274" i="5"/>
  <c r="E275" i="5" s="1"/>
  <c r="F532" i="3"/>
  <c r="E533" i="3" s="1"/>
  <c r="C533" i="3"/>
  <c r="A399" i="1" a="1"/>
  <c r="A399" i="1" l="1"/>
  <c r="B399" i="1"/>
  <c r="F399" i="1" s="1"/>
  <c r="C399" i="1"/>
  <c r="E397" i="1"/>
  <c r="D533" i="3"/>
  <c r="F533" i="3"/>
  <c r="E534" i="3" s="1"/>
  <c r="C534" i="3"/>
  <c r="D275" i="5"/>
  <c r="H274" i="5" s="1"/>
  <c r="F275" i="5"/>
  <c r="E276" i="5" s="1"/>
  <c r="C276" i="5"/>
  <c r="A400" i="1" a="1"/>
  <c r="A400" i="1" l="1"/>
  <c r="B400" i="1"/>
  <c r="F400" i="1" s="1"/>
  <c r="C400" i="1"/>
  <c r="E398" i="1"/>
  <c r="D276" i="5"/>
  <c r="D534" i="3"/>
  <c r="C277" i="5"/>
  <c r="F276" i="5"/>
  <c r="E277" i="5" s="1"/>
  <c r="H275" i="5"/>
  <c r="F534" i="3"/>
  <c r="E535" i="3" s="1"/>
  <c r="C535" i="3"/>
  <c r="A401" i="1" a="1"/>
  <c r="A401" i="1" l="1"/>
  <c r="B401" i="1"/>
  <c r="F401" i="1" s="1"/>
  <c r="C401" i="1"/>
  <c r="E399" i="1"/>
  <c r="D535" i="3"/>
  <c r="D277" i="5"/>
  <c r="F535" i="3"/>
  <c r="E536" i="3" s="1"/>
  <c r="C536" i="3"/>
  <c r="H276" i="5"/>
  <c r="F277" i="5"/>
  <c r="E278" i="5" s="1"/>
  <c r="C278" i="5"/>
  <c r="A402" i="1" a="1"/>
  <c r="A402" i="1" l="1"/>
  <c r="B402" i="1"/>
  <c r="F402" i="1" s="1"/>
  <c r="C402" i="1"/>
  <c r="E400" i="1"/>
  <c r="D278" i="5"/>
  <c r="D536" i="3"/>
  <c r="C279" i="5"/>
  <c r="F278" i="5"/>
  <c r="E279" i="5" s="1"/>
  <c r="H277" i="5"/>
  <c r="F536" i="3"/>
  <c r="E537" i="3" s="1"/>
  <c r="C537" i="3"/>
  <c r="A403" i="1" a="1"/>
  <c r="A403" i="1" l="1"/>
  <c r="B403" i="1"/>
  <c r="F403" i="1" s="1"/>
  <c r="C403" i="1"/>
  <c r="E401" i="1"/>
  <c r="D537" i="3"/>
  <c r="D279" i="5"/>
  <c r="F537" i="3"/>
  <c r="E538" i="3" s="1"/>
  <c r="C538" i="3"/>
  <c r="H278" i="5"/>
  <c r="F279" i="5"/>
  <c r="E280" i="5" s="1"/>
  <c r="C280" i="5"/>
  <c r="A404" i="1" a="1"/>
  <c r="A404" i="1" l="1"/>
  <c r="B404" i="1"/>
  <c r="F404" i="1" s="1"/>
  <c r="C404" i="1"/>
  <c r="E402" i="1"/>
  <c r="D280" i="5"/>
  <c r="D538" i="3"/>
  <c r="C281" i="5"/>
  <c r="F280" i="5"/>
  <c r="E281" i="5" s="1"/>
  <c r="H279" i="5"/>
  <c r="F538" i="3"/>
  <c r="E539" i="3" s="1"/>
  <c r="C539" i="3"/>
  <c r="A405" i="1" a="1"/>
  <c r="A405" i="1" l="1"/>
  <c r="B405" i="1"/>
  <c r="F405" i="1" s="1"/>
  <c r="C405" i="1"/>
  <c r="E403" i="1"/>
  <c r="D539" i="3"/>
  <c r="D281" i="5"/>
  <c r="F539" i="3"/>
  <c r="E540" i="3" s="1"/>
  <c r="C540" i="3"/>
  <c r="H280" i="5"/>
  <c r="F281" i="5"/>
  <c r="E282" i="5" s="1"/>
  <c r="C282" i="5"/>
  <c r="A406" i="1" a="1"/>
  <c r="A406" i="1" l="1"/>
  <c r="B406" i="1"/>
  <c r="F406" i="1" s="1"/>
  <c r="C406" i="1"/>
  <c r="E404" i="1"/>
  <c r="D282" i="5"/>
  <c r="D540" i="3"/>
  <c r="C283" i="5"/>
  <c r="F282" i="5"/>
  <c r="E283" i="5" s="1"/>
  <c r="H281" i="5"/>
  <c r="F540" i="3"/>
  <c r="E541" i="3" s="1"/>
  <c r="C541" i="3"/>
  <c r="A407" i="1" a="1"/>
  <c r="A407" i="1" l="1"/>
  <c r="B407" i="1"/>
  <c r="F407" i="1" s="1"/>
  <c r="C407" i="1"/>
  <c r="E405" i="1"/>
  <c r="D541" i="3"/>
  <c r="D283" i="5"/>
  <c r="F541" i="3"/>
  <c r="E542" i="3" s="1"/>
  <c r="C542" i="3"/>
  <c r="H282" i="5"/>
  <c r="F283" i="5"/>
  <c r="E284" i="5" s="1"/>
  <c r="C284" i="5"/>
  <c r="A408" i="1" a="1"/>
  <c r="A408" i="1" l="1"/>
  <c r="B408" i="1"/>
  <c r="F408" i="1" s="1"/>
  <c r="C408" i="1"/>
  <c r="E406" i="1"/>
  <c r="D284" i="5"/>
  <c r="D542" i="3"/>
  <c r="C285" i="5"/>
  <c r="F284" i="5"/>
  <c r="E285" i="5" s="1"/>
  <c r="H283" i="5"/>
  <c r="F542" i="3"/>
  <c r="E543" i="3" s="1"/>
  <c r="C543" i="3"/>
  <c r="A409" i="1" a="1"/>
  <c r="A409" i="1" l="1"/>
  <c r="B409" i="1"/>
  <c r="F409" i="1" s="1"/>
  <c r="C409" i="1"/>
  <c r="E407" i="1"/>
  <c r="D543" i="3"/>
  <c r="D285" i="5"/>
  <c r="F543" i="3"/>
  <c r="E544" i="3" s="1"/>
  <c r="C544" i="3"/>
  <c r="H284" i="5"/>
  <c r="F285" i="5"/>
  <c r="E286" i="5" s="1"/>
  <c r="C286" i="5"/>
  <c r="A410" i="1" a="1"/>
  <c r="A410" i="1" l="1"/>
  <c r="B410" i="1"/>
  <c r="F410" i="1" s="1"/>
  <c r="C410" i="1"/>
  <c r="E408" i="1"/>
  <c r="D286" i="5"/>
  <c r="D544" i="3"/>
  <c r="C287" i="5"/>
  <c r="F286" i="5"/>
  <c r="E287" i="5" s="1"/>
  <c r="H285" i="5"/>
  <c r="F544" i="3"/>
  <c r="E545" i="3" s="1"/>
  <c r="C545" i="3"/>
  <c r="A411" i="1" a="1"/>
  <c r="A411" i="1" l="1"/>
  <c r="B411" i="1"/>
  <c r="F411" i="1" s="1"/>
  <c r="C411" i="1"/>
  <c r="E409" i="1"/>
  <c r="D545" i="3"/>
  <c r="D287" i="5"/>
  <c r="F545" i="3"/>
  <c r="E546" i="3" s="1"/>
  <c r="C546" i="3"/>
  <c r="H286" i="5"/>
  <c r="F287" i="5"/>
  <c r="E288" i="5" s="1"/>
  <c r="C288" i="5"/>
  <c r="A412" i="1" a="1"/>
  <c r="A412" i="1" l="1"/>
  <c r="B412" i="1"/>
  <c r="F412" i="1" s="1"/>
  <c r="C412" i="1"/>
  <c r="E410" i="1"/>
  <c r="D288" i="5"/>
  <c r="D546" i="3"/>
  <c r="C289" i="5"/>
  <c r="F288" i="5"/>
  <c r="E289" i="5" s="1"/>
  <c r="H287" i="5"/>
  <c r="F546" i="3"/>
  <c r="E547" i="3" s="1"/>
  <c r="C547" i="3"/>
  <c r="A413" i="1" a="1"/>
  <c r="A413" i="1" l="1"/>
  <c r="B413" i="1"/>
  <c r="F413" i="1" s="1"/>
  <c r="C413" i="1"/>
  <c r="E411" i="1"/>
  <c r="D547" i="3"/>
  <c r="D289" i="5"/>
  <c r="F547" i="3"/>
  <c r="E548" i="3" s="1"/>
  <c r="C548" i="3"/>
  <c r="H288" i="5"/>
  <c r="F289" i="5"/>
  <c r="E290" i="5" s="1"/>
  <c r="C290" i="5"/>
  <c r="A414" i="1" a="1"/>
  <c r="A414" i="1" l="1"/>
  <c r="B414" i="1"/>
  <c r="F414" i="1" s="1"/>
  <c r="C414" i="1"/>
  <c r="E412" i="1"/>
  <c r="D290" i="5"/>
  <c r="D548" i="3"/>
  <c r="C291" i="5"/>
  <c r="F290" i="5"/>
  <c r="E291" i="5" s="1"/>
  <c r="H289" i="5"/>
  <c r="F548" i="3"/>
  <c r="E549" i="3" s="1"/>
  <c r="C549" i="3"/>
  <c r="A415" i="1" a="1"/>
  <c r="A415" i="1" l="1"/>
  <c r="B415" i="1"/>
  <c r="F415" i="1" s="1"/>
  <c r="C415" i="1"/>
  <c r="E413" i="1"/>
  <c r="D549" i="3"/>
  <c r="D291" i="5"/>
  <c r="F549" i="3"/>
  <c r="E550" i="3" s="1"/>
  <c r="C550" i="3"/>
  <c r="H290" i="5"/>
  <c r="F291" i="5"/>
  <c r="E292" i="5" s="1"/>
  <c r="C292" i="5"/>
  <c r="A416" i="1" a="1"/>
  <c r="A416" i="1" l="1"/>
  <c r="B416" i="1"/>
  <c r="F416" i="1" s="1"/>
  <c r="C416" i="1"/>
  <c r="E414" i="1"/>
  <c r="D292" i="5"/>
  <c r="D550" i="3"/>
  <c r="C293" i="5"/>
  <c r="F292" i="5"/>
  <c r="E293" i="5" s="1"/>
  <c r="H291" i="5"/>
  <c r="F550" i="3"/>
  <c r="E551" i="3" s="1"/>
  <c r="C551" i="3"/>
  <c r="A417" i="1" a="1"/>
  <c r="A417" i="1" l="1"/>
  <c r="B417" i="1"/>
  <c r="F417" i="1" s="1"/>
  <c r="C417" i="1"/>
  <c r="E415" i="1"/>
  <c r="D551" i="3"/>
  <c r="D293" i="5"/>
  <c r="F551" i="3"/>
  <c r="E552" i="3" s="1"/>
  <c r="C552" i="3"/>
  <c r="H292" i="5"/>
  <c r="F293" i="5"/>
  <c r="E294" i="5" s="1"/>
  <c r="C294" i="5"/>
  <c r="A418" i="1" a="1"/>
  <c r="A418" i="1" l="1"/>
  <c r="B418" i="1"/>
  <c r="F418" i="1" s="1"/>
  <c r="C418" i="1"/>
  <c r="E416" i="1"/>
  <c r="D294" i="5"/>
  <c r="D552" i="3"/>
  <c r="F294" i="5"/>
  <c r="E295" i="5" s="1"/>
  <c r="C295" i="5"/>
  <c r="H293" i="5"/>
  <c r="F552" i="3"/>
  <c r="E553" i="3" s="1"/>
  <c r="C553" i="3"/>
  <c r="A419" i="1" a="1"/>
  <c r="A419" i="1" l="1"/>
  <c r="B419" i="1"/>
  <c r="F419" i="1" s="1"/>
  <c r="C419" i="1"/>
  <c r="E417" i="1"/>
  <c r="D553" i="3"/>
  <c r="D295" i="5"/>
  <c r="F553" i="3"/>
  <c r="E554" i="3" s="1"/>
  <c r="C554" i="3"/>
  <c r="H294" i="5"/>
  <c r="F295" i="5"/>
  <c r="E296" i="5" s="1"/>
  <c r="C296" i="5"/>
  <c r="A420" i="1" a="1"/>
  <c r="A420" i="1" l="1"/>
  <c r="B420" i="1"/>
  <c r="F420" i="1" s="1"/>
  <c r="C420" i="1"/>
  <c r="E418" i="1"/>
  <c r="D296" i="5"/>
  <c r="D554" i="3"/>
  <c r="F296" i="5"/>
  <c r="E297" i="5" s="1"/>
  <c r="C297" i="5"/>
  <c r="H295" i="5"/>
  <c r="F554" i="3"/>
  <c r="E555" i="3" s="1"/>
  <c r="C555" i="3"/>
  <c r="A421" i="1" a="1"/>
  <c r="A421" i="1" l="1"/>
  <c r="B421" i="1"/>
  <c r="F421" i="1" s="1"/>
  <c r="C421" i="1"/>
  <c r="E419" i="1"/>
  <c r="D555" i="3"/>
  <c r="D297" i="5"/>
  <c r="F555" i="3"/>
  <c r="E556" i="3" s="1"/>
  <c r="C556" i="3"/>
  <c r="H296" i="5"/>
  <c r="F297" i="5"/>
  <c r="E298" i="5" s="1"/>
  <c r="C298" i="5"/>
  <c r="A422" i="1" a="1"/>
  <c r="A422" i="1" l="1"/>
  <c r="B422" i="1"/>
  <c r="F422" i="1" s="1"/>
  <c r="C422" i="1"/>
  <c r="E420" i="1"/>
  <c r="D298" i="5"/>
  <c r="D556" i="3"/>
  <c r="F298" i="5"/>
  <c r="E299" i="5" s="1"/>
  <c r="C299" i="5"/>
  <c r="H297" i="5"/>
  <c r="F556" i="3"/>
  <c r="E557" i="3" s="1"/>
  <c r="C557" i="3"/>
  <c r="A423" i="1" a="1"/>
  <c r="A423" i="1" l="1"/>
  <c r="B423" i="1"/>
  <c r="F423" i="1" s="1"/>
  <c r="C423" i="1"/>
  <c r="E421" i="1"/>
  <c r="D557" i="3"/>
  <c r="D299" i="5"/>
  <c r="F557" i="3"/>
  <c r="E558" i="3" s="1"/>
  <c r="C558" i="3"/>
  <c r="H298" i="5"/>
  <c r="F299" i="5"/>
  <c r="E300" i="5" s="1"/>
  <c r="C300" i="5"/>
  <c r="A424" i="1" a="1"/>
  <c r="A424" i="1" l="1"/>
  <c r="B424" i="1"/>
  <c r="F424" i="1" s="1"/>
  <c r="C424" i="1"/>
  <c r="E422" i="1"/>
  <c r="D300" i="5"/>
  <c r="D558" i="3"/>
  <c r="F300" i="5"/>
  <c r="E301" i="5" s="1"/>
  <c r="C301" i="5"/>
  <c r="H299" i="5"/>
  <c r="F558" i="3"/>
  <c r="E559" i="3" s="1"/>
  <c r="C559" i="3"/>
  <c r="A425" i="1" a="1"/>
  <c r="A425" i="1" l="1"/>
  <c r="B425" i="1"/>
  <c r="F425" i="1" s="1"/>
  <c r="C425" i="1"/>
  <c r="E423" i="1"/>
  <c r="D559" i="3"/>
  <c r="D301" i="5"/>
  <c r="F559" i="3"/>
  <c r="E560" i="3" s="1"/>
  <c r="C560" i="3"/>
  <c r="H300" i="5"/>
  <c r="F301" i="5"/>
  <c r="E302" i="5" s="1"/>
  <c r="C302" i="5"/>
  <c r="A426" i="1" a="1"/>
  <c r="A426" i="1" l="1"/>
  <c r="B426" i="1"/>
  <c r="F426" i="1" s="1"/>
  <c r="C426" i="1"/>
  <c r="E424" i="1"/>
  <c r="D302" i="5"/>
  <c r="D560" i="3"/>
  <c r="F302" i="5"/>
  <c r="E303" i="5" s="1"/>
  <c r="C303" i="5"/>
  <c r="H301" i="5"/>
  <c r="F560" i="3"/>
  <c r="E561" i="3" s="1"/>
  <c r="C561" i="3"/>
  <c r="A427" i="1" a="1"/>
  <c r="A427" i="1" l="1"/>
  <c r="B427" i="1"/>
  <c r="F427" i="1" s="1"/>
  <c r="C427" i="1"/>
  <c r="E425" i="1"/>
  <c r="D561" i="3"/>
  <c r="D303" i="5"/>
  <c r="F561" i="3"/>
  <c r="E562" i="3" s="1"/>
  <c r="C562" i="3"/>
  <c r="H302" i="5"/>
  <c r="F303" i="5"/>
  <c r="E304" i="5" s="1"/>
  <c r="C304" i="5"/>
  <c r="A428" i="1" a="1"/>
  <c r="A428" i="1" l="1"/>
  <c r="B428" i="1"/>
  <c r="F428" i="1" s="1"/>
  <c r="C428" i="1"/>
  <c r="E426" i="1"/>
  <c r="D304" i="5"/>
  <c r="D562" i="3"/>
  <c r="F304" i="5"/>
  <c r="E305" i="5" s="1"/>
  <c r="C305" i="5"/>
  <c r="H303" i="5"/>
  <c r="F562" i="3"/>
  <c r="E563" i="3" s="1"/>
  <c r="C563" i="3"/>
  <c r="A429" i="1" a="1"/>
  <c r="A429" i="1" l="1"/>
  <c r="B429" i="1"/>
  <c r="F429" i="1" s="1"/>
  <c r="C429" i="1"/>
  <c r="E427" i="1"/>
  <c r="D563" i="3"/>
  <c r="D305" i="5"/>
  <c r="F563" i="3"/>
  <c r="E564" i="3" s="1"/>
  <c r="C564" i="3"/>
  <c r="H304" i="5"/>
  <c r="F305" i="5"/>
  <c r="E306" i="5" s="1"/>
  <c r="C306" i="5"/>
  <c r="A430" i="1" a="1"/>
  <c r="A430" i="1" l="1"/>
  <c r="B430" i="1"/>
  <c r="F430" i="1" s="1"/>
  <c r="C430" i="1"/>
  <c r="E428" i="1"/>
  <c r="D306" i="5"/>
  <c r="D564" i="3"/>
  <c r="F306" i="5"/>
  <c r="E307" i="5" s="1"/>
  <c r="C307" i="5"/>
  <c r="H305" i="5"/>
  <c r="F564" i="3"/>
  <c r="E565" i="3" s="1"/>
  <c r="C565" i="3"/>
  <c r="A431" i="1" a="1"/>
  <c r="A431" i="1" l="1"/>
  <c r="B431" i="1"/>
  <c r="F431" i="1" s="1"/>
  <c r="C431" i="1"/>
  <c r="E429" i="1"/>
  <c r="D565" i="3"/>
  <c r="D307" i="5"/>
  <c r="F565" i="3"/>
  <c r="E566" i="3" s="1"/>
  <c r="C566" i="3"/>
  <c r="H306" i="5"/>
  <c r="F307" i="5"/>
  <c r="E308" i="5" s="1"/>
  <c r="C308" i="5"/>
  <c r="A432" i="1" a="1"/>
  <c r="A432" i="1" l="1"/>
  <c r="B432" i="1"/>
  <c r="F432" i="1" s="1"/>
  <c r="C432" i="1"/>
  <c r="E430" i="1"/>
  <c r="D308" i="5"/>
  <c r="D566" i="3"/>
  <c r="F308" i="5"/>
  <c r="E309" i="5" s="1"/>
  <c r="C309" i="5"/>
  <c r="H307" i="5"/>
  <c r="F566" i="3"/>
  <c r="E567" i="3" s="1"/>
  <c r="C567" i="3"/>
  <c r="A433" i="1" a="1"/>
  <c r="A433" i="1" l="1"/>
  <c r="B433" i="1"/>
  <c r="F433" i="1" s="1"/>
  <c r="C433" i="1"/>
  <c r="E431" i="1"/>
  <c r="D567" i="3"/>
  <c r="D309" i="5"/>
  <c r="F567" i="3"/>
  <c r="E568" i="3" s="1"/>
  <c r="C568" i="3"/>
  <c r="H308" i="5"/>
  <c r="F309" i="5"/>
  <c r="E310" i="5" s="1"/>
  <c r="C310" i="5"/>
  <c r="A434" i="1" a="1"/>
  <c r="A434" i="1" l="1"/>
  <c r="B434" i="1"/>
  <c r="F434" i="1" s="1"/>
  <c r="C434" i="1"/>
  <c r="E432" i="1"/>
  <c r="D310" i="5"/>
  <c r="D568" i="3"/>
  <c r="F310" i="5"/>
  <c r="E311" i="5" s="1"/>
  <c r="C311" i="5"/>
  <c r="H309" i="5"/>
  <c r="F568" i="3"/>
  <c r="E569" i="3" s="1"/>
  <c r="C569" i="3"/>
  <c r="A435" i="1" a="1"/>
  <c r="A435" i="1" l="1"/>
  <c r="B435" i="1"/>
  <c r="F435" i="1" s="1"/>
  <c r="C435" i="1"/>
  <c r="E433" i="1"/>
  <c r="D569" i="3"/>
  <c r="D311" i="5"/>
  <c r="F569" i="3"/>
  <c r="E570" i="3" s="1"/>
  <c r="C570" i="3"/>
  <c r="H310" i="5"/>
  <c r="F311" i="5"/>
  <c r="E312" i="5" s="1"/>
  <c r="C312" i="5"/>
  <c r="A436" i="1" a="1"/>
  <c r="A436" i="1" l="1"/>
  <c r="B436" i="1"/>
  <c r="F436" i="1" s="1"/>
  <c r="C436" i="1"/>
  <c r="E434" i="1"/>
  <c r="D312" i="5"/>
  <c r="D570" i="3"/>
  <c r="F312" i="5"/>
  <c r="E313" i="5" s="1"/>
  <c r="C313" i="5"/>
  <c r="H311" i="5"/>
  <c r="F570" i="3"/>
  <c r="E571" i="3" s="1"/>
  <c r="C571" i="3"/>
  <c r="A437" i="1" a="1"/>
  <c r="A437" i="1" l="1"/>
  <c r="B437" i="1"/>
  <c r="F437" i="1" s="1"/>
  <c r="C437" i="1"/>
  <c r="E435" i="1"/>
  <c r="D571" i="3"/>
  <c r="D313" i="5"/>
  <c r="F571" i="3"/>
  <c r="E572" i="3" s="1"/>
  <c r="C572" i="3"/>
  <c r="H312" i="5"/>
  <c r="F313" i="5"/>
  <c r="E314" i="5" s="1"/>
  <c r="C314" i="5"/>
  <c r="A438" i="1" a="1"/>
  <c r="A438" i="1" l="1"/>
  <c r="B438" i="1"/>
  <c r="F438" i="1" s="1"/>
  <c r="C438" i="1"/>
  <c r="E436" i="1"/>
  <c r="D314" i="5"/>
  <c r="D572" i="3"/>
  <c r="F314" i="5"/>
  <c r="E315" i="5" s="1"/>
  <c r="C315" i="5"/>
  <c r="H313" i="5"/>
  <c r="F572" i="3"/>
  <c r="E573" i="3" s="1"/>
  <c r="C573" i="3"/>
  <c r="A439" i="1" a="1"/>
  <c r="A439" i="1" l="1"/>
  <c r="B439" i="1"/>
  <c r="F439" i="1" s="1"/>
  <c r="C439" i="1"/>
  <c r="E437" i="1"/>
  <c r="D573" i="3"/>
  <c r="D315" i="5"/>
  <c r="F573" i="3"/>
  <c r="E574" i="3" s="1"/>
  <c r="C574" i="3"/>
  <c r="H314" i="5"/>
  <c r="F315" i="5"/>
  <c r="E316" i="5" s="1"/>
  <c r="C316" i="5"/>
  <c r="A440" i="1" a="1"/>
  <c r="A440" i="1" l="1"/>
  <c r="B440" i="1"/>
  <c r="F440" i="1" s="1"/>
  <c r="C440" i="1"/>
  <c r="E438" i="1"/>
  <c r="D316" i="5"/>
  <c r="D574" i="3"/>
  <c r="F316" i="5"/>
  <c r="E317" i="5" s="1"/>
  <c r="C317" i="5"/>
  <c r="H315" i="5"/>
  <c r="F574" i="3"/>
  <c r="E575" i="3" s="1"/>
  <c r="C575" i="3"/>
  <c r="A441" i="1" a="1"/>
  <c r="A441" i="1" l="1"/>
  <c r="B441" i="1"/>
  <c r="F441" i="1" s="1"/>
  <c r="C441" i="1"/>
  <c r="E439" i="1"/>
  <c r="D575" i="3"/>
  <c r="D317" i="5"/>
  <c r="F575" i="3"/>
  <c r="E576" i="3" s="1"/>
  <c r="C576" i="3"/>
  <c r="H316" i="5"/>
  <c r="F317" i="5"/>
  <c r="E318" i="5" s="1"/>
  <c r="C318" i="5"/>
  <c r="A442" i="1" a="1"/>
  <c r="A442" i="1" l="1"/>
  <c r="B442" i="1"/>
  <c r="F442" i="1" s="1"/>
  <c r="C442" i="1"/>
  <c r="E440" i="1"/>
  <c r="D318" i="5"/>
  <c r="D576" i="3"/>
  <c r="F318" i="5"/>
  <c r="E319" i="5" s="1"/>
  <c r="C319" i="5"/>
  <c r="H317" i="5"/>
  <c r="F576" i="3"/>
  <c r="E577" i="3" s="1"/>
  <c r="C577" i="3"/>
  <c r="A443" i="1" a="1"/>
  <c r="A443" i="1" l="1"/>
  <c r="B443" i="1"/>
  <c r="F443" i="1" s="1"/>
  <c r="C443" i="1"/>
  <c r="E441" i="1"/>
  <c r="D577" i="3"/>
  <c r="D319" i="5"/>
  <c r="F577" i="3"/>
  <c r="E578" i="3" s="1"/>
  <c r="C578" i="3"/>
  <c r="H318" i="5"/>
  <c r="F319" i="5"/>
  <c r="E320" i="5" s="1"/>
  <c r="C320" i="5"/>
  <c r="A444" i="1" a="1"/>
  <c r="A444" i="1" l="1"/>
  <c r="B444" i="1"/>
  <c r="F444" i="1" s="1"/>
  <c r="C444" i="1"/>
  <c r="E442" i="1"/>
  <c r="D320" i="5"/>
  <c r="D578" i="3"/>
  <c r="F320" i="5"/>
  <c r="E321" i="5" s="1"/>
  <c r="C321" i="5"/>
  <c r="H319" i="5"/>
  <c r="F578" i="3"/>
  <c r="E579" i="3" s="1"/>
  <c r="C579" i="3"/>
  <c r="A445" i="1" a="1"/>
  <c r="A445" i="1" l="1"/>
  <c r="B445" i="1"/>
  <c r="F445" i="1" s="1"/>
  <c r="C445" i="1"/>
  <c r="E443" i="1"/>
  <c r="D579" i="3"/>
  <c r="D321" i="5"/>
  <c r="F579" i="3"/>
  <c r="E580" i="3" s="1"/>
  <c r="C580" i="3"/>
  <c r="H320" i="5"/>
  <c r="F321" i="5"/>
  <c r="E322" i="5" s="1"/>
  <c r="C322" i="5"/>
  <c r="A446" i="1" a="1"/>
  <c r="A446" i="1" l="1"/>
  <c r="B446" i="1"/>
  <c r="F446" i="1" s="1"/>
  <c r="C446" i="1"/>
  <c r="E444" i="1"/>
  <c r="D322" i="5"/>
  <c r="D580" i="3"/>
  <c r="F322" i="5"/>
  <c r="E323" i="5" s="1"/>
  <c r="C323" i="5"/>
  <c r="H321" i="5"/>
  <c r="F580" i="3"/>
  <c r="E581" i="3" s="1"/>
  <c r="C581" i="3"/>
  <c r="A447" i="1" a="1"/>
  <c r="A447" i="1" l="1"/>
  <c r="B447" i="1"/>
  <c r="F447" i="1" s="1"/>
  <c r="C447" i="1"/>
  <c r="E445" i="1"/>
  <c r="D581" i="3"/>
  <c r="D323" i="5"/>
  <c r="F581" i="3"/>
  <c r="E582" i="3" s="1"/>
  <c r="C582" i="3"/>
  <c r="H322" i="5"/>
  <c r="F323" i="5"/>
  <c r="E324" i="5" s="1"/>
  <c r="C324" i="5"/>
  <c r="A448" i="1" a="1"/>
  <c r="A448" i="1" l="1"/>
  <c r="B448" i="1"/>
  <c r="F448" i="1" s="1"/>
  <c r="C448" i="1"/>
  <c r="E446" i="1"/>
  <c r="D324" i="5"/>
  <c r="D582" i="3"/>
  <c r="F324" i="5"/>
  <c r="E325" i="5" s="1"/>
  <c r="C325" i="5"/>
  <c r="H323" i="5"/>
  <c r="F582" i="3"/>
  <c r="E583" i="3" s="1"/>
  <c r="C583" i="3"/>
  <c r="A449" i="1" a="1"/>
  <c r="A449" i="1" l="1"/>
  <c r="B449" i="1"/>
  <c r="F449" i="1" s="1"/>
  <c r="C449" i="1"/>
  <c r="E447" i="1"/>
  <c r="D583" i="3"/>
  <c r="D325" i="5"/>
  <c r="F583" i="3"/>
  <c r="E584" i="3" s="1"/>
  <c r="C584" i="3"/>
  <c r="H324" i="5"/>
  <c r="F325" i="5"/>
  <c r="E326" i="5" s="1"/>
  <c r="C326" i="5"/>
  <c r="A450" i="1" a="1"/>
  <c r="A450" i="1" l="1"/>
  <c r="B450" i="1"/>
  <c r="F450" i="1" s="1"/>
  <c r="C450" i="1"/>
  <c r="E448" i="1"/>
  <c r="D326" i="5"/>
  <c r="D584" i="3"/>
  <c r="F326" i="5"/>
  <c r="E327" i="5" s="1"/>
  <c r="C327" i="5"/>
  <c r="H325" i="5"/>
  <c r="F584" i="3"/>
  <c r="E585" i="3" s="1"/>
  <c r="C585" i="3"/>
  <c r="A451" i="1" a="1"/>
  <c r="A451" i="1" l="1"/>
  <c r="B451" i="1"/>
  <c r="F451" i="1" s="1"/>
  <c r="C451" i="1"/>
  <c r="E449" i="1"/>
  <c r="D585" i="3"/>
  <c r="D327" i="5"/>
  <c r="F585" i="3"/>
  <c r="E586" i="3" s="1"/>
  <c r="C586" i="3"/>
  <c r="H326" i="5"/>
  <c r="F327" i="5"/>
  <c r="E328" i="5" s="1"/>
  <c r="C328" i="5"/>
  <c r="A452" i="1" a="1"/>
  <c r="A452" i="1" l="1"/>
  <c r="B452" i="1"/>
  <c r="F452" i="1" s="1"/>
  <c r="C452" i="1"/>
  <c r="E450" i="1"/>
  <c r="D328" i="5"/>
  <c r="D586" i="3"/>
  <c r="F328" i="5"/>
  <c r="E329" i="5" s="1"/>
  <c r="C329" i="5"/>
  <c r="H327" i="5"/>
  <c r="F586" i="3"/>
  <c r="E587" i="3" s="1"/>
  <c r="C587" i="3"/>
  <c r="A453" i="1" a="1"/>
  <c r="A453" i="1" l="1"/>
  <c r="B453" i="1"/>
  <c r="F453" i="1" s="1"/>
  <c r="C453" i="1"/>
  <c r="E451" i="1"/>
  <c r="D587" i="3"/>
  <c r="D329" i="5"/>
  <c r="F587" i="3"/>
  <c r="E588" i="3" s="1"/>
  <c r="C588" i="3"/>
  <c r="H328" i="5"/>
  <c r="F329" i="5"/>
  <c r="E330" i="5" s="1"/>
  <c r="C330" i="5"/>
  <c r="A454" i="1" a="1"/>
  <c r="A454" i="1" l="1"/>
  <c r="B454" i="1"/>
  <c r="F454" i="1" s="1"/>
  <c r="C454" i="1"/>
  <c r="E452" i="1"/>
  <c r="D330" i="5"/>
  <c r="D588" i="3"/>
  <c r="F330" i="5"/>
  <c r="E331" i="5" s="1"/>
  <c r="C331" i="5"/>
  <c r="H329" i="5"/>
  <c r="F588" i="3"/>
  <c r="E589" i="3" s="1"/>
  <c r="C589" i="3"/>
  <c r="A455" i="1" a="1"/>
  <c r="A455" i="1" l="1"/>
  <c r="B455" i="1"/>
  <c r="F455" i="1" s="1"/>
  <c r="C455" i="1"/>
  <c r="E453" i="1"/>
  <c r="D589" i="3"/>
  <c r="D331" i="5"/>
  <c r="F589" i="3"/>
  <c r="E590" i="3" s="1"/>
  <c r="C590" i="3"/>
  <c r="H330" i="5"/>
  <c r="F331" i="5"/>
  <c r="E332" i="5" s="1"/>
  <c r="C332" i="5"/>
  <c r="A456" i="1" a="1"/>
  <c r="A456" i="1" l="1"/>
  <c r="B456" i="1"/>
  <c r="F456" i="1" s="1"/>
  <c r="C456" i="1"/>
  <c r="E454" i="1"/>
  <c r="D332" i="5"/>
  <c r="D590" i="3"/>
  <c r="F332" i="5"/>
  <c r="E333" i="5" s="1"/>
  <c r="C333" i="5"/>
  <c r="H331" i="5"/>
  <c r="F590" i="3"/>
  <c r="E591" i="3" s="1"/>
  <c r="C591" i="3"/>
  <c r="A457" i="1" a="1"/>
  <c r="A457" i="1" l="1"/>
  <c r="B457" i="1"/>
  <c r="F457" i="1" s="1"/>
  <c r="C457" i="1"/>
  <c r="E455" i="1"/>
  <c r="D591" i="3"/>
  <c r="D333" i="5"/>
  <c r="F591" i="3"/>
  <c r="E592" i="3" s="1"/>
  <c r="C592" i="3"/>
  <c r="H332" i="5"/>
  <c r="F333" i="5"/>
  <c r="E334" i="5" s="1"/>
  <c r="C334" i="5"/>
  <c r="A458" i="1" a="1"/>
  <c r="A458" i="1" l="1"/>
  <c r="B458" i="1"/>
  <c r="F458" i="1" s="1"/>
  <c r="C458" i="1"/>
  <c r="E456" i="1"/>
  <c r="D334" i="5"/>
  <c r="D592" i="3"/>
  <c r="F334" i="5"/>
  <c r="E335" i="5" s="1"/>
  <c r="C335" i="5"/>
  <c r="H333" i="5"/>
  <c r="F592" i="3"/>
  <c r="E593" i="3" s="1"/>
  <c r="C593" i="3"/>
  <c r="A459" i="1" a="1"/>
  <c r="A459" i="1" l="1"/>
  <c r="B459" i="1"/>
  <c r="F459" i="1" s="1"/>
  <c r="C459" i="1"/>
  <c r="E457" i="1"/>
  <c r="D593" i="3"/>
  <c r="D335" i="5"/>
  <c r="F593" i="3"/>
  <c r="E594" i="3" s="1"/>
  <c r="C594" i="3"/>
  <c r="H334" i="5"/>
  <c r="F335" i="5"/>
  <c r="E336" i="5" s="1"/>
  <c r="C336" i="5"/>
  <c r="A460" i="1" a="1"/>
  <c r="A460" i="1" l="1"/>
  <c r="B460" i="1"/>
  <c r="F460" i="1" s="1"/>
  <c r="C460" i="1"/>
  <c r="E458" i="1"/>
  <c r="D336" i="5"/>
  <c r="D594" i="3"/>
  <c r="F336" i="5"/>
  <c r="E337" i="5" s="1"/>
  <c r="C337" i="5"/>
  <c r="H335" i="5"/>
  <c r="F594" i="3"/>
  <c r="E595" i="3" s="1"/>
  <c r="C595" i="3"/>
  <c r="A461" i="1" a="1"/>
  <c r="A461" i="1" l="1"/>
  <c r="B461" i="1"/>
  <c r="F461" i="1" s="1"/>
  <c r="C461" i="1"/>
  <c r="E459" i="1"/>
  <c r="D595" i="3"/>
  <c r="D337" i="5"/>
  <c r="F595" i="3"/>
  <c r="E596" i="3" s="1"/>
  <c r="C596" i="3"/>
  <c r="H336" i="5"/>
  <c r="F337" i="5"/>
  <c r="E338" i="5" s="1"/>
  <c r="C338" i="5"/>
  <c r="A462" i="1" a="1"/>
  <c r="A462" i="1" l="1"/>
  <c r="B462" i="1"/>
  <c r="F462" i="1" s="1"/>
  <c r="C462" i="1"/>
  <c r="E460" i="1"/>
  <c r="D338" i="5"/>
  <c r="D596" i="3"/>
  <c r="F338" i="5"/>
  <c r="E339" i="5" s="1"/>
  <c r="C339" i="5"/>
  <c r="H337" i="5"/>
  <c r="C597" i="3"/>
  <c r="F596" i="3"/>
  <c r="E597" i="3" s="1"/>
  <c r="A463" i="1" a="1"/>
  <c r="A463" i="1" l="1"/>
  <c r="B463" i="1"/>
  <c r="F463" i="1" s="1"/>
  <c r="C463" i="1"/>
  <c r="E461" i="1"/>
  <c r="D597" i="3"/>
  <c r="D339" i="5"/>
  <c r="F597" i="3"/>
  <c r="E598" i="3" s="1"/>
  <c r="C598" i="3"/>
  <c r="H338" i="5"/>
  <c r="F339" i="5"/>
  <c r="E340" i="5" s="1"/>
  <c r="C340" i="5"/>
  <c r="A464" i="1" a="1"/>
  <c r="A464" i="1" l="1"/>
  <c r="B464" i="1"/>
  <c r="F464" i="1" s="1"/>
  <c r="C464" i="1"/>
  <c r="E462" i="1"/>
  <c r="D340" i="5"/>
  <c r="D598" i="3"/>
  <c r="F340" i="5"/>
  <c r="E341" i="5" s="1"/>
  <c r="C341" i="5"/>
  <c r="H339" i="5"/>
  <c r="F598" i="3"/>
  <c r="E599" i="3" s="1"/>
  <c r="C599" i="3"/>
  <c r="A465" i="1" a="1"/>
  <c r="A465" i="1" l="1"/>
  <c r="B465" i="1"/>
  <c r="F465" i="1" s="1"/>
  <c r="C465" i="1"/>
  <c r="E463" i="1"/>
  <c r="D599" i="3"/>
  <c r="D341" i="5"/>
  <c r="F599" i="3"/>
  <c r="E600" i="3" s="1"/>
  <c r="C600" i="3"/>
  <c r="H340" i="5"/>
  <c r="F341" i="5"/>
  <c r="E342" i="5" s="1"/>
  <c r="C342" i="5"/>
  <c r="A466" i="1" a="1"/>
  <c r="A466" i="1" l="1"/>
  <c r="B466" i="1"/>
  <c r="F466" i="1" s="1"/>
  <c r="C466" i="1"/>
  <c r="E464" i="1"/>
  <c r="D342" i="5"/>
  <c r="D600" i="3"/>
  <c r="F342" i="5"/>
  <c r="E343" i="5" s="1"/>
  <c r="C343" i="5"/>
  <c r="H341" i="5"/>
  <c r="F600" i="3"/>
  <c r="E601" i="3" s="1"/>
  <c r="C601" i="3"/>
  <c r="A467" i="1" a="1"/>
  <c r="A467" i="1" l="1"/>
  <c r="B467" i="1"/>
  <c r="F467" i="1" s="1"/>
  <c r="C467" i="1"/>
  <c r="E465" i="1"/>
  <c r="D601" i="3"/>
  <c r="D343" i="5"/>
  <c r="F601" i="3"/>
  <c r="E602" i="3" s="1"/>
  <c r="C602" i="3"/>
  <c r="H342" i="5"/>
  <c r="F343" i="5"/>
  <c r="E344" i="5" s="1"/>
  <c r="C344" i="5"/>
  <c r="A468" i="1" a="1"/>
  <c r="A468" i="1" l="1"/>
  <c r="B468" i="1"/>
  <c r="F468" i="1" s="1"/>
  <c r="C468" i="1"/>
  <c r="E466" i="1"/>
  <c r="D344" i="5"/>
  <c r="D602" i="3"/>
  <c r="F344" i="5"/>
  <c r="E345" i="5" s="1"/>
  <c r="C345" i="5"/>
  <c r="H343" i="5"/>
  <c r="F602" i="3"/>
  <c r="E603" i="3" s="1"/>
  <c r="C603" i="3"/>
  <c r="A469" i="1" a="1"/>
  <c r="A469" i="1" l="1"/>
  <c r="B469" i="1"/>
  <c r="F469" i="1" s="1"/>
  <c r="C469" i="1"/>
  <c r="E467" i="1"/>
  <c r="D603" i="3"/>
  <c r="D345" i="5"/>
  <c r="F603" i="3"/>
  <c r="E604" i="3" s="1"/>
  <c r="C604" i="3"/>
  <c r="H344" i="5"/>
  <c r="F345" i="5"/>
  <c r="E346" i="5" s="1"/>
  <c r="C346" i="5"/>
  <c r="A470" i="1" a="1"/>
  <c r="A470" i="1" l="1"/>
  <c r="B470" i="1"/>
  <c r="F470" i="1" s="1"/>
  <c r="C470" i="1"/>
  <c r="E468" i="1"/>
  <c r="D346" i="5"/>
  <c r="D604" i="3"/>
  <c r="F346" i="5"/>
  <c r="E347" i="5" s="1"/>
  <c r="C347" i="5"/>
  <c r="H345" i="5"/>
  <c r="F604" i="3"/>
  <c r="E605" i="3" s="1"/>
  <c r="C605" i="3"/>
  <c r="A471" i="1" a="1"/>
  <c r="A471" i="1" l="1"/>
  <c r="B471" i="1"/>
  <c r="F471" i="1" s="1"/>
  <c r="C471" i="1"/>
  <c r="E469" i="1"/>
  <c r="D605" i="3"/>
  <c r="D347" i="5"/>
  <c r="F605" i="3"/>
  <c r="E606" i="3" s="1"/>
  <c r="C606" i="3"/>
  <c r="H346" i="5"/>
  <c r="F347" i="5"/>
  <c r="E348" i="5" s="1"/>
  <c r="C348" i="5"/>
  <c r="A472" i="1" a="1"/>
  <c r="A472" i="1" l="1"/>
  <c r="B472" i="1"/>
  <c r="F472" i="1" s="1"/>
  <c r="C472" i="1"/>
  <c r="E470" i="1"/>
  <c r="D348" i="5"/>
  <c r="D606" i="3"/>
  <c r="F348" i="5"/>
  <c r="E349" i="5" s="1"/>
  <c r="C349" i="5"/>
  <c r="H347" i="5"/>
  <c r="F606" i="3"/>
  <c r="E607" i="3" s="1"/>
  <c r="C607" i="3"/>
  <c r="A473" i="1" a="1"/>
  <c r="A473" i="1" l="1"/>
  <c r="B473" i="1"/>
  <c r="F473" i="1" s="1"/>
  <c r="C473" i="1"/>
  <c r="E471" i="1"/>
  <c r="D607" i="3"/>
  <c r="D349" i="5"/>
  <c r="F607" i="3"/>
  <c r="E608" i="3" s="1"/>
  <c r="C608" i="3"/>
  <c r="H348" i="5"/>
  <c r="F349" i="5"/>
  <c r="E350" i="5" s="1"/>
  <c r="C350" i="5"/>
  <c r="A474" i="1" a="1"/>
  <c r="A474" i="1" l="1"/>
  <c r="B474" i="1"/>
  <c r="F474" i="1" s="1"/>
  <c r="C474" i="1"/>
  <c r="E472" i="1"/>
  <c r="D350" i="5"/>
  <c r="D608" i="3"/>
  <c r="F350" i="5"/>
  <c r="E351" i="5" s="1"/>
  <c r="C351" i="5"/>
  <c r="H349" i="5"/>
  <c r="F608" i="3"/>
  <c r="E609" i="3" s="1"/>
  <c r="C609" i="3"/>
  <c r="A475" i="1" a="1"/>
  <c r="A475" i="1" l="1"/>
  <c r="B475" i="1"/>
  <c r="F475" i="1" s="1"/>
  <c r="C475" i="1"/>
  <c r="E473" i="1"/>
  <c r="D609" i="3"/>
  <c r="D351" i="5"/>
  <c r="F609" i="3"/>
  <c r="E610" i="3" s="1"/>
  <c r="C610" i="3"/>
  <c r="H350" i="5"/>
  <c r="F351" i="5"/>
  <c r="E352" i="5" s="1"/>
  <c r="C352" i="5"/>
  <c r="A476" i="1" a="1"/>
  <c r="A476" i="1" l="1"/>
  <c r="B476" i="1"/>
  <c r="F476" i="1" s="1"/>
  <c r="C476" i="1"/>
  <c r="E474" i="1"/>
  <c r="D352" i="5"/>
  <c r="D610" i="3"/>
  <c r="F352" i="5"/>
  <c r="E353" i="5" s="1"/>
  <c r="C353" i="5"/>
  <c r="H351" i="5"/>
  <c r="F610" i="3"/>
  <c r="E611" i="3" s="1"/>
  <c r="C611" i="3"/>
  <c r="A477" i="1" a="1"/>
  <c r="A477" i="1" l="1"/>
  <c r="B477" i="1"/>
  <c r="F477" i="1" s="1"/>
  <c r="C477" i="1"/>
  <c r="E475" i="1"/>
  <c r="D611" i="3"/>
  <c r="D353" i="5"/>
  <c r="F611" i="3"/>
  <c r="E612" i="3" s="1"/>
  <c r="C612" i="3"/>
  <c r="H352" i="5"/>
  <c r="F353" i="5"/>
  <c r="E354" i="5" s="1"/>
  <c r="C354" i="5"/>
  <c r="A478" i="1" a="1"/>
  <c r="A478" i="1" l="1"/>
  <c r="B478" i="1"/>
  <c r="F478" i="1" s="1"/>
  <c r="C478" i="1"/>
  <c r="E476" i="1"/>
  <c r="D354" i="5"/>
  <c r="D612" i="3"/>
  <c r="F354" i="5"/>
  <c r="E355" i="5" s="1"/>
  <c r="C355" i="5"/>
  <c r="H353" i="5"/>
  <c r="F612" i="3"/>
  <c r="E613" i="3" s="1"/>
  <c r="C613" i="3"/>
  <c r="A479" i="1" a="1"/>
  <c r="A479" i="1" l="1"/>
  <c r="B479" i="1"/>
  <c r="F479" i="1" s="1"/>
  <c r="C479" i="1"/>
  <c r="E477" i="1"/>
  <c r="D613" i="3"/>
  <c r="D355" i="5"/>
  <c r="F613" i="3"/>
  <c r="E614" i="3" s="1"/>
  <c r="C614" i="3"/>
  <c r="H354" i="5"/>
  <c r="F355" i="5"/>
  <c r="E356" i="5" s="1"/>
  <c r="C356" i="5"/>
  <c r="A480" i="1" a="1"/>
  <c r="A480" i="1" l="1"/>
  <c r="B480" i="1"/>
  <c r="F480" i="1" s="1"/>
  <c r="C480" i="1"/>
  <c r="E478" i="1"/>
  <c r="D356" i="5"/>
  <c r="D614" i="3"/>
  <c r="F356" i="5"/>
  <c r="E357" i="5" s="1"/>
  <c r="C357" i="5"/>
  <c r="H355" i="5"/>
  <c r="F614" i="3"/>
  <c r="E615" i="3" s="1"/>
  <c r="C615" i="3"/>
  <c r="A481" i="1" a="1"/>
  <c r="A481" i="1" l="1"/>
  <c r="B481" i="1"/>
  <c r="F481" i="1" s="1"/>
  <c r="C481" i="1"/>
  <c r="E479" i="1"/>
  <c r="D615" i="3"/>
  <c r="D357" i="5"/>
  <c r="F615" i="3"/>
  <c r="E616" i="3" s="1"/>
  <c r="C616" i="3"/>
  <c r="H356" i="5"/>
  <c r="F357" i="5"/>
  <c r="E358" i="5" s="1"/>
  <c r="C358" i="5"/>
  <c r="A482" i="1" a="1"/>
  <c r="A482" i="1" l="1"/>
  <c r="B482" i="1"/>
  <c r="F482" i="1" s="1"/>
  <c r="C482" i="1"/>
  <c r="E480" i="1"/>
  <c r="D358" i="5"/>
  <c r="D616" i="3"/>
  <c r="F358" i="5"/>
  <c r="E359" i="5" s="1"/>
  <c r="C359" i="5"/>
  <c r="H357" i="5"/>
  <c r="F616" i="3"/>
  <c r="E617" i="3" s="1"/>
  <c r="C617" i="3"/>
  <c r="A483" i="1" a="1"/>
  <c r="A483" i="1" l="1"/>
  <c r="B483" i="1"/>
  <c r="F483" i="1" s="1"/>
  <c r="C483" i="1"/>
  <c r="E481" i="1"/>
  <c r="D617" i="3"/>
  <c r="D359" i="5"/>
  <c r="F617" i="3"/>
  <c r="E618" i="3" s="1"/>
  <c r="C618" i="3"/>
  <c r="H358" i="5"/>
  <c r="F359" i="5"/>
  <c r="E360" i="5" s="1"/>
  <c r="C360" i="5"/>
  <c r="A484" i="1" a="1"/>
  <c r="A484" i="1" l="1"/>
  <c r="B484" i="1"/>
  <c r="F484" i="1" s="1"/>
  <c r="C484" i="1"/>
  <c r="E482" i="1"/>
  <c r="D360" i="5"/>
  <c r="D618" i="3"/>
  <c r="F360" i="5"/>
  <c r="E361" i="5" s="1"/>
  <c r="C361" i="5"/>
  <c r="H359" i="5"/>
  <c r="F618" i="3"/>
  <c r="E619" i="3" s="1"/>
  <c r="C619" i="3"/>
  <c r="A485" i="1" a="1"/>
  <c r="A485" i="1" l="1"/>
  <c r="B485" i="1"/>
  <c r="F485" i="1" s="1"/>
  <c r="C485" i="1"/>
  <c r="E483" i="1"/>
  <c r="D619" i="3"/>
  <c r="D361" i="5"/>
  <c r="F619" i="3"/>
  <c r="E620" i="3" s="1"/>
  <c r="C620" i="3"/>
  <c r="H360" i="5"/>
  <c r="F361" i="5"/>
  <c r="E362" i="5" s="1"/>
  <c r="C362" i="5"/>
  <c r="A486" i="1" a="1"/>
  <c r="A486" i="1" l="1"/>
  <c r="B486" i="1"/>
  <c r="F486" i="1" s="1"/>
  <c r="C486" i="1"/>
  <c r="E484" i="1"/>
  <c r="D362" i="5"/>
  <c r="D620" i="3"/>
  <c r="F362" i="5"/>
  <c r="E363" i="5" s="1"/>
  <c r="C363" i="5"/>
  <c r="H361" i="5"/>
  <c r="F620" i="3"/>
  <c r="E621" i="3" s="1"/>
  <c r="C621" i="3"/>
  <c r="A487" i="1" a="1"/>
  <c r="A487" i="1" l="1"/>
  <c r="B487" i="1"/>
  <c r="F487" i="1" s="1"/>
  <c r="C487" i="1"/>
  <c r="E485" i="1"/>
  <c r="D621" i="3"/>
  <c r="D363" i="5"/>
  <c r="F621" i="3"/>
  <c r="E622" i="3" s="1"/>
  <c r="C622" i="3"/>
  <c r="H362" i="5"/>
  <c r="F363" i="5"/>
  <c r="E364" i="5" s="1"/>
  <c r="C364" i="5"/>
  <c r="A488" i="1" a="1"/>
  <c r="A488" i="1" l="1"/>
  <c r="B488" i="1"/>
  <c r="F488" i="1" s="1"/>
  <c r="C488" i="1"/>
  <c r="E486" i="1"/>
  <c r="D364" i="5"/>
  <c r="D622" i="3"/>
  <c r="F364" i="5"/>
  <c r="E365" i="5" s="1"/>
  <c r="C365" i="5"/>
  <c r="H363" i="5"/>
  <c r="F622" i="3"/>
  <c r="E623" i="3" s="1"/>
  <c r="C623" i="3"/>
  <c r="A489" i="1" a="1"/>
  <c r="A489" i="1" l="1"/>
  <c r="B489" i="1"/>
  <c r="F489" i="1" s="1"/>
  <c r="C489" i="1"/>
  <c r="E487" i="1"/>
  <c r="D623" i="3"/>
  <c r="D365" i="5"/>
  <c r="F623" i="3"/>
  <c r="E624" i="3" s="1"/>
  <c r="C624" i="3"/>
  <c r="H364" i="5"/>
  <c r="F365" i="5"/>
  <c r="E366" i="5" s="1"/>
  <c r="C366" i="5"/>
  <c r="A490" i="1" a="1"/>
  <c r="A490" i="1" l="1"/>
  <c r="B490" i="1"/>
  <c r="F490" i="1" s="1"/>
  <c r="C490" i="1"/>
  <c r="E488" i="1"/>
  <c r="D366" i="5"/>
  <c r="D624" i="3"/>
  <c r="F366" i="5"/>
  <c r="E367" i="5" s="1"/>
  <c r="C367" i="5"/>
  <c r="H365" i="5"/>
  <c r="F624" i="3"/>
  <c r="E625" i="3" s="1"/>
  <c r="C625" i="3"/>
  <c r="A491" i="1" a="1"/>
  <c r="A491" i="1" l="1"/>
  <c r="B491" i="1"/>
  <c r="F491" i="1" s="1"/>
  <c r="C491" i="1"/>
  <c r="E489" i="1"/>
  <c r="D625" i="3"/>
  <c r="D367" i="5"/>
  <c r="F625" i="3"/>
  <c r="E626" i="3" s="1"/>
  <c r="C626" i="3"/>
  <c r="H366" i="5"/>
  <c r="F367" i="5"/>
  <c r="E368" i="5" s="1"/>
  <c r="C368" i="5"/>
  <c r="A492" i="1" a="1"/>
  <c r="A492" i="1" l="1"/>
  <c r="B492" i="1"/>
  <c r="F492" i="1" s="1"/>
  <c r="C492" i="1"/>
  <c r="E490" i="1"/>
  <c r="D368" i="5"/>
  <c r="D626" i="3"/>
  <c r="F368" i="5"/>
  <c r="E369" i="5" s="1"/>
  <c r="C369" i="5"/>
  <c r="H367" i="5"/>
  <c r="F626" i="3"/>
  <c r="E627" i="3" s="1"/>
  <c r="C627" i="3"/>
  <c r="A493" i="1" a="1"/>
  <c r="A493" i="1" l="1"/>
  <c r="B493" i="1"/>
  <c r="F493" i="1" s="1"/>
  <c r="C493" i="1"/>
  <c r="E491" i="1"/>
  <c r="D627" i="3"/>
  <c r="D369" i="5"/>
  <c r="F627" i="3"/>
  <c r="E628" i="3" s="1"/>
  <c r="C628" i="3"/>
  <c r="H368" i="5"/>
  <c r="F369" i="5"/>
  <c r="E370" i="5" s="1"/>
  <c r="C370" i="5"/>
  <c r="A494" i="1" a="1"/>
  <c r="A494" i="1" l="1"/>
  <c r="B494" i="1"/>
  <c r="F494" i="1" s="1"/>
  <c r="C494" i="1"/>
  <c r="E492" i="1"/>
  <c r="D370" i="5"/>
  <c r="D628" i="3"/>
  <c r="F370" i="5"/>
  <c r="E371" i="5" s="1"/>
  <c r="C371" i="5"/>
  <c r="H369" i="5"/>
  <c r="F628" i="3"/>
  <c r="E629" i="3" s="1"/>
  <c r="C629" i="3"/>
  <c r="A495" i="1" a="1"/>
  <c r="A495" i="1" l="1"/>
  <c r="B495" i="1"/>
  <c r="F495" i="1" s="1"/>
  <c r="C495" i="1"/>
  <c r="E493" i="1"/>
  <c r="D629" i="3"/>
  <c r="D371" i="5"/>
  <c r="F629" i="3"/>
  <c r="E630" i="3" s="1"/>
  <c r="C630" i="3"/>
  <c r="H370" i="5"/>
  <c r="F371" i="5"/>
  <c r="E372" i="5" s="1"/>
  <c r="C372" i="5"/>
  <c r="A496" i="1" a="1"/>
  <c r="A496" i="1" l="1"/>
  <c r="B496" i="1"/>
  <c r="F496" i="1" s="1"/>
  <c r="C496" i="1"/>
  <c r="E494" i="1"/>
  <c r="D372" i="5"/>
  <c r="D630" i="3"/>
  <c r="F372" i="5"/>
  <c r="E373" i="5" s="1"/>
  <c r="C373" i="5"/>
  <c r="H371" i="5"/>
  <c r="F630" i="3"/>
  <c r="E631" i="3" s="1"/>
  <c r="C631" i="3"/>
  <c r="A497" i="1" a="1"/>
  <c r="A497" i="1" l="1"/>
  <c r="B497" i="1"/>
  <c r="F497" i="1" s="1"/>
  <c r="C497" i="1"/>
  <c r="E495" i="1"/>
  <c r="D631" i="3"/>
  <c r="D373" i="5"/>
  <c r="F631" i="3"/>
  <c r="E632" i="3" s="1"/>
  <c r="C632" i="3"/>
  <c r="H372" i="5"/>
  <c r="F373" i="5"/>
  <c r="E374" i="5" s="1"/>
  <c r="C374" i="5"/>
  <c r="A498" i="1" a="1"/>
  <c r="A498" i="1" l="1"/>
  <c r="B498" i="1"/>
  <c r="F498" i="1" s="1"/>
  <c r="C498" i="1"/>
  <c r="E496" i="1"/>
  <c r="D374" i="5"/>
  <c r="D632" i="3"/>
  <c r="F374" i="5"/>
  <c r="E375" i="5" s="1"/>
  <c r="C375" i="5"/>
  <c r="H373" i="5"/>
  <c r="F632" i="3"/>
  <c r="E633" i="3" s="1"/>
  <c r="C633" i="3"/>
  <c r="A499" i="1" a="1"/>
  <c r="A499" i="1" l="1"/>
  <c r="B499" i="1"/>
  <c r="F499" i="1" s="1"/>
  <c r="C499" i="1"/>
  <c r="E497" i="1"/>
  <c r="D633" i="3"/>
  <c r="D375" i="5"/>
  <c r="F633" i="3"/>
  <c r="E634" i="3" s="1"/>
  <c r="C634" i="3"/>
  <c r="H374" i="5"/>
  <c r="F375" i="5"/>
  <c r="E376" i="5" s="1"/>
  <c r="C376" i="5"/>
  <c r="A500" i="1" a="1"/>
  <c r="A500" i="1" l="1"/>
  <c r="B500" i="1"/>
  <c r="F500" i="1" s="1"/>
  <c r="C500" i="1"/>
  <c r="E498" i="1"/>
  <c r="D376" i="5"/>
  <c r="D634" i="3"/>
  <c r="F376" i="5"/>
  <c r="E377" i="5" s="1"/>
  <c r="C377" i="5"/>
  <c r="H375" i="5"/>
  <c r="F634" i="3"/>
  <c r="E635" i="3" s="1"/>
  <c r="C635" i="3"/>
  <c r="A501" i="1" a="1"/>
  <c r="A501" i="1" l="1"/>
  <c r="B501" i="1"/>
  <c r="F501" i="1" s="1"/>
  <c r="C501" i="1"/>
  <c r="E499" i="1"/>
  <c r="D635" i="3"/>
  <c r="D377" i="5"/>
  <c r="F635" i="3"/>
  <c r="E636" i="3" s="1"/>
  <c r="C636" i="3"/>
  <c r="H376" i="5"/>
  <c r="F377" i="5"/>
  <c r="E378" i="5" s="1"/>
  <c r="C378" i="5"/>
  <c r="A502" i="1" a="1"/>
  <c r="A502" i="1" l="1"/>
  <c r="B502" i="1"/>
  <c r="F502" i="1" s="1"/>
  <c r="C502" i="1"/>
  <c r="E500" i="1"/>
  <c r="D378" i="5"/>
  <c r="D636" i="3"/>
  <c r="F378" i="5"/>
  <c r="E379" i="5" s="1"/>
  <c r="C379" i="5"/>
  <c r="H377" i="5"/>
  <c r="F636" i="3"/>
  <c r="E637" i="3" s="1"/>
  <c r="C637" i="3"/>
  <c r="A503" i="1" a="1"/>
  <c r="A503" i="1" l="1"/>
  <c r="B503" i="1"/>
  <c r="F503" i="1" s="1"/>
  <c r="C503" i="1"/>
  <c r="E501" i="1"/>
  <c r="D637" i="3"/>
  <c r="D379" i="5"/>
  <c r="F637" i="3"/>
  <c r="E638" i="3" s="1"/>
  <c r="C638" i="3"/>
  <c r="H378" i="5"/>
  <c r="F379" i="5"/>
  <c r="E380" i="5" s="1"/>
  <c r="C380" i="5"/>
  <c r="A504" i="1" a="1"/>
  <c r="A504" i="1" l="1"/>
  <c r="B504" i="1"/>
  <c r="F504" i="1" s="1"/>
  <c r="C504" i="1"/>
  <c r="E502" i="1"/>
  <c r="D380" i="5"/>
  <c r="D638" i="3"/>
  <c r="F380" i="5"/>
  <c r="E381" i="5" s="1"/>
  <c r="C381" i="5"/>
  <c r="H379" i="5"/>
  <c r="F638" i="3"/>
  <c r="E639" i="3" s="1"/>
  <c r="C639" i="3"/>
  <c r="A505" i="1" a="1"/>
  <c r="A505" i="1" l="1"/>
  <c r="B505" i="1"/>
  <c r="F505" i="1" s="1"/>
  <c r="C505" i="1"/>
  <c r="E503" i="1"/>
  <c r="D639" i="3"/>
  <c r="D381" i="5"/>
  <c r="F639" i="3"/>
  <c r="E640" i="3" s="1"/>
  <c r="C640" i="3"/>
  <c r="H380" i="5"/>
  <c r="F381" i="5"/>
  <c r="E382" i="5" s="1"/>
  <c r="C382" i="5"/>
  <c r="A506" i="1" a="1"/>
  <c r="A506" i="1" l="1"/>
  <c r="B506" i="1"/>
  <c r="F506" i="1" s="1"/>
  <c r="C506" i="1"/>
  <c r="E504" i="1"/>
  <c r="D382" i="5"/>
  <c r="D640" i="3"/>
  <c r="F382" i="5"/>
  <c r="E383" i="5" s="1"/>
  <c r="C383" i="5"/>
  <c r="H381" i="5"/>
  <c r="F640" i="3"/>
  <c r="E641" i="3" s="1"/>
  <c r="C641" i="3"/>
  <c r="A507" i="1" a="1"/>
  <c r="A507" i="1" l="1"/>
  <c r="B507" i="1"/>
  <c r="F507" i="1" s="1"/>
  <c r="C507" i="1"/>
  <c r="E505" i="1"/>
  <c r="D641" i="3"/>
  <c r="D383" i="5"/>
  <c r="F641" i="3"/>
  <c r="E642" i="3" s="1"/>
  <c r="C642" i="3"/>
  <c r="H382" i="5"/>
  <c r="F383" i="5"/>
  <c r="E384" i="5" s="1"/>
  <c r="C384" i="5"/>
  <c r="A508" i="1" a="1"/>
  <c r="A508" i="1" l="1"/>
  <c r="B508" i="1"/>
  <c r="F508" i="1" s="1"/>
  <c r="C508" i="1"/>
  <c r="E506" i="1"/>
  <c r="D384" i="5"/>
  <c r="D642" i="3"/>
  <c r="F384" i="5"/>
  <c r="E385" i="5" s="1"/>
  <c r="C385" i="5"/>
  <c r="H383" i="5"/>
  <c r="F642" i="3"/>
  <c r="E643" i="3" s="1"/>
  <c r="C643" i="3"/>
  <c r="A509" i="1" a="1"/>
  <c r="A509" i="1" l="1"/>
  <c r="B509" i="1"/>
  <c r="F509" i="1" s="1"/>
  <c r="C509" i="1"/>
  <c r="E507" i="1"/>
  <c r="D643" i="3"/>
  <c r="D385" i="5"/>
  <c r="F643" i="3"/>
  <c r="E644" i="3" s="1"/>
  <c r="C644" i="3"/>
  <c r="H384" i="5"/>
  <c r="F385" i="5"/>
  <c r="E386" i="5" s="1"/>
  <c r="C386" i="5"/>
  <c r="A510" i="1" a="1"/>
  <c r="A510" i="1" l="1"/>
  <c r="B510" i="1"/>
  <c r="F510" i="1" s="1"/>
  <c r="C510" i="1"/>
  <c r="E508" i="1"/>
  <c r="D386" i="5"/>
  <c r="D644" i="3"/>
  <c r="F386" i="5"/>
  <c r="E387" i="5" s="1"/>
  <c r="C387" i="5"/>
  <c r="H385" i="5"/>
  <c r="F644" i="3"/>
  <c r="E645" i="3" s="1"/>
  <c r="C645" i="3"/>
  <c r="A511" i="1" a="1"/>
  <c r="A511" i="1" l="1"/>
  <c r="B511" i="1"/>
  <c r="F511" i="1" s="1"/>
  <c r="C511" i="1"/>
  <c r="E509" i="1"/>
  <c r="D645" i="3"/>
  <c r="D387" i="5"/>
  <c r="F645" i="3"/>
  <c r="E646" i="3" s="1"/>
  <c r="C646" i="3"/>
  <c r="H386" i="5"/>
  <c r="F387" i="5"/>
  <c r="E388" i="5" s="1"/>
  <c r="C388" i="5"/>
  <c r="A512" i="1" a="1"/>
  <c r="A512" i="1" l="1"/>
  <c r="B512" i="1"/>
  <c r="F512" i="1" s="1"/>
  <c r="C512" i="1"/>
  <c r="E510" i="1"/>
  <c r="D388" i="5"/>
  <c r="D646" i="3"/>
  <c r="F388" i="5"/>
  <c r="E389" i="5" s="1"/>
  <c r="C389" i="5"/>
  <c r="H387" i="5"/>
  <c r="F646" i="3"/>
  <c r="E647" i="3" s="1"/>
  <c r="C647" i="3"/>
  <c r="A513" i="1" a="1"/>
  <c r="A513" i="1" l="1"/>
  <c r="B513" i="1"/>
  <c r="F513" i="1" s="1"/>
  <c r="C513" i="1"/>
  <c r="E511" i="1"/>
  <c r="D647" i="3"/>
  <c r="D389" i="5"/>
  <c r="F647" i="3"/>
  <c r="E648" i="3" s="1"/>
  <c r="C648" i="3"/>
  <c r="H388" i="5"/>
  <c r="F389" i="5"/>
  <c r="E390" i="5" s="1"/>
  <c r="C390" i="5"/>
  <c r="A514" i="1" a="1"/>
  <c r="A514" i="1" l="1"/>
  <c r="B514" i="1"/>
  <c r="F514" i="1" s="1"/>
  <c r="C514" i="1"/>
  <c r="E512" i="1"/>
  <c r="D390" i="5"/>
  <c r="D648" i="3"/>
  <c r="F390" i="5"/>
  <c r="E391" i="5" s="1"/>
  <c r="C391" i="5"/>
  <c r="H389" i="5"/>
  <c r="F648" i="3"/>
  <c r="E649" i="3" s="1"/>
  <c r="C649" i="3"/>
  <c r="A515" i="1" a="1"/>
  <c r="A515" i="1" l="1"/>
  <c r="B515" i="1"/>
  <c r="F515" i="1" s="1"/>
  <c r="C515" i="1"/>
  <c r="E513" i="1"/>
  <c r="D649" i="3"/>
  <c r="D391" i="5"/>
  <c r="F649" i="3"/>
  <c r="E650" i="3" s="1"/>
  <c r="C650" i="3"/>
  <c r="H390" i="5"/>
  <c r="F391" i="5"/>
  <c r="E392" i="5" s="1"/>
  <c r="C392" i="5"/>
  <c r="A516" i="1" a="1"/>
  <c r="A516" i="1" l="1"/>
  <c r="B516" i="1"/>
  <c r="F516" i="1" s="1"/>
  <c r="C516" i="1"/>
  <c r="E514" i="1"/>
  <c r="D392" i="5"/>
  <c r="D650" i="3"/>
  <c r="F392" i="5"/>
  <c r="E393" i="5" s="1"/>
  <c r="C393" i="5"/>
  <c r="H391" i="5"/>
  <c r="F650" i="3"/>
  <c r="E651" i="3" s="1"/>
  <c r="C651" i="3"/>
  <c r="A517" i="1" a="1"/>
  <c r="A517" i="1" l="1"/>
  <c r="B517" i="1"/>
  <c r="F517" i="1" s="1"/>
  <c r="C517" i="1"/>
  <c r="E515" i="1"/>
  <c r="D651" i="3"/>
  <c r="D393" i="5"/>
  <c r="F651" i="3"/>
  <c r="E652" i="3" s="1"/>
  <c r="C652" i="3"/>
  <c r="H392" i="5"/>
  <c r="F393" i="5"/>
  <c r="E394" i="5" s="1"/>
  <c r="C394" i="5"/>
  <c r="A518" i="1" a="1"/>
  <c r="A518" i="1" l="1"/>
  <c r="B518" i="1"/>
  <c r="F518" i="1" s="1"/>
  <c r="C518" i="1"/>
  <c r="E516" i="1"/>
  <c r="D394" i="5"/>
  <c r="D652" i="3"/>
  <c r="F394" i="5"/>
  <c r="E395" i="5" s="1"/>
  <c r="C395" i="5"/>
  <c r="H393" i="5"/>
  <c r="F652" i="3"/>
  <c r="E653" i="3" s="1"/>
  <c r="C653" i="3"/>
  <c r="A519" i="1" a="1"/>
  <c r="A519" i="1" l="1"/>
  <c r="B519" i="1"/>
  <c r="F519" i="1" s="1"/>
  <c r="C519" i="1"/>
  <c r="E517" i="1"/>
  <c r="D653" i="3"/>
  <c r="D395" i="5"/>
  <c r="F653" i="3"/>
  <c r="E654" i="3" s="1"/>
  <c r="C654" i="3"/>
  <c r="H394" i="5"/>
  <c r="F395" i="5"/>
  <c r="E396" i="5" s="1"/>
  <c r="C396" i="5"/>
  <c r="A520" i="1" a="1"/>
  <c r="A520" i="1" l="1"/>
  <c r="B520" i="1"/>
  <c r="F520" i="1" s="1"/>
  <c r="C520" i="1"/>
  <c r="E518" i="1"/>
  <c r="D396" i="5"/>
  <c r="D654" i="3"/>
  <c r="F396" i="5"/>
  <c r="E397" i="5" s="1"/>
  <c r="C397" i="5"/>
  <c r="H395" i="5"/>
  <c r="F654" i="3"/>
  <c r="E655" i="3" s="1"/>
  <c r="C655" i="3"/>
  <c r="A521" i="1" a="1"/>
  <c r="A521" i="1" l="1"/>
  <c r="B521" i="1"/>
  <c r="F521" i="1" s="1"/>
  <c r="C521" i="1"/>
  <c r="E519" i="1"/>
  <c r="D655" i="3"/>
  <c r="D397" i="5"/>
  <c r="F655" i="3"/>
  <c r="E656" i="3" s="1"/>
  <c r="C656" i="3"/>
  <c r="H396" i="5"/>
  <c r="F397" i="5"/>
  <c r="E398" i="5" s="1"/>
  <c r="C398" i="5"/>
  <c r="A522" i="1" a="1"/>
  <c r="A522" i="1" l="1"/>
  <c r="B522" i="1"/>
  <c r="F522" i="1" s="1"/>
  <c r="C522" i="1"/>
  <c r="E520" i="1"/>
  <c r="D398" i="5"/>
  <c r="D656" i="3"/>
  <c r="F398" i="5"/>
  <c r="E399" i="5" s="1"/>
  <c r="C399" i="5"/>
  <c r="H397" i="5"/>
  <c r="F656" i="3"/>
  <c r="E657" i="3" s="1"/>
  <c r="C657" i="3"/>
  <c r="A523" i="1" a="1"/>
  <c r="A523" i="1" l="1"/>
  <c r="B523" i="1"/>
  <c r="F523" i="1" s="1"/>
  <c r="C523" i="1"/>
  <c r="E521" i="1"/>
  <c r="D657" i="3"/>
  <c r="D399" i="5"/>
  <c r="F657" i="3"/>
  <c r="E658" i="3" s="1"/>
  <c r="C658" i="3"/>
  <c r="H398" i="5"/>
  <c r="F399" i="5"/>
  <c r="E400" i="5" s="1"/>
  <c r="C400" i="5"/>
  <c r="A524" i="1" a="1"/>
  <c r="A524" i="1" l="1"/>
  <c r="B524" i="1"/>
  <c r="F524" i="1" s="1"/>
  <c r="C524" i="1"/>
  <c r="E522" i="1"/>
  <c r="D400" i="5"/>
  <c r="D658" i="3"/>
  <c r="F400" i="5"/>
  <c r="E401" i="5" s="1"/>
  <c r="C401" i="5"/>
  <c r="H399" i="5"/>
  <c r="F658" i="3"/>
  <c r="E659" i="3" s="1"/>
  <c r="C659" i="3"/>
  <c r="A525" i="1" a="1"/>
  <c r="A525" i="1" l="1"/>
  <c r="B525" i="1"/>
  <c r="F525" i="1" s="1"/>
  <c r="C525" i="1"/>
  <c r="E523" i="1"/>
  <c r="D659" i="3"/>
  <c r="D401" i="5"/>
  <c r="F659" i="3"/>
  <c r="E660" i="3" s="1"/>
  <c r="C660" i="3"/>
  <c r="H400" i="5"/>
  <c r="F401" i="5"/>
  <c r="E402" i="5" s="1"/>
  <c r="C402" i="5"/>
  <c r="A526" i="1" a="1"/>
  <c r="A526" i="1" l="1"/>
  <c r="B526" i="1"/>
  <c r="F526" i="1" s="1"/>
  <c r="C526" i="1"/>
  <c r="E524" i="1"/>
  <c r="D402" i="5"/>
  <c r="D660" i="3"/>
  <c r="F402" i="5"/>
  <c r="E403" i="5" s="1"/>
  <c r="C403" i="5"/>
  <c r="H401" i="5"/>
  <c r="F660" i="3"/>
  <c r="E661" i="3" s="1"/>
  <c r="C661" i="3"/>
  <c r="A527" i="1" a="1"/>
  <c r="A527" i="1" l="1"/>
  <c r="B527" i="1"/>
  <c r="F527" i="1" s="1"/>
  <c r="C527" i="1"/>
  <c r="E525" i="1"/>
  <c r="D661" i="3"/>
  <c r="D403" i="5"/>
  <c r="F661" i="3"/>
  <c r="E662" i="3" s="1"/>
  <c r="C662" i="3"/>
  <c r="H402" i="5"/>
  <c r="F403" i="5"/>
  <c r="E404" i="5" s="1"/>
  <c r="C404" i="5"/>
  <c r="A528" i="1" a="1"/>
  <c r="A528" i="1" l="1"/>
  <c r="B528" i="1"/>
  <c r="F528" i="1" s="1"/>
  <c r="C528" i="1"/>
  <c r="E526" i="1"/>
  <c r="D404" i="5"/>
  <c r="D662" i="3"/>
  <c r="F404" i="5"/>
  <c r="E405" i="5" s="1"/>
  <c r="C405" i="5"/>
  <c r="H403" i="5"/>
  <c r="F662" i="3"/>
  <c r="E663" i="3" s="1"/>
  <c r="C663" i="3"/>
  <c r="A529" i="1" a="1"/>
  <c r="A529" i="1" l="1"/>
  <c r="B529" i="1"/>
  <c r="F529" i="1" s="1"/>
  <c r="C529" i="1"/>
  <c r="E527" i="1"/>
  <c r="D663" i="3"/>
  <c r="D405" i="5"/>
  <c r="F663" i="3"/>
  <c r="E664" i="3" s="1"/>
  <c r="C664" i="3"/>
  <c r="H404" i="5"/>
  <c r="F405" i="5"/>
  <c r="E406" i="5" s="1"/>
  <c r="C406" i="5"/>
  <c r="A530" i="1" a="1"/>
  <c r="A530" i="1" l="1"/>
  <c r="B530" i="1"/>
  <c r="F530" i="1" s="1"/>
  <c r="C530" i="1"/>
  <c r="E528" i="1"/>
  <c r="D406" i="5"/>
  <c r="D664" i="3"/>
  <c r="F406" i="5"/>
  <c r="E407" i="5" s="1"/>
  <c r="C407" i="5"/>
  <c r="H405" i="5"/>
  <c r="F664" i="3"/>
  <c r="E665" i="3" s="1"/>
  <c r="C665" i="3"/>
  <c r="A531" i="1" a="1"/>
  <c r="A531" i="1" l="1"/>
  <c r="B531" i="1"/>
  <c r="F531" i="1" s="1"/>
  <c r="C531" i="1"/>
  <c r="E529" i="1"/>
  <c r="D665" i="3"/>
  <c r="D407" i="5"/>
  <c r="F665" i="3"/>
  <c r="E666" i="3" s="1"/>
  <c r="C666" i="3"/>
  <c r="H406" i="5"/>
  <c r="F407" i="5"/>
  <c r="E408" i="5" s="1"/>
  <c r="C408" i="5"/>
  <c r="A532" i="1" a="1"/>
  <c r="A532" i="1" l="1"/>
  <c r="B532" i="1"/>
  <c r="F532" i="1" s="1"/>
  <c r="C532" i="1"/>
  <c r="E530" i="1"/>
  <c r="D408" i="5"/>
  <c r="D666" i="3"/>
  <c r="F408" i="5"/>
  <c r="E409" i="5" s="1"/>
  <c r="C409" i="5"/>
  <c r="H407" i="5"/>
  <c r="F666" i="3"/>
  <c r="E667" i="3" s="1"/>
  <c r="C667" i="3"/>
  <c r="A533" i="1" a="1"/>
  <c r="A533" i="1" l="1"/>
  <c r="B533" i="1"/>
  <c r="F533" i="1" s="1"/>
  <c r="C533" i="1"/>
  <c r="E531" i="1"/>
  <c r="D667" i="3"/>
  <c r="D409" i="5"/>
  <c r="F667" i="3"/>
  <c r="E668" i="3" s="1"/>
  <c r="C668" i="3"/>
  <c r="H408" i="5"/>
  <c r="F409" i="5"/>
  <c r="E410" i="5" s="1"/>
  <c r="C410" i="5"/>
  <c r="A534" i="1" a="1"/>
  <c r="A534" i="1" l="1"/>
  <c r="B534" i="1"/>
  <c r="F534" i="1" s="1"/>
  <c r="C534" i="1"/>
  <c r="E532" i="1"/>
  <c r="D410" i="5"/>
  <c r="D668" i="3"/>
  <c r="F410" i="5"/>
  <c r="E411" i="5" s="1"/>
  <c r="C411" i="5"/>
  <c r="H409" i="5"/>
  <c r="F668" i="3"/>
  <c r="E669" i="3" s="1"/>
  <c r="C669" i="3"/>
  <c r="A535" i="1" a="1"/>
  <c r="A535" i="1" l="1"/>
  <c r="B535" i="1"/>
  <c r="F535" i="1" s="1"/>
  <c r="C535" i="1"/>
  <c r="E533" i="1"/>
  <c r="D669" i="3"/>
  <c r="D411" i="5"/>
  <c r="F669" i="3"/>
  <c r="E670" i="3" s="1"/>
  <c r="C670" i="3"/>
  <c r="H410" i="5"/>
  <c r="F411" i="5"/>
  <c r="E412" i="5" s="1"/>
  <c r="C412" i="5"/>
  <c r="A536" i="1" a="1"/>
  <c r="A536" i="1" l="1"/>
  <c r="B536" i="1"/>
  <c r="F536" i="1" s="1"/>
  <c r="C536" i="1"/>
  <c r="E534" i="1"/>
  <c r="D412" i="5"/>
  <c r="D670" i="3"/>
  <c r="F412" i="5"/>
  <c r="E413" i="5" s="1"/>
  <c r="C413" i="5"/>
  <c r="H411" i="5"/>
  <c r="F670" i="3"/>
  <c r="E671" i="3" s="1"/>
  <c r="C671" i="3"/>
  <c r="A537" i="1" a="1"/>
  <c r="A537" i="1" l="1"/>
  <c r="B537" i="1"/>
  <c r="F537" i="1" s="1"/>
  <c r="C537" i="1"/>
  <c r="E535" i="1"/>
  <c r="D671" i="3"/>
  <c r="D413" i="5"/>
  <c r="F671" i="3"/>
  <c r="E672" i="3" s="1"/>
  <c r="C672" i="3"/>
  <c r="H412" i="5"/>
  <c r="F413" i="5"/>
  <c r="E414" i="5" s="1"/>
  <c r="C414" i="5"/>
  <c r="A538" i="1" a="1"/>
  <c r="A538" i="1" l="1"/>
  <c r="B538" i="1"/>
  <c r="F538" i="1" s="1"/>
  <c r="C538" i="1"/>
  <c r="E536" i="1"/>
  <c r="D414" i="5"/>
  <c r="D672" i="3"/>
  <c r="F414" i="5"/>
  <c r="E415" i="5" s="1"/>
  <c r="C415" i="5"/>
  <c r="H413" i="5"/>
  <c r="F672" i="3"/>
  <c r="E673" i="3" s="1"/>
  <c r="C673" i="3"/>
  <c r="A539" i="1" a="1"/>
  <c r="A539" i="1" l="1"/>
  <c r="B539" i="1"/>
  <c r="F539" i="1" s="1"/>
  <c r="C539" i="1"/>
  <c r="E537" i="1"/>
  <c r="D673" i="3"/>
  <c r="D415" i="5"/>
  <c r="F673" i="3"/>
  <c r="E674" i="3" s="1"/>
  <c r="C674" i="3"/>
  <c r="H414" i="5"/>
  <c r="F415" i="5"/>
  <c r="E416" i="5" s="1"/>
  <c r="C416" i="5"/>
  <c r="A540" i="1" a="1"/>
  <c r="A540" i="1" l="1"/>
  <c r="B540" i="1"/>
  <c r="F540" i="1" s="1"/>
  <c r="C540" i="1"/>
  <c r="E538" i="1"/>
  <c r="D416" i="5"/>
  <c r="D674" i="3"/>
  <c r="F416" i="5"/>
  <c r="E417" i="5" s="1"/>
  <c r="C417" i="5"/>
  <c r="H415" i="5"/>
  <c r="F674" i="3"/>
  <c r="E675" i="3" s="1"/>
  <c r="C675" i="3"/>
  <c r="A541" i="1" a="1"/>
  <c r="A541" i="1" l="1"/>
  <c r="B541" i="1"/>
  <c r="F541" i="1" s="1"/>
  <c r="C541" i="1"/>
  <c r="E539" i="1"/>
  <c r="D675" i="3"/>
  <c r="D417" i="5"/>
  <c r="F675" i="3"/>
  <c r="E676" i="3" s="1"/>
  <c r="C676" i="3"/>
  <c r="H416" i="5"/>
  <c r="F417" i="5"/>
  <c r="E418" i="5" s="1"/>
  <c r="C418" i="5"/>
  <c r="A542" i="1" a="1"/>
  <c r="A542" i="1" l="1"/>
  <c r="B542" i="1"/>
  <c r="F542" i="1" s="1"/>
  <c r="C542" i="1"/>
  <c r="E540" i="1"/>
  <c r="D418" i="5"/>
  <c r="D676" i="3"/>
  <c r="F418" i="5"/>
  <c r="E419" i="5" s="1"/>
  <c r="C419" i="5"/>
  <c r="H417" i="5"/>
  <c r="F676" i="3"/>
  <c r="E677" i="3" s="1"/>
  <c r="C677" i="3"/>
  <c r="A543" i="1" a="1"/>
  <c r="A543" i="1" l="1"/>
  <c r="B543" i="1"/>
  <c r="F543" i="1" s="1"/>
  <c r="C543" i="1"/>
  <c r="E541" i="1"/>
  <c r="D677" i="3"/>
  <c r="D419" i="5"/>
  <c r="F677" i="3"/>
  <c r="E678" i="3" s="1"/>
  <c r="C678" i="3"/>
  <c r="H418" i="5"/>
  <c r="F419" i="5"/>
  <c r="E420" i="5" s="1"/>
  <c r="C420" i="5"/>
  <c r="A544" i="1" a="1"/>
  <c r="A544" i="1" l="1"/>
  <c r="B544" i="1"/>
  <c r="F544" i="1" s="1"/>
  <c r="C544" i="1"/>
  <c r="E542" i="1"/>
  <c r="D420" i="5"/>
  <c r="D678" i="3"/>
  <c r="F420" i="5"/>
  <c r="E421" i="5" s="1"/>
  <c r="C421" i="5"/>
  <c r="H419" i="5"/>
  <c r="F678" i="3"/>
  <c r="E679" i="3" s="1"/>
  <c r="C679" i="3"/>
  <c r="A545" i="1" a="1"/>
  <c r="A545" i="1" l="1"/>
  <c r="B545" i="1"/>
  <c r="F545" i="1" s="1"/>
  <c r="C545" i="1"/>
  <c r="E543" i="1"/>
  <c r="D679" i="3"/>
  <c r="D421" i="5"/>
  <c r="F679" i="3"/>
  <c r="E680" i="3" s="1"/>
  <c r="C680" i="3"/>
  <c r="H420" i="5"/>
  <c r="F421" i="5"/>
  <c r="E422" i="5" s="1"/>
  <c r="C422" i="5"/>
  <c r="A546" i="1" a="1"/>
  <c r="A546" i="1" l="1"/>
  <c r="B546" i="1"/>
  <c r="F546" i="1" s="1"/>
  <c r="C546" i="1"/>
  <c r="E544" i="1"/>
  <c r="D422" i="5"/>
  <c r="D680" i="3"/>
  <c r="F422" i="5"/>
  <c r="E423" i="5" s="1"/>
  <c r="C423" i="5"/>
  <c r="H421" i="5"/>
  <c r="F680" i="3"/>
  <c r="E681" i="3" s="1"/>
  <c r="C681" i="3"/>
  <c r="A547" i="1" a="1"/>
  <c r="A547" i="1" l="1"/>
  <c r="B547" i="1"/>
  <c r="F547" i="1" s="1"/>
  <c r="C547" i="1"/>
  <c r="E545" i="1"/>
  <c r="D681" i="3"/>
  <c r="D423" i="5"/>
  <c r="F681" i="3"/>
  <c r="E682" i="3" s="1"/>
  <c r="C682" i="3"/>
  <c r="H422" i="5"/>
  <c r="F423" i="5"/>
  <c r="E424" i="5" s="1"/>
  <c r="C424" i="5"/>
  <c r="A548" i="1" a="1"/>
  <c r="A548" i="1" l="1"/>
  <c r="B548" i="1"/>
  <c r="F548" i="1" s="1"/>
  <c r="C548" i="1"/>
  <c r="E546" i="1"/>
  <c r="D424" i="5"/>
  <c r="D682" i="3"/>
  <c r="F424" i="5"/>
  <c r="E425" i="5" s="1"/>
  <c r="C425" i="5"/>
  <c r="H423" i="5"/>
  <c r="F682" i="3"/>
  <c r="E683" i="3" s="1"/>
  <c r="C683" i="3"/>
  <c r="A549" i="1" a="1"/>
  <c r="A549" i="1" l="1"/>
  <c r="B549" i="1"/>
  <c r="F549" i="1" s="1"/>
  <c r="C549" i="1"/>
  <c r="E547" i="1"/>
  <c r="D683" i="3"/>
  <c r="D425" i="5"/>
  <c r="F683" i="3"/>
  <c r="E684" i="3" s="1"/>
  <c r="C684" i="3"/>
  <c r="H424" i="5"/>
  <c r="F425" i="5"/>
  <c r="E426" i="5" s="1"/>
  <c r="C426" i="5"/>
  <c r="A550" i="1" a="1"/>
  <c r="A550" i="1" l="1"/>
  <c r="B550" i="1"/>
  <c r="F550" i="1" s="1"/>
  <c r="C550" i="1"/>
  <c r="E548" i="1"/>
  <c r="D426" i="5"/>
  <c r="D684" i="3"/>
  <c r="F426" i="5"/>
  <c r="E427" i="5" s="1"/>
  <c r="C427" i="5"/>
  <c r="H425" i="5"/>
  <c r="F684" i="3"/>
  <c r="E685" i="3" s="1"/>
  <c r="C685" i="3"/>
  <c r="A551" i="1" a="1"/>
  <c r="A551" i="1" l="1"/>
  <c r="B551" i="1"/>
  <c r="F551" i="1" s="1"/>
  <c r="C551" i="1"/>
  <c r="E549" i="1"/>
  <c r="D685" i="3"/>
  <c r="D427" i="5"/>
  <c r="F685" i="3"/>
  <c r="E686" i="3" s="1"/>
  <c r="C686" i="3"/>
  <c r="H426" i="5"/>
  <c r="F427" i="5"/>
  <c r="E428" i="5" s="1"/>
  <c r="C428" i="5"/>
  <c r="A552" i="1" a="1"/>
  <c r="A552" i="1" l="1"/>
  <c r="B552" i="1"/>
  <c r="F552" i="1" s="1"/>
  <c r="C552" i="1"/>
  <c r="E550" i="1"/>
  <c r="D428" i="5"/>
  <c r="D686" i="3"/>
  <c r="F428" i="5"/>
  <c r="E429" i="5" s="1"/>
  <c r="C429" i="5"/>
  <c r="H427" i="5"/>
  <c r="F686" i="3"/>
  <c r="E687" i="3" s="1"/>
  <c r="C687" i="3"/>
  <c r="A553" i="1" a="1"/>
  <c r="A553" i="1" l="1"/>
  <c r="B553" i="1"/>
  <c r="F553" i="1" s="1"/>
  <c r="C553" i="1"/>
  <c r="E551" i="1"/>
  <c r="D687" i="3"/>
  <c r="D429" i="5"/>
  <c r="F687" i="3"/>
  <c r="E688" i="3" s="1"/>
  <c r="C688" i="3"/>
  <c r="H428" i="5"/>
  <c r="F429" i="5"/>
  <c r="E430" i="5" s="1"/>
  <c r="C430" i="5"/>
  <c r="A554" i="1" a="1"/>
  <c r="A554" i="1" l="1"/>
  <c r="B554" i="1"/>
  <c r="F554" i="1" s="1"/>
  <c r="C554" i="1"/>
  <c r="E552" i="1"/>
  <c r="D430" i="5"/>
  <c r="D688" i="3"/>
  <c r="F430" i="5"/>
  <c r="E431" i="5" s="1"/>
  <c r="C431" i="5"/>
  <c r="H429" i="5"/>
  <c r="F688" i="3"/>
  <c r="E689" i="3" s="1"/>
  <c r="C689" i="3"/>
  <c r="A555" i="1" a="1"/>
  <c r="A555" i="1" l="1"/>
  <c r="B555" i="1"/>
  <c r="F555" i="1" s="1"/>
  <c r="C555" i="1"/>
  <c r="E553" i="1"/>
  <c r="D689" i="3"/>
  <c r="D431" i="5"/>
  <c r="F689" i="3"/>
  <c r="E690" i="3" s="1"/>
  <c r="C690" i="3"/>
  <c r="H430" i="5"/>
  <c r="F431" i="5"/>
  <c r="E432" i="5" s="1"/>
  <c r="C432" i="5"/>
  <c r="A556" i="1" a="1"/>
  <c r="A556" i="1" l="1"/>
  <c r="B556" i="1"/>
  <c r="F556" i="1" s="1"/>
  <c r="C556" i="1"/>
  <c r="E554" i="1"/>
  <c r="D432" i="5"/>
  <c r="D690" i="3"/>
  <c r="F432" i="5"/>
  <c r="E433" i="5" s="1"/>
  <c r="C433" i="5"/>
  <c r="H431" i="5"/>
  <c r="F690" i="3"/>
  <c r="E691" i="3" s="1"/>
  <c r="C691" i="3"/>
  <c r="A557" i="1" a="1"/>
  <c r="A557" i="1" l="1"/>
  <c r="B557" i="1"/>
  <c r="F557" i="1" s="1"/>
  <c r="C557" i="1"/>
  <c r="E555" i="1"/>
  <c r="D691" i="3"/>
  <c r="D433" i="5"/>
  <c r="F691" i="3"/>
  <c r="E692" i="3" s="1"/>
  <c r="C692" i="3"/>
  <c r="H432" i="5"/>
  <c r="F433" i="5"/>
  <c r="E434" i="5" s="1"/>
  <c r="C434" i="5"/>
  <c r="A558" i="1" a="1"/>
  <c r="A558" i="1" l="1"/>
  <c r="B558" i="1"/>
  <c r="F558" i="1" s="1"/>
  <c r="C558" i="1"/>
  <c r="E556" i="1"/>
  <c r="D434" i="5"/>
  <c r="D692" i="3"/>
  <c r="F434" i="5"/>
  <c r="E435" i="5" s="1"/>
  <c r="C435" i="5"/>
  <c r="H433" i="5"/>
  <c r="F692" i="3"/>
  <c r="E693" i="3" s="1"/>
  <c r="C693" i="3"/>
  <c r="A559" i="1" a="1"/>
  <c r="A559" i="1" l="1"/>
  <c r="B559" i="1"/>
  <c r="F559" i="1" s="1"/>
  <c r="C559" i="1"/>
  <c r="E557" i="1"/>
  <c r="D693" i="3"/>
  <c r="D435" i="5"/>
  <c r="F693" i="3"/>
  <c r="E694" i="3" s="1"/>
  <c r="C694" i="3"/>
  <c r="H434" i="5"/>
  <c r="F435" i="5"/>
  <c r="E436" i="5" s="1"/>
  <c r="C436" i="5"/>
  <c r="A560" i="1" a="1"/>
  <c r="A560" i="1" l="1"/>
  <c r="B560" i="1"/>
  <c r="F560" i="1" s="1"/>
  <c r="C560" i="1"/>
  <c r="E558" i="1"/>
  <c r="D436" i="5"/>
  <c r="D694" i="3"/>
  <c r="F436" i="5"/>
  <c r="E437" i="5" s="1"/>
  <c r="C437" i="5"/>
  <c r="H435" i="5"/>
  <c r="F694" i="3"/>
  <c r="E695" i="3" s="1"/>
  <c r="C695" i="3"/>
  <c r="A561" i="1" a="1"/>
  <c r="A561" i="1" l="1"/>
  <c r="B561" i="1"/>
  <c r="F561" i="1" s="1"/>
  <c r="C561" i="1"/>
  <c r="E559" i="1"/>
  <c r="D695" i="3"/>
  <c r="D437" i="5"/>
  <c r="F695" i="3"/>
  <c r="E696" i="3" s="1"/>
  <c r="C696" i="3"/>
  <c r="H436" i="5"/>
  <c r="F437" i="5"/>
  <c r="E438" i="5" s="1"/>
  <c r="C438" i="5"/>
  <c r="A562" i="1" a="1"/>
  <c r="A562" i="1" l="1"/>
  <c r="B562" i="1"/>
  <c r="F562" i="1" s="1"/>
  <c r="C562" i="1"/>
  <c r="E560" i="1"/>
  <c r="D438" i="5"/>
  <c r="D696" i="3"/>
  <c r="F438" i="5"/>
  <c r="E439" i="5" s="1"/>
  <c r="C439" i="5"/>
  <c r="H437" i="5"/>
  <c r="F696" i="3"/>
  <c r="E697" i="3" s="1"/>
  <c r="C697" i="3"/>
  <c r="A563" i="1" a="1"/>
  <c r="A563" i="1" l="1"/>
  <c r="B563" i="1"/>
  <c r="F563" i="1" s="1"/>
  <c r="C563" i="1"/>
  <c r="E561" i="1"/>
  <c r="D697" i="3"/>
  <c r="D439" i="5"/>
  <c r="F697" i="3"/>
  <c r="E698" i="3" s="1"/>
  <c r="C698" i="3"/>
  <c r="H438" i="5"/>
  <c r="F439" i="5"/>
  <c r="E440" i="5" s="1"/>
  <c r="C440" i="5"/>
  <c r="A564" i="1" a="1"/>
  <c r="A564" i="1" l="1"/>
  <c r="B564" i="1"/>
  <c r="F564" i="1" s="1"/>
  <c r="C564" i="1"/>
  <c r="E562" i="1"/>
  <c r="D440" i="5"/>
  <c r="D698" i="3"/>
  <c r="F440" i="5"/>
  <c r="E441" i="5" s="1"/>
  <c r="C441" i="5"/>
  <c r="H439" i="5"/>
  <c r="F698" i="3"/>
  <c r="E699" i="3" s="1"/>
  <c r="C699" i="3"/>
  <c r="A565" i="1" a="1"/>
  <c r="A565" i="1" l="1"/>
  <c r="B565" i="1"/>
  <c r="F565" i="1" s="1"/>
  <c r="C565" i="1"/>
  <c r="E563" i="1"/>
  <c r="D699" i="3"/>
  <c r="D441" i="5"/>
  <c r="F699" i="3"/>
  <c r="E700" i="3" s="1"/>
  <c r="C700" i="3"/>
  <c r="H440" i="5"/>
  <c r="F441" i="5"/>
  <c r="E442" i="5" s="1"/>
  <c r="C442" i="5"/>
  <c r="A566" i="1" a="1"/>
  <c r="A566" i="1" l="1"/>
  <c r="B566" i="1"/>
  <c r="F566" i="1" s="1"/>
  <c r="C566" i="1"/>
  <c r="E564" i="1"/>
  <c r="D442" i="5"/>
  <c r="D700" i="3"/>
  <c r="F442" i="5"/>
  <c r="E443" i="5" s="1"/>
  <c r="C443" i="5"/>
  <c r="H441" i="5"/>
  <c r="F700" i="3"/>
  <c r="E701" i="3" s="1"/>
  <c r="C701" i="3"/>
  <c r="A567" i="1" a="1"/>
  <c r="A567" i="1" l="1"/>
  <c r="B567" i="1"/>
  <c r="F567" i="1" s="1"/>
  <c r="C567" i="1"/>
  <c r="E565" i="1"/>
  <c r="D701" i="3"/>
  <c r="D443" i="5"/>
  <c r="F701" i="3"/>
  <c r="E702" i="3" s="1"/>
  <c r="C702" i="3"/>
  <c r="H442" i="5"/>
  <c r="F443" i="5"/>
  <c r="E444" i="5" s="1"/>
  <c r="C444" i="5"/>
  <c r="A568" i="1" a="1"/>
  <c r="A568" i="1" l="1"/>
  <c r="B568" i="1"/>
  <c r="F568" i="1" s="1"/>
  <c r="C568" i="1"/>
  <c r="E566" i="1"/>
  <c r="D444" i="5"/>
  <c r="D702" i="3"/>
  <c r="F444" i="5"/>
  <c r="E445" i="5" s="1"/>
  <c r="C445" i="5"/>
  <c r="H443" i="5"/>
  <c r="F702" i="3"/>
  <c r="E703" i="3" s="1"/>
  <c r="C703" i="3"/>
  <c r="A569" i="1" a="1"/>
  <c r="A569" i="1" l="1"/>
  <c r="B569" i="1"/>
  <c r="F569" i="1" s="1"/>
  <c r="C569" i="1"/>
  <c r="E567" i="1"/>
  <c r="D703" i="3"/>
  <c r="D445" i="5"/>
  <c r="F703" i="3"/>
  <c r="E704" i="3" s="1"/>
  <c r="C704" i="3"/>
  <c r="H444" i="5"/>
  <c r="F445" i="5"/>
  <c r="E446" i="5" s="1"/>
  <c r="C446" i="5"/>
  <c r="A570" i="1" a="1"/>
  <c r="A570" i="1" l="1"/>
  <c r="B570" i="1"/>
  <c r="F570" i="1" s="1"/>
  <c r="C570" i="1"/>
  <c r="E568" i="1"/>
  <c r="D446" i="5"/>
  <c r="D704" i="3"/>
  <c r="F446" i="5"/>
  <c r="E447" i="5" s="1"/>
  <c r="C447" i="5"/>
  <c r="H445" i="5"/>
  <c r="F704" i="3"/>
  <c r="E705" i="3" s="1"/>
  <c r="C705" i="3"/>
  <c r="A571" i="1" a="1"/>
  <c r="A571" i="1" l="1"/>
  <c r="B571" i="1"/>
  <c r="F571" i="1" s="1"/>
  <c r="C571" i="1"/>
  <c r="E569" i="1"/>
  <c r="D705" i="3"/>
  <c r="D447" i="5"/>
  <c r="F705" i="3"/>
  <c r="E706" i="3" s="1"/>
  <c r="C706" i="3"/>
  <c r="H446" i="5"/>
  <c r="F447" i="5"/>
  <c r="E448" i="5" s="1"/>
  <c r="C448" i="5"/>
  <c r="A572" i="1" a="1"/>
  <c r="A572" i="1" l="1"/>
  <c r="B572" i="1"/>
  <c r="F572" i="1" s="1"/>
  <c r="C572" i="1"/>
  <c r="E570" i="1"/>
  <c r="D448" i="5"/>
  <c r="D706" i="3"/>
  <c r="F448" i="5"/>
  <c r="E449" i="5" s="1"/>
  <c r="C449" i="5"/>
  <c r="H447" i="5"/>
  <c r="F706" i="3"/>
  <c r="E707" i="3" s="1"/>
  <c r="C707" i="3"/>
  <c r="A573" i="1" a="1"/>
  <c r="A573" i="1" l="1"/>
  <c r="B573" i="1"/>
  <c r="F573" i="1" s="1"/>
  <c r="C573" i="1"/>
  <c r="E571" i="1"/>
  <c r="D707" i="3"/>
  <c r="D449" i="5"/>
  <c r="F707" i="3"/>
  <c r="E708" i="3" s="1"/>
  <c r="C708" i="3"/>
  <c r="H448" i="5"/>
  <c r="F449" i="5"/>
  <c r="E450" i="5" s="1"/>
  <c r="C450" i="5"/>
  <c r="A574" i="1" a="1"/>
  <c r="A574" i="1" l="1"/>
  <c r="B574" i="1"/>
  <c r="F574" i="1" s="1"/>
  <c r="C574" i="1"/>
  <c r="E572" i="1"/>
  <c r="D450" i="5"/>
  <c r="D708" i="3"/>
  <c r="F450" i="5"/>
  <c r="E451" i="5" s="1"/>
  <c r="C451" i="5"/>
  <c r="H449" i="5"/>
  <c r="F708" i="3"/>
  <c r="E709" i="3" s="1"/>
  <c r="C709" i="3"/>
  <c r="A575" i="1" a="1"/>
  <c r="A575" i="1" l="1"/>
  <c r="B575" i="1"/>
  <c r="F575" i="1" s="1"/>
  <c r="C575" i="1"/>
  <c r="E573" i="1"/>
  <c r="D709" i="3"/>
  <c r="D451" i="5"/>
  <c r="F709" i="3"/>
  <c r="E710" i="3" s="1"/>
  <c r="C710" i="3"/>
  <c r="H450" i="5"/>
  <c r="F451" i="5"/>
  <c r="E452" i="5" s="1"/>
  <c r="C452" i="5"/>
  <c r="A576" i="1" a="1"/>
  <c r="A576" i="1" l="1"/>
  <c r="B576" i="1"/>
  <c r="F576" i="1" s="1"/>
  <c r="C576" i="1"/>
  <c r="E574" i="1"/>
  <c r="D452" i="5"/>
  <c r="D710" i="3"/>
  <c r="F452" i="5"/>
  <c r="E453" i="5" s="1"/>
  <c r="C453" i="5"/>
  <c r="H451" i="5"/>
  <c r="F710" i="3"/>
  <c r="E711" i="3" s="1"/>
  <c r="C711" i="3"/>
  <c r="A577" i="1" a="1"/>
  <c r="A577" i="1" l="1"/>
  <c r="B577" i="1"/>
  <c r="F577" i="1" s="1"/>
  <c r="C577" i="1"/>
  <c r="E575" i="1"/>
  <c r="D711" i="3"/>
  <c r="D453" i="5"/>
  <c r="F711" i="3"/>
  <c r="E712" i="3" s="1"/>
  <c r="C712" i="3"/>
  <c r="H452" i="5"/>
  <c r="F453" i="5"/>
  <c r="E454" i="5" s="1"/>
  <c r="C454" i="5"/>
  <c r="A578" i="1" a="1"/>
  <c r="A578" i="1" l="1"/>
  <c r="B578" i="1"/>
  <c r="F578" i="1" s="1"/>
  <c r="C578" i="1"/>
  <c r="E576" i="1"/>
  <c r="D454" i="5"/>
  <c r="D712" i="3"/>
  <c r="F454" i="5"/>
  <c r="E455" i="5" s="1"/>
  <c r="C455" i="5"/>
  <c r="H453" i="5"/>
  <c r="F712" i="3"/>
  <c r="E713" i="3" s="1"/>
  <c r="C713" i="3"/>
  <c r="A579" i="1" a="1"/>
  <c r="A579" i="1" l="1"/>
  <c r="B579" i="1"/>
  <c r="F579" i="1" s="1"/>
  <c r="C579" i="1"/>
  <c r="E577" i="1"/>
  <c r="D713" i="3"/>
  <c r="D455" i="5"/>
  <c r="F713" i="3"/>
  <c r="E714" i="3" s="1"/>
  <c r="C714" i="3"/>
  <c r="H454" i="5"/>
  <c r="F455" i="5"/>
  <c r="E456" i="5" s="1"/>
  <c r="C456" i="5"/>
  <c r="A580" i="1" a="1"/>
  <c r="A580" i="1" l="1"/>
  <c r="B580" i="1"/>
  <c r="F580" i="1" s="1"/>
  <c r="C580" i="1"/>
  <c r="E578" i="1"/>
  <c r="D456" i="5"/>
  <c r="D714" i="3"/>
  <c r="F456" i="5"/>
  <c r="E457" i="5" s="1"/>
  <c r="C457" i="5"/>
  <c r="H455" i="5"/>
  <c r="F714" i="3"/>
  <c r="E715" i="3" s="1"/>
  <c r="C715" i="3"/>
  <c r="A581" i="1" a="1"/>
  <c r="A581" i="1" l="1"/>
  <c r="B581" i="1"/>
  <c r="F581" i="1" s="1"/>
  <c r="C581" i="1"/>
  <c r="E579" i="1"/>
  <c r="D715" i="3"/>
  <c r="D457" i="5"/>
  <c r="F715" i="3"/>
  <c r="E716" i="3" s="1"/>
  <c r="C716" i="3"/>
  <c r="H456" i="5"/>
  <c r="F457" i="5"/>
  <c r="E458" i="5" s="1"/>
  <c r="C458" i="5"/>
  <c r="A582" i="1" a="1"/>
  <c r="A582" i="1" l="1"/>
  <c r="B582" i="1"/>
  <c r="F582" i="1" s="1"/>
  <c r="C582" i="1"/>
  <c r="E580" i="1"/>
  <c r="D458" i="5"/>
  <c r="D716" i="3"/>
  <c r="F458" i="5"/>
  <c r="E459" i="5" s="1"/>
  <c r="C459" i="5"/>
  <c r="H457" i="5"/>
  <c r="F716" i="3"/>
  <c r="E717" i="3" s="1"/>
  <c r="C717" i="3"/>
  <c r="A583" i="1" a="1"/>
  <c r="A583" i="1" l="1"/>
  <c r="B583" i="1"/>
  <c r="F583" i="1" s="1"/>
  <c r="C583" i="1"/>
  <c r="E581" i="1"/>
  <c r="D717" i="3"/>
  <c r="D459" i="5"/>
  <c r="F717" i="3"/>
  <c r="E718" i="3" s="1"/>
  <c r="C718" i="3"/>
  <c r="H458" i="5"/>
  <c r="F459" i="5"/>
  <c r="E460" i="5" s="1"/>
  <c r="C460" i="5"/>
  <c r="A584" i="1" a="1"/>
  <c r="A584" i="1" l="1"/>
  <c r="B584" i="1"/>
  <c r="F584" i="1" s="1"/>
  <c r="C584" i="1"/>
  <c r="E582" i="1"/>
  <c r="D460" i="5"/>
  <c r="D718" i="3"/>
  <c r="F460" i="5"/>
  <c r="E461" i="5" s="1"/>
  <c r="C461" i="5"/>
  <c r="H459" i="5"/>
  <c r="F718" i="3"/>
  <c r="E719" i="3" s="1"/>
  <c r="C719" i="3"/>
  <c r="A585" i="1" a="1"/>
  <c r="A585" i="1" l="1"/>
  <c r="B585" i="1"/>
  <c r="F585" i="1" s="1"/>
  <c r="C585" i="1"/>
  <c r="E583" i="1"/>
  <c r="D719" i="3"/>
  <c r="D461" i="5"/>
  <c r="F719" i="3"/>
  <c r="E720" i="3" s="1"/>
  <c r="C720" i="3"/>
  <c r="H460" i="5"/>
  <c r="F461" i="5"/>
  <c r="E462" i="5" s="1"/>
  <c r="C462" i="5"/>
  <c r="A586" i="1" a="1"/>
  <c r="A586" i="1" l="1"/>
  <c r="B586" i="1"/>
  <c r="F586" i="1" s="1"/>
  <c r="C586" i="1"/>
  <c r="E584" i="1"/>
  <c r="D462" i="5"/>
  <c r="D720" i="3"/>
  <c r="F462" i="5"/>
  <c r="E463" i="5" s="1"/>
  <c r="C463" i="5"/>
  <c r="H461" i="5"/>
  <c r="F720" i="3"/>
  <c r="E721" i="3" s="1"/>
  <c r="C721" i="3"/>
  <c r="A587" i="1" a="1"/>
  <c r="A587" i="1" l="1"/>
  <c r="B587" i="1"/>
  <c r="F587" i="1" s="1"/>
  <c r="C587" i="1"/>
  <c r="E585" i="1"/>
  <c r="D721" i="3"/>
  <c r="D463" i="5"/>
  <c r="F721" i="3"/>
  <c r="E722" i="3" s="1"/>
  <c r="C722" i="3"/>
  <c r="H462" i="5"/>
  <c r="F463" i="5"/>
  <c r="E464" i="5" s="1"/>
  <c r="C464" i="5"/>
  <c r="A588" i="1" a="1"/>
  <c r="A588" i="1" l="1"/>
  <c r="B588" i="1"/>
  <c r="F588" i="1" s="1"/>
  <c r="C588" i="1"/>
  <c r="E586" i="1"/>
  <c r="D464" i="5"/>
  <c r="D722" i="3"/>
  <c r="F464" i="5"/>
  <c r="E465" i="5" s="1"/>
  <c r="C465" i="5"/>
  <c r="H463" i="5"/>
  <c r="F722" i="3"/>
  <c r="E723" i="3" s="1"/>
  <c r="C723" i="3"/>
  <c r="A589" i="1" a="1"/>
  <c r="A589" i="1" l="1"/>
  <c r="B589" i="1"/>
  <c r="F589" i="1" s="1"/>
  <c r="C589" i="1"/>
  <c r="E587" i="1"/>
  <c r="D723" i="3"/>
  <c r="D465" i="5"/>
  <c r="F723" i="3"/>
  <c r="E724" i="3" s="1"/>
  <c r="C724" i="3"/>
  <c r="H464" i="5"/>
  <c r="F465" i="5"/>
  <c r="E466" i="5" s="1"/>
  <c r="C466" i="5"/>
  <c r="A590" i="1" a="1"/>
  <c r="A590" i="1" l="1"/>
  <c r="B590" i="1"/>
  <c r="F590" i="1" s="1"/>
  <c r="C590" i="1"/>
  <c r="E588" i="1"/>
  <c r="D466" i="5"/>
  <c r="D724" i="3"/>
  <c r="F466" i="5"/>
  <c r="E467" i="5" s="1"/>
  <c r="C467" i="5"/>
  <c r="H465" i="5"/>
  <c r="F724" i="3"/>
  <c r="E725" i="3" s="1"/>
  <c r="C725" i="3"/>
  <c r="A591" i="1" a="1"/>
  <c r="A591" i="1" l="1"/>
  <c r="B591" i="1"/>
  <c r="F591" i="1" s="1"/>
  <c r="C591" i="1"/>
  <c r="E589" i="1"/>
  <c r="D725" i="3"/>
  <c r="D467" i="5"/>
  <c r="F725" i="3"/>
  <c r="E726" i="3" s="1"/>
  <c r="C726" i="3"/>
  <c r="H466" i="5"/>
  <c r="F467" i="5"/>
  <c r="E468" i="5" s="1"/>
  <c r="C468" i="5"/>
  <c r="A592" i="1" a="1"/>
  <c r="A592" i="1" l="1"/>
  <c r="B592" i="1"/>
  <c r="F592" i="1" s="1"/>
  <c r="C592" i="1"/>
  <c r="E590" i="1"/>
  <c r="D468" i="5"/>
  <c r="D726" i="3"/>
  <c r="F468" i="5"/>
  <c r="E469" i="5" s="1"/>
  <c r="C469" i="5"/>
  <c r="H467" i="5"/>
  <c r="F726" i="3"/>
  <c r="E727" i="3" s="1"/>
  <c r="C727" i="3"/>
  <c r="A593" i="1" a="1"/>
  <c r="A593" i="1" l="1"/>
  <c r="B593" i="1"/>
  <c r="F593" i="1" s="1"/>
  <c r="C593" i="1"/>
  <c r="E591" i="1"/>
  <c r="D727" i="3"/>
  <c r="D469" i="5"/>
  <c r="F727" i="3"/>
  <c r="E728" i="3" s="1"/>
  <c r="C728" i="3"/>
  <c r="H468" i="5"/>
  <c r="F469" i="5"/>
  <c r="E470" i="5" s="1"/>
  <c r="C470" i="5"/>
  <c r="A594" i="1" a="1"/>
  <c r="A594" i="1" l="1"/>
  <c r="B594" i="1"/>
  <c r="F594" i="1" s="1"/>
  <c r="C594" i="1"/>
  <c r="E592" i="1"/>
  <c r="D470" i="5"/>
  <c r="D728" i="3"/>
  <c r="F470" i="5"/>
  <c r="E471" i="5" s="1"/>
  <c r="C471" i="5"/>
  <c r="H469" i="5"/>
  <c r="F728" i="3"/>
  <c r="E729" i="3" s="1"/>
  <c r="C729" i="3"/>
  <c r="A595" i="1" a="1"/>
  <c r="A595" i="1" l="1"/>
  <c r="B595" i="1"/>
  <c r="F595" i="1" s="1"/>
  <c r="C595" i="1"/>
  <c r="E593" i="1"/>
  <c r="D729" i="3"/>
  <c r="D471" i="5"/>
  <c r="F729" i="3"/>
  <c r="E730" i="3" s="1"/>
  <c r="C730" i="3"/>
  <c r="H470" i="5"/>
  <c r="F471" i="5"/>
  <c r="E472" i="5" s="1"/>
  <c r="C472" i="5"/>
  <c r="A596" i="1" a="1"/>
  <c r="A596" i="1" l="1"/>
  <c r="B596" i="1"/>
  <c r="F596" i="1" s="1"/>
  <c r="C596" i="1"/>
  <c r="E594" i="1"/>
  <c r="D472" i="5"/>
  <c r="D730" i="3"/>
  <c r="F472" i="5"/>
  <c r="E473" i="5" s="1"/>
  <c r="C473" i="5"/>
  <c r="H471" i="5"/>
  <c r="F730" i="3"/>
  <c r="E731" i="3" s="1"/>
  <c r="C731" i="3"/>
  <c r="A597" i="1" a="1"/>
  <c r="A597" i="1" l="1"/>
  <c r="B597" i="1"/>
  <c r="F597" i="1" s="1"/>
  <c r="C597" i="1"/>
  <c r="E595" i="1"/>
  <c r="D731" i="3"/>
  <c r="D473" i="5"/>
  <c r="F731" i="3"/>
  <c r="E732" i="3" s="1"/>
  <c r="C732" i="3"/>
  <c r="H472" i="5"/>
  <c r="F473" i="5"/>
  <c r="E474" i="5" s="1"/>
  <c r="C474" i="5"/>
  <c r="A598" i="1" a="1"/>
  <c r="A598" i="1" l="1"/>
  <c r="B598" i="1"/>
  <c r="F598" i="1" s="1"/>
  <c r="C598" i="1"/>
  <c r="E596" i="1"/>
  <c r="D474" i="5"/>
  <c r="D732" i="3"/>
  <c r="F474" i="5"/>
  <c r="E475" i="5" s="1"/>
  <c r="C475" i="5"/>
  <c r="H473" i="5"/>
  <c r="F732" i="3"/>
  <c r="E733" i="3" s="1"/>
  <c r="C733" i="3"/>
  <c r="A599" i="1" a="1"/>
  <c r="A599" i="1" l="1"/>
  <c r="B599" i="1"/>
  <c r="F599" i="1" s="1"/>
  <c r="C599" i="1"/>
  <c r="E597" i="1"/>
  <c r="D733" i="3"/>
  <c r="D475" i="5"/>
  <c r="F733" i="3"/>
  <c r="E734" i="3" s="1"/>
  <c r="C734" i="3"/>
  <c r="H474" i="5"/>
  <c r="F475" i="5"/>
  <c r="E476" i="5" s="1"/>
  <c r="C476" i="5"/>
  <c r="A600" i="1" a="1"/>
  <c r="A600" i="1" l="1"/>
  <c r="B600" i="1"/>
  <c r="F600" i="1" s="1"/>
  <c r="C600" i="1"/>
  <c r="E598" i="1"/>
  <c r="D476" i="5"/>
  <c r="D734" i="3"/>
  <c r="F476" i="5"/>
  <c r="E477" i="5" s="1"/>
  <c r="C477" i="5"/>
  <c r="H475" i="5"/>
  <c r="F734" i="3"/>
  <c r="E735" i="3" s="1"/>
  <c r="C735" i="3"/>
  <c r="A601" i="1" a="1"/>
  <c r="A601" i="1" l="1"/>
  <c r="B601" i="1"/>
  <c r="F601" i="1" s="1"/>
  <c r="C601" i="1"/>
  <c r="E599" i="1"/>
  <c r="D735" i="3"/>
  <c r="D477" i="5"/>
  <c r="F735" i="3"/>
  <c r="E736" i="3" s="1"/>
  <c r="C736" i="3"/>
  <c r="H476" i="5"/>
  <c r="F477" i="5"/>
  <c r="E478" i="5" s="1"/>
  <c r="C478" i="5"/>
  <c r="A602" i="1" a="1"/>
  <c r="A602" i="1" l="1"/>
  <c r="B602" i="1"/>
  <c r="F602" i="1" s="1"/>
  <c r="C602" i="1"/>
  <c r="E600" i="1"/>
  <c r="D478" i="5"/>
  <c r="D736" i="3"/>
  <c r="F478" i="5"/>
  <c r="E479" i="5" s="1"/>
  <c r="C479" i="5"/>
  <c r="H477" i="5"/>
  <c r="F736" i="3"/>
  <c r="E737" i="3" s="1"/>
  <c r="C737" i="3"/>
  <c r="A603" i="1" a="1"/>
  <c r="A603" i="1" l="1"/>
  <c r="B603" i="1"/>
  <c r="F603" i="1" s="1"/>
  <c r="C603" i="1"/>
  <c r="E601" i="1"/>
  <c r="D737" i="3"/>
  <c r="D479" i="5"/>
  <c r="F737" i="3"/>
  <c r="E738" i="3" s="1"/>
  <c r="C738" i="3"/>
  <c r="H478" i="5"/>
  <c r="F479" i="5"/>
  <c r="E480" i="5" s="1"/>
  <c r="C480" i="5"/>
  <c r="A604" i="1" a="1"/>
  <c r="A604" i="1" l="1"/>
  <c r="B604" i="1"/>
  <c r="F604" i="1" s="1"/>
  <c r="C604" i="1"/>
  <c r="E602" i="1"/>
  <c r="D480" i="5"/>
  <c r="D738" i="3"/>
  <c r="F480" i="5"/>
  <c r="E481" i="5" s="1"/>
  <c r="C481" i="5"/>
  <c r="H479" i="5"/>
  <c r="F738" i="3"/>
  <c r="E739" i="3" s="1"/>
  <c r="C739" i="3"/>
  <c r="A605" i="1" a="1"/>
  <c r="A605" i="1" l="1"/>
  <c r="B605" i="1"/>
  <c r="F605" i="1" s="1"/>
  <c r="C605" i="1"/>
  <c r="E603" i="1"/>
  <c r="D739" i="3"/>
  <c r="D481" i="5"/>
  <c r="F739" i="3"/>
  <c r="E740" i="3" s="1"/>
  <c r="C740" i="3"/>
  <c r="H480" i="5"/>
  <c r="F481" i="5"/>
  <c r="E482" i="5" s="1"/>
  <c r="C482" i="5"/>
  <c r="A606" i="1" a="1"/>
  <c r="A606" i="1" l="1"/>
  <c r="B606" i="1"/>
  <c r="F606" i="1" s="1"/>
  <c r="C606" i="1"/>
  <c r="E604" i="1"/>
  <c r="D482" i="5"/>
  <c r="D740" i="3"/>
  <c r="F482" i="5"/>
  <c r="E483" i="5" s="1"/>
  <c r="C483" i="5"/>
  <c r="H481" i="5"/>
  <c r="F740" i="3"/>
  <c r="E741" i="3" s="1"/>
  <c r="C741" i="3"/>
  <c r="A607" i="1" a="1"/>
  <c r="A607" i="1" l="1"/>
  <c r="B607" i="1"/>
  <c r="F607" i="1" s="1"/>
  <c r="C607" i="1"/>
  <c r="E605" i="1"/>
  <c r="D741" i="3"/>
  <c r="D483" i="5"/>
  <c r="F741" i="3"/>
  <c r="E742" i="3" s="1"/>
  <c r="C742" i="3"/>
  <c r="H482" i="5"/>
  <c r="F483" i="5"/>
  <c r="E484" i="5" s="1"/>
  <c r="C484" i="5"/>
  <c r="A608" i="1" a="1"/>
  <c r="A608" i="1" l="1"/>
  <c r="B608" i="1"/>
  <c r="F608" i="1" s="1"/>
  <c r="C608" i="1"/>
  <c r="E606" i="1"/>
  <c r="D484" i="5"/>
  <c r="D742" i="3"/>
  <c r="F484" i="5"/>
  <c r="E485" i="5" s="1"/>
  <c r="C485" i="5"/>
  <c r="H483" i="5"/>
  <c r="F742" i="3"/>
  <c r="E743" i="3" s="1"/>
  <c r="C743" i="3"/>
  <c r="A609" i="1" a="1"/>
  <c r="A609" i="1" l="1"/>
  <c r="B609" i="1"/>
  <c r="F609" i="1" s="1"/>
  <c r="C609" i="1"/>
  <c r="E607" i="1"/>
  <c r="D743" i="3"/>
  <c r="D485" i="5"/>
  <c r="F743" i="3"/>
  <c r="E744" i="3" s="1"/>
  <c r="C744" i="3"/>
  <c r="H484" i="5"/>
  <c r="F485" i="5"/>
  <c r="E486" i="5" s="1"/>
  <c r="C486" i="5"/>
  <c r="A610" i="1" a="1"/>
  <c r="A610" i="1" l="1"/>
  <c r="B610" i="1"/>
  <c r="F610" i="1" s="1"/>
  <c r="C610" i="1"/>
  <c r="E608" i="1"/>
  <c r="D486" i="5"/>
  <c r="D744" i="3"/>
  <c r="F486" i="5"/>
  <c r="E487" i="5" s="1"/>
  <c r="C487" i="5"/>
  <c r="H485" i="5"/>
  <c r="F744" i="3"/>
  <c r="E745" i="3" s="1"/>
  <c r="C745" i="3"/>
  <c r="A611" i="1" a="1"/>
  <c r="A611" i="1" l="1"/>
  <c r="B611" i="1"/>
  <c r="F611" i="1" s="1"/>
  <c r="C611" i="1"/>
  <c r="E609" i="1"/>
  <c r="D745" i="3"/>
  <c r="D487" i="5"/>
  <c r="F745" i="3"/>
  <c r="E746" i="3" s="1"/>
  <c r="C746" i="3"/>
  <c r="H486" i="5"/>
  <c r="F487" i="5"/>
  <c r="E488" i="5" s="1"/>
  <c r="C488" i="5"/>
  <c r="A612" i="1" a="1"/>
  <c r="A612" i="1" l="1"/>
  <c r="B612" i="1"/>
  <c r="F612" i="1" s="1"/>
  <c r="C612" i="1"/>
  <c r="E610" i="1"/>
  <c r="D488" i="5"/>
  <c r="D746" i="3"/>
  <c r="F488" i="5"/>
  <c r="E489" i="5" s="1"/>
  <c r="C489" i="5"/>
  <c r="H487" i="5"/>
  <c r="F746" i="3"/>
  <c r="E747" i="3" s="1"/>
  <c r="C747" i="3"/>
  <c r="A613" i="1" a="1"/>
  <c r="A613" i="1" l="1"/>
  <c r="B613" i="1"/>
  <c r="F613" i="1" s="1"/>
  <c r="C613" i="1"/>
  <c r="E611" i="1"/>
  <c r="D747" i="3"/>
  <c r="D489" i="5"/>
  <c r="F747" i="3"/>
  <c r="E748" i="3" s="1"/>
  <c r="C748" i="3"/>
  <c r="H488" i="5"/>
  <c r="F489" i="5"/>
  <c r="E490" i="5" s="1"/>
  <c r="C490" i="5"/>
  <c r="A614" i="1" a="1"/>
  <c r="A614" i="1" l="1"/>
  <c r="B614" i="1"/>
  <c r="F614" i="1" s="1"/>
  <c r="C614" i="1"/>
  <c r="E612" i="1"/>
  <c r="D490" i="5"/>
  <c r="D748" i="3"/>
  <c r="F490" i="5"/>
  <c r="E491" i="5" s="1"/>
  <c r="C491" i="5"/>
  <c r="H489" i="5"/>
  <c r="F748" i="3"/>
  <c r="E749" i="3" s="1"/>
  <c r="C749" i="3"/>
  <c r="A615" i="1" a="1"/>
  <c r="A615" i="1" l="1"/>
  <c r="B615" i="1"/>
  <c r="F615" i="1" s="1"/>
  <c r="C615" i="1"/>
  <c r="E613" i="1"/>
  <c r="D749" i="3"/>
  <c r="D491" i="5"/>
  <c r="F749" i="3"/>
  <c r="E750" i="3" s="1"/>
  <c r="C750" i="3"/>
  <c r="H490" i="5"/>
  <c r="F491" i="5"/>
  <c r="E492" i="5" s="1"/>
  <c r="C492" i="5"/>
  <c r="A616" i="1" a="1"/>
  <c r="A616" i="1" l="1"/>
  <c r="B616" i="1"/>
  <c r="F616" i="1" s="1"/>
  <c r="C616" i="1"/>
  <c r="E614" i="1"/>
  <c r="D492" i="5"/>
  <c r="D750" i="3"/>
  <c r="F492" i="5"/>
  <c r="E493" i="5" s="1"/>
  <c r="C493" i="5"/>
  <c r="H491" i="5"/>
  <c r="F750" i="3"/>
  <c r="E751" i="3" s="1"/>
  <c r="C751" i="3"/>
  <c r="A617" i="1" a="1"/>
  <c r="A617" i="1" l="1"/>
  <c r="B617" i="1"/>
  <c r="F617" i="1" s="1"/>
  <c r="C617" i="1"/>
  <c r="E615" i="1"/>
  <c r="D751" i="3"/>
  <c r="D493" i="5"/>
  <c r="F751" i="3"/>
  <c r="E752" i="3" s="1"/>
  <c r="C752" i="3"/>
  <c r="H492" i="5"/>
  <c r="F493" i="5"/>
  <c r="E494" i="5" s="1"/>
  <c r="C494" i="5"/>
  <c r="A618" i="1" a="1"/>
  <c r="A618" i="1" l="1"/>
  <c r="B618" i="1"/>
  <c r="F618" i="1" s="1"/>
  <c r="C618" i="1"/>
  <c r="E616" i="1"/>
  <c r="D494" i="5"/>
  <c r="D752" i="3"/>
  <c r="F494" i="5"/>
  <c r="E495" i="5" s="1"/>
  <c r="C495" i="5"/>
  <c r="H493" i="5"/>
  <c r="F752" i="3"/>
  <c r="E753" i="3" s="1"/>
  <c r="C753" i="3"/>
  <c r="A619" i="1" a="1"/>
  <c r="A619" i="1" l="1"/>
  <c r="B619" i="1"/>
  <c r="F619" i="1" s="1"/>
  <c r="C619" i="1"/>
  <c r="E617" i="1"/>
  <c r="D753" i="3"/>
  <c r="D495" i="5"/>
  <c r="F753" i="3"/>
  <c r="E754" i="3" s="1"/>
  <c r="C754" i="3"/>
  <c r="H494" i="5"/>
  <c r="F495" i="5"/>
  <c r="E496" i="5" s="1"/>
  <c r="C496" i="5"/>
  <c r="A620" i="1" a="1"/>
  <c r="A620" i="1" l="1"/>
  <c r="B620" i="1"/>
  <c r="F620" i="1" s="1"/>
  <c r="C620" i="1"/>
  <c r="E618" i="1"/>
  <c r="D496" i="5"/>
  <c r="D754" i="3"/>
  <c r="F496" i="5"/>
  <c r="E497" i="5" s="1"/>
  <c r="C497" i="5"/>
  <c r="H495" i="5"/>
  <c r="F754" i="3"/>
  <c r="E755" i="3" s="1"/>
  <c r="C755" i="3"/>
  <c r="A621" i="1" a="1"/>
  <c r="A621" i="1" l="1"/>
  <c r="B621" i="1"/>
  <c r="F621" i="1" s="1"/>
  <c r="C621" i="1"/>
  <c r="E619" i="1"/>
  <c r="D755" i="3"/>
  <c r="D497" i="5"/>
  <c r="F755" i="3"/>
  <c r="E756" i="3" s="1"/>
  <c r="C756" i="3"/>
  <c r="H496" i="5"/>
  <c r="F497" i="5"/>
  <c r="E498" i="5" s="1"/>
  <c r="C498" i="5"/>
  <c r="A622" i="1" a="1"/>
  <c r="A622" i="1" l="1"/>
  <c r="B622" i="1"/>
  <c r="F622" i="1" s="1"/>
  <c r="C622" i="1"/>
  <c r="E620" i="1"/>
  <c r="D498" i="5"/>
  <c r="D756" i="3"/>
  <c r="F498" i="5"/>
  <c r="E499" i="5" s="1"/>
  <c r="C499" i="5"/>
  <c r="H497" i="5"/>
  <c r="F756" i="3"/>
  <c r="E757" i="3" s="1"/>
  <c r="C757" i="3"/>
  <c r="A623" i="1" a="1"/>
  <c r="A623" i="1" l="1"/>
  <c r="B623" i="1"/>
  <c r="F623" i="1" s="1"/>
  <c r="C623" i="1"/>
  <c r="E621" i="1"/>
  <c r="D757" i="3"/>
  <c r="D499" i="5"/>
  <c r="F757" i="3"/>
  <c r="E758" i="3" s="1"/>
  <c r="C758" i="3"/>
  <c r="H498" i="5"/>
  <c r="F499" i="5"/>
  <c r="E500" i="5" s="1"/>
  <c r="C500" i="5"/>
  <c r="A624" i="1" a="1"/>
  <c r="A624" i="1" l="1"/>
  <c r="B624" i="1"/>
  <c r="F624" i="1" s="1"/>
  <c r="C624" i="1"/>
  <c r="E622" i="1"/>
  <c r="D500" i="5"/>
  <c r="D758" i="3"/>
  <c r="F500" i="5"/>
  <c r="E501" i="5" s="1"/>
  <c r="C501" i="5"/>
  <c r="H499" i="5"/>
  <c r="F758" i="3"/>
  <c r="E759" i="3" s="1"/>
  <c r="C759" i="3"/>
  <c r="A625" i="1" a="1"/>
  <c r="A625" i="1" l="1"/>
  <c r="B625" i="1"/>
  <c r="F625" i="1" s="1"/>
  <c r="C625" i="1"/>
  <c r="E623" i="1"/>
  <c r="D759" i="3"/>
  <c r="D501" i="5"/>
  <c r="F759" i="3"/>
  <c r="E760" i="3" s="1"/>
  <c r="C760" i="3"/>
  <c r="H500" i="5"/>
  <c r="F501" i="5"/>
  <c r="E502" i="5" s="1"/>
  <c r="C502" i="5"/>
  <c r="A626" i="1" a="1"/>
  <c r="A626" i="1" l="1"/>
  <c r="B626" i="1"/>
  <c r="F626" i="1" s="1"/>
  <c r="C626" i="1"/>
  <c r="E624" i="1"/>
  <c r="D502" i="5"/>
  <c r="D760" i="3"/>
  <c r="F502" i="5"/>
  <c r="E503" i="5" s="1"/>
  <c r="C503" i="5"/>
  <c r="H501" i="5"/>
  <c r="F760" i="3"/>
  <c r="E761" i="3" s="1"/>
  <c r="C761" i="3"/>
  <c r="A627" i="1" a="1"/>
  <c r="A627" i="1" l="1"/>
  <c r="B627" i="1"/>
  <c r="F627" i="1" s="1"/>
  <c r="C627" i="1"/>
  <c r="E625" i="1"/>
  <c r="D761" i="3"/>
  <c r="D503" i="5"/>
  <c r="F761" i="3"/>
  <c r="E762" i="3" s="1"/>
  <c r="C762" i="3"/>
  <c r="H502" i="5"/>
  <c r="F503" i="5"/>
  <c r="E504" i="5" s="1"/>
  <c r="C504" i="5"/>
  <c r="A628" i="1" a="1"/>
  <c r="A628" i="1" l="1"/>
  <c r="B628" i="1"/>
  <c r="F628" i="1" s="1"/>
  <c r="C628" i="1"/>
  <c r="E626" i="1"/>
  <c r="D504" i="5"/>
  <c r="D762" i="3"/>
  <c r="F504" i="5"/>
  <c r="E505" i="5" s="1"/>
  <c r="C505" i="5"/>
  <c r="H503" i="5"/>
  <c r="F762" i="3"/>
  <c r="E763" i="3" s="1"/>
  <c r="C763" i="3"/>
  <c r="A629" i="1" a="1"/>
  <c r="A629" i="1" l="1"/>
  <c r="B629" i="1"/>
  <c r="F629" i="1" s="1"/>
  <c r="C629" i="1"/>
  <c r="E627" i="1"/>
  <c r="D763" i="3"/>
  <c r="D505" i="5"/>
  <c r="F763" i="3"/>
  <c r="E764" i="3" s="1"/>
  <c r="C764" i="3"/>
  <c r="H504" i="5"/>
  <c r="F505" i="5"/>
  <c r="E506" i="5" s="1"/>
  <c r="C506" i="5"/>
  <c r="A630" i="1" a="1"/>
  <c r="A630" i="1" l="1"/>
  <c r="B630" i="1"/>
  <c r="F630" i="1" s="1"/>
  <c r="C630" i="1"/>
  <c r="E628" i="1"/>
  <c r="D506" i="5"/>
  <c r="D764" i="3"/>
  <c r="F506" i="5"/>
  <c r="E507" i="5" s="1"/>
  <c r="C507" i="5"/>
  <c r="H505" i="5"/>
  <c r="F764" i="3"/>
  <c r="E765" i="3" s="1"/>
  <c r="C765" i="3"/>
  <c r="A631" i="1" a="1"/>
  <c r="A631" i="1" l="1"/>
  <c r="B631" i="1"/>
  <c r="F631" i="1" s="1"/>
  <c r="C631" i="1"/>
  <c r="E629" i="1"/>
  <c r="D765" i="3"/>
  <c r="D507" i="5"/>
  <c r="F765" i="3"/>
  <c r="E766" i="3" s="1"/>
  <c r="C766" i="3"/>
  <c r="H506" i="5"/>
  <c r="F507" i="5"/>
  <c r="E508" i="5" s="1"/>
  <c r="C508" i="5"/>
  <c r="A632" i="1" a="1"/>
  <c r="A632" i="1" l="1"/>
  <c r="B632" i="1"/>
  <c r="F632" i="1" s="1"/>
  <c r="C632" i="1"/>
  <c r="E630" i="1"/>
  <c r="D508" i="5"/>
  <c r="D766" i="3"/>
  <c r="F508" i="5"/>
  <c r="E509" i="5" s="1"/>
  <c r="C509" i="5"/>
  <c r="H507" i="5"/>
  <c r="F766" i="3"/>
  <c r="E767" i="3" s="1"/>
  <c r="C767" i="3"/>
  <c r="A633" i="1" a="1"/>
  <c r="A633" i="1" l="1"/>
  <c r="B633" i="1"/>
  <c r="F633" i="1" s="1"/>
  <c r="C633" i="1"/>
  <c r="E631" i="1"/>
  <c r="D767" i="3"/>
  <c r="D509" i="5"/>
  <c r="F767" i="3"/>
  <c r="E768" i="3" s="1"/>
  <c r="C768" i="3"/>
  <c r="H508" i="5"/>
  <c r="F509" i="5"/>
  <c r="E510" i="5" s="1"/>
  <c r="C510" i="5"/>
  <c r="A634" i="1" a="1"/>
  <c r="A634" i="1" l="1"/>
  <c r="B634" i="1"/>
  <c r="F634" i="1" s="1"/>
  <c r="C634" i="1"/>
  <c r="E632" i="1"/>
  <c r="D510" i="5"/>
  <c r="D768" i="3"/>
  <c r="F510" i="5"/>
  <c r="E511" i="5" s="1"/>
  <c r="C511" i="5"/>
  <c r="H509" i="5"/>
  <c r="F768" i="3"/>
  <c r="E769" i="3" s="1"/>
  <c r="C769" i="3"/>
  <c r="A635" i="1" a="1"/>
  <c r="A635" i="1" l="1"/>
  <c r="B635" i="1"/>
  <c r="F635" i="1" s="1"/>
  <c r="C635" i="1"/>
  <c r="E633" i="1"/>
  <c r="D769" i="3"/>
  <c r="D511" i="5"/>
  <c r="F769" i="3"/>
  <c r="E770" i="3" s="1"/>
  <c r="C770" i="3"/>
  <c r="H510" i="5"/>
  <c r="F511" i="5"/>
  <c r="E512" i="5" s="1"/>
  <c r="C512" i="5"/>
  <c r="A636" i="1" a="1"/>
  <c r="A636" i="1" l="1"/>
  <c r="B636" i="1"/>
  <c r="F636" i="1" s="1"/>
  <c r="C636" i="1"/>
  <c r="E634" i="1"/>
  <c r="D512" i="5"/>
  <c r="D770" i="3"/>
  <c r="F512" i="5"/>
  <c r="E513" i="5" s="1"/>
  <c r="C513" i="5"/>
  <c r="L3" i="5"/>
  <c r="S3" i="5" s="1"/>
  <c r="T3" i="5" s="1"/>
  <c r="L4" i="5"/>
  <c r="H511" i="5"/>
  <c r="F770" i="3"/>
  <c r="E771" i="3" s="1"/>
  <c r="C771" i="3"/>
  <c r="A637" i="1" a="1"/>
  <c r="A637" i="1" l="1"/>
  <c r="B637" i="1"/>
  <c r="F637" i="1" s="1"/>
  <c r="C637" i="1"/>
  <c r="E635" i="1"/>
  <c r="D771" i="3"/>
  <c r="D513" i="5"/>
  <c r="F771" i="3"/>
  <c r="E772" i="3" s="1"/>
  <c r="C772" i="3"/>
  <c r="H512" i="5"/>
  <c r="S4" i="5"/>
  <c r="T4" i="5" s="1"/>
  <c r="M4" i="5"/>
  <c r="N4" i="5" s="1"/>
  <c r="F513" i="5"/>
  <c r="E514" i="5" s="1"/>
  <c r="C514" i="5"/>
  <c r="A638" i="1" a="1"/>
  <c r="A638" i="1" l="1"/>
  <c r="B638" i="1"/>
  <c r="F638" i="1" s="1"/>
  <c r="C638" i="1"/>
  <c r="E636" i="1"/>
  <c r="D514" i="5"/>
  <c r="D772" i="3"/>
  <c r="F514" i="5"/>
  <c r="E515" i="5" s="1"/>
  <c r="C515" i="5"/>
  <c r="H513" i="5"/>
  <c r="F772" i="3"/>
  <c r="E773" i="3" s="1"/>
  <c r="C773" i="3"/>
  <c r="A639" i="1" a="1"/>
  <c r="A639" i="1" l="1"/>
  <c r="B639" i="1"/>
  <c r="F639" i="1" s="1"/>
  <c r="C639" i="1"/>
  <c r="E637" i="1"/>
  <c r="D773" i="3"/>
  <c r="D515" i="5"/>
  <c r="F773" i="3"/>
  <c r="E774" i="3" s="1"/>
  <c r="C774" i="3"/>
  <c r="H514" i="5"/>
  <c r="F515" i="5"/>
  <c r="E516" i="5" s="1"/>
  <c r="C516" i="5"/>
  <c r="A640" i="1" a="1"/>
  <c r="A640" i="1" l="1"/>
  <c r="B640" i="1"/>
  <c r="F640" i="1" s="1"/>
  <c r="C640" i="1"/>
  <c r="E638" i="1"/>
  <c r="D516" i="5"/>
  <c r="D774" i="3"/>
  <c r="F516" i="5"/>
  <c r="E517" i="5" s="1"/>
  <c r="C517" i="5"/>
  <c r="H515" i="5"/>
  <c r="F774" i="3"/>
  <c r="E775" i="3" s="1"/>
  <c r="C775" i="3"/>
  <c r="A641" i="1" a="1"/>
  <c r="A641" i="1" l="1"/>
  <c r="B641" i="1"/>
  <c r="F641" i="1" s="1"/>
  <c r="C641" i="1"/>
  <c r="E639" i="1"/>
  <c r="D775" i="3"/>
  <c r="D517" i="5"/>
  <c r="F775" i="3"/>
  <c r="E776" i="3" s="1"/>
  <c r="C776" i="3"/>
  <c r="H516" i="5"/>
  <c r="F517" i="5"/>
  <c r="E518" i="5" s="1"/>
  <c r="C518" i="5"/>
  <c r="A642" i="1" a="1"/>
  <c r="A642" i="1" l="1"/>
  <c r="B642" i="1"/>
  <c r="F642" i="1" s="1"/>
  <c r="C642" i="1"/>
  <c r="E640" i="1"/>
  <c r="D518" i="5"/>
  <c r="D776" i="3"/>
  <c r="F518" i="5"/>
  <c r="E519" i="5" s="1"/>
  <c r="C519" i="5"/>
  <c r="H517" i="5"/>
  <c r="F776" i="3"/>
  <c r="E777" i="3" s="1"/>
  <c r="C777" i="3"/>
  <c r="A643" i="1" a="1"/>
  <c r="A643" i="1" l="1"/>
  <c r="B643" i="1"/>
  <c r="F643" i="1" s="1"/>
  <c r="C643" i="1"/>
  <c r="E641" i="1"/>
  <c r="D777" i="3"/>
  <c r="D519" i="5"/>
  <c r="F777" i="3"/>
  <c r="E778" i="3" s="1"/>
  <c r="C778" i="3"/>
  <c r="H518" i="5"/>
  <c r="F519" i="5"/>
  <c r="E520" i="5" s="1"/>
  <c r="C520" i="5"/>
  <c r="A644" i="1" a="1"/>
  <c r="A644" i="1" l="1"/>
  <c r="B644" i="1"/>
  <c r="F644" i="1" s="1"/>
  <c r="C644" i="1"/>
  <c r="E642" i="1"/>
  <c r="D520" i="5"/>
  <c r="D778" i="3"/>
  <c r="F520" i="5"/>
  <c r="E521" i="5" s="1"/>
  <c r="C521" i="5"/>
  <c r="H519" i="5"/>
  <c r="F778" i="3"/>
  <c r="E779" i="3" s="1"/>
  <c r="C779" i="3"/>
  <c r="A645" i="1" a="1"/>
  <c r="A645" i="1" l="1"/>
  <c r="B645" i="1"/>
  <c r="F645" i="1" s="1"/>
  <c r="C645" i="1"/>
  <c r="E643" i="1"/>
  <c r="D779" i="3"/>
  <c r="D521" i="5"/>
  <c r="F779" i="3"/>
  <c r="E780" i="3" s="1"/>
  <c r="C780" i="3"/>
  <c r="H520" i="5"/>
  <c r="F521" i="5"/>
  <c r="E522" i="5" s="1"/>
  <c r="C522" i="5"/>
  <c r="A646" i="1" a="1"/>
  <c r="A646" i="1" l="1"/>
  <c r="B646" i="1"/>
  <c r="F646" i="1" s="1"/>
  <c r="C646" i="1"/>
  <c r="E644" i="1"/>
  <c r="D522" i="5"/>
  <c r="D780" i="3"/>
  <c r="F522" i="5"/>
  <c r="E523" i="5" s="1"/>
  <c r="C523" i="5"/>
  <c r="H521" i="5"/>
  <c r="F780" i="3"/>
  <c r="E781" i="3" s="1"/>
  <c r="C781" i="3"/>
  <c r="A647" i="1" a="1"/>
  <c r="A647" i="1" l="1"/>
  <c r="B647" i="1"/>
  <c r="F647" i="1" s="1"/>
  <c r="C647" i="1"/>
  <c r="E645" i="1"/>
  <c r="D781" i="3"/>
  <c r="D523" i="5"/>
  <c r="F781" i="3"/>
  <c r="E782" i="3" s="1"/>
  <c r="C782" i="3"/>
  <c r="H522" i="5"/>
  <c r="F523" i="5"/>
  <c r="E524" i="5" s="1"/>
  <c r="C524" i="5"/>
  <c r="A648" i="1" a="1"/>
  <c r="A648" i="1" l="1"/>
  <c r="B648" i="1"/>
  <c r="F648" i="1" s="1"/>
  <c r="C648" i="1"/>
  <c r="E646" i="1"/>
  <c r="D524" i="5"/>
  <c r="D782" i="3"/>
  <c r="F524" i="5"/>
  <c r="E525" i="5" s="1"/>
  <c r="C525" i="5"/>
  <c r="H523" i="5"/>
  <c r="F782" i="3"/>
  <c r="E783" i="3" s="1"/>
  <c r="C783" i="3"/>
  <c r="A649" i="1" a="1"/>
  <c r="A649" i="1" l="1"/>
  <c r="B649" i="1"/>
  <c r="F649" i="1" s="1"/>
  <c r="C649" i="1"/>
  <c r="E647" i="1"/>
  <c r="D783" i="3"/>
  <c r="D525" i="5"/>
  <c r="F783" i="3"/>
  <c r="E784" i="3" s="1"/>
  <c r="C784" i="3"/>
  <c r="H524" i="5"/>
  <c r="F525" i="5"/>
  <c r="E526" i="5" s="1"/>
  <c r="C526" i="5"/>
  <c r="A650" i="1" a="1"/>
  <c r="A650" i="1" l="1"/>
  <c r="B650" i="1"/>
  <c r="F650" i="1" s="1"/>
  <c r="C650" i="1"/>
  <c r="E648" i="1"/>
  <c r="D526" i="5"/>
  <c r="D784" i="3"/>
  <c r="F526" i="5"/>
  <c r="E527" i="5" s="1"/>
  <c r="C527" i="5"/>
  <c r="H525" i="5"/>
  <c r="F784" i="3"/>
  <c r="E785" i="3" s="1"/>
  <c r="C785" i="3"/>
  <c r="A651" i="1" a="1"/>
  <c r="A651" i="1" l="1"/>
  <c r="B651" i="1"/>
  <c r="F651" i="1" s="1"/>
  <c r="C651" i="1"/>
  <c r="E649" i="1"/>
  <c r="D785" i="3"/>
  <c r="D527" i="5"/>
  <c r="F785" i="3"/>
  <c r="E786" i="3" s="1"/>
  <c r="C786" i="3"/>
  <c r="H526" i="5"/>
  <c r="F527" i="5"/>
  <c r="E528" i="5" s="1"/>
  <c r="C528" i="5"/>
  <c r="A652" i="1" a="1"/>
  <c r="A652" i="1" l="1"/>
  <c r="B652" i="1"/>
  <c r="F652" i="1" s="1"/>
  <c r="C652" i="1"/>
  <c r="E650" i="1"/>
  <c r="D528" i="5"/>
  <c r="D786" i="3"/>
  <c r="F528" i="5"/>
  <c r="E529" i="5" s="1"/>
  <c r="C529" i="5"/>
  <c r="H527" i="5"/>
  <c r="F786" i="3"/>
  <c r="E787" i="3" s="1"/>
  <c r="C787" i="3"/>
  <c r="A653" i="1" a="1"/>
  <c r="A653" i="1" l="1"/>
  <c r="B653" i="1"/>
  <c r="F653" i="1" s="1"/>
  <c r="C653" i="1"/>
  <c r="E651" i="1"/>
  <c r="D787" i="3"/>
  <c r="D529" i="5"/>
  <c r="F787" i="3"/>
  <c r="E788" i="3" s="1"/>
  <c r="C788" i="3"/>
  <c r="H528" i="5"/>
  <c r="F529" i="5"/>
  <c r="E530" i="5" s="1"/>
  <c r="C530" i="5"/>
  <c r="A654" i="1" a="1"/>
  <c r="A654" i="1" l="1"/>
  <c r="B654" i="1"/>
  <c r="F654" i="1" s="1"/>
  <c r="C654" i="1"/>
  <c r="E652" i="1"/>
  <c r="D530" i="5"/>
  <c r="D788" i="3"/>
  <c r="F530" i="5"/>
  <c r="E531" i="5" s="1"/>
  <c r="C531" i="5"/>
  <c r="H529" i="5"/>
  <c r="F788" i="3"/>
  <c r="E789" i="3" s="1"/>
  <c r="C789" i="3"/>
  <c r="A655" i="1" a="1"/>
  <c r="A655" i="1" l="1"/>
  <c r="B655" i="1"/>
  <c r="F655" i="1" s="1"/>
  <c r="C655" i="1"/>
  <c r="E653" i="1"/>
  <c r="D789" i="3"/>
  <c r="D531" i="5"/>
  <c r="F789" i="3"/>
  <c r="E790" i="3" s="1"/>
  <c r="C790" i="3"/>
  <c r="H530" i="5"/>
  <c r="F531" i="5"/>
  <c r="E532" i="5" s="1"/>
  <c r="C532" i="5"/>
  <c r="A656" i="1" a="1"/>
  <c r="A656" i="1" l="1"/>
  <c r="B656" i="1"/>
  <c r="F656" i="1" s="1"/>
  <c r="C656" i="1"/>
  <c r="E654" i="1"/>
  <c r="D532" i="5"/>
  <c r="D790" i="3"/>
  <c r="F532" i="5"/>
  <c r="E533" i="5" s="1"/>
  <c r="C533" i="5"/>
  <c r="H531" i="5"/>
  <c r="F790" i="3"/>
  <c r="E791" i="3" s="1"/>
  <c r="C791" i="3"/>
  <c r="A657" i="1" a="1"/>
  <c r="A657" i="1" l="1"/>
  <c r="B657" i="1"/>
  <c r="F657" i="1" s="1"/>
  <c r="C657" i="1"/>
  <c r="E655" i="1"/>
  <c r="D791" i="3"/>
  <c r="D533" i="5"/>
  <c r="F791" i="3"/>
  <c r="E792" i="3" s="1"/>
  <c r="C792" i="3"/>
  <c r="H532" i="5"/>
  <c r="F533" i="5"/>
  <c r="E534" i="5" s="1"/>
  <c r="C534" i="5"/>
  <c r="A658" i="1" a="1"/>
  <c r="A658" i="1" l="1"/>
  <c r="B658" i="1"/>
  <c r="F658" i="1" s="1"/>
  <c r="C658" i="1"/>
  <c r="E656" i="1"/>
  <c r="D534" i="5"/>
  <c r="D792" i="3"/>
  <c r="F534" i="5"/>
  <c r="E535" i="5" s="1"/>
  <c r="C535" i="5"/>
  <c r="H533" i="5"/>
  <c r="F792" i="3"/>
  <c r="E793" i="3" s="1"/>
  <c r="C793" i="3"/>
  <c r="A659" i="1" a="1"/>
  <c r="A659" i="1" l="1"/>
  <c r="B659" i="1"/>
  <c r="F659" i="1" s="1"/>
  <c r="C659" i="1"/>
  <c r="E657" i="1"/>
  <c r="D793" i="3"/>
  <c r="D535" i="5"/>
  <c r="F793" i="3"/>
  <c r="E794" i="3" s="1"/>
  <c r="C794" i="3"/>
  <c r="H534" i="5"/>
  <c r="F535" i="5"/>
  <c r="E536" i="5" s="1"/>
  <c r="C536" i="5"/>
  <c r="A660" i="1" a="1"/>
  <c r="A660" i="1" l="1"/>
  <c r="B660" i="1"/>
  <c r="F660" i="1" s="1"/>
  <c r="C660" i="1"/>
  <c r="E658" i="1"/>
  <c r="D536" i="5"/>
  <c r="D794" i="3"/>
  <c r="F536" i="5"/>
  <c r="E537" i="5" s="1"/>
  <c r="C537" i="5"/>
  <c r="H535" i="5"/>
  <c r="F794" i="3"/>
  <c r="E795" i="3" s="1"/>
  <c r="C795" i="3"/>
  <c r="A661" i="1" a="1"/>
  <c r="A661" i="1" l="1"/>
  <c r="B661" i="1"/>
  <c r="F661" i="1" s="1"/>
  <c r="C661" i="1"/>
  <c r="E659" i="1"/>
  <c r="D795" i="3"/>
  <c r="D537" i="5"/>
  <c r="F795" i="3"/>
  <c r="E796" i="3" s="1"/>
  <c r="C796" i="3"/>
  <c r="H536" i="5"/>
  <c r="F537" i="5"/>
  <c r="E538" i="5" s="1"/>
  <c r="C538" i="5"/>
  <c r="A662" i="1" a="1"/>
  <c r="A662" i="1" l="1"/>
  <c r="B662" i="1"/>
  <c r="F662" i="1" s="1"/>
  <c r="C662" i="1"/>
  <c r="E660" i="1"/>
  <c r="D538" i="5"/>
  <c r="D796" i="3"/>
  <c r="F538" i="5"/>
  <c r="E539" i="5" s="1"/>
  <c r="C539" i="5"/>
  <c r="H537" i="5"/>
  <c r="F796" i="3"/>
  <c r="E797" i="3" s="1"/>
  <c r="C797" i="3"/>
  <c r="A663" i="1" a="1"/>
  <c r="A663" i="1" l="1"/>
  <c r="B663" i="1"/>
  <c r="F663" i="1" s="1"/>
  <c r="C663" i="1"/>
  <c r="E661" i="1"/>
  <c r="D797" i="3"/>
  <c r="D539" i="5"/>
  <c r="F797" i="3"/>
  <c r="E798" i="3" s="1"/>
  <c r="C798" i="3"/>
  <c r="H538" i="5"/>
  <c r="F539" i="5"/>
  <c r="E540" i="5" s="1"/>
  <c r="C540" i="5"/>
  <c r="A664" i="1" a="1"/>
  <c r="A664" i="1" l="1"/>
  <c r="B664" i="1"/>
  <c r="F664" i="1" s="1"/>
  <c r="C664" i="1"/>
  <c r="E662" i="1"/>
  <c r="D540" i="5"/>
  <c r="D798" i="3"/>
  <c r="F540" i="5"/>
  <c r="E541" i="5" s="1"/>
  <c r="C541" i="5"/>
  <c r="H539" i="5"/>
  <c r="F798" i="3"/>
  <c r="E799" i="3" s="1"/>
  <c r="C799" i="3"/>
  <c r="A665" i="1" a="1"/>
  <c r="A665" i="1" l="1"/>
  <c r="B665" i="1"/>
  <c r="F665" i="1" s="1"/>
  <c r="C665" i="1"/>
  <c r="E663" i="1"/>
  <c r="D799" i="3"/>
  <c r="D541" i="5"/>
  <c r="F799" i="3"/>
  <c r="E800" i="3" s="1"/>
  <c r="C800" i="3"/>
  <c r="H540" i="5"/>
  <c r="F541" i="5"/>
  <c r="E542" i="5" s="1"/>
  <c r="C542" i="5"/>
  <c r="A666" i="1" a="1"/>
  <c r="A666" i="1" l="1"/>
  <c r="B666" i="1"/>
  <c r="F666" i="1" s="1"/>
  <c r="C666" i="1"/>
  <c r="E664" i="1"/>
  <c r="D542" i="5"/>
  <c r="D800" i="3"/>
  <c r="F542" i="5"/>
  <c r="E543" i="5" s="1"/>
  <c r="C543" i="5"/>
  <c r="H541" i="5"/>
  <c r="F800" i="3"/>
  <c r="E801" i="3" s="1"/>
  <c r="C801" i="3"/>
  <c r="A667" i="1" a="1"/>
  <c r="A667" i="1" l="1"/>
  <c r="B667" i="1"/>
  <c r="F667" i="1" s="1"/>
  <c r="C667" i="1"/>
  <c r="E665" i="1"/>
  <c r="D801" i="3"/>
  <c r="D543" i="5"/>
  <c r="F801" i="3"/>
  <c r="E802" i="3" s="1"/>
  <c r="C802" i="3"/>
  <c r="H542" i="5"/>
  <c r="F543" i="5"/>
  <c r="E544" i="5" s="1"/>
  <c r="C544" i="5"/>
  <c r="A668" i="1" a="1"/>
  <c r="A668" i="1" l="1"/>
  <c r="B668" i="1"/>
  <c r="F668" i="1" s="1"/>
  <c r="C668" i="1"/>
  <c r="E666" i="1"/>
  <c r="D544" i="5"/>
  <c r="D802" i="3"/>
  <c r="F544" i="5"/>
  <c r="E545" i="5" s="1"/>
  <c r="C545" i="5"/>
  <c r="H543" i="5"/>
  <c r="F802" i="3"/>
  <c r="E803" i="3" s="1"/>
  <c r="C803" i="3"/>
  <c r="A669" i="1" a="1"/>
  <c r="A669" i="1" l="1"/>
  <c r="B669" i="1"/>
  <c r="F669" i="1" s="1"/>
  <c r="C669" i="1"/>
  <c r="E667" i="1"/>
  <c r="D803" i="3"/>
  <c r="D545" i="5"/>
  <c r="F803" i="3"/>
  <c r="E804" i="3" s="1"/>
  <c r="C804" i="3"/>
  <c r="H544" i="5"/>
  <c r="F545" i="5"/>
  <c r="E546" i="5" s="1"/>
  <c r="C546" i="5"/>
  <c r="A670" i="1" a="1"/>
  <c r="A670" i="1" l="1"/>
  <c r="B670" i="1"/>
  <c r="F670" i="1" s="1"/>
  <c r="C670" i="1"/>
  <c r="E668" i="1"/>
  <c r="D546" i="5"/>
  <c r="D804" i="3"/>
  <c r="F546" i="5"/>
  <c r="E547" i="5" s="1"/>
  <c r="C547" i="5"/>
  <c r="H545" i="5"/>
  <c r="F804" i="3"/>
  <c r="E805" i="3" s="1"/>
  <c r="C805" i="3"/>
  <c r="A671" i="1" a="1"/>
  <c r="A671" i="1" l="1"/>
  <c r="B671" i="1"/>
  <c r="F671" i="1" s="1"/>
  <c r="C671" i="1"/>
  <c r="E669" i="1"/>
  <c r="D805" i="3"/>
  <c r="D547" i="5"/>
  <c r="F805" i="3"/>
  <c r="E806" i="3" s="1"/>
  <c r="C806" i="3"/>
  <c r="H546" i="5"/>
  <c r="F547" i="5"/>
  <c r="E548" i="5" s="1"/>
  <c r="C548" i="5"/>
  <c r="A672" i="1" a="1"/>
  <c r="A672" i="1" l="1"/>
  <c r="B672" i="1"/>
  <c r="F672" i="1" s="1"/>
  <c r="C672" i="1"/>
  <c r="E670" i="1"/>
  <c r="D548" i="5"/>
  <c r="D806" i="3"/>
  <c r="F548" i="5"/>
  <c r="E549" i="5" s="1"/>
  <c r="C549" i="5"/>
  <c r="H547" i="5"/>
  <c r="F806" i="3"/>
  <c r="E807" i="3" s="1"/>
  <c r="C807" i="3"/>
  <c r="A673" i="1" a="1"/>
  <c r="A673" i="1" l="1"/>
  <c r="B673" i="1"/>
  <c r="F673" i="1" s="1"/>
  <c r="C673" i="1"/>
  <c r="E671" i="1"/>
  <c r="D807" i="3"/>
  <c r="D549" i="5"/>
  <c r="F807" i="3"/>
  <c r="E808" i="3" s="1"/>
  <c r="C808" i="3"/>
  <c r="H548" i="5"/>
  <c r="F549" i="5"/>
  <c r="E550" i="5" s="1"/>
  <c r="C550" i="5"/>
  <c r="A674" i="1" a="1"/>
  <c r="A674" i="1" l="1"/>
  <c r="B674" i="1"/>
  <c r="F674" i="1" s="1"/>
  <c r="C674" i="1"/>
  <c r="E672" i="1"/>
  <c r="D550" i="5"/>
  <c r="D808" i="3"/>
  <c r="F550" i="5"/>
  <c r="E551" i="5" s="1"/>
  <c r="C551" i="5"/>
  <c r="H549" i="5"/>
  <c r="F808" i="3"/>
  <c r="E809" i="3" s="1"/>
  <c r="C809" i="3"/>
  <c r="A675" i="1" a="1"/>
  <c r="A675" i="1" l="1"/>
  <c r="B675" i="1"/>
  <c r="F675" i="1" s="1"/>
  <c r="C675" i="1"/>
  <c r="E673" i="1"/>
  <c r="D809" i="3"/>
  <c r="D551" i="5"/>
  <c r="F809" i="3"/>
  <c r="E810" i="3" s="1"/>
  <c r="C810" i="3"/>
  <c r="H550" i="5"/>
  <c r="F551" i="5"/>
  <c r="E552" i="5" s="1"/>
  <c r="C552" i="5"/>
  <c r="A676" i="1" a="1"/>
  <c r="A676" i="1" l="1"/>
  <c r="B676" i="1"/>
  <c r="F676" i="1" s="1"/>
  <c r="C676" i="1"/>
  <c r="E674" i="1"/>
  <c r="D552" i="5"/>
  <c r="D810" i="3"/>
  <c r="F552" i="5"/>
  <c r="E553" i="5" s="1"/>
  <c r="C553" i="5"/>
  <c r="H551" i="5"/>
  <c r="F810" i="3"/>
  <c r="E811" i="3" s="1"/>
  <c r="C811" i="3"/>
  <c r="A677" i="1" a="1"/>
  <c r="A677" i="1" l="1"/>
  <c r="B677" i="1"/>
  <c r="F677" i="1" s="1"/>
  <c r="C677" i="1"/>
  <c r="E675" i="1"/>
  <c r="D811" i="3"/>
  <c r="D553" i="5"/>
  <c r="F811" i="3"/>
  <c r="E812" i="3" s="1"/>
  <c r="C812" i="3"/>
  <c r="H552" i="5"/>
  <c r="F553" i="5"/>
  <c r="E554" i="5" s="1"/>
  <c r="C554" i="5"/>
  <c r="A678" i="1" a="1"/>
  <c r="A678" i="1" l="1"/>
  <c r="B678" i="1"/>
  <c r="F678" i="1" s="1"/>
  <c r="C678" i="1"/>
  <c r="E676" i="1"/>
  <c r="D554" i="5"/>
  <c r="D812" i="3"/>
  <c r="F554" i="5"/>
  <c r="E555" i="5" s="1"/>
  <c r="C555" i="5"/>
  <c r="H553" i="5"/>
  <c r="F812" i="3"/>
  <c r="E813" i="3" s="1"/>
  <c r="C813" i="3"/>
  <c r="A679" i="1" a="1"/>
  <c r="A679" i="1" l="1"/>
  <c r="B679" i="1"/>
  <c r="F679" i="1" s="1"/>
  <c r="C679" i="1"/>
  <c r="E677" i="1"/>
  <c r="D813" i="3"/>
  <c r="D555" i="5"/>
  <c r="F813" i="3"/>
  <c r="E814" i="3" s="1"/>
  <c r="C814" i="3"/>
  <c r="H554" i="5"/>
  <c r="F555" i="5"/>
  <c r="E556" i="5" s="1"/>
  <c r="C556" i="5"/>
  <c r="A680" i="1" a="1"/>
  <c r="A680" i="1" l="1"/>
  <c r="B680" i="1"/>
  <c r="F680" i="1" s="1"/>
  <c r="C680" i="1"/>
  <c r="E678" i="1"/>
  <c r="D556" i="5"/>
  <c r="D814" i="3"/>
  <c r="F556" i="5"/>
  <c r="E557" i="5" s="1"/>
  <c r="C557" i="5"/>
  <c r="H555" i="5"/>
  <c r="F814" i="3"/>
  <c r="E815" i="3" s="1"/>
  <c r="C815" i="3"/>
  <c r="A681" i="1" a="1"/>
  <c r="A681" i="1" l="1"/>
  <c r="B681" i="1"/>
  <c r="F681" i="1" s="1"/>
  <c r="C681" i="1"/>
  <c r="E679" i="1"/>
  <c r="D815" i="3"/>
  <c r="D557" i="5"/>
  <c r="F815" i="3"/>
  <c r="E816" i="3" s="1"/>
  <c r="C816" i="3"/>
  <c r="H556" i="5"/>
  <c r="F557" i="5"/>
  <c r="E558" i="5" s="1"/>
  <c r="C558" i="5"/>
  <c r="A682" i="1" a="1"/>
  <c r="A682" i="1" l="1"/>
  <c r="B682" i="1"/>
  <c r="F682" i="1" s="1"/>
  <c r="C682" i="1"/>
  <c r="E680" i="1"/>
  <c r="D558" i="5"/>
  <c r="D816" i="3"/>
  <c r="F558" i="5"/>
  <c r="E559" i="5" s="1"/>
  <c r="C559" i="5"/>
  <c r="H557" i="5"/>
  <c r="F816" i="3"/>
  <c r="E817" i="3" s="1"/>
  <c r="C817" i="3"/>
  <c r="A683" i="1" a="1"/>
  <c r="A683" i="1" l="1"/>
  <c r="B683" i="1"/>
  <c r="F683" i="1" s="1"/>
  <c r="C683" i="1"/>
  <c r="E681" i="1"/>
  <c r="D817" i="3"/>
  <c r="D559" i="5"/>
  <c r="F817" i="3"/>
  <c r="E818" i="3" s="1"/>
  <c r="C818" i="3"/>
  <c r="H558" i="5"/>
  <c r="F559" i="5"/>
  <c r="E560" i="5" s="1"/>
  <c r="C560" i="5"/>
  <c r="A684" i="1" a="1"/>
  <c r="A684" i="1" l="1"/>
  <c r="B684" i="1"/>
  <c r="F684" i="1" s="1"/>
  <c r="C684" i="1"/>
  <c r="E682" i="1"/>
  <c r="D560" i="5"/>
  <c r="D818" i="3"/>
  <c r="F560" i="5"/>
  <c r="E561" i="5" s="1"/>
  <c r="C561" i="5"/>
  <c r="H559" i="5"/>
  <c r="F818" i="3"/>
  <c r="E819" i="3" s="1"/>
  <c r="C819" i="3"/>
  <c r="A685" i="1" a="1"/>
  <c r="A685" i="1" l="1"/>
  <c r="B685" i="1"/>
  <c r="F685" i="1" s="1"/>
  <c r="C685" i="1"/>
  <c r="E683" i="1"/>
  <c r="D819" i="3"/>
  <c r="D561" i="5"/>
  <c r="F819" i="3"/>
  <c r="E820" i="3" s="1"/>
  <c r="C820" i="3"/>
  <c r="H560" i="5"/>
  <c r="F561" i="5"/>
  <c r="E562" i="5" s="1"/>
  <c r="C562" i="5"/>
  <c r="A686" i="1" a="1"/>
  <c r="A686" i="1" l="1"/>
  <c r="B686" i="1"/>
  <c r="F686" i="1" s="1"/>
  <c r="C686" i="1"/>
  <c r="E684" i="1"/>
  <c r="D562" i="5"/>
  <c r="D820" i="3"/>
  <c r="F562" i="5"/>
  <c r="E563" i="5" s="1"/>
  <c r="C563" i="5"/>
  <c r="H561" i="5"/>
  <c r="F820" i="3"/>
  <c r="E821" i="3" s="1"/>
  <c r="C821" i="3"/>
  <c r="A687" i="1" a="1"/>
  <c r="A687" i="1" l="1"/>
  <c r="B687" i="1"/>
  <c r="F687" i="1" s="1"/>
  <c r="C687" i="1"/>
  <c r="E685" i="1"/>
  <c r="D821" i="3"/>
  <c r="D563" i="5"/>
  <c r="F821" i="3"/>
  <c r="E822" i="3" s="1"/>
  <c r="C822" i="3"/>
  <c r="H562" i="5"/>
  <c r="F563" i="5"/>
  <c r="E564" i="5" s="1"/>
  <c r="C564" i="5"/>
  <c r="A688" i="1" a="1"/>
  <c r="A688" i="1" l="1"/>
  <c r="B688" i="1"/>
  <c r="F688" i="1" s="1"/>
  <c r="C688" i="1"/>
  <c r="E686" i="1"/>
  <c r="D564" i="5"/>
  <c r="D822" i="3"/>
  <c r="F564" i="5"/>
  <c r="E565" i="5" s="1"/>
  <c r="C565" i="5"/>
  <c r="H563" i="5"/>
  <c r="F822" i="3"/>
  <c r="E823" i="3" s="1"/>
  <c r="C823" i="3"/>
  <c r="A689" i="1" a="1"/>
  <c r="A689" i="1" l="1"/>
  <c r="B689" i="1"/>
  <c r="F689" i="1" s="1"/>
  <c r="C689" i="1"/>
  <c r="E687" i="1"/>
  <c r="D823" i="3"/>
  <c r="D565" i="5"/>
  <c r="F823" i="3"/>
  <c r="E824" i="3" s="1"/>
  <c r="C824" i="3"/>
  <c r="H564" i="5"/>
  <c r="F565" i="5"/>
  <c r="E566" i="5" s="1"/>
  <c r="C566" i="5"/>
  <c r="A690" i="1" a="1"/>
  <c r="A690" i="1" l="1"/>
  <c r="B690" i="1"/>
  <c r="F690" i="1" s="1"/>
  <c r="C690" i="1"/>
  <c r="E688" i="1"/>
  <c r="D566" i="5"/>
  <c r="D824" i="3"/>
  <c r="F566" i="5"/>
  <c r="E567" i="5" s="1"/>
  <c r="C567" i="5"/>
  <c r="H565" i="5"/>
  <c r="F824" i="3"/>
  <c r="E825" i="3" s="1"/>
  <c r="C825" i="3"/>
  <c r="A691" i="1" a="1"/>
  <c r="A691" i="1" l="1"/>
  <c r="B691" i="1"/>
  <c r="F691" i="1" s="1"/>
  <c r="C691" i="1"/>
  <c r="E689" i="1"/>
  <c r="D825" i="3"/>
  <c r="D567" i="5"/>
  <c r="F825" i="3"/>
  <c r="E826" i="3" s="1"/>
  <c r="C826" i="3"/>
  <c r="H566" i="5"/>
  <c r="F567" i="5"/>
  <c r="E568" i="5" s="1"/>
  <c r="C568" i="5"/>
  <c r="A692" i="1" a="1"/>
  <c r="A692" i="1" l="1"/>
  <c r="B692" i="1"/>
  <c r="F692" i="1" s="1"/>
  <c r="C692" i="1"/>
  <c r="E690" i="1"/>
  <c r="D568" i="5"/>
  <c r="D826" i="3"/>
  <c r="F568" i="5"/>
  <c r="E569" i="5" s="1"/>
  <c r="C569" i="5"/>
  <c r="H567" i="5"/>
  <c r="F826" i="3"/>
  <c r="E827" i="3" s="1"/>
  <c r="C827" i="3"/>
  <c r="A693" i="1" a="1"/>
  <c r="A693" i="1" l="1"/>
  <c r="B693" i="1"/>
  <c r="F693" i="1" s="1"/>
  <c r="C693" i="1"/>
  <c r="E691" i="1"/>
  <c r="D827" i="3"/>
  <c r="D569" i="5"/>
  <c r="F827" i="3"/>
  <c r="E828" i="3" s="1"/>
  <c r="C828" i="3"/>
  <c r="H568" i="5"/>
  <c r="F569" i="5"/>
  <c r="E570" i="5" s="1"/>
  <c r="C570" i="5"/>
  <c r="A694" i="1" a="1"/>
  <c r="A694" i="1" l="1"/>
  <c r="B694" i="1"/>
  <c r="F694" i="1" s="1"/>
  <c r="C694" i="1"/>
  <c r="E692" i="1"/>
  <c r="D570" i="5"/>
  <c r="D828" i="3"/>
  <c r="F570" i="5"/>
  <c r="E571" i="5" s="1"/>
  <c r="C571" i="5"/>
  <c r="H569" i="5"/>
  <c r="F828" i="3"/>
  <c r="E829" i="3" s="1"/>
  <c r="C829" i="3"/>
  <c r="A695" i="1" a="1"/>
  <c r="A695" i="1" l="1"/>
  <c r="B695" i="1"/>
  <c r="F695" i="1" s="1"/>
  <c r="C695" i="1"/>
  <c r="E693" i="1"/>
  <c r="D829" i="3"/>
  <c r="D571" i="5"/>
  <c r="F829" i="3"/>
  <c r="E830" i="3" s="1"/>
  <c r="C830" i="3"/>
  <c r="H570" i="5"/>
  <c r="F571" i="5"/>
  <c r="E572" i="5" s="1"/>
  <c r="C572" i="5"/>
  <c r="A696" i="1" a="1"/>
  <c r="A696" i="1" l="1"/>
  <c r="B696" i="1"/>
  <c r="F696" i="1" s="1"/>
  <c r="C696" i="1"/>
  <c r="E694" i="1"/>
  <c r="D572" i="5"/>
  <c r="D830" i="3"/>
  <c r="F572" i="5"/>
  <c r="E573" i="5" s="1"/>
  <c r="C573" i="5"/>
  <c r="H571" i="5"/>
  <c r="F830" i="3"/>
  <c r="E831" i="3" s="1"/>
  <c r="C831" i="3"/>
  <c r="A697" i="1" a="1"/>
  <c r="A697" i="1" l="1"/>
  <c r="B697" i="1"/>
  <c r="F697" i="1" s="1"/>
  <c r="C697" i="1"/>
  <c r="E695" i="1"/>
  <c r="D831" i="3"/>
  <c r="D573" i="5"/>
  <c r="F831" i="3"/>
  <c r="E832" i="3" s="1"/>
  <c r="C832" i="3"/>
  <c r="H572" i="5"/>
  <c r="F573" i="5"/>
  <c r="E574" i="5" s="1"/>
  <c r="C574" i="5"/>
  <c r="A698" i="1" a="1"/>
  <c r="A698" i="1" l="1"/>
  <c r="B698" i="1"/>
  <c r="F698" i="1" s="1"/>
  <c r="C698" i="1"/>
  <c r="E696" i="1"/>
  <c r="D574" i="5"/>
  <c r="D832" i="3"/>
  <c r="F574" i="5"/>
  <c r="E575" i="5" s="1"/>
  <c r="C575" i="5"/>
  <c r="H573" i="5"/>
  <c r="F832" i="3"/>
  <c r="E833" i="3" s="1"/>
  <c r="C833" i="3"/>
  <c r="A699" i="1" a="1"/>
  <c r="A699" i="1" l="1"/>
  <c r="B699" i="1"/>
  <c r="F699" i="1" s="1"/>
  <c r="C699" i="1"/>
  <c r="E697" i="1"/>
  <c r="D833" i="3"/>
  <c r="D575" i="5"/>
  <c r="F833" i="3"/>
  <c r="E834" i="3" s="1"/>
  <c r="C834" i="3"/>
  <c r="H574" i="5"/>
  <c r="F575" i="5"/>
  <c r="E576" i="5" s="1"/>
  <c r="C576" i="5"/>
  <c r="A700" i="1" a="1"/>
  <c r="A700" i="1" l="1"/>
  <c r="B700" i="1"/>
  <c r="F700" i="1" s="1"/>
  <c r="C700" i="1"/>
  <c r="E698" i="1"/>
  <c r="D576" i="5"/>
  <c r="D834" i="3"/>
  <c r="F576" i="5"/>
  <c r="E577" i="5" s="1"/>
  <c r="C577" i="5"/>
  <c r="H575" i="5"/>
  <c r="F834" i="3"/>
  <c r="E835" i="3" s="1"/>
  <c r="C835" i="3"/>
  <c r="A701" i="1" a="1"/>
  <c r="A701" i="1" l="1"/>
  <c r="B701" i="1"/>
  <c r="F701" i="1" s="1"/>
  <c r="C701" i="1"/>
  <c r="E699" i="1"/>
  <c r="D835" i="3"/>
  <c r="D577" i="5"/>
  <c r="F835" i="3"/>
  <c r="E836" i="3" s="1"/>
  <c r="C836" i="3"/>
  <c r="H576" i="5"/>
  <c r="F577" i="5"/>
  <c r="E578" i="5" s="1"/>
  <c r="C578" i="5"/>
  <c r="A702" i="1" a="1"/>
  <c r="A702" i="1" l="1"/>
  <c r="B702" i="1"/>
  <c r="F702" i="1" s="1"/>
  <c r="C702" i="1"/>
  <c r="E700" i="1"/>
  <c r="D578" i="5"/>
  <c r="D836" i="3"/>
  <c r="F578" i="5"/>
  <c r="E579" i="5" s="1"/>
  <c r="C579" i="5"/>
  <c r="H577" i="5"/>
  <c r="F836" i="3"/>
  <c r="E837" i="3" s="1"/>
  <c r="C837" i="3"/>
  <c r="A703" i="1" a="1"/>
  <c r="A703" i="1" l="1"/>
  <c r="B703" i="1"/>
  <c r="F703" i="1" s="1"/>
  <c r="C703" i="1"/>
  <c r="E701" i="1"/>
  <c r="D837" i="3"/>
  <c r="D579" i="5"/>
  <c r="F837" i="3"/>
  <c r="E838" i="3" s="1"/>
  <c r="C838" i="3"/>
  <c r="H578" i="5"/>
  <c r="F579" i="5"/>
  <c r="E580" i="5" s="1"/>
  <c r="C580" i="5"/>
  <c r="A704" i="1" a="1"/>
  <c r="A704" i="1" l="1"/>
  <c r="B704" i="1"/>
  <c r="F704" i="1" s="1"/>
  <c r="C704" i="1"/>
  <c r="E702" i="1"/>
  <c r="D580" i="5"/>
  <c r="D838" i="3"/>
  <c r="F580" i="5"/>
  <c r="E581" i="5" s="1"/>
  <c r="C581" i="5"/>
  <c r="H579" i="5"/>
  <c r="F838" i="3"/>
  <c r="E839" i="3" s="1"/>
  <c r="C839" i="3"/>
  <c r="A705" i="1" a="1"/>
  <c r="A705" i="1" l="1"/>
  <c r="B705" i="1"/>
  <c r="F705" i="1" s="1"/>
  <c r="C705" i="1"/>
  <c r="E703" i="1"/>
  <c r="D839" i="3"/>
  <c r="D581" i="5"/>
  <c r="F839" i="3"/>
  <c r="E840" i="3" s="1"/>
  <c r="C840" i="3"/>
  <c r="H580" i="5"/>
  <c r="F581" i="5"/>
  <c r="E582" i="5" s="1"/>
  <c r="C582" i="5"/>
  <c r="A706" i="1" a="1"/>
  <c r="A706" i="1" l="1"/>
  <c r="B706" i="1"/>
  <c r="F706" i="1" s="1"/>
  <c r="C706" i="1"/>
  <c r="E704" i="1"/>
  <c r="D582" i="5"/>
  <c r="D840" i="3"/>
  <c r="F582" i="5"/>
  <c r="E583" i="5" s="1"/>
  <c r="C583" i="5"/>
  <c r="H581" i="5"/>
  <c r="F840" i="3"/>
  <c r="E841" i="3" s="1"/>
  <c r="C841" i="3"/>
  <c r="A707" i="1" a="1"/>
  <c r="A707" i="1" l="1"/>
  <c r="B707" i="1"/>
  <c r="F707" i="1" s="1"/>
  <c r="C707" i="1"/>
  <c r="E705" i="1"/>
  <c r="D841" i="3"/>
  <c r="D583" i="5"/>
  <c r="F841" i="3"/>
  <c r="E842" i="3" s="1"/>
  <c r="C842" i="3"/>
  <c r="H582" i="5"/>
  <c r="F583" i="5"/>
  <c r="E584" i="5" s="1"/>
  <c r="C584" i="5"/>
  <c r="A708" i="1" a="1"/>
  <c r="A708" i="1" l="1"/>
  <c r="B708" i="1"/>
  <c r="F708" i="1" s="1"/>
  <c r="C708" i="1"/>
  <c r="E706" i="1"/>
  <c r="D584" i="5"/>
  <c r="D842" i="3"/>
  <c r="F584" i="5"/>
  <c r="E585" i="5" s="1"/>
  <c r="C585" i="5"/>
  <c r="H583" i="5"/>
  <c r="F842" i="3"/>
  <c r="E843" i="3" s="1"/>
  <c r="C843" i="3"/>
  <c r="A709" i="1" a="1"/>
  <c r="A709" i="1" l="1"/>
  <c r="B709" i="1"/>
  <c r="F709" i="1" s="1"/>
  <c r="C709" i="1"/>
  <c r="E707" i="1"/>
  <c r="D843" i="3"/>
  <c r="D585" i="5"/>
  <c r="F843" i="3"/>
  <c r="E844" i="3" s="1"/>
  <c r="C844" i="3"/>
  <c r="H584" i="5"/>
  <c r="F585" i="5"/>
  <c r="E586" i="5" s="1"/>
  <c r="C586" i="5"/>
  <c r="A710" i="1" a="1"/>
  <c r="A710" i="1" l="1"/>
  <c r="B710" i="1"/>
  <c r="F710" i="1" s="1"/>
  <c r="C710" i="1"/>
  <c r="E708" i="1"/>
  <c r="D586" i="5"/>
  <c r="D844" i="3"/>
  <c r="F586" i="5"/>
  <c r="E587" i="5" s="1"/>
  <c r="C587" i="5"/>
  <c r="H585" i="5"/>
  <c r="F844" i="3"/>
  <c r="E845" i="3" s="1"/>
  <c r="C845" i="3"/>
  <c r="A711" i="1" a="1"/>
  <c r="A711" i="1" l="1"/>
  <c r="B711" i="1"/>
  <c r="F711" i="1" s="1"/>
  <c r="C711" i="1"/>
  <c r="E709" i="1"/>
  <c r="D845" i="3"/>
  <c r="D587" i="5"/>
  <c r="F845" i="3"/>
  <c r="E846" i="3" s="1"/>
  <c r="C846" i="3"/>
  <c r="H586" i="5"/>
  <c r="F587" i="5"/>
  <c r="E588" i="5" s="1"/>
  <c r="C588" i="5"/>
  <c r="A712" i="1" a="1"/>
  <c r="A712" i="1" l="1"/>
  <c r="B712" i="1"/>
  <c r="F712" i="1" s="1"/>
  <c r="C712" i="1"/>
  <c r="E710" i="1"/>
  <c r="D588" i="5"/>
  <c r="D846" i="3"/>
  <c r="F588" i="5"/>
  <c r="E589" i="5" s="1"/>
  <c r="C589" i="5"/>
  <c r="H587" i="5"/>
  <c r="F846" i="3"/>
  <c r="E847" i="3" s="1"/>
  <c r="C847" i="3"/>
  <c r="A713" i="1" a="1"/>
  <c r="A713" i="1" l="1"/>
  <c r="B713" i="1"/>
  <c r="F713" i="1" s="1"/>
  <c r="C713" i="1"/>
  <c r="E711" i="1"/>
  <c r="D847" i="3"/>
  <c r="D589" i="5"/>
  <c r="F847" i="3"/>
  <c r="E848" i="3" s="1"/>
  <c r="C848" i="3"/>
  <c r="H588" i="5"/>
  <c r="F589" i="5"/>
  <c r="E590" i="5" s="1"/>
  <c r="C590" i="5"/>
  <c r="A714" i="1" a="1"/>
  <c r="A714" i="1" l="1"/>
  <c r="B714" i="1"/>
  <c r="F714" i="1" s="1"/>
  <c r="C714" i="1"/>
  <c r="E712" i="1"/>
  <c r="D590" i="5"/>
  <c r="D848" i="3"/>
  <c r="F590" i="5"/>
  <c r="E591" i="5" s="1"/>
  <c r="C591" i="5"/>
  <c r="H589" i="5"/>
  <c r="F848" i="3"/>
  <c r="E849" i="3" s="1"/>
  <c r="C849" i="3"/>
  <c r="A715" i="1" a="1"/>
  <c r="A715" i="1" l="1"/>
  <c r="B715" i="1"/>
  <c r="F715" i="1" s="1"/>
  <c r="C715" i="1"/>
  <c r="E713" i="1"/>
  <c r="D849" i="3"/>
  <c r="D591" i="5"/>
  <c r="F849" i="3"/>
  <c r="E850" i="3" s="1"/>
  <c r="C850" i="3"/>
  <c r="H590" i="5"/>
  <c r="F591" i="5"/>
  <c r="E592" i="5" s="1"/>
  <c r="C592" i="5"/>
  <c r="A716" i="1" a="1"/>
  <c r="A716" i="1" l="1"/>
  <c r="B716" i="1"/>
  <c r="F716" i="1" s="1"/>
  <c r="C716" i="1"/>
  <c r="E714" i="1"/>
  <c r="D592" i="5"/>
  <c r="D850" i="3"/>
  <c r="F592" i="5"/>
  <c r="E593" i="5" s="1"/>
  <c r="C593" i="5"/>
  <c r="H591" i="5"/>
  <c r="F850" i="3"/>
  <c r="E851" i="3" s="1"/>
  <c r="C851" i="3"/>
  <c r="A717" i="1" a="1"/>
  <c r="A717" i="1" l="1"/>
  <c r="B717" i="1"/>
  <c r="F717" i="1" s="1"/>
  <c r="C717" i="1"/>
  <c r="E715" i="1"/>
  <c r="D851" i="3"/>
  <c r="D593" i="5"/>
  <c r="F851" i="3"/>
  <c r="E852" i="3" s="1"/>
  <c r="C852" i="3"/>
  <c r="H592" i="5"/>
  <c r="F593" i="5"/>
  <c r="E594" i="5" s="1"/>
  <c r="C594" i="5"/>
  <c r="A718" i="1" a="1"/>
  <c r="A718" i="1" l="1"/>
  <c r="B718" i="1"/>
  <c r="F718" i="1" s="1"/>
  <c r="C718" i="1"/>
  <c r="E716" i="1"/>
  <c r="D594" i="5"/>
  <c r="D852" i="3"/>
  <c r="F594" i="5"/>
  <c r="E595" i="5" s="1"/>
  <c r="C595" i="5"/>
  <c r="H593" i="5"/>
  <c r="F852" i="3"/>
  <c r="E853" i="3" s="1"/>
  <c r="C853" i="3"/>
  <c r="A719" i="1" a="1"/>
  <c r="A719" i="1" l="1"/>
  <c r="B719" i="1"/>
  <c r="F719" i="1" s="1"/>
  <c r="C719" i="1"/>
  <c r="E717" i="1"/>
  <c r="D853" i="3"/>
  <c r="D595" i="5"/>
  <c r="F853" i="3"/>
  <c r="E854" i="3" s="1"/>
  <c r="C854" i="3"/>
  <c r="H594" i="5"/>
  <c r="F595" i="5"/>
  <c r="E596" i="5" s="1"/>
  <c r="C596" i="5"/>
  <c r="A720" i="1" a="1"/>
  <c r="A720" i="1" l="1"/>
  <c r="B720" i="1"/>
  <c r="F720" i="1" s="1"/>
  <c r="C720" i="1"/>
  <c r="E718" i="1"/>
  <c r="D596" i="5"/>
  <c r="D854" i="3"/>
  <c r="F596" i="5"/>
  <c r="E597" i="5" s="1"/>
  <c r="C597" i="5"/>
  <c r="H595" i="5"/>
  <c r="F854" i="3"/>
  <c r="E855" i="3" s="1"/>
  <c r="C855" i="3"/>
  <c r="A721" i="1" a="1"/>
  <c r="A721" i="1" l="1"/>
  <c r="B721" i="1"/>
  <c r="F721" i="1" s="1"/>
  <c r="C721" i="1"/>
  <c r="E719" i="1"/>
  <c r="D855" i="3"/>
  <c r="D597" i="5"/>
  <c r="F855" i="3"/>
  <c r="E856" i="3" s="1"/>
  <c r="C856" i="3"/>
  <c r="H596" i="5"/>
  <c r="F597" i="5"/>
  <c r="E598" i="5" s="1"/>
  <c r="C598" i="5"/>
  <c r="A722" i="1" a="1"/>
  <c r="A722" i="1" l="1"/>
  <c r="B722" i="1"/>
  <c r="F722" i="1" s="1"/>
  <c r="C722" i="1"/>
  <c r="E720" i="1"/>
  <c r="D598" i="5"/>
  <c r="D856" i="3"/>
  <c r="F598" i="5"/>
  <c r="E599" i="5" s="1"/>
  <c r="C599" i="5"/>
  <c r="H597" i="5"/>
  <c r="F856" i="3"/>
  <c r="E857" i="3" s="1"/>
  <c r="C857" i="3"/>
  <c r="A723" i="1" a="1"/>
  <c r="A723" i="1" l="1"/>
  <c r="B723" i="1"/>
  <c r="F723" i="1" s="1"/>
  <c r="C723" i="1"/>
  <c r="E721" i="1"/>
  <c r="D857" i="3"/>
  <c r="D599" i="5"/>
  <c r="F857" i="3"/>
  <c r="E858" i="3" s="1"/>
  <c r="C858" i="3"/>
  <c r="H598" i="5"/>
  <c r="F599" i="5"/>
  <c r="E600" i="5" s="1"/>
  <c r="C600" i="5"/>
  <c r="A724" i="1" a="1"/>
  <c r="A724" i="1" l="1"/>
  <c r="B724" i="1"/>
  <c r="F724" i="1" s="1"/>
  <c r="C724" i="1"/>
  <c r="E722" i="1"/>
  <c r="D600" i="5"/>
  <c r="D858" i="3"/>
  <c r="F600" i="5"/>
  <c r="E601" i="5" s="1"/>
  <c r="C601" i="5"/>
  <c r="H599" i="5"/>
  <c r="F858" i="3"/>
  <c r="E859" i="3" s="1"/>
  <c r="C859" i="3"/>
  <c r="A725" i="1" a="1"/>
  <c r="A725" i="1" l="1"/>
  <c r="B725" i="1"/>
  <c r="F725" i="1" s="1"/>
  <c r="C725" i="1"/>
  <c r="E723" i="1"/>
  <c r="D859" i="3"/>
  <c r="D601" i="5"/>
  <c r="F859" i="3"/>
  <c r="E860" i="3" s="1"/>
  <c r="C860" i="3"/>
  <c r="H600" i="5"/>
  <c r="F601" i="5"/>
  <c r="E602" i="5" s="1"/>
  <c r="C602" i="5"/>
  <c r="A726" i="1" a="1"/>
  <c r="A726" i="1" l="1"/>
  <c r="B726" i="1"/>
  <c r="F726" i="1" s="1"/>
  <c r="C726" i="1"/>
  <c r="E724" i="1"/>
  <c r="D602" i="5"/>
  <c r="D860" i="3"/>
  <c r="F602" i="5"/>
  <c r="E603" i="5" s="1"/>
  <c r="C603" i="5"/>
  <c r="H601" i="5"/>
  <c r="F860" i="3"/>
  <c r="E861" i="3" s="1"/>
  <c r="C861" i="3"/>
  <c r="A727" i="1" a="1"/>
  <c r="A727" i="1" l="1"/>
  <c r="B727" i="1"/>
  <c r="F727" i="1" s="1"/>
  <c r="C727" i="1"/>
  <c r="E725" i="1"/>
  <c r="D861" i="3"/>
  <c r="D603" i="5"/>
  <c r="F861" i="3"/>
  <c r="E862" i="3" s="1"/>
  <c r="C862" i="3"/>
  <c r="H602" i="5"/>
  <c r="F603" i="5"/>
  <c r="E604" i="5" s="1"/>
  <c r="C604" i="5"/>
  <c r="A728" i="1" a="1"/>
  <c r="A728" i="1" l="1"/>
  <c r="B728" i="1"/>
  <c r="F728" i="1" s="1"/>
  <c r="C728" i="1"/>
  <c r="E726" i="1"/>
  <c r="D604" i="5"/>
  <c r="D862" i="3"/>
  <c r="F604" i="5"/>
  <c r="E605" i="5" s="1"/>
  <c r="C605" i="5"/>
  <c r="H603" i="5"/>
  <c r="F862" i="3"/>
  <c r="E863" i="3" s="1"/>
  <c r="C863" i="3"/>
  <c r="A729" i="1" a="1"/>
  <c r="A729" i="1" l="1"/>
  <c r="B729" i="1"/>
  <c r="F729" i="1" s="1"/>
  <c r="C729" i="1"/>
  <c r="E727" i="1"/>
  <c r="D863" i="3"/>
  <c r="D605" i="5"/>
  <c r="F863" i="3"/>
  <c r="E864" i="3" s="1"/>
  <c r="C864" i="3"/>
  <c r="H604" i="5"/>
  <c r="F605" i="5"/>
  <c r="E606" i="5" s="1"/>
  <c r="C606" i="5"/>
  <c r="A730" i="1" a="1"/>
  <c r="A730" i="1" l="1"/>
  <c r="B730" i="1"/>
  <c r="F730" i="1" s="1"/>
  <c r="C730" i="1"/>
  <c r="E728" i="1"/>
  <c r="D606" i="5"/>
  <c r="D864" i="3"/>
  <c r="F606" i="5"/>
  <c r="E607" i="5" s="1"/>
  <c r="C607" i="5"/>
  <c r="H605" i="5"/>
  <c r="F864" i="3"/>
  <c r="E865" i="3" s="1"/>
  <c r="C865" i="3"/>
  <c r="A731" i="1" a="1"/>
  <c r="A731" i="1" l="1"/>
  <c r="B731" i="1"/>
  <c r="F731" i="1" s="1"/>
  <c r="C731" i="1"/>
  <c r="E729" i="1"/>
  <c r="D865" i="3"/>
  <c r="D607" i="5"/>
  <c r="F865" i="3"/>
  <c r="E866" i="3" s="1"/>
  <c r="C866" i="3"/>
  <c r="H606" i="5"/>
  <c r="F607" i="5"/>
  <c r="E608" i="5" s="1"/>
  <c r="C608" i="5"/>
  <c r="A732" i="1" a="1"/>
  <c r="A732" i="1" l="1"/>
  <c r="B732" i="1"/>
  <c r="F732" i="1" s="1"/>
  <c r="C732" i="1"/>
  <c r="E730" i="1"/>
  <c r="D608" i="5"/>
  <c r="D866" i="3"/>
  <c r="F608" i="5"/>
  <c r="E609" i="5" s="1"/>
  <c r="C609" i="5"/>
  <c r="H607" i="5"/>
  <c r="F866" i="3"/>
  <c r="E867" i="3" s="1"/>
  <c r="C867" i="3"/>
  <c r="A733" i="1" a="1"/>
  <c r="A733" i="1" l="1"/>
  <c r="B733" i="1"/>
  <c r="F733" i="1" s="1"/>
  <c r="C733" i="1"/>
  <c r="E731" i="1"/>
  <c r="D867" i="3"/>
  <c r="D609" i="5"/>
  <c r="F867" i="3"/>
  <c r="E868" i="3" s="1"/>
  <c r="C868" i="3"/>
  <c r="H608" i="5"/>
  <c r="F609" i="5"/>
  <c r="E610" i="5" s="1"/>
  <c r="C610" i="5"/>
  <c r="A734" i="1" a="1"/>
  <c r="A734" i="1" l="1"/>
  <c r="B734" i="1"/>
  <c r="F734" i="1" s="1"/>
  <c r="C734" i="1"/>
  <c r="E732" i="1"/>
  <c r="D610" i="5"/>
  <c r="D868" i="3"/>
  <c r="F610" i="5"/>
  <c r="E611" i="5" s="1"/>
  <c r="C611" i="5"/>
  <c r="H609" i="5"/>
  <c r="F868" i="3"/>
  <c r="E869" i="3" s="1"/>
  <c r="C869" i="3"/>
  <c r="A735" i="1" a="1"/>
  <c r="A735" i="1" l="1"/>
  <c r="B735" i="1"/>
  <c r="F735" i="1" s="1"/>
  <c r="C735" i="1"/>
  <c r="E733" i="1"/>
  <c r="D869" i="3"/>
  <c r="D611" i="5"/>
  <c r="F869" i="3"/>
  <c r="E870" i="3" s="1"/>
  <c r="C870" i="3"/>
  <c r="H610" i="5"/>
  <c r="F611" i="5"/>
  <c r="E612" i="5" s="1"/>
  <c r="C612" i="5"/>
  <c r="A736" i="1" a="1"/>
  <c r="A736" i="1" l="1"/>
  <c r="B736" i="1"/>
  <c r="F736" i="1" s="1"/>
  <c r="C736" i="1"/>
  <c r="E734" i="1"/>
  <c r="D612" i="5"/>
  <c r="D870" i="3"/>
  <c r="F612" i="5"/>
  <c r="E613" i="5" s="1"/>
  <c r="C613" i="5"/>
  <c r="H611" i="5"/>
  <c r="F870" i="3"/>
  <c r="E871" i="3" s="1"/>
  <c r="C871" i="3"/>
  <c r="A737" i="1" a="1"/>
  <c r="A737" i="1" l="1"/>
  <c r="B737" i="1"/>
  <c r="F737" i="1" s="1"/>
  <c r="C737" i="1"/>
  <c r="E735" i="1"/>
  <c r="D871" i="3"/>
  <c r="D613" i="5"/>
  <c r="F871" i="3"/>
  <c r="E872" i="3" s="1"/>
  <c r="C872" i="3"/>
  <c r="H612" i="5"/>
  <c r="F613" i="5"/>
  <c r="E614" i="5" s="1"/>
  <c r="C614" i="5"/>
  <c r="A738" i="1" a="1"/>
  <c r="A738" i="1" l="1"/>
  <c r="B738" i="1"/>
  <c r="F738" i="1" s="1"/>
  <c r="C738" i="1"/>
  <c r="E736" i="1"/>
  <c r="D614" i="5"/>
  <c r="D872" i="3"/>
  <c r="F614" i="5"/>
  <c r="E615" i="5" s="1"/>
  <c r="C615" i="5"/>
  <c r="H613" i="5"/>
  <c r="F872" i="3"/>
  <c r="E873" i="3" s="1"/>
  <c r="C873" i="3"/>
  <c r="A739" i="1" a="1"/>
  <c r="A739" i="1" l="1"/>
  <c r="B739" i="1"/>
  <c r="F739" i="1" s="1"/>
  <c r="C739" i="1"/>
  <c r="E737" i="1"/>
  <c r="D873" i="3"/>
  <c r="D615" i="5"/>
  <c r="F873" i="3"/>
  <c r="E874" i="3" s="1"/>
  <c r="C874" i="3"/>
  <c r="H614" i="5"/>
  <c r="F615" i="5"/>
  <c r="E616" i="5" s="1"/>
  <c r="C616" i="5"/>
  <c r="A740" i="1" a="1"/>
  <c r="A740" i="1" l="1"/>
  <c r="B740" i="1"/>
  <c r="F740" i="1" s="1"/>
  <c r="C740" i="1"/>
  <c r="E738" i="1"/>
  <c r="D616" i="5"/>
  <c r="D874" i="3"/>
  <c r="F616" i="5"/>
  <c r="E617" i="5" s="1"/>
  <c r="C617" i="5"/>
  <c r="H615" i="5"/>
  <c r="F874" i="3"/>
  <c r="E875" i="3" s="1"/>
  <c r="C875" i="3"/>
  <c r="A741" i="1" a="1"/>
  <c r="A741" i="1" l="1"/>
  <c r="B741" i="1"/>
  <c r="F741" i="1" s="1"/>
  <c r="C741" i="1"/>
  <c r="E739" i="1"/>
  <c r="D875" i="3"/>
  <c r="D617" i="5"/>
  <c r="F875" i="3"/>
  <c r="E876" i="3" s="1"/>
  <c r="C876" i="3"/>
  <c r="H616" i="5"/>
  <c r="F617" i="5"/>
  <c r="E618" i="5" s="1"/>
  <c r="C618" i="5"/>
  <c r="A742" i="1" a="1"/>
  <c r="A742" i="1" l="1"/>
  <c r="B742" i="1"/>
  <c r="F742" i="1" s="1"/>
  <c r="C742" i="1"/>
  <c r="E740" i="1"/>
  <c r="D618" i="5"/>
  <c r="D876" i="3"/>
  <c r="F618" i="5"/>
  <c r="E619" i="5" s="1"/>
  <c r="C619" i="5"/>
  <c r="H617" i="5"/>
  <c r="F876" i="3"/>
  <c r="E877" i="3" s="1"/>
  <c r="C877" i="3"/>
  <c r="A743" i="1" a="1"/>
  <c r="A743" i="1" l="1"/>
  <c r="B743" i="1"/>
  <c r="F743" i="1" s="1"/>
  <c r="C743" i="1"/>
  <c r="E741" i="1"/>
  <c r="D877" i="3"/>
  <c r="D619" i="5"/>
  <c r="F877" i="3"/>
  <c r="E878" i="3" s="1"/>
  <c r="C878" i="3"/>
  <c r="H618" i="5"/>
  <c r="F619" i="5"/>
  <c r="E620" i="5" s="1"/>
  <c r="C620" i="5"/>
  <c r="A744" i="1" a="1"/>
  <c r="A744" i="1" l="1"/>
  <c r="B744" i="1"/>
  <c r="F744" i="1" s="1"/>
  <c r="C744" i="1"/>
  <c r="E742" i="1"/>
  <c r="D620" i="5"/>
  <c r="D878" i="3"/>
  <c r="F620" i="5"/>
  <c r="E621" i="5" s="1"/>
  <c r="C621" i="5"/>
  <c r="H619" i="5"/>
  <c r="F878" i="3"/>
  <c r="E879" i="3" s="1"/>
  <c r="C879" i="3"/>
  <c r="A745" i="1" a="1"/>
  <c r="A745" i="1" l="1"/>
  <c r="B745" i="1"/>
  <c r="F745" i="1" s="1"/>
  <c r="C745" i="1"/>
  <c r="E743" i="1"/>
  <c r="D879" i="3"/>
  <c r="D621" i="5"/>
  <c r="F879" i="3"/>
  <c r="E880" i="3" s="1"/>
  <c r="C880" i="3"/>
  <c r="H620" i="5"/>
  <c r="F621" i="5"/>
  <c r="E622" i="5" s="1"/>
  <c r="C622" i="5"/>
  <c r="A746" i="1" a="1"/>
  <c r="A746" i="1" l="1"/>
  <c r="B746" i="1"/>
  <c r="F746" i="1" s="1"/>
  <c r="C746" i="1"/>
  <c r="E744" i="1"/>
  <c r="D622" i="5"/>
  <c r="D880" i="3"/>
  <c r="F622" i="5"/>
  <c r="E623" i="5" s="1"/>
  <c r="C623" i="5"/>
  <c r="H621" i="5"/>
  <c r="F880" i="3"/>
  <c r="E881" i="3" s="1"/>
  <c r="C881" i="3"/>
  <c r="A747" i="1" a="1"/>
  <c r="A747" i="1" l="1"/>
  <c r="B747" i="1"/>
  <c r="F747" i="1" s="1"/>
  <c r="C747" i="1"/>
  <c r="E745" i="1"/>
  <c r="D881" i="3"/>
  <c r="D623" i="5"/>
  <c r="F881" i="3"/>
  <c r="E882" i="3" s="1"/>
  <c r="C882" i="3"/>
  <c r="H622" i="5"/>
  <c r="F623" i="5"/>
  <c r="E624" i="5" s="1"/>
  <c r="C624" i="5"/>
  <c r="A748" i="1" a="1"/>
  <c r="A748" i="1" l="1"/>
  <c r="B748" i="1"/>
  <c r="F748" i="1" s="1"/>
  <c r="C748" i="1"/>
  <c r="E746" i="1"/>
  <c r="D624" i="5"/>
  <c r="D882" i="3"/>
  <c r="F624" i="5"/>
  <c r="E625" i="5" s="1"/>
  <c r="C625" i="5"/>
  <c r="H623" i="5"/>
  <c r="F882" i="3"/>
  <c r="E883" i="3" s="1"/>
  <c r="C883" i="3"/>
  <c r="A749" i="1" a="1"/>
  <c r="A749" i="1" l="1"/>
  <c r="B749" i="1"/>
  <c r="F749" i="1" s="1"/>
  <c r="C749" i="1"/>
  <c r="E747" i="1"/>
  <c r="D883" i="3"/>
  <c r="D625" i="5"/>
  <c r="F883" i="3"/>
  <c r="E884" i="3" s="1"/>
  <c r="C884" i="3"/>
  <c r="H624" i="5"/>
  <c r="F625" i="5"/>
  <c r="E626" i="5" s="1"/>
  <c r="C626" i="5"/>
  <c r="A750" i="1" a="1"/>
  <c r="A750" i="1" l="1"/>
  <c r="B750" i="1"/>
  <c r="F750" i="1" s="1"/>
  <c r="C750" i="1"/>
  <c r="E748" i="1"/>
  <c r="D626" i="5"/>
  <c r="D884" i="3"/>
  <c r="F626" i="5"/>
  <c r="E627" i="5" s="1"/>
  <c r="C627" i="5"/>
  <c r="H625" i="5"/>
  <c r="F884" i="3"/>
  <c r="E885" i="3" s="1"/>
  <c r="C885" i="3"/>
  <c r="A751" i="1" a="1"/>
  <c r="A751" i="1" l="1"/>
  <c r="B751" i="1"/>
  <c r="F751" i="1" s="1"/>
  <c r="C751" i="1"/>
  <c r="E749" i="1"/>
  <c r="D885" i="3"/>
  <c r="D627" i="5"/>
  <c r="F885" i="3"/>
  <c r="E886" i="3" s="1"/>
  <c r="C886" i="3"/>
  <c r="H626" i="5"/>
  <c r="F627" i="5"/>
  <c r="E628" i="5" s="1"/>
  <c r="C628" i="5"/>
  <c r="A752" i="1" a="1"/>
  <c r="A752" i="1" l="1"/>
  <c r="B752" i="1"/>
  <c r="F752" i="1" s="1"/>
  <c r="C752" i="1"/>
  <c r="E750" i="1"/>
  <c r="D628" i="5"/>
  <c r="D886" i="3"/>
  <c r="F628" i="5"/>
  <c r="E629" i="5" s="1"/>
  <c r="C629" i="5"/>
  <c r="H627" i="5"/>
  <c r="F886" i="3"/>
  <c r="E887" i="3" s="1"/>
  <c r="C887" i="3"/>
  <c r="A753" i="1" a="1"/>
  <c r="A753" i="1" l="1"/>
  <c r="B753" i="1"/>
  <c r="F753" i="1" s="1"/>
  <c r="C753" i="1"/>
  <c r="E751" i="1"/>
  <c r="D887" i="3"/>
  <c r="D629" i="5"/>
  <c r="F887" i="3"/>
  <c r="E888" i="3" s="1"/>
  <c r="C888" i="3"/>
  <c r="H628" i="5"/>
  <c r="F629" i="5"/>
  <c r="E630" i="5" s="1"/>
  <c r="C630" i="5"/>
  <c r="A754" i="1" a="1"/>
  <c r="A754" i="1" l="1"/>
  <c r="B754" i="1"/>
  <c r="F754" i="1" s="1"/>
  <c r="C754" i="1"/>
  <c r="E752" i="1"/>
  <c r="D630" i="5"/>
  <c r="D888" i="3"/>
  <c r="F630" i="5"/>
  <c r="E631" i="5" s="1"/>
  <c r="C631" i="5"/>
  <c r="H629" i="5"/>
  <c r="F888" i="3"/>
  <c r="E889" i="3" s="1"/>
  <c r="C889" i="3"/>
  <c r="A755" i="1" a="1"/>
  <c r="A755" i="1" l="1"/>
  <c r="B755" i="1"/>
  <c r="F755" i="1" s="1"/>
  <c r="C755" i="1"/>
  <c r="E753" i="1"/>
  <c r="D889" i="3"/>
  <c r="D631" i="5"/>
  <c r="F889" i="3"/>
  <c r="E890" i="3" s="1"/>
  <c r="C890" i="3"/>
  <c r="H630" i="5"/>
  <c r="F631" i="5"/>
  <c r="E632" i="5" s="1"/>
  <c r="C632" i="5"/>
  <c r="A756" i="1" a="1"/>
  <c r="A756" i="1" l="1"/>
  <c r="B756" i="1"/>
  <c r="F756" i="1" s="1"/>
  <c r="C756" i="1"/>
  <c r="E754" i="1"/>
  <c r="D632" i="5"/>
  <c r="D890" i="3"/>
  <c r="F632" i="5"/>
  <c r="E633" i="5" s="1"/>
  <c r="C633" i="5"/>
  <c r="H631" i="5"/>
  <c r="F890" i="3"/>
  <c r="E891" i="3" s="1"/>
  <c r="C891" i="3"/>
  <c r="A757" i="1" a="1"/>
  <c r="A757" i="1" l="1"/>
  <c r="B757" i="1"/>
  <c r="F757" i="1" s="1"/>
  <c r="C757" i="1"/>
  <c r="E755" i="1"/>
  <c r="D891" i="3"/>
  <c r="D633" i="5"/>
  <c r="F891" i="3"/>
  <c r="E892" i="3" s="1"/>
  <c r="C892" i="3"/>
  <c r="H632" i="5"/>
  <c r="F633" i="5"/>
  <c r="E634" i="5" s="1"/>
  <c r="C634" i="5"/>
  <c r="A758" i="1" a="1"/>
  <c r="A758" i="1" l="1"/>
  <c r="B758" i="1"/>
  <c r="F758" i="1" s="1"/>
  <c r="C758" i="1"/>
  <c r="E756" i="1"/>
  <c r="D634" i="5"/>
  <c r="D892" i="3"/>
  <c r="F634" i="5"/>
  <c r="E635" i="5" s="1"/>
  <c r="C635" i="5"/>
  <c r="H633" i="5"/>
  <c r="F892" i="3"/>
  <c r="E893" i="3" s="1"/>
  <c r="C893" i="3"/>
  <c r="A759" i="1" a="1"/>
  <c r="A759" i="1" l="1"/>
  <c r="B759" i="1"/>
  <c r="F759" i="1" s="1"/>
  <c r="C759" i="1"/>
  <c r="E757" i="1"/>
  <c r="D893" i="3"/>
  <c r="D635" i="5"/>
  <c r="F893" i="3"/>
  <c r="E894" i="3" s="1"/>
  <c r="C894" i="3"/>
  <c r="H634" i="5"/>
  <c r="F635" i="5"/>
  <c r="E636" i="5" s="1"/>
  <c r="C636" i="5"/>
  <c r="A760" i="1" a="1"/>
  <c r="A760" i="1" l="1"/>
  <c r="B760" i="1"/>
  <c r="F760" i="1" s="1"/>
  <c r="C760" i="1"/>
  <c r="E758" i="1"/>
  <c r="D636" i="5"/>
  <c r="D894" i="3"/>
  <c r="F636" i="5"/>
  <c r="E637" i="5" s="1"/>
  <c r="C637" i="5"/>
  <c r="H635" i="5"/>
  <c r="F894" i="3"/>
  <c r="E895" i="3" s="1"/>
  <c r="C895" i="3"/>
  <c r="A761" i="1" a="1"/>
  <c r="A761" i="1" l="1"/>
  <c r="B761" i="1"/>
  <c r="F761" i="1" s="1"/>
  <c r="C761" i="1"/>
  <c r="E759" i="1"/>
  <c r="D895" i="3"/>
  <c r="D637" i="5"/>
  <c r="F895" i="3"/>
  <c r="E896" i="3" s="1"/>
  <c r="C896" i="3"/>
  <c r="H636" i="5"/>
  <c r="F637" i="5"/>
  <c r="E638" i="5" s="1"/>
  <c r="C638" i="5"/>
  <c r="A762" i="1" a="1"/>
  <c r="A762" i="1" l="1"/>
  <c r="B762" i="1"/>
  <c r="F762" i="1" s="1"/>
  <c r="C762" i="1"/>
  <c r="E760" i="1"/>
  <c r="D638" i="5"/>
  <c r="D896" i="3"/>
  <c r="F638" i="5"/>
  <c r="E639" i="5" s="1"/>
  <c r="C639" i="5"/>
  <c r="H637" i="5"/>
  <c r="F896" i="3"/>
  <c r="E897" i="3" s="1"/>
  <c r="C897" i="3"/>
  <c r="A763" i="1" a="1"/>
  <c r="A763" i="1" l="1"/>
  <c r="B763" i="1"/>
  <c r="F763" i="1" s="1"/>
  <c r="C763" i="1"/>
  <c r="E761" i="1"/>
  <c r="D897" i="3"/>
  <c r="D639" i="5"/>
  <c r="F897" i="3"/>
  <c r="E898" i="3" s="1"/>
  <c r="C898" i="3"/>
  <c r="H638" i="5"/>
  <c r="F639" i="5"/>
  <c r="E640" i="5" s="1"/>
  <c r="C640" i="5"/>
  <c r="A764" i="1" a="1"/>
  <c r="A764" i="1" l="1"/>
  <c r="B764" i="1"/>
  <c r="F764" i="1" s="1"/>
  <c r="C764" i="1"/>
  <c r="E762" i="1"/>
  <c r="D640" i="5"/>
  <c r="D898" i="3"/>
  <c r="F640" i="5"/>
  <c r="E641" i="5" s="1"/>
  <c r="C641" i="5"/>
  <c r="H639" i="5"/>
  <c r="F898" i="3"/>
  <c r="E899" i="3" s="1"/>
  <c r="C899" i="3"/>
  <c r="A765" i="1" a="1"/>
  <c r="A765" i="1" l="1"/>
  <c r="B765" i="1"/>
  <c r="F765" i="1" s="1"/>
  <c r="C765" i="1"/>
  <c r="E763" i="1"/>
  <c r="D899" i="3"/>
  <c r="D641" i="5"/>
  <c r="F899" i="3"/>
  <c r="E900" i="3" s="1"/>
  <c r="C900" i="3"/>
  <c r="H640" i="5"/>
  <c r="F641" i="5"/>
  <c r="E642" i="5" s="1"/>
  <c r="C642" i="5"/>
  <c r="A766" i="1" a="1"/>
  <c r="A766" i="1" l="1"/>
  <c r="B766" i="1"/>
  <c r="F766" i="1" s="1"/>
  <c r="C766" i="1"/>
  <c r="E764" i="1"/>
  <c r="D642" i="5"/>
  <c r="D900" i="3"/>
  <c r="F642" i="5"/>
  <c r="E643" i="5" s="1"/>
  <c r="C643" i="5"/>
  <c r="H641" i="5"/>
  <c r="F900" i="3"/>
  <c r="E901" i="3" s="1"/>
  <c r="C901" i="3"/>
  <c r="A767" i="1" a="1"/>
  <c r="A767" i="1" l="1"/>
  <c r="B767" i="1"/>
  <c r="F767" i="1" s="1"/>
  <c r="C767" i="1"/>
  <c r="E765" i="1"/>
  <c r="D901" i="3"/>
  <c r="D643" i="5"/>
  <c r="F901" i="3"/>
  <c r="E902" i="3" s="1"/>
  <c r="C902" i="3"/>
  <c r="H642" i="5"/>
  <c r="F643" i="5"/>
  <c r="E644" i="5" s="1"/>
  <c r="C644" i="5"/>
  <c r="A768" i="1" a="1"/>
  <c r="A768" i="1" l="1"/>
  <c r="B768" i="1"/>
  <c r="F768" i="1" s="1"/>
  <c r="C768" i="1"/>
  <c r="E766" i="1"/>
  <c r="D644" i="5"/>
  <c r="D902" i="3"/>
  <c r="F644" i="5"/>
  <c r="E645" i="5" s="1"/>
  <c r="C645" i="5"/>
  <c r="H643" i="5"/>
  <c r="F902" i="3"/>
  <c r="E903" i="3" s="1"/>
  <c r="C903" i="3"/>
  <c r="A769" i="1" a="1"/>
  <c r="A769" i="1" l="1"/>
  <c r="B769" i="1"/>
  <c r="F769" i="1" s="1"/>
  <c r="C769" i="1"/>
  <c r="E767" i="1"/>
  <c r="D903" i="3"/>
  <c r="D645" i="5"/>
  <c r="F903" i="3"/>
  <c r="E904" i="3" s="1"/>
  <c r="C904" i="3"/>
  <c r="H644" i="5"/>
  <c r="F645" i="5"/>
  <c r="E646" i="5" s="1"/>
  <c r="C646" i="5"/>
  <c r="A770" i="1" a="1"/>
  <c r="A770" i="1" l="1"/>
  <c r="B770" i="1"/>
  <c r="F770" i="1" s="1"/>
  <c r="C770" i="1"/>
  <c r="E768" i="1"/>
  <c r="D646" i="5"/>
  <c r="D904" i="3"/>
  <c r="F646" i="5"/>
  <c r="E647" i="5" s="1"/>
  <c r="C647" i="5"/>
  <c r="H645" i="5"/>
  <c r="F904" i="3"/>
  <c r="E905" i="3" s="1"/>
  <c r="C905" i="3"/>
  <c r="A771" i="1" a="1"/>
  <c r="A771" i="1" l="1"/>
  <c r="B771" i="1"/>
  <c r="F771" i="1" s="1"/>
  <c r="C771" i="1"/>
  <c r="E769" i="1"/>
  <c r="D905" i="3"/>
  <c r="D647" i="5"/>
  <c r="F905" i="3"/>
  <c r="E906" i="3" s="1"/>
  <c r="C906" i="3"/>
  <c r="H646" i="5"/>
  <c r="F647" i="5"/>
  <c r="E648" i="5" s="1"/>
  <c r="C648" i="5"/>
  <c r="A772" i="1" a="1"/>
  <c r="A772" i="1" l="1"/>
  <c r="B772" i="1"/>
  <c r="F772" i="1" s="1"/>
  <c r="C772" i="1"/>
  <c r="E770" i="1"/>
  <c r="D648" i="5"/>
  <c r="D906" i="3"/>
  <c r="F648" i="5"/>
  <c r="E649" i="5" s="1"/>
  <c r="C649" i="5"/>
  <c r="H647" i="5"/>
  <c r="F906" i="3"/>
  <c r="E907" i="3" s="1"/>
  <c r="C907" i="3"/>
  <c r="A773" i="1" a="1"/>
  <c r="A773" i="1" l="1"/>
  <c r="B773" i="1"/>
  <c r="F773" i="1" s="1"/>
  <c r="C773" i="1"/>
  <c r="E771" i="1"/>
  <c r="D907" i="3"/>
  <c r="D649" i="5"/>
  <c r="F907" i="3"/>
  <c r="E908" i="3" s="1"/>
  <c r="C908" i="3"/>
  <c r="H648" i="5"/>
  <c r="F649" i="5"/>
  <c r="E650" i="5" s="1"/>
  <c r="C650" i="5"/>
  <c r="A774" i="1" a="1"/>
  <c r="A774" i="1" l="1"/>
  <c r="B774" i="1"/>
  <c r="F774" i="1" s="1"/>
  <c r="C774" i="1"/>
  <c r="E772" i="1"/>
  <c r="D650" i="5"/>
  <c r="D908" i="3"/>
  <c r="F650" i="5"/>
  <c r="E651" i="5" s="1"/>
  <c r="C651" i="5"/>
  <c r="H649" i="5"/>
  <c r="F908" i="3"/>
  <c r="E909" i="3" s="1"/>
  <c r="C909" i="3"/>
  <c r="A775" i="1" a="1"/>
  <c r="A775" i="1" l="1"/>
  <c r="B775" i="1"/>
  <c r="F775" i="1" s="1"/>
  <c r="C775" i="1"/>
  <c r="E773" i="1"/>
  <c r="D909" i="3"/>
  <c r="D651" i="5"/>
  <c r="F909" i="3"/>
  <c r="E910" i="3" s="1"/>
  <c r="C910" i="3"/>
  <c r="H650" i="5"/>
  <c r="F651" i="5"/>
  <c r="E652" i="5" s="1"/>
  <c r="C652" i="5"/>
  <c r="A776" i="1" a="1"/>
  <c r="A776" i="1" l="1"/>
  <c r="B776" i="1"/>
  <c r="F776" i="1" s="1"/>
  <c r="C776" i="1"/>
  <c r="E774" i="1"/>
  <c r="D652" i="5"/>
  <c r="D910" i="3"/>
  <c r="F652" i="5"/>
  <c r="E653" i="5" s="1"/>
  <c r="C653" i="5"/>
  <c r="H651" i="5"/>
  <c r="F910" i="3"/>
  <c r="E911" i="3" s="1"/>
  <c r="C911" i="3"/>
  <c r="A777" i="1" a="1"/>
  <c r="A777" i="1" l="1"/>
  <c r="B777" i="1"/>
  <c r="F777" i="1" s="1"/>
  <c r="C777" i="1"/>
  <c r="E775" i="1"/>
  <c r="D911" i="3"/>
  <c r="D653" i="5"/>
  <c r="F911" i="3"/>
  <c r="E912" i="3" s="1"/>
  <c r="C912" i="3"/>
  <c r="H652" i="5"/>
  <c r="F653" i="5"/>
  <c r="E654" i="5" s="1"/>
  <c r="C654" i="5"/>
  <c r="A778" i="1" a="1"/>
  <c r="A778" i="1" l="1"/>
  <c r="B778" i="1"/>
  <c r="F778" i="1" s="1"/>
  <c r="C778" i="1"/>
  <c r="E776" i="1"/>
  <c r="D654" i="5"/>
  <c r="D912" i="3"/>
  <c r="F654" i="5"/>
  <c r="E655" i="5" s="1"/>
  <c r="C655" i="5"/>
  <c r="H653" i="5"/>
  <c r="F912" i="3"/>
  <c r="E913" i="3" s="1"/>
  <c r="C913" i="3"/>
  <c r="A779" i="1" a="1"/>
  <c r="A779" i="1" l="1"/>
  <c r="B779" i="1"/>
  <c r="F779" i="1" s="1"/>
  <c r="C779" i="1"/>
  <c r="E777" i="1"/>
  <c r="D913" i="3"/>
  <c r="D655" i="5"/>
  <c r="F913" i="3"/>
  <c r="E914" i="3" s="1"/>
  <c r="C914" i="3"/>
  <c r="H654" i="5"/>
  <c r="F655" i="5"/>
  <c r="E656" i="5" s="1"/>
  <c r="C656" i="5"/>
  <c r="A780" i="1" a="1"/>
  <c r="A780" i="1" l="1"/>
  <c r="B780" i="1"/>
  <c r="F780" i="1" s="1"/>
  <c r="C780" i="1"/>
  <c r="E778" i="1"/>
  <c r="D656" i="5"/>
  <c r="D914" i="3"/>
  <c r="F656" i="5"/>
  <c r="E657" i="5" s="1"/>
  <c r="C657" i="5"/>
  <c r="H655" i="5"/>
  <c r="F914" i="3"/>
  <c r="E915" i="3" s="1"/>
  <c r="C915" i="3"/>
  <c r="A781" i="1" a="1"/>
  <c r="A781" i="1" l="1"/>
  <c r="B781" i="1"/>
  <c r="F781" i="1" s="1"/>
  <c r="C781" i="1"/>
  <c r="E779" i="1"/>
  <c r="D915" i="3"/>
  <c r="D657" i="5"/>
  <c r="F915" i="3"/>
  <c r="E916" i="3" s="1"/>
  <c r="C916" i="3"/>
  <c r="H656" i="5"/>
  <c r="F657" i="5"/>
  <c r="E658" i="5" s="1"/>
  <c r="C658" i="5"/>
  <c r="A782" i="1" a="1"/>
  <c r="A782" i="1" l="1"/>
  <c r="B782" i="1"/>
  <c r="F782" i="1" s="1"/>
  <c r="C782" i="1"/>
  <c r="E780" i="1"/>
  <c r="D658" i="5"/>
  <c r="D916" i="3"/>
  <c r="F658" i="5"/>
  <c r="E659" i="5" s="1"/>
  <c r="C659" i="5"/>
  <c r="H657" i="5"/>
  <c r="F916" i="3"/>
  <c r="E917" i="3" s="1"/>
  <c r="C917" i="3"/>
  <c r="A783" i="1" a="1"/>
  <c r="A783" i="1" l="1"/>
  <c r="B783" i="1"/>
  <c r="F783" i="1" s="1"/>
  <c r="C783" i="1"/>
  <c r="E781" i="1"/>
  <c r="D917" i="3"/>
  <c r="D659" i="5"/>
  <c r="F917" i="3"/>
  <c r="E918" i="3" s="1"/>
  <c r="C918" i="3"/>
  <c r="H658" i="5"/>
  <c r="F659" i="5"/>
  <c r="E660" i="5" s="1"/>
  <c r="C660" i="5"/>
  <c r="A784" i="1" a="1"/>
  <c r="A784" i="1" l="1"/>
  <c r="B784" i="1"/>
  <c r="F784" i="1" s="1"/>
  <c r="C784" i="1"/>
  <c r="E782" i="1"/>
  <c r="D660" i="5"/>
  <c r="D918" i="3"/>
  <c r="F660" i="5"/>
  <c r="E661" i="5" s="1"/>
  <c r="C661" i="5"/>
  <c r="H659" i="5"/>
  <c r="F918" i="3"/>
  <c r="E919" i="3" s="1"/>
  <c r="C919" i="3"/>
  <c r="A785" i="1" a="1"/>
  <c r="A785" i="1" l="1"/>
  <c r="B785" i="1"/>
  <c r="F785" i="1" s="1"/>
  <c r="C785" i="1"/>
  <c r="E783" i="1"/>
  <c r="D919" i="3"/>
  <c r="D661" i="5"/>
  <c r="F919" i="3"/>
  <c r="E920" i="3" s="1"/>
  <c r="C920" i="3"/>
  <c r="H660" i="5"/>
  <c r="F661" i="5"/>
  <c r="E662" i="5" s="1"/>
  <c r="C662" i="5"/>
  <c r="A786" i="1" a="1"/>
  <c r="A786" i="1" l="1"/>
  <c r="B786" i="1"/>
  <c r="F786" i="1" s="1"/>
  <c r="C786" i="1"/>
  <c r="E784" i="1"/>
  <c r="D662" i="5"/>
  <c r="D920" i="3"/>
  <c r="F662" i="5"/>
  <c r="E663" i="5" s="1"/>
  <c r="C663" i="5"/>
  <c r="H661" i="5"/>
  <c r="F920" i="3"/>
  <c r="E921" i="3" s="1"/>
  <c r="C921" i="3"/>
  <c r="A787" i="1" a="1"/>
  <c r="A787" i="1" l="1"/>
  <c r="B787" i="1"/>
  <c r="F787" i="1" s="1"/>
  <c r="C787" i="1"/>
  <c r="E785" i="1"/>
  <c r="D921" i="3"/>
  <c r="D663" i="5"/>
  <c r="F921" i="3"/>
  <c r="E922" i="3" s="1"/>
  <c r="C922" i="3"/>
  <c r="H662" i="5"/>
  <c r="F663" i="5"/>
  <c r="E664" i="5" s="1"/>
  <c r="C664" i="5"/>
  <c r="A788" i="1" a="1"/>
  <c r="A788" i="1" l="1"/>
  <c r="B788" i="1"/>
  <c r="F788" i="1" s="1"/>
  <c r="C788" i="1"/>
  <c r="E786" i="1"/>
  <c r="D664" i="5"/>
  <c r="D922" i="3"/>
  <c r="F664" i="5"/>
  <c r="E665" i="5" s="1"/>
  <c r="C665" i="5"/>
  <c r="H663" i="5"/>
  <c r="F922" i="3"/>
  <c r="E923" i="3" s="1"/>
  <c r="C923" i="3"/>
  <c r="A789" i="1" a="1"/>
  <c r="A789" i="1" l="1"/>
  <c r="B789" i="1"/>
  <c r="F789" i="1" s="1"/>
  <c r="C789" i="1"/>
  <c r="E787" i="1"/>
  <c r="D923" i="3"/>
  <c r="D665" i="5"/>
  <c r="F923" i="3"/>
  <c r="E924" i="3" s="1"/>
  <c r="C924" i="3"/>
  <c r="H664" i="5"/>
  <c r="F665" i="5"/>
  <c r="E666" i="5" s="1"/>
  <c r="C666" i="5"/>
  <c r="A790" i="1" a="1"/>
  <c r="A790" i="1" l="1"/>
  <c r="B790" i="1"/>
  <c r="F790" i="1" s="1"/>
  <c r="C790" i="1"/>
  <c r="E788" i="1"/>
  <c r="D666" i="5"/>
  <c r="D924" i="3"/>
  <c r="F666" i="5"/>
  <c r="E667" i="5" s="1"/>
  <c r="C667" i="5"/>
  <c r="H665" i="5"/>
  <c r="F924" i="3"/>
  <c r="E925" i="3" s="1"/>
  <c r="C925" i="3"/>
  <c r="A791" i="1" a="1"/>
  <c r="A791" i="1" l="1"/>
  <c r="B791" i="1"/>
  <c r="F791" i="1" s="1"/>
  <c r="C791" i="1"/>
  <c r="E789" i="1"/>
  <c r="D925" i="3"/>
  <c r="D667" i="5"/>
  <c r="F925" i="3"/>
  <c r="E926" i="3" s="1"/>
  <c r="C926" i="3"/>
  <c r="H666" i="5"/>
  <c r="F667" i="5"/>
  <c r="E668" i="5" s="1"/>
  <c r="C668" i="5"/>
  <c r="A792" i="1" a="1"/>
  <c r="A792" i="1" l="1"/>
  <c r="B792" i="1"/>
  <c r="F792" i="1" s="1"/>
  <c r="C792" i="1"/>
  <c r="E790" i="1"/>
  <c r="D668" i="5"/>
  <c r="D926" i="3"/>
  <c r="F668" i="5"/>
  <c r="E669" i="5" s="1"/>
  <c r="C669" i="5"/>
  <c r="H667" i="5"/>
  <c r="F926" i="3"/>
  <c r="E927" i="3" s="1"/>
  <c r="C927" i="3"/>
  <c r="A793" i="1" a="1"/>
  <c r="A793" i="1" l="1"/>
  <c r="B793" i="1"/>
  <c r="F793" i="1" s="1"/>
  <c r="C793" i="1"/>
  <c r="E791" i="1"/>
  <c r="D927" i="3"/>
  <c r="D669" i="5"/>
  <c r="F927" i="3"/>
  <c r="E928" i="3" s="1"/>
  <c r="C928" i="3"/>
  <c r="H668" i="5"/>
  <c r="F669" i="5"/>
  <c r="E670" i="5" s="1"/>
  <c r="C670" i="5"/>
  <c r="A794" i="1" a="1"/>
  <c r="A794" i="1" l="1"/>
  <c r="B794" i="1"/>
  <c r="F794" i="1" s="1"/>
  <c r="C794" i="1"/>
  <c r="E792" i="1"/>
  <c r="D670" i="5"/>
  <c r="D928" i="3"/>
  <c r="F670" i="5"/>
  <c r="E671" i="5" s="1"/>
  <c r="C671" i="5"/>
  <c r="H669" i="5"/>
  <c r="F928" i="3"/>
  <c r="E929" i="3" s="1"/>
  <c r="C929" i="3"/>
  <c r="A795" i="1" a="1"/>
  <c r="A795" i="1" l="1"/>
  <c r="B795" i="1"/>
  <c r="F795" i="1" s="1"/>
  <c r="C795" i="1"/>
  <c r="E793" i="1"/>
  <c r="D929" i="3"/>
  <c r="D671" i="5"/>
  <c r="F929" i="3"/>
  <c r="E930" i="3" s="1"/>
  <c r="C930" i="3"/>
  <c r="H670" i="5"/>
  <c r="F671" i="5"/>
  <c r="E672" i="5" s="1"/>
  <c r="C672" i="5"/>
  <c r="A796" i="1" a="1"/>
  <c r="A796" i="1" l="1"/>
  <c r="B796" i="1"/>
  <c r="F796" i="1" s="1"/>
  <c r="C796" i="1"/>
  <c r="E794" i="1"/>
  <c r="D672" i="5"/>
  <c r="D930" i="3"/>
  <c r="F672" i="5"/>
  <c r="E673" i="5" s="1"/>
  <c r="C673" i="5"/>
  <c r="H671" i="5"/>
  <c r="F930" i="3"/>
  <c r="E931" i="3" s="1"/>
  <c r="C931" i="3"/>
  <c r="A797" i="1" a="1"/>
  <c r="A797" i="1" l="1"/>
  <c r="B797" i="1"/>
  <c r="F797" i="1" s="1"/>
  <c r="C797" i="1"/>
  <c r="E795" i="1"/>
  <c r="D931" i="3"/>
  <c r="D673" i="5"/>
  <c r="F931" i="3"/>
  <c r="E932" i="3" s="1"/>
  <c r="C932" i="3"/>
  <c r="H672" i="5"/>
  <c r="F673" i="5"/>
  <c r="E674" i="5" s="1"/>
  <c r="C674" i="5"/>
  <c r="A798" i="1" a="1"/>
  <c r="A798" i="1" l="1"/>
  <c r="B798" i="1"/>
  <c r="F798" i="1" s="1"/>
  <c r="C798" i="1"/>
  <c r="E796" i="1"/>
  <c r="D674" i="5"/>
  <c r="D932" i="3"/>
  <c r="F674" i="5"/>
  <c r="E675" i="5" s="1"/>
  <c r="C675" i="5"/>
  <c r="H673" i="5"/>
  <c r="F932" i="3"/>
  <c r="E933" i="3" s="1"/>
  <c r="C933" i="3"/>
  <c r="A799" i="1" a="1"/>
  <c r="A799" i="1" l="1"/>
  <c r="B799" i="1"/>
  <c r="F799" i="1" s="1"/>
  <c r="C799" i="1"/>
  <c r="E797" i="1"/>
  <c r="D933" i="3"/>
  <c r="D675" i="5"/>
  <c r="F933" i="3"/>
  <c r="E934" i="3" s="1"/>
  <c r="C934" i="3"/>
  <c r="H674" i="5"/>
  <c r="F675" i="5"/>
  <c r="E676" i="5" s="1"/>
  <c r="C676" i="5"/>
  <c r="A800" i="1" a="1"/>
  <c r="A800" i="1" l="1"/>
  <c r="B800" i="1"/>
  <c r="F800" i="1" s="1"/>
  <c r="C800" i="1"/>
  <c r="E798" i="1"/>
  <c r="D676" i="5"/>
  <c r="D934" i="3"/>
  <c r="F676" i="5"/>
  <c r="E677" i="5" s="1"/>
  <c r="C677" i="5"/>
  <c r="H675" i="5"/>
  <c r="F934" i="3"/>
  <c r="E935" i="3" s="1"/>
  <c r="C935" i="3"/>
  <c r="A801" i="1" a="1"/>
  <c r="A801" i="1" l="1"/>
  <c r="B801" i="1"/>
  <c r="F801" i="1" s="1"/>
  <c r="C801" i="1"/>
  <c r="E799" i="1"/>
  <c r="D935" i="3"/>
  <c r="D677" i="5"/>
  <c r="F935" i="3"/>
  <c r="E936" i="3" s="1"/>
  <c r="C936" i="3"/>
  <c r="H676" i="5"/>
  <c r="F677" i="5"/>
  <c r="E678" i="5" s="1"/>
  <c r="C678" i="5"/>
  <c r="A802" i="1" a="1"/>
  <c r="A802" i="1" l="1"/>
  <c r="B802" i="1"/>
  <c r="F802" i="1" s="1"/>
  <c r="C802" i="1"/>
  <c r="E800" i="1"/>
  <c r="D678" i="5"/>
  <c r="D936" i="3"/>
  <c r="F678" i="5"/>
  <c r="E679" i="5" s="1"/>
  <c r="C679" i="5"/>
  <c r="H677" i="5"/>
  <c r="F936" i="3"/>
  <c r="E937" i="3" s="1"/>
  <c r="C937" i="3"/>
  <c r="A803" i="1" a="1"/>
  <c r="A803" i="1" l="1"/>
  <c r="B803" i="1"/>
  <c r="F803" i="1" s="1"/>
  <c r="C803" i="1"/>
  <c r="E801" i="1"/>
  <c r="D937" i="3"/>
  <c r="D679" i="5"/>
  <c r="F937" i="3"/>
  <c r="E938" i="3" s="1"/>
  <c r="C938" i="3"/>
  <c r="H678" i="5"/>
  <c r="F679" i="5"/>
  <c r="E680" i="5" s="1"/>
  <c r="C680" i="5"/>
  <c r="A804" i="1" a="1"/>
  <c r="A804" i="1" l="1"/>
  <c r="B804" i="1"/>
  <c r="F804" i="1" s="1"/>
  <c r="C804" i="1"/>
  <c r="E802" i="1"/>
  <c r="D680" i="5"/>
  <c r="D938" i="3"/>
  <c r="F680" i="5"/>
  <c r="E681" i="5" s="1"/>
  <c r="C681" i="5"/>
  <c r="H679" i="5"/>
  <c r="F938" i="3"/>
  <c r="E939" i="3" s="1"/>
  <c r="C939" i="3"/>
  <c r="A805" i="1" a="1"/>
  <c r="A805" i="1" l="1"/>
  <c r="B805" i="1"/>
  <c r="F805" i="1" s="1"/>
  <c r="C805" i="1"/>
  <c r="E803" i="1"/>
  <c r="D939" i="3"/>
  <c r="D681" i="5"/>
  <c r="F939" i="3"/>
  <c r="E940" i="3" s="1"/>
  <c r="C940" i="3"/>
  <c r="H680" i="5"/>
  <c r="F681" i="5"/>
  <c r="E682" i="5" s="1"/>
  <c r="C682" i="5"/>
  <c r="A806" i="1" a="1"/>
  <c r="A806" i="1" l="1"/>
  <c r="B806" i="1"/>
  <c r="F806" i="1" s="1"/>
  <c r="C806" i="1"/>
  <c r="E804" i="1"/>
  <c r="D682" i="5"/>
  <c r="D940" i="3"/>
  <c r="F682" i="5"/>
  <c r="E683" i="5" s="1"/>
  <c r="C683" i="5"/>
  <c r="H681" i="5"/>
  <c r="F940" i="3"/>
  <c r="E941" i="3" s="1"/>
  <c r="C941" i="3"/>
  <c r="A807" i="1" a="1"/>
  <c r="A807" i="1" l="1"/>
  <c r="B807" i="1"/>
  <c r="F807" i="1" s="1"/>
  <c r="C807" i="1"/>
  <c r="E805" i="1"/>
  <c r="D941" i="3"/>
  <c r="D683" i="5"/>
  <c r="C942" i="3"/>
  <c r="F941" i="3"/>
  <c r="E942" i="3" s="1"/>
  <c r="H682" i="5"/>
  <c r="F683" i="5"/>
  <c r="E684" i="5" s="1"/>
  <c r="C684" i="5"/>
  <c r="A808" i="1" a="1"/>
  <c r="A808" i="1" l="1"/>
  <c r="B808" i="1"/>
  <c r="F808" i="1" s="1"/>
  <c r="C808" i="1"/>
  <c r="E806" i="1"/>
  <c r="D684" i="5"/>
  <c r="D942" i="3"/>
  <c r="F684" i="5"/>
  <c r="E685" i="5" s="1"/>
  <c r="C685" i="5"/>
  <c r="H683" i="5"/>
  <c r="F942" i="3"/>
  <c r="E943" i="3" s="1"/>
  <c r="C943" i="3"/>
  <c r="A809" i="1" a="1"/>
  <c r="A809" i="1" l="1"/>
  <c r="B809" i="1"/>
  <c r="F809" i="1" s="1"/>
  <c r="C809" i="1"/>
  <c r="E807" i="1"/>
  <c r="D943" i="3"/>
  <c r="D685" i="5"/>
  <c r="F943" i="3"/>
  <c r="E944" i="3" s="1"/>
  <c r="C944" i="3"/>
  <c r="H684" i="5"/>
  <c r="F685" i="5"/>
  <c r="E686" i="5" s="1"/>
  <c r="C686" i="5"/>
  <c r="A810" i="1" a="1"/>
  <c r="A810" i="1" l="1"/>
  <c r="B810" i="1"/>
  <c r="F810" i="1" s="1"/>
  <c r="C810" i="1"/>
  <c r="E808" i="1"/>
  <c r="D686" i="5"/>
  <c r="D944" i="3"/>
  <c r="F686" i="5"/>
  <c r="E687" i="5" s="1"/>
  <c r="C687" i="5"/>
  <c r="H685" i="5"/>
  <c r="F944" i="3"/>
  <c r="E945" i="3" s="1"/>
  <c r="C945" i="3"/>
  <c r="A811" i="1" a="1"/>
  <c r="A811" i="1" l="1"/>
  <c r="B811" i="1"/>
  <c r="F811" i="1" s="1"/>
  <c r="C811" i="1"/>
  <c r="E809" i="1"/>
  <c r="D945" i="3"/>
  <c r="D687" i="5"/>
  <c r="F945" i="3"/>
  <c r="E946" i="3" s="1"/>
  <c r="C946" i="3"/>
  <c r="H686" i="5"/>
  <c r="F687" i="5"/>
  <c r="E688" i="5" s="1"/>
  <c r="C688" i="5"/>
  <c r="A812" i="1" a="1"/>
  <c r="A812" i="1" l="1"/>
  <c r="B812" i="1"/>
  <c r="F812" i="1" s="1"/>
  <c r="C812" i="1"/>
  <c r="E810" i="1"/>
  <c r="D688" i="5"/>
  <c r="D946" i="3"/>
  <c r="F688" i="5"/>
  <c r="E689" i="5" s="1"/>
  <c r="C689" i="5"/>
  <c r="H687" i="5"/>
  <c r="F946" i="3"/>
  <c r="E947" i="3" s="1"/>
  <c r="C947" i="3"/>
  <c r="A813" i="1" a="1"/>
  <c r="A813" i="1" l="1"/>
  <c r="B813" i="1"/>
  <c r="F813" i="1" s="1"/>
  <c r="C813" i="1"/>
  <c r="E811" i="1"/>
  <c r="D947" i="3"/>
  <c r="D689" i="5"/>
  <c r="F947" i="3"/>
  <c r="E948" i="3" s="1"/>
  <c r="C948" i="3"/>
  <c r="H688" i="5"/>
  <c r="F689" i="5"/>
  <c r="E690" i="5" s="1"/>
  <c r="C690" i="5"/>
  <c r="A814" i="1" a="1"/>
  <c r="A814" i="1" l="1"/>
  <c r="B814" i="1"/>
  <c r="F814" i="1" s="1"/>
  <c r="C814" i="1"/>
  <c r="E812" i="1"/>
  <c r="D690" i="5"/>
  <c r="D948" i="3"/>
  <c r="F690" i="5"/>
  <c r="E691" i="5" s="1"/>
  <c r="C691" i="5"/>
  <c r="H689" i="5"/>
  <c r="F948" i="3"/>
  <c r="E949" i="3" s="1"/>
  <c r="C949" i="3"/>
  <c r="A815" i="1" a="1"/>
  <c r="A815" i="1" l="1"/>
  <c r="B815" i="1"/>
  <c r="F815" i="1" s="1"/>
  <c r="C815" i="1"/>
  <c r="E813" i="1"/>
  <c r="D949" i="3"/>
  <c r="D691" i="5"/>
  <c r="F949" i="3"/>
  <c r="E950" i="3" s="1"/>
  <c r="C950" i="3"/>
  <c r="H690" i="5"/>
  <c r="F691" i="5"/>
  <c r="E692" i="5" s="1"/>
  <c r="C692" i="5"/>
  <c r="A816" i="1" a="1"/>
  <c r="A816" i="1" l="1"/>
  <c r="B816" i="1"/>
  <c r="F816" i="1" s="1"/>
  <c r="C816" i="1"/>
  <c r="E814" i="1"/>
  <c r="D692" i="5"/>
  <c r="D950" i="3"/>
  <c r="F692" i="5"/>
  <c r="E693" i="5" s="1"/>
  <c r="C693" i="5"/>
  <c r="H691" i="5"/>
  <c r="F950" i="3"/>
  <c r="E951" i="3" s="1"/>
  <c r="C951" i="3"/>
  <c r="A817" i="1" a="1"/>
  <c r="A817" i="1" l="1"/>
  <c r="B817" i="1"/>
  <c r="F817" i="1" s="1"/>
  <c r="C817" i="1"/>
  <c r="E815" i="1"/>
  <c r="D951" i="3"/>
  <c r="D693" i="5"/>
  <c r="F951" i="3"/>
  <c r="E952" i="3" s="1"/>
  <c r="C952" i="3"/>
  <c r="H692" i="5"/>
  <c r="F693" i="5"/>
  <c r="E694" i="5" s="1"/>
  <c r="C694" i="5"/>
  <c r="A818" i="1" a="1"/>
  <c r="A818" i="1" l="1"/>
  <c r="B818" i="1"/>
  <c r="F818" i="1" s="1"/>
  <c r="C818" i="1"/>
  <c r="E816" i="1"/>
  <c r="D694" i="5"/>
  <c r="D952" i="3"/>
  <c r="F694" i="5"/>
  <c r="E695" i="5" s="1"/>
  <c r="C695" i="5"/>
  <c r="H693" i="5"/>
  <c r="F952" i="3"/>
  <c r="E953" i="3" s="1"/>
  <c r="C953" i="3"/>
  <c r="A819" i="1" a="1"/>
  <c r="A819" i="1" l="1"/>
  <c r="B819" i="1"/>
  <c r="F819" i="1" s="1"/>
  <c r="C819" i="1"/>
  <c r="E817" i="1"/>
  <c r="D953" i="3"/>
  <c r="D695" i="5"/>
  <c r="F953" i="3"/>
  <c r="E954" i="3" s="1"/>
  <c r="C954" i="3"/>
  <c r="H694" i="5"/>
  <c r="F695" i="5"/>
  <c r="E696" i="5" s="1"/>
  <c r="C696" i="5"/>
  <c r="A820" i="1" a="1"/>
  <c r="A820" i="1" l="1"/>
  <c r="B820" i="1"/>
  <c r="F820" i="1" s="1"/>
  <c r="C820" i="1"/>
  <c r="E818" i="1"/>
  <c r="D696" i="5"/>
  <c r="D954" i="3"/>
  <c r="F696" i="5"/>
  <c r="E697" i="5" s="1"/>
  <c r="C697" i="5"/>
  <c r="H695" i="5"/>
  <c r="F954" i="3"/>
  <c r="E955" i="3" s="1"/>
  <c r="C955" i="3"/>
  <c r="A821" i="1" a="1"/>
  <c r="A821" i="1" l="1"/>
  <c r="B821" i="1"/>
  <c r="F821" i="1" s="1"/>
  <c r="C821" i="1"/>
  <c r="E819" i="1"/>
  <c r="D955" i="3"/>
  <c r="D697" i="5"/>
  <c r="F955" i="3"/>
  <c r="E956" i="3" s="1"/>
  <c r="C956" i="3"/>
  <c r="H696" i="5"/>
  <c r="F697" i="5"/>
  <c r="E698" i="5" s="1"/>
  <c r="C698" i="5"/>
  <c r="A822" i="1" a="1"/>
  <c r="A822" i="1" l="1"/>
  <c r="B822" i="1"/>
  <c r="F822" i="1" s="1"/>
  <c r="C822" i="1"/>
  <c r="E820" i="1"/>
  <c r="D698" i="5"/>
  <c r="D956" i="3"/>
  <c r="F698" i="5"/>
  <c r="E699" i="5" s="1"/>
  <c r="C699" i="5"/>
  <c r="H697" i="5"/>
  <c r="F956" i="3"/>
  <c r="E957" i="3" s="1"/>
  <c r="C957" i="3"/>
  <c r="A823" i="1" a="1"/>
  <c r="A823" i="1" l="1"/>
  <c r="B823" i="1"/>
  <c r="F823" i="1" s="1"/>
  <c r="C823" i="1"/>
  <c r="E821" i="1"/>
  <c r="D957" i="3"/>
  <c r="D699" i="5"/>
  <c r="F957" i="3"/>
  <c r="E958" i="3" s="1"/>
  <c r="C958" i="3"/>
  <c r="H698" i="5"/>
  <c r="F699" i="5"/>
  <c r="E700" i="5" s="1"/>
  <c r="C700" i="5"/>
  <c r="A824" i="1" a="1"/>
  <c r="A824" i="1" l="1"/>
  <c r="B824" i="1"/>
  <c r="F824" i="1" s="1"/>
  <c r="C824" i="1"/>
  <c r="E822" i="1"/>
  <c r="D700" i="5"/>
  <c r="D958" i="3"/>
  <c r="F700" i="5"/>
  <c r="E701" i="5" s="1"/>
  <c r="C701" i="5"/>
  <c r="H699" i="5"/>
  <c r="F958" i="3"/>
  <c r="E959" i="3" s="1"/>
  <c r="C959" i="3"/>
  <c r="A825" i="1" a="1"/>
  <c r="A825" i="1" l="1"/>
  <c r="B825" i="1"/>
  <c r="F825" i="1" s="1"/>
  <c r="C825" i="1"/>
  <c r="E823" i="1"/>
  <c r="D959" i="3"/>
  <c r="D701" i="5"/>
  <c r="F959" i="3"/>
  <c r="E960" i="3" s="1"/>
  <c r="C960" i="3"/>
  <c r="H700" i="5"/>
  <c r="F701" i="5"/>
  <c r="E702" i="5" s="1"/>
  <c r="C702" i="5"/>
  <c r="A826" i="1" a="1"/>
  <c r="A826" i="1" l="1"/>
  <c r="B826" i="1"/>
  <c r="F826" i="1" s="1"/>
  <c r="C826" i="1"/>
  <c r="E824" i="1"/>
  <c r="D702" i="5"/>
  <c r="D960" i="3"/>
  <c r="F702" i="5"/>
  <c r="E703" i="5" s="1"/>
  <c r="C703" i="5"/>
  <c r="H701" i="5"/>
  <c r="F960" i="3"/>
  <c r="E961" i="3" s="1"/>
  <c r="C961" i="3"/>
  <c r="A827" i="1" a="1"/>
  <c r="A827" i="1" l="1"/>
  <c r="B827" i="1"/>
  <c r="F827" i="1" s="1"/>
  <c r="C827" i="1"/>
  <c r="E825" i="1"/>
  <c r="D961" i="3"/>
  <c r="D703" i="5"/>
  <c r="F961" i="3"/>
  <c r="E962" i="3" s="1"/>
  <c r="C962" i="3"/>
  <c r="H702" i="5"/>
  <c r="F703" i="5"/>
  <c r="E704" i="5" s="1"/>
  <c r="C704" i="5"/>
  <c r="A828" i="1" a="1"/>
  <c r="A828" i="1" l="1"/>
  <c r="B828" i="1"/>
  <c r="F828" i="1" s="1"/>
  <c r="C828" i="1"/>
  <c r="E826" i="1"/>
  <c r="D704" i="5"/>
  <c r="D962" i="3"/>
  <c r="F704" i="5"/>
  <c r="E705" i="5" s="1"/>
  <c r="C705" i="5"/>
  <c r="H703" i="5"/>
  <c r="F962" i="3"/>
  <c r="E963" i="3" s="1"/>
  <c r="C963" i="3"/>
  <c r="A829" i="1" a="1"/>
  <c r="A829" i="1" l="1"/>
  <c r="B829" i="1"/>
  <c r="F829" i="1" s="1"/>
  <c r="C829" i="1"/>
  <c r="E827" i="1"/>
  <c r="D963" i="3"/>
  <c r="D705" i="5"/>
  <c r="F963" i="3"/>
  <c r="E964" i="3" s="1"/>
  <c r="C964" i="3"/>
  <c r="H704" i="5"/>
  <c r="F705" i="5"/>
  <c r="E706" i="5" s="1"/>
  <c r="C706" i="5"/>
  <c r="A830" i="1" a="1"/>
  <c r="A830" i="1" l="1"/>
  <c r="B830" i="1"/>
  <c r="F830" i="1" s="1"/>
  <c r="C830" i="1"/>
  <c r="E828" i="1"/>
  <c r="D706" i="5"/>
  <c r="D964" i="3"/>
  <c r="F706" i="5"/>
  <c r="E707" i="5" s="1"/>
  <c r="C707" i="5"/>
  <c r="H705" i="5"/>
  <c r="F964" i="3"/>
  <c r="E965" i="3" s="1"/>
  <c r="C965" i="3"/>
  <c r="A831" i="1" a="1"/>
  <c r="A831" i="1" l="1"/>
  <c r="B831" i="1"/>
  <c r="F831" i="1" s="1"/>
  <c r="C831" i="1"/>
  <c r="E829" i="1"/>
  <c r="D965" i="3"/>
  <c r="D707" i="5"/>
  <c r="F965" i="3"/>
  <c r="E966" i="3" s="1"/>
  <c r="C966" i="3"/>
  <c r="H706" i="5"/>
  <c r="F707" i="5"/>
  <c r="E708" i="5" s="1"/>
  <c r="C708" i="5"/>
  <c r="A832" i="1" a="1"/>
  <c r="A832" i="1" l="1"/>
  <c r="B832" i="1"/>
  <c r="F832" i="1" s="1"/>
  <c r="C832" i="1"/>
  <c r="E830" i="1"/>
  <c r="D708" i="5"/>
  <c r="D966" i="3"/>
  <c r="F708" i="5"/>
  <c r="E709" i="5" s="1"/>
  <c r="C709" i="5"/>
  <c r="H707" i="5"/>
  <c r="F966" i="3"/>
  <c r="E967" i="3" s="1"/>
  <c r="C967" i="3"/>
  <c r="A833" i="1" a="1"/>
  <c r="A833" i="1" l="1"/>
  <c r="B833" i="1"/>
  <c r="F833" i="1" s="1"/>
  <c r="C833" i="1"/>
  <c r="E831" i="1"/>
  <c r="D967" i="3"/>
  <c r="D709" i="5"/>
  <c r="F967" i="3"/>
  <c r="E968" i="3" s="1"/>
  <c r="C968" i="3"/>
  <c r="H708" i="5"/>
  <c r="F709" i="5"/>
  <c r="E710" i="5" s="1"/>
  <c r="C710" i="5"/>
  <c r="A834" i="1" a="1"/>
  <c r="A834" i="1" l="1"/>
  <c r="B834" i="1"/>
  <c r="F834" i="1" s="1"/>
  <c r="C834" i="1"/>
  <c r="E832" i="1"/>
  <c r="D710" i="5"/>
  <c r="D968" i="3"/>
  <c r="F710" i="5"/>
  <c r="E711" i="5" s="1"/>
  <c r="C711" i="5"/>
  <c r="H709" i="5"/>
  <c r="F968" i="3"/>
  <c r="E969" i="3" s="1"/>
  <c r="C969" i="3"/>
  <c r="A835" i="1" a="1"/>
  <c r="A835" i="1" l="1"/>
  <c r="B835" i="1"/>
  <c r="F835" i="1" s="1"/>
  <c r="C835" i="1"/>
  <c r="E833" i="1"/>
  <c r="D969" i="3"/>
  <c r="D711" i="5"/>
  <c r="F969" i="3"/>
  <c r="E970" i="3" s="1"/>
  <c r="C970" i="3"/>
  <c r="H710" i="5"/>
  <c r="F711" i="5"/>
  <c r="E712" i="5" s="1"/>
  <c r="C712" i="5"/>
  <c r="A836" i="1" a="1"/>
  <c r="A836" i="1" l="1"/>
  <c r="B836" i="1"/>
  <c r="F836" i="1" s="1"/>
  <c r="C836" i="1"/>
  <c r="E834" i="1"/>
  <c r="D712" i="5"/>
  <c r="D970" i="3"/>
  <c r="F712" i="5"/>
  <c r="E713" i="5" s="1"/>
  <c r="C713" i="5"/>
  <c r="H711" i="5"/>
  <c r="F970" i="3"/>
  <c r="E971" i="3" s="1"/>
  <c r="C971" i="3"/>
  <c r="A837" i="1" a="1"/>
  <c r="A837" i="1" l="1"/>
  <c r="B837" i="1"/>
  <c r="F837" i="1" s="1"/>
  <c r="C837" i="1"/>
  <c r="E835" i="1"/>
  <c r="D971" i="3"/>
  <c r="D713" i="5"/>
  <c r="F971" i="3"/>
  <c r="E972" i="3" s="1"/>
  <c r="C972" i="3"/>
  <c r="H712" i="5"/>
  <c r="F713" i="5"/>
  <c r="E714" i="5" s="1"/>
  <c r="C714" i="5"/>
  <c r="A838" i="1" a="1"/>
  <c r="A838" i="1" l="1"/>
  <c r="B838" i="1"/>
  <c r="F838" i="1" s="1"/>
  <c r="C838" i="1"/>
  <c r="E836" i="1"/>
  <c r="D714" i="5"/>
  <c r="D972" i="3"/>
  <c r="F714" i="5"/>
  <c r="E715" i="5" s="1"/>
  <c r="C715" i="5"/>
  <c r="H713" i="5"/>
  <c r="F972" i="3"/>
  <c r="E973" i="3" s="1"/>
  <c r="C973" i="3"/>
  <c r="A839" i="1" a="1"/>
  <c r="A839" i="1" l="1"/>
  <c r="B839" i="1"/>
  <c r="F839" i="1" s="1"/>
  <c r="C839" i="1"/>
  <c r="E837" i="1"/>
  <c r="D973" i="3"/>
  <c r="D715" i="5"/>
  <c r="F973" i="3"/>
  <c r="E974" i="3" s="1"/>
  <c r="C974" i="3"/>
  <c r="H714" i="5"/>
  <c r="F715" i="5"/>
  <c r="E716" i="5" s="1"/>
  <c r="C716" i="5"/>
  <c r="A840" i="1" a="1"/>
  <c r="A840" i="1" l="1"/>
  <c r="B840" i="1"/>
  <c r="F840" i="1" s="1"/>
  <c r="C840" i="1"/>
  <c r="E838" i="1"/>
  <c r="D716" i="5"/>
  <c r="D974" i="3"/>
  <c r="F716" i="5"/>
  <c r="E717" i="5" s="1"/>
  <c r="C717" i="5"/>
  <c r="H715" i="5"/>
  <c r="F974" i="3"/>
  <c r="E975" i="3" s="1"/>
  <c r="C975" i="3"/>
  <c r="A841" i="1" a="1"/>
  <c r="A841" i="1" l="1"/>
  <c r="B841" i="1"/>
  <c r="F841" i="1" s="1"/>
  <c r="C841" i="1"/>
  <c r="E839" i="1"/>
  <c r="D975" i="3"/>
  <c r="D717" i="5"/>
  <c r="F975" i="3"/>
  <c r="E976" i="3" s="1"/>
  <c r="C976" i="3"/>
  <c r="H716" i="5"/>
  <c r="F717" i="5"/>
  <c r="E718" i="5" s="1"/>
  <c r="C718" i="5"/>
  <c r="A842" i="1" a="1"/>
  <c r="A842" i="1" l="1"/>
  <c r="B842" i="1"/>
  <c r="F842" i="1" s="1"/>
  <c r="C842" i="1"/>
  <c r="E840" i="1"/>
  <c r="D718" i="5"/>
  <c r="D976" i="3"/>
  <c r="F718" i="5"/>
  <c r="E719" i="5" s="1"/>
  <c r="C719" i="5"/>
  <c r="H717" i="5"/>
  <c r="F976" i="3"/>
  <c r="E977" i="3" s="1"/>
  <c r="C977" i="3"/>
  <c r="A843" i="1" a="1"/>
  <c r="A843" i="1" l="1"/>
  <c r="B843" i="1"/>
  <c r="F843" i="1" s="1"/>
  <c r="C843" i="1"/>
  <c r="E841" i="1"/>
  <c r="D977" i="3"/>
  <c r="D719" i="5"/>
  <c r="F977" i="3"/>
  <c r="E978" i="3" s="1"/>
  <c r="C978" i="3"/>
  <c r="H718" i="5"/>
  <c r="F719" i="5"/>
  <c r="E720" i="5" s="1"/>
  <c r="C720" i="5"/>
  <c r="A844" i="1" a="1"/>
  <c r="A844" i="1" l="1"/>
  <c r="B844" i="1"/>
  <c r="F844" i="1" s="1"/>
  <c r="C844" i="1"/>
  <c r="E842" i="1"/>
  <c r="D720" i="5"/>
  <c r="D978" i="3"/>
  <c r="F720" i="5"/>
  <c r="E721" i="5" s="1"/>
  <c r="C721" i="5"/>
  <c r="H719" i="5"/>
  <c r="F978" i="3"/>
  <c r="E979" i="3" s="1"/>
  <c r="C979" i="3"/>
  <c r="A845" i="1" a="1"/>
  <c r="A845" i="1" l="1"/>
  <c r="B845" i="1"/>
  <c r="F845" i="1" s="1"/>
  <c r="C845" i="1"/>
  <c r="E843" i="1"/>
  <c r="D979" i="3"/>
  <c r="D721" i="5"/>
  <c r="F979" i="3"/>
  <c r="E980" i="3" s="1"/>
  <c r="C980" i="3"/>
  <c r="H720" i="5"/>
  <c r="F721" i="5"/>
  <c r="E722" i="5" s="1"/>
  <c r="C722" i="5"/>
  <c r="A846" i="1" a="1"/>
  <c r="A846" i="1" l="1"/>
  <c r="B846" i="1"/>
  <c r="F846" i="1" s="1"/>
  <c r="C846" i="1"/>
  <c r="E844" i="1"/>
  <c r="D722" i="5"/>
  <c r="D980" i="3"/>
  <c r="F722" i="5"/>
  <c r="E723" i="5" s="1"/>
  <c r="C723" i="5"/>
  <c r="H721" i="5"/>
  <c r="F980" i="3"/>
  <c r="E981" i="3" s="1"/>
  <c r="C981" i="3"/>
  <c r="A847" i="1" a="1"/>
  <c r="A847" i="1" l="1"/>
  <c r="B847" i="1"/>
  <c r="F847" i="1" s="1"/>
  <c r="C847" i="1"/>
  <c r="E845" i="1"/>
  <c r="D981" i="3"/>
  <c r="D723" i="5"/>
  <c r="F981" i="3"/>
  <c r="E982" i="3" s="1"/>
  <c r="C982" i="3"/>
  <c r="H722" i="5"/>
  <c r="F723" i="5"/>
  <c r="E724" i="5" s="1"/>
  <c r="C724" i="5"/>
  <c r="A848" i="1" a="1"/>
  <c r="A848" i="1" l="1"/>
  <c r="B848" i="1"/>
  <c r="F848" i="1" s="1"/>
  <c r="C848" i="1"/>
  <c r="E846" i="1"/>
  <c r="D724" i="5"/>
  <c r="D982" i="3"/>
  <c r="F724" i="5"/>
  <c r="E725" i="5" s="1"/>
  <c r="C725" i="5"/>
  <c r="H723" i="5"/>
  <c r="F982" i="3"/>
  <c r="E983" i="3" s="1"/>
  <c r="C983" i="3"/>
  <c r="A849" i="1" a="1"/>
  <c r="A849" i="1" l="1"/>
  <c r="B849" i="1"/>
  <c r="F849" i="1" s="1"/>
  <c r="C849" i="1"/>
  <c r="E847" i="1"/>
  <c r="D983" i="3"/>
  <c r="D725" i="5"/>
  <c r="F983" i="3"/>
  <c r="E984" i="3" s="1"/>
  <c r="C984" i="3"/>
  <c r="H724" i="5"/>
  <c r="F725" i="5"/>
  <c r="E726" i="5" s="1"/>
  <c r="C726" i="5"/>
  <c r="A850" i="1" a="1"/>
  <c r="A850" i="1" l="1"/>
  <c r="B850" i="1"/>
  <c r="F850" i="1" s="1"/>
  <c r="C850" i="1"/>
  <c r="E848" i="1"/>
  <c r="D726" i="5"/>
  <c r="D984" i="3"/>
  <c r="F726" i="5"/>
  <c r="E727" i="5" s="1"/>
  <c r="C727" i="5"/>
  <c r="H725" i="5"/>
  <c r="F984" i="3"/>
  <c r="E985" i="3" s="1"/>
  <c r="C985" i="3"/>
  <c r="A851" i="1" a="1"/>
  <c r="A851" i="1" l="1"/>
  <c r="B851" i="1"/>
  <c r="F851" i="1" s="1"/>
  <c r="C851" i="1"/>
  <c r="E849" i="1"/>
  <c r="D985" i="3"/>
  <c r="D727" i="5"/>
  <c r="F985" i="3"/>
  <c r="E986" i="3" s="1"/>
  <c r="C986" i="3"/>
  <c r="H726" i="5"/>
  <c r="F727" i="5"/>
  <c r="E728" i="5" s="1"/>
  <c r="C728" i="5"/>
  <c r="A852" i="1" a="1"/>
  <c r="A852" i="1" l="1"/>
  <c r="B852" i="1"/>
  <c r="F852" i="1" s="1"/>
  <c r="C852" i="1"/>
  <c r="E850" i="1"/>
  <c r="D728" i="5"/>
  <c r="D986" i="3"/>
  <c r="F728" i="5"/>
  <c r="E729" i="5" s="1"/>
  <c r="C729" i="5"/>
  <c r="H727" i="5"/>
  <c r="F986" i="3"/>
  <c r="E987" i="3" s="1"/>
  <c r="C987" i="3"/>
  <c r="A853" i="1" a="1"/>
  <c r="A853" i="1" l="1"/>
  <c r="B853" i="1"/>
  <c r="F853" i="1" s="1"/>
  <c r="C853" i="1"/>
  <c r="E851" i="1"/>
  <c r="D987" i="3"/>
  <c r="D729" i="5"/>
  <c r="F987" i="3"/>
  <c r="E988" i="3" s="1"/>
  <c r="C988" i="3"/>
  <c r="H728" i="5"/>
  <c r="F729" i="5"/>
  <c r="E730" i="5" s="1"/>
  <c r="C730" i="5"/>
  <c r="A854" i="1" a="1"/>
  <c r="A854" i="1" l="1"/>
  <c r="B854" i="1"/>
  <c r="F854" i="1" s="1"/>
  <c r="C854" i="1"/>
  <c r="E852" i="1"/>
  <c r="D730" i="5"/>
  <c r="D988" i="3"/>
  <c r="F730" i="5"/>
  <c r="E731" i="5" s="1"/>
  <c r="C731" i="5"/>
  <c r="H729" i="5"/>
  <c r="F988" i="3"/>
  <c r="E989" i="3" s="1"/>
  <c r="C989" i="3"/>
  <c r="A855" i="1" a="1"/>
  <c r="A855" i="1" l="1"/>
  <c r="B855" i="1"/>
  <c r="F855" i="1" s="1"/>
  <c r="C855" i="1"/>
  <c r="E853" i="1"/>
  <c r="D989" i="3"/>
  <c r="D731" i="5"/>
  <c r="F989" i="3"/>
  <c r="E990" i="3" s="1"/>
  <c r="C990" i="3"/>
  <c r="H730" i="5"/>
  <c r="F731" i="5"/>
  <c r="E732" i="5" s="1"/>
  <c r="C732" i="5"/>
  <c r="A856" i="1" a="1"/>
  <c r="A856" i="1" l="1"/>
  <c r="B856" i="1"/>
  <c r="F856" i="1" s="1"/>
  <c r="C856" i="1"/>
  <c r="E854" i="1"/>
  <c r="D732" i="5"/>
  <c r="D990" i="3"/>
  <c r="F732" i="5"/>
  <c r="E733" i="5" s="1"/>
  <c r="C733" i="5"/>
  <c r="H731" i="5"/>
  <c r="F990" i="3"/>
  <c r="E991" i="3" s="1"/>
  <c r="C991" i="3"/>
  <c r="A857" i="1" a="1"/>
  <c r="A857" i="1" l="1"/>
  <c r="B857" i="1"/>
  <c r="F857" i="1" s="1"/>
  <c r="C857" i="1"/>
  <c r="E855" i="1"/>
  <c r="D991" i="3"/>
  <c r="D733" i="5"/>
  <c r="F991" i="3"/>
  <c r="E992" i="3" s="1"/>
  <c r="C992" i="3"/>
  <c r="H732" i="5"/>
  <c r="F733" i="5"/>
  <c r="E734" i="5" s="1"/>
  <c r="C734" i="5"/>
  <c r="A858" i="1" a="1"/>
  <c r="A858" i="1" l="1"/>
  <c r="B858" i="1"/>
  <c r="F858" i="1" s="1"/>
  <c r="C858" i="1"/>
  <c r="E856" i="1"/>
  <c r="D734" i="5"/>
  <c r="D992" i="3"/>
  <c r="F734" i="5"/>
  <c r="E735" i="5" s="1"/>
  <c r="C735" i="5"/>
  <c r="H733" i="5"/>
  <c r="F992" i="3"/>
  <c r="E993" i="3" s="1"/>
  <c r="C993" i="3"/>
  <c r="A859" i="1" a="1"/>
  <c r="A859" i="1" l="1"/>
  <c r="B859" i="1"/>
  <c r="F859" i="1" s="1"/>
  <c r="C859" i="1"/>
  <c r="E857" i="1"/>
  <c r="D993" i="3"/>
  <c r="D735" i="5"/>
  <c r="F993" i="3"/>
  <c r="E994" i="3" s="1"/>
  <c r="C994" i="3"/>
  <c r="H734" i="5"/>
  <c r="F735" i="5"/>
  <c r="E736" i="5" s="1"/>
  <c r="C736" i="5"/>
  <c r="A860" i="1" a="1"/>
  <c r="A860" i="1" l="1"/>
  <c r="B860" i="1"/>
  <c r="F860" i="1" s="1"/>
  <c r="C860" i="1"/>
  <c r="E858" i="1"/>
  <c r="D736" i="5"/>
  <c r="D994" i="3"/>
  <c r="F736" i="5"/>
  <c r="E737" i="5" s="1"/>
  <c r="C737" i="5"/>
  <c r="H735" i="5"/>
  <c r="F994" i="3"/>
  <c r="E995" i="3" s="1"/>
  <c r="C995" i="3"/>
  <c r="A861" i="1" a="1"/>
  <c r="A861" i="1" l="1"/>
  <c r="B861" i="1"/>
  <c r="F861" i="1" s="1"/>
  <c r="C861" i="1"/>
  <c r="E859" i="1"/>
  <c r="D995" i="3"/>
  <c r="D737" i="5"/>
  <c r="F995" i="3"/>
  <c r="E996" i="3" s="1"/>
  <c r="C996" i="3"/>
  <c r="H736" i="5"/>
  <c r="F737" i="5"/>
  <c r="E738" i="5" s="1"/>
  <c r="C738" i="5"/>
  <c r="A862" i="1" a="1"/>
  <c r="A862" i="1" l="1"/>
  <c r="B862" i="1"/>
  <c r="F862" i="1" s="1"/>
  <c r="C862" i="1"/>
  <c r="E860" i="1"/>
  <c r="D738" i="5"/>
  <c r="D996" i="3"/>
  <c r="F738" i="5"/>
  <c r="E739" i="5" s="1"/>
  <c r="C739" i="5"/>
  <c r="H737" i="5"/>
  <c r="F996" i="3"/>
  <c r="E997" i="3" s="1"/>
  <c r="C997" i="3"/>
  <c r="A863" i="1" a="1"/>
  <c r="A863" i="1" l="1"/>
  <c r="B863" i="1"/>
  <c r="F863" i="1" s="1"/>
  <c r="C863" i="1"/>
  <c r="E861" i="1"/>
  <c r="D997" i="3"/>
  <c r="D739" i="5"/>
  <c r="F997" i="3"/>
  <c r="E998" i="3" s="1"/>
  <c r="C998" i="3"/>
  <c r="H738" i="5"/>
  <c r="F739" i="5"/>
  <c r="E740" i="5" s="1"/>
  <c r="C740" i="5"/>
  <c r="A864" i="1" a="1"/>
  <c r="A864" i="1" l="1"/>
  <c r="B864" i="1"/>
  <c r="F864" i="1" s="1"/>
  <c r="C864" i="1"/>
  <c r="E862" i="1"/>
  <c r="D740" i="5"/>
  <c r="D998" i="3"/>
  <c r="F740" i="5"/>
  <c r="E741" i="5" s="1"/>
  <c r="C741" i="5"/>
  <c r="H739" i="5"/>
  <c r="F998" i="3"/>
  <c r="E999" i="3" s="1"/>
  <c r="C999" i="3"/>
  <c r="A865" i="1" a="1"/>
  <c r="A865" i="1" l="1"/>
  <c r="B865" i="1"/>
  <c r="F865" i="1" s="1"/>
  <c r="C865" i="1"/>
  <c r="E863" i="1"/>
  <c r="D999" i="3"/>
  <c r="D741" i="5"/>
  <c r="F999" i="3"/>
  <c r="E1000" i="3" s="1"/>
  <c r="C1000" i="3"/>
  <c r="H740" i="5"/>
  <c r="F741" i="5"/>
  <c r="E742" i="5" s="1"/>
  <c r="C742" i="5"/>
  <c r="A866" i="1" a="1"/>
  <c r="A866" i="1" l="1"/>
  <c r="B866" i="1"/>
  <c r="F866" i="1" s="1"/>
  <c r="C866" i="1"/>
  <c r="E864" i="1"/>
  <c r="D742" i="5"/>
  <c r="D1000" i="3"/>
  <c r="F742" i="5"/>
  <c r="E743" i="5" s="1"/>
  <c r="C743" i="5"/>
  <c r="H741" i="5"/>
  <c r="F1000" i="3"/>
  <c r="E1001" i="3" s="1"/>
  <c r="C1001" i="3"/>
  <c r="A867" i="1" a="1"/>
  <c r="A867" i="1" l="1"/>
  <c r="B867" i="1"/>
  <c r="F867" i="1" s="1"/>
  <c r="C867" i="1"/>
  <c r="E865" i="1"/>
  <c r="D1001" i="3"/>
  <c r="D743" i="5"/>
  <c r="F1001" i="3"/>
  <c r="E1002" i="3" s="1"/>
  <c r="C1002" i="3"/>
  <c r="H742" i="5"/>
  <c r="F743" i="5"/>
  <c r="E744" i="5" s="1"/>
  <c r="C744" i="5"/>
  <c r="A868" i="1" a="1"/>
  <c r="A868" i="1" l="1"/>
  <c r="B868" i="1"/>
  <c r="F868" i="1" s="1"/>
  <c r="C868" i="1"/>
  <c r="E866" i="1"/>
  <c r="D744" i="5"/>
  <c r="D1002" i="3"/>
  <c r="F744" i="5"/>
  <c r="E745" i="5" s="1"/>
  <c r="C745" i="5"/>
  <c r="H743" i="5"/>
  <c r="F1002" i="3"/>
  <c r="E1003" i="3" s="1"/>
  <c r="C1003" i="3"/>
  <c r="A869" i="1" a="1"/>
  <c r="A869" i="1" l="1"/>
  <c r="B869" i="1"/>
  <c r="F869" i="1" s="1"/>
  <c r="C869" i="1"/>
  <c r="E867" i="1"/>
  <c r="D1003" i="3"/>
  <c r="D745" i="5"/>
  <c r="F1003" i="3"/>
  <c r="E1004" i="3" s="1"/>
  <c r="C1004" i="3"/>
  <c r="H744" i="5"/>
  <c r="F745" i="5"/>
  <c r="E746" i="5" s="1"/>
  <c r="C746" i="5"/>
  <c r="A870" i="1" a="1"/>
  <c r="A870" i="1" l="1"/>
  <c r="B870" i="1"/>
  <c r="F870" i="1" s="1"/>
  <c r="C870" i="1"/>
  <c r="E868" i="1"/>
  <c r="D746" i="5"/>
  <c r="D1004" i="3"/>
  <c r="F746" i="5"/>
  <c r="E747" i="5" s="1"/>
  <c r="C747" i="5"/>
  <c r="H745" i="5"/>
  <c r="F1004" i="3"/>
  <c r="E1005" i="3" s="1"/>
  <c r="C1005" i="3"/>
  <c r="A871" i="1" a="1"/>
  <c r="A871" i="1" l="1"/>
  <c r="B871" i="1"/>
  <c r="F871" i="1" s="1"/>
  <c r="C871" i="1"/>
  <c r="E869" i="1"/>
  <c r="D1005" i="3"/>
  <c r="D747" i="5"/>
  <c r="F1005" i="3"/>
  <c r="E1006" i="3" s="1"/>
  <c r="C1006" i="3"/>
  <c r="H746" i="5"/>
  <c r="F747" i="5"/>
  <c r="E748" i="5" s="1"/>
  <c r="C748" i="5"/>
  <c r="A872" i="1" a="1"/>
  <c r="A872" i="1" l="1"/>
  <c r="B872" i="1"/>
  <c r="F872" i="1" s="1"/>
  <c r="C872" i="1"/>
  <c r="E870" i="1"/>
  <c r="D748" i="5"/>
  <c r="D1006" i="3"/>
  <c r="F748" i="5"/>
  <c r="E749" i="5" s="1"/>
  <c r="C749" i="5"/>
  <c r="H747" i="5"/>
  <c r="F1006" i="3"/>
  <c r="E1007" i="3" s="1"/>
  <c r="C1007" i="3"/>
  <c r="A873" i="1" a="1"/>
  <c r="A873" i="1" l="1"/>
  <c r="B873" i="1"/>
  <c r="F873" i="1" s="1"/>
  <c r="C873" i="1"/>
  <c r="E871" i="1"/>
  <c r="D1007" i="3"/>
  <c r="D749" i="5"/>
  <c r="F1007" i="3"/>
  <c r="E1008" i="3" s="1"/>
  <c r="C1008" i="3"/>
  <c r="H748" i="5"/>
  <c r="F749" i="5"/>
  <c r="E750" i="5" s="1"/>
  <c r="C750" i="5"/>
  <c r="A874" i="1" a="1"/>
  <c r="A874" i="1" l="1"/>
  <c r="B874" i="1"/>
  <c r="F874" i="1" s="1"/>
  <c r="C874" i="1"/>
  <c r="E872" i="1"/>
  <c r="D750" i="5"/>
  <c r="D1008" i="3"/>
  <c r="F750" i="5"/>
  <c r="E751" i="5" s="1"/>
  <c r="C751" i="5"/>
  <c r="H749" i="5"/>
  <c r="F1008" i="3"/>
  <c r="E1009" i="3" s="1"/>
  <c r="C1009" i="3"/>
  <c r="A875" i="1" a="1"/>
  <c r="A875" i="1" l="1"/>
  <c r="B875" i="1"/>
  <c r="F875" i="1" s="1"/>
  <c r="C875" i="1"/>
  <c r="E873" i="1"/>
  <c r="D1009" i="3"/>
  <c r="D751" i="5"/>
  <c r="F1009" i="3"/>
  <c r="E1010" i="3" s="1"/>
  <c r="D1010" i="3" s="1"/>
  <c r="C1010" i="3"/>
  <c r="H750" i="5"/>
  <c r="F751" i="5"/>
  <c r="E752" i="5" s="1"/>
  <c r="C752" i="5"/>
  <c r="A876" i="1" a="1"/>
  <c r="A876" i="1" l="1"/>
  <c r="B876" i="1"/>
  <c r="F876" i="1" s="1"/>
  <c r="C876" i="1"/>
  <c r="E874" i="1"/>
  <c r="D752" i="5"/>
  <c r="F752" i="5"/>
  <c r="E753" i="5" s="1"/>
  <c r="C753" i="5"/>
  <c r="H751" i="5"/>
  <c r="F1010" i="3"/>
  <c r="A877" i="1" a="1"/>
  <c r="A877" i="1" l="1"/>
  <c r="B877" i="1"/>
  <c r="F877" i="1" s="1"/>
  <c r="C877" i="1"/>
  <c r="E875" i="1"/>
  <c r="D753" i="5"/>
  <c r="H752" i="5"/>
  <c r="F753" i="5"/>
  <c r="E754" i="5" s="1"/>
  <c r="C754" i="5"/>
  <c r="A878" i="1" a="1"/>
  <c r="A878" i="1" l="1"/>
  <c r="B878" i="1"/>
  <c r="F878" i="1" s="1"/>
  <c r="C878" i="1"/>
  <c r="E876" i="1"/>
  <c r="D754" i="5"/>
  <c r="F754" i="5"/>
  <c r="E755" i="5" s="1"/>
  <c r="C755" i="5"/>
  <c r="H753" i="5"/>
  <c r="A879" i="1" a="1"/>
  <c r="A879" i="1" l="1"/>
  <c r="B879" i="1"/>
  <c r="F879" i="1" s="1"/>
  <c r="C879" i="1"/>
  <c r="E877" i="1"/>
  <c r="D755" i="5"/>
  <c r="H754" i="5"/>
  <c r="F755" i="5"/>
  <c r="E756" i="5" s="1"/>
  <c r="C756" i="5"/>
  <c r="A880" i="1" a="1"/>
  <c r="A880" i="1" l="1"/>
  <c r="B880" i="1"/>
  <c r="F880" i="1" s="1"/>
  <c r="C880" i="1"/>
  <c r="E878" i="1"/>
  <c r="D756" i="5"/>
  <c r="F756" i="5"/>
  <c r="E757" i="5" s="1"/>
  <c r="C757" i="5"/>
  <c r="H755" i="5"/>
  <c r="A881" i="1" a="1"/>
  <c r="A881" i="1" l="1"/>
  <c r="B881" i="1"/>
  <c r="F881" i="1" s="1"/>
  <c r="C881" i="1"/>
  <c r="E879" i="1"/>
  <c r="D757" i="5"/>
  <c r="H756" i="5"/>
  <c r="F757" i="5"/>
  <c r="E758" i="5" s="1"/>
  <c r="C758" i="5"/>
  <c r="A882" i="1" a="1"/>
  <c r="A882" i="1" l="1"/>
  <c r="B882" i="1"/>
  <c r="F882" i="1" s="1"/>
  <c r="C882" i="1"/>
  <c r="E880" i="1"/>
  <c r="D758" i="5"/>
  <c r="F758" i="5"/>
  <c r="E759" i="5" s="1"/>
  <c r="C759" i="5"/>
  <c r="H757" i="5"/>
  <c r="A883" i="1" a="1"/>
  <c r="A883" i="1" l="1"/>
  <c r="B883" i="1"/>
  <c r="F883" i="1" s="1"/>
  <c r="C883" i="1"/>
  <c r="E881" i="1"/>
  <c r="D759" i="5"/>
  <c r="H758" i="5"/>
  <c r="F759" i="5"/>
  <c r="E760" i="5" s="1"/>
  <c r="C760" i="5"/>
  <c r="A884" i="1" a="1"/>
  <c r="A884" i="1" l="1"/>
  <c r="B884" i="1"/>
  <c r="F884" i="1" s="1"/>
  <c r="C884" i="1"/>
  <c r="E882" i="1"/>
  <c r="D760" i="5"/>
  <c r="F760" i="5"/>
  <c r="E761" i="5" s="1"/>
  <c r="C761" i="5"/>
  <c r="H759" i="5"/>
  <c r="A885" i="1" a="1"/>
  <c r="A885" i="1" l="1"/>
  <c r="B885" i="1"/>
  <c r="F885" i="1" s="1"/>
  <c r="C885" i="1"/>
  <c r="E883" i="1"/>
  <c r="D761" i="5"/>
  <c r="H760" i="5"/>
  <c r="F761" i="5"/>
  <c r="E762" i="5" s="1"/>
  <c r="C762" i="5"/>
  <c r="A886" i="1" a="1"/>
  <c r="A886" i="1" l="1"/>
  <c r="B886" i="1"/>
  <c r="F886" i="1" s="1"/>
  <c r="C886" i="1"/>
  <c r="E884" i="1"/>
  <c r="D762" i="5"/>
  <c r="F762" i="5"/>
  <c r="E763" i="5" s="1"/>
  <c r="C763" i="5"/>
  <c r="H761" i="5"/>
  <c r="A887" i="1" a="1"/>
  <c r="A887" i="1" l="1"/>
  <c r="B887" i="1"/>
  <c r="F887" i="1" s="1"/>
  <c r="C887" i="1"/>
  <c r="E885" i="1"/>
  <c r="D763" i="5"/>
  <c r="H762" i="5"/>
  <c r="F763" i="5"/>
  <c r="E764" i="5" s="1"/>
  <c r="C764" i="5"/>
  <c r="A888" i="1" a="1"/>
  <c r="A888" i="1" l="1"/>
  <c r="B888" i="1"/>
  <c r="F888" i="1" s="1"/>
  <c r="C888" i="1"/>
  <c r="E886" i="1"/>
  <c r="D764" i="5"/>
  <c r="F764" i="5"/>
  <c r="E765" i="5" s="1"/>
  <c r="C765" i="5"/>
  <c r="H763" i="5"/>
  <c r="A889" i="1" a="1"/>
  <c r="A889" i="1" l="1"/>
  <c r="B889" i="1"/>
  <c r="F889" i="1" s="1"/>
  <c r="C889" i="1"/>
  <c r="E887" i="1"/>
  <c r="D765" i="5"/>
  <c r="H764" i="5"/>
  <c r="F765" i="5"/>
  <c r="E766" i="5" s="1"/>
  <c r="C766" i="5"/>
  <c r="A890" i="1" a="1"/>
  <c r="A890" i="1" l="1"/>
  <c r="B890" i="1"/>
  <c r="F890" i="1" s="1"/>
  <c r="C890" i="1"/>
  <c r="E888" i="1"/>
  <c r="D766" i="5"/>
  <c r="F766" i="5"/>
  <c r="E767" i="5" s="1"/>
  <c r="C767" i="5"/>
  <c r="H765" i="5"/>
  <c r="A891" i="1" a="1"/>
  <c r="A891" i="1" l="1"/>
  <c r="B891" i="1"/>
  <c r="F891" i="1" s="1"/>
  <c r="C891" i="1"/>
  <c r="E889" i="1"/>
  <c r="D767" i="5"/>
  <c r="H766" i="5"/>
  <c r="F767" i="5"/>
  <c r="E768" i="5" s="1"/>
  <c r="C768" i="5"/>
  <c r="A892" i="1" a="1"/>
  <c r="A892" i="1" l="1"/>
  <c r="B892" i="1"/>
  <c r="F892" i="1" s="1"/>
  <c r="C892" i="1"/>
  <c r="E890" i="1"/>
  <c r="D768" i="5"/>
  <c r="F768" i="5"/>
  <c r="E769" i="5" s="1"/>
  <c r="C769" i="5"/>
  <c r="H767" i="5"/>
  <c r="A893" i="1" a="1"/>
  <c r="A893" i="1" l="1"/>
  <c r="B893" i="1"/>
  <c r="F893" i="1" s="1"/>
  <c r="C893" i="1"/>
  <c r="E891" i="1"/>
  <c r="D769" i="5"/>
  <c r="H768" i="5"/>
  <c r="F769" i="5"/>
  <c r="E770" i="5" s="1"/>
  <c r="C770" i="5"/>
  <c r="A894" i="1" a="1"/>
  <c r="A894" i="1" l="1"/>
  <c r="B894" i="1"/>
  <c r="F894" i="1" s="1"/>
  <c r="C894" i="1"/>
  <c r="E892" i="1"/>
  <c r="D770" i="5"/>
  <c r="F770" i="5"/>
  <c r="E771" i="5" s="1"/>
  <c r="C771" i="5"/>
  <c r="H769" i="5"/>
  <c r="A895" i="1" a="1"/>
  <c r="A895" i="1" l="1"/>
  <c r="B895" i="1"/>
  <c r="F895" i="1" s="1"/>
  <c r="C895" i="1"/>
  <c r="E893" i="1"/>
  <c r="D771" i="5"/>
  <c r="H770" i="5"/>
  <c r="F771" i="5"/>
  <c r="E772" i="5" s="1"/>
  <c r="C772" i="5"/>
  <c r="A896" i="1" a="1"/>
  <c r="A896" i="1" l="1"/>
  <c r="B896" i="1"/>
  <c r="F896" i="1" s="1"/>
  <c r="C896" i="1"/>
  <c r="E894" i="1"/>
  <c r="D772" i="5"/>
  <c r="F772" i="5"/>
  <c r="E773" i="5" s="1"/>
  <c r="C773" i="5"/>
  <c r="H771" i="5"/>
  <c r="A897" i="1" a="1"/>
  <c r="A897" i="1" l="1"/>
  <c r="B897" i="1"/>
  <c r="F897" i="1" s="1"/>
  <c r="C897" i="1"/>
  <c r="E895" i="1"/>
  <c r="D773" i="5"/>
  <c r="H772" i="5"/>
  <c r="F773" i="5"/>
  <c r="E774" i="5" s="1"/>
  <c r="C774" i="5"/>
  <c r="A898" i="1" a="1"/>
  <c r="A898" i="1" l="1"/>
  <c r="B898" i="1"/>
  <c r="F898" i="1" s="1"/>
  <c r="C898" i="1"/>
  <c r="E896" i="1"/>
  <c r="D774" i="5"/>
  <c r="F774" i="5"/>
  <c r="E775" i="5" s="1"/>
  <c r="C775" i="5"/>
  <c r="H773" i="5"/>
  <c r="A899" i="1" a="1"/>
  <c r="A899" i="1" l="1"/>
  <c r="B899" i="1"/>
  <c r="F899" i="1" s="1"/>
  <c r="C899" i="1"/>
  <c r="E897" i="1"/>
  <c r="D775" i="5"/>
  <c r="H774" i="5"/>
  <c r="F775" i="5"/>
  <c r="E776" i="5" s="1"/>
  <c r="C776" i="5"/>
  <c r="A900" i="1" a="1"/>
  <c r="A900" i="1" l="1"/>
  <c r="B900" i="1"/>
  <c r="F900" i="1" s="1"/>
  <c r="C900" i="1"/>
  <c r="E898" i="1"/>
  <c r="D776" i="5"/>
  <c r="F776" i="5"/>
  <c r="E777" i="5" s="1"/>
  <c r="C777" i="5"/>
  <c r="H775" i="5"/>
  <c r="A901" i="1" a="1"/>
  <c r="A901" i="1" l="1"/>
  <c r="B901" i="1"/>
  <c r="F901" i="1" s="1"/>
  <c r="C901" i="1"/>
  <c r="E899" i="1"/>
  <c r="D777" i="5"/>
  <c r="H776" i="5"/>
  <c r="F777" i="5"/>
  <c r="E778" i="5" s="1"/>
  <c r="C778" i="5"/>
  <c r="A902" i="1" a="1"/>
  <c r="A902" i="1" l="1"/>
  <c r="B902" i="1"/>
  <c r="F902" i="1" s="1"/>
  <c r="C902" i="1"/>
  <c r="E900" i="1"/>
  <c r="D778" i="5"/>
  <c r="F778" i="5"/>
  <c r="E779" i="5" s="1"/>
  <c r="C779" i="5"/>
  <c r="H777" i="5"/>
  <c r="A903" i="1" a="1"/>
  <c r="A903" i="1" l="1"/>
  <c r="B903" i="1"/>
  <c r="F903" i="1" s="1"/>
  <c r="C903" i="1"/>
  <c r="E901" i="1"/>
  <c r="D779" i="5"/>
  <c r="H778" i="5"/>
  <c r="F779" i="5"/>
  <c r="E780" i="5" s="1"/>
  <c r="C780" i="5"/>
  <c r="A904" i="1" a="1"/>
  <c r="A904" i="1" l="1"/>
  <c r="B904" i="1"/>
  <c r="F904" i="1" s="1"/>
  <c r="C904" i="1"/>
  <c r="E902" i="1"/>
  <c r="D780" i="5"/>
  <c r="F780" i="5"/>
  <c r="E781" i="5" s="1"/>
  <c r="C781" i="5"/>
  <c r="H779" i="5"/>
  <c r="A905" i="1" a="1"/>
  <c r="A905" i="1" l="1"/>
  <c r="B905" i="1"/>
  <c r="F905" i="1" s="1"/>
  <c r="C905" i="1"/>
  <c r="E903" i="1"/>
  <c r="D781" i="5"/>
  <c r="H780" i="5"/>
  <c r="F781" i="5"/>
  <c r="E782" i="5" s="1"/>
  <c r="C782" i="5"/>
  <c r="A906" i="1" a="1"/>
  <c r="A906" i="1" l="1"/>
  <c r="B906" i="1"/>
  <c r="F906" i="1" s="1"/>
  <c r="C906" i="1"/>
  <c r="E904" i="1"/>
  <c r="D782" i="5"/>
  <c r="F782" i="5"/>
  <c r="E783" i="5" s="1"/>
  <c r="C783" i="5"/>
  <c r="H781" i="5"/>
  <c r="A907" i="1" a="1"/>
  <c r="A907" i="1" l="1"/>
  <c r="B907" i="1"/>
  <c r="F907" i="1" s="1"/>
  <c r="C907" i="1"/>
  <c r="E905" i="1"/>
  <c r="D783" i="5"/>
  <c r="H782" i="5"/>
  <c r="F783" i="5"/>
  <c r="E784" i="5" s="1"/>
  <c r="C784" i="5"/>
  <c r="A908" i="1" a="1"/>
  <c r="A908" i="1" l="1"/>
  <c r="B908" i="1"/>
  <c r="F908" i="1" s="1"/>
  <c r="C908" i="1"/>
  <c r="E906" i="1"/>
  <c r="D784" i="5"/>
  <c r="F784" i="5"/>
  <c r="E785" i="5" s="1"/>
  <c r="C785" i="5"/>
  <c r="H783" i="5"/>
  <c r="A909" i="1" a="1"/>
  <c r="A909" i="1" l="1"/>
  <c r="B909" i="1"/>
  <c r="F909" i="1" s="1"/>
  <c r="C909" i="1"/>
  <c r="E907" i="1"/>
  <c r="D785" i="5"/>
  <c r="H784" i="5"/>
  <c r="F785" i="5"/>
  <c r="E786" i="5" s="1"/>
  <c r="C786" i="5"/>
  <c r="A910" i="1" a="1"/>
  <c r="A910" i="1" l="1"/>
  <c r="B910" i="1"/>
  <c r="F910" i="1" s="1"/>
  <c r="C910" i="1"/>
  <c r="E908" i="1"/>
  <c r="D786" i="5"/>
  <c r="F786" i="5"/>
  <c r="E787" i="5" s="1"/>
  <c r="C787" i="5"/>
  <c r="H785" i="5"/>
  <c r="A911" i="1" a="1"/>
  <c r="A911" i="1" l="1"/>
  <c r="B911" i="1"/>
  <c r="F911" i="1" s="1"/>
  <c r="C911" i="1"/>
  <c r="E909" i="1"/>
  <c r="D787" i="5"/>
  <c r="H786" i="5"/>
  <c r="F787" i="5"/>
  <c r="E788" i="5" s="1"/>
  <c r="C788" i="5"/>
  <c r="A912" i="1" a="1"/>
  <c r="A912" i="1" l="1"/>
  <c r="B912" i="1"/>
  <c r="F912" i="1" s="1"/>
  <c r="C912" i="1"/>
  <c r="E910" i="1"/>
  <c r="D788" i="5"/>
  <c r="F788" i="5"/>
  <c r="E789" i="5" s="1"/>
  <c r="C789" i="5"/>
  <c r="H787" i="5"/>
  <c r="A913" i="1" a="1"/>
  <c r="A913" i="1" l="1"/>
  <c r="B913" i="1"/>
  <c r="F913" i="1" s="1"/>
  <c r="C913" i="1"/>
  <c r="E911" i="1"/>
  <c r="D789" i="5"/>
  <c r="H788" i="5"/>
  <c r="F789" i="5"/>
  <c r="E790" i="5" s="1"/>
  <c r="C790" i="5"/>
  <c r="A914" i="1" a="1"/>
  <c r="A914" i="1" l="1"/>
  <c r="B914" i="1"/>
  <c r="F914" i="1" s="1"/>
  <c r="C914" i="1"/>
  <c r="E912" i="1"/>
  <c r="D790" i="5"/>
  <c r="F790" i="5"/>
  <c r="E791" i="5" s="1"/>
  <c r="C791" i="5"/>
  <c r="H789" i="5"/>
  <c r="A915" i="1" a="1"/>
  <c r="A915" i="1" l="1"/>
  <c r="B915" i="1"/>
  <c r="F915" i="1" s="1"/>
  <c r="C915" i="1"/>
  <c r="E913" i="1"/>
  <c r="D791" i="5"/>
  <c r="H790" i="5"/>
  <c r="F791" i="5"/>
  <c r="E792" i="5" s="1"/>
  <c r="C792" i="5"/>
  <c r="A916" i="1" a="1"/>
  <c r="A916" i="1" l="1"/>
  <c r="B916" i="1"/>
  <c r="F916" i="1" s="1"/>
  <c r="C916" i="1"/>
  <c r="E914" i="1"/>
  <c r="D792" i="5"/>
  <c r="F792" i="5"/>
  <c r="E793" i="5" s="1"/>
  <c r="C793" i="5"/>
  <c r="H791" i="5"/>
  <c r="A917" i="1" a="1"/>
  <c r="A917" i="1" l="1"/>
  <c r="B917" i="1"/>
  <c r="F917" i="1" s="1"/>
  <c r="C917" i="1"/>
  <c r="E915" i="1"/>
  <c r="D793" i="5"/>
  <c r="H792" i="5"/>
  <c r="F793" i="5"/>
  <c r="E794" i="5" s="1"/>
  <c r="C794" i="5"/>
  <c r="A918" i="1" a="1"/>
  <c r="A918" i="1" l="1"/>
  <c r="B918" i="1"/>
  <c r="F918" i="1" s="1"/>
  <c r="C918" i="1"/>
  <c r="E916" i="1"/>
  <c r="D794" i="5"/>
  <c r="F794" i="5"/>
  <c r="E795" i="5" s="1"/>
  <c r="C795" i="5"/>
  <c r="H793" i="5"/>
  <c r="A919" i="1" a="1"/>
  <c r="A919" i="1" l="1"/>
  <c r="B919" i="1"/>
  <c r="F919" i="1" s="1"/>
  <c r="C919" i="1"/>
  <c r="E917" i="1"/>
  <c r="D795" i="5"/>
  <c r="H794" i="5"/>
  <c r="F795" i="5"/>
  <c r="E796" i="5" s="1"/>
  <c r="C796" i="5"/>
  <c r="A920" i="1" a="1"/>
  <c r="A920" i="1" l="1"/>
  <c r="B920" i="1"/>
  <c r="F920" i="1" s="1"/>
  <c r="C920" i="1"/>
  <c r="E918" i="1"/>
  <c r="D796" i="5"/>
  <c r="F796" i="5"/>
  <c r="E797" i="5" s="1"/>
  <c r="C797" i="5"/>
  <c r="H795" i="5"/>
  <c r="A921" i="1" a="1"/>
  <c r="A921" i="1" l="1"/>
  <c r="B921" i="1"/>
  <c r="F921" i="1" s="1"/>
  <c r="C921" i="1"/>
  <c r="E919" i="1"/>
  <c r="D797" i="5"/>
  <c r="H796" i="5"/>
  <c r="F797" i="5"/>
  <c r="E798" i="5" s="1"/>
  <c r="C798" i="5"/>
  <c r="A922" i="1" a="1"/>
  <c r="A922" i="1" l="1"/>
  <c r="B922" i="1"/>
  <c r="F922" i="1" s="1"/>
  <c r="C922" i="1"/>
  <c r="E920" i="1"/>
  <c r="D798" i="5"/>
  <c r="F798" i="5"/>
  <c r="E799" i="5" s="1"/>
  <c r="C799" i="5"/>
  <c r="H797" i="5"/>
  <c r="A923" i="1" a="1"/>
  <c r="A923" i="1" l="1"/>
  <c r="B923" i="1"/>
  <c r="F923" i="1" s="1"/>
  <c r="C923" i="1"/>
  <c r="E921" i="1"/>
  <c r="D799" i="5"/>
  <c r="H798" i="5"/>
  <c r="F799" i="5"/>
  <c r="E800" i="5" s="1"/>
  <c r="C800" i="5"/>
  <c r="A924" i="1" a="1"/>
  <c r="A924" i="1" l="1"/>
  <c r="B924" i="1"/>
  <c r="F924" i="1" s="1"/>
  <c r="C924" i="1"/>
  <c r="E922" i="1"/>
  <c r="D800" i="5"/>
  <c r="F800" i="5"/>
  <c r="E801" i="5" s="1"/>
  <c r="C801" i="5"/>
  <c r="H799" i="5"/>
  <c r="A925" i="1" a="1"/>
  <c r="A925" i="1" l="1"/>
  <c r="B925" i="1"/>
  <c r="F925" i="1" s="1"/>
  <c r="C925" i="1"/>
  <c r="E923" i="1"/>
  <c r="D801" i="5"/>
  <c r="H800" i="5"/>
  <c r="F801" i="5"/>
  <c r="E802" i="5" s="1"/>
  <c r="C802" i="5"/>
  <c r="A926" i="1" a="1"/>
  <c r="A926" i="1" l="1"/>
  <c r="B926" i="1"/>
  <c r="F926" i="1" s="1"/>
  <c r="C926" i="1"/>
  <c r="E924" i="1"/>
  <c r="D802" i="5"/>
  <c r="F802" i="5"/>
  <c r="E803" i="5" s="1"/>
  <c r="C803" i="5"/>
  <c r="H801" i="5"/>
  <c r="A927" i="1" a="1"/>
  <c r="A927" i="1" l="1"/>
  <c r="B927" i="1"/>
  <c r="F927" i="1" s="1"/>
  <c r="C927" i="1"/>
  <c r="E925" i="1"/>
  <c r="D803" i="5"/>
  <c r="H802" i="5"/>
  <c r="F803" i="5"/>
  <c r="E804" i="5" s="1"/>
  <c r="C804" i="5"/>
  <c r="A928" i="1" a="1"/>
  <c r="A928" i="1" l="1"/>
  <c r="B928" i="1"/>
  <c r="F928" i="1" s="1"/>
  <c r="C928" i="1"/>
  <c r="E926" i="1"/>
  <c r="D804" i="5"/>
  <c r="F804" i="5"/>
  <c r="E805" i="5" s="1"/>
  <c r="C805" i="5"/>
  <c r="H803" i="5"/>
  <c r="A929" i="1" a="1"/>
  <c r="A929" i="1" l="1"/>
  <c r="B929" i="1"/>
  <c r="F929" i="1" s="1"/>
  <c r="C929" i="1"/>
  <c r="E927" i="1"/>
  <c r="D805" i="5"/>
  <c r="H804" i="5"/>
  <c r="F805" i="5"/>
  <c r="E806" i="5" s="1"/>
  <c r="C806" i="5"/>
  <c r="A930" i="1" a="1"/>
  <c r="A930" i="1" l="1"/>
  <c r="B930" i="1"/>
  <c r="F930" i="1" s="1"/>
  <c r="C930" i="1"/>
  <c r="E928" i="1"/>
  <c r="D806" i="5"/>
  <c r="F806" i="5"/>
  <c r="E807" i="5" s="1"/>
  <c r="C807" i="5"/>
  <c r="H805" i="5"/>
  <c r="A931" i="1" a="1"/>
  <c r="A931" i="1" l="1"/>
  <c r="B931" i="1"/>
  <c r="F931" i="1" s="1"/>
  <c r="C931" i="1"/>
  <c r="E929" i="1"/>
  <c r="D807" i="5"/>
  <c r="H806" i="5"/>
  <c r="F807" i="5"/>
  <c r="E808" i="5" s="1"/>
  <c r="C808" i="5"/>
  <c r="A932" i="1" a="1"/>
  <c r="A932" i="1" l="1"/>
  <c r="B932" i="1"/>
  <c r="F932" i="1" s="1"/>
  <c r="C932" i="1"/>
  <c r="E930" i="1"/>
  <c r="D808" i="5"/>
  <c r="F808" i="5"/>
  <c r="E809" i="5" s="1"/>
  <c r="C809" i="5"/>
  <c r="H807" i="5"/>
  <c r="A933" i="1" a="1"/>
  <c r="A933" i="1" l="1"/>
  <c r="B933" i="1"/>
  <c r="F933" i="1" s="1"/>
  <c r="C933" i="1"/>
  <c r="E931" i="1"/>
  <c r="D809" i="5"/>
  <c r="H808" i="5"/>
  <c r="F809" i="5"/>
  <c r="E810" i="5" s="1"/>
  <c r="C810" i="5"/>
  <c r="A934" i="1" a="1"/>
  <c r="A934" i="1" l="1"/>
  <c r="B934" i="1"/>
  <c r="F934" i="1" s="1"/>
  <c r="C934" i="1"/>
  <c r="E932" i="1"/>
  <c r="D810" i="5"/>
  <c r="F810" i="5"/>
  <c r="E811" i="5" s="1"/>
  <c r="C811" i="5"/>
  <c r="H809" i="5"/>
  <c r="A935" i="1" a="1"/>
  <c r="A935" i="1" l="1"/>
  <c r="B935" i="1"/>
  <c r="F935" i="1" s="1"/>
  <c r="C935" i="1"/>
  <c r="E933" i="1"/>
  <c r="D811" i="5"/>
  <c r="H810" i="5"/>
  <c r="F811" i="5"/>
  <c r="E812" i="5" s="1"/>
  <c r="C812" i="5"/>
  <c r="A936" i="1" a="1"/>
  <c r="A936" i="1" l="1"/>
  <c r="B936" i="1"/>
  <c r="F936" i="1" s="1"/>
  <c r="C936" i="1"/>
  <c r="E934" i="1"/>
  <c r="D812" i="5"/>
  <c r="F812" i="5"/>
  <c r="E813" i="5" s="1"/>
  <c r="C813" i="5"/>
  <c r="H811" i="5"/>
  <c r="A937" i="1" a="1"/>
  <c r="A937" i="1" l="1"/>
  <c r="B937" i="1"/>
  <c r="F937" i="1" s="1"/>
  <c r="C937" i="1"/>
  <c r="E935" i="1"/>
  <c r="D813" i="5"/>
  <c r="H812" i="5"/>
  <c r="F813" i="5"/>
  <c r="E814" i="5" s="1"/>
  <c r="C814" i="5"/>
  <c r="A938" i="1" a="1"/>
  <c r="A938" i="1" l="1"/>
  <c r="B938" i="1"/>
  <c r="F938" i="1" s="1"/>
  <c r="C938" i="1"/>
  <c r="E936" i="1"/>
  <c r="D814" i="5"/>
  <c r="F814" i="5"/>
  <c r="E815" i="5" s="1"/>
  <c r="C815" i="5"/>
  <c r="H813" i="5"/>
  <c r="A939" i="1" a="1"/>
  <c r="A939" i="1" l="1"/>
  <c r="B939" i="1"/>
  <c r="F939" i="1" s="1"/>
  <c r="C939" i="1"/>
  <c r="E937" i="1"/>
  <c r="D815" i="5"/>
  <c r="H814" i="5"/>
  <c r="F815" i="5"/>
  <c r="E816" i="5" s="1"/>
  <c r="C816" i="5"/>
  <c r="A940" i="1" a="1"/>
  <c r="A940" i="1" l="1"/>
  <c r="B940" i="1"/>
  <c r="F940" i="1" s="1"/>
  <c r="C940" i="1"/>
  <c r="E938" i="1"/>
  <c r="D816" i="5"/>
  <c r="F816" i="5"/>
  <c r="E817" i="5" s="1"/>
  <c r="C817" i="5"/>
  <c r="H815" i="5"/>
  <c r="A941" i="1" a="1"/>
  <c r="A941" i="1" l="1"/>
  <c r="B941" i="1"/>
  <c r="F941" i="1" s="1"/>
  <c r="C941" i="1"/>
  <c r="E939" i="1"/>
  <c r="D817" i="5"/>
  <c r="H816" i="5"/>
  <c r="F817" i="5"/>
  <c r="E818" i="5" s="1"/>
  <c r="C818" i="5"/>
  <c r="A942" i="1" a="1"/>
  <c r="A942" i="1" l="1"/>
  <c r="B942" i="1"/>
  <c r="F942" i="1" s="1"/>
  <c r="C942" i="1"/>
  <c r="E940" i="1"/>
  <c r="D818" i="5"/>
  <c r="F818" i="5"/>
  <c r="E819" i="5" s="1"/>
  <c r="C819" i="5"/>
  <c r="H817" i="5"/>
  <c r="A943" i="1" a="1"/>
  <c r="A943" i="1" l="1"/>
  <c r="B943" i="1"/>
  <c r="F943" i="1" s="1"/>
  <c r="C943" i="1"/>
  <c r="E941" i="1"/>
  <c r="D819" i="5"/>
  <c r="H818" i="5"/>
  <c r="F819" i="5"/>
  <c r="E820" i="5" s="1"/>
  <c r="C820" i="5"/>
  <c r="A944" i="1" a="1"/>
  <c r="A944" i="1" l="1"/>
  <c r="B944" i="1"/>
  <c r="F944" i="1" s="1"/>
  <c r="C944" i="1"/>
  <c r="E942" i="1"/>
  <c r="D820" i="5"/>
  <c r="F820" i="5"/>
  <c r="E821" i="5" s="1"/>
  <c r="C821" i="5"/>
  <c r="H819" i="5"/>
  <c r="A945" i="1" a="1"/>
  <c r="A945" i="1" l="1"/>
  <c r="B945" i="1"/>
  <c r="F945" i="1" s="1"/>
  <c r="C945" i="1"/>
  <c r="E943" i="1"/>
  <c r="D821" i="5"/>
  <c r="H820" i="5"/>
  <c r="F821" i="5"/>
  <c r="E822" i="5" s="1"/>
  <c r="C822" i="5"/>
  <c r="A946" i="1" a="1"/>
  <c r="A946" i="1" l="1"/>
  <c r="B946" i="1"/>
  <c r="F946" i="1" s="1"/>
  <c r="C946" i="1"/>
  <c r="E944" i="1"/>
  <c r="D822" i="5"/>
  <c r="F822" i="5"/>
  <c r="E823" i="5" s="1"/>
  <c r="C823" i="5"/>
  <c r="H821" i="5"/>
  <c r="A947" i="1" a="1"/>
  <c r="A947" i="1" l="1"/>
  <c r="B947" i="1"/>
  <c r="F947" i="1" s="1"/>
  <c r="C947" i="1"/>
  <c r="E945" i="1"/>
  <c r="D823" i="5"/>
  <c r="H822" i="5"/>
  <c r="F823" i="5"/>
  <c r="E824" i="5" s="1"/>
  <c r="C824" i="5"/>
  <c r="A948" i="1" a="1"/>
  <c r="A948" i="1" l="1"/>
  <c r="B948" i="1"/>
  <c r="F948" i="1" s="1"/>
  <c r="C948" i="1"/>
  <c r="E946" i="1"/>
  <c r="D824" i="5"/>
  <c r="F824" i="5"/>
  <c r="E825" i="5" s="1"/>
  <c r="C825" i="5"/>
  <c r="H823" i="5"/>
  <c r="A949" i="1" a="1"/>
  <c r="A949" i="1" l="1"/>
  <c r="B949" i="1"/>
  <c r="F949" i="1" s="1"/>
  <c r="C949" i="1"/>
  <c r="E947" i="1"/>
  <c r="D825" i="5"/>
  <c r="H824" i="5"/>
  <c r="F825" i="5"/>
  <c r="E826" i="5" s="1"/>
  <c r="C826" i="5"/>
  <c r="A950" i="1" a="1"/>
  <c r="A950" i="1" l="1"/>
  <c r="B950" i="1"/>
  <c r="F950" i="1" s="1"/>
  <c r="C950" i="1"/>
  <c r="E948" i="1"/>
  <c r="D826" i="5"/>
  <c r="F826" i="5"/>
  <c r="E827" i="5" s="1"/>
  <c r="C827" i="5"/>
  <c r="H825" i="5"/>
  <c r="A951" i="1" a="1"/>
  <c r="A951" i="1" l="1"/>
  <c r="B951" i="1"/>
  <c r="F951" i="1" s="1"/>
  <c r="C951" i="1"/>
  <c r="E949" i="1"/>
  <c r="D827" i="5"/>
  <c r="H826" i="5"/>
  <c r="F827" i="5"/>
  <c r="E828" i="5" s="1"/>
  <c r="C828" i="5"/>
  <c r="A952" i="1" a="1"/>
  <c r="A952" i="1" l="1"/>
  <c r="B952" i="1"/>
  <c r="F952" i="1" s="1"/>
  <c r="C952" i="1"/>
  <c r="E950" i="1"/>
  <c r="D828" i="5"/>
  <c r="F828" i="5"/>
  <c r="E829" i="5" s="1"/>
  <c r="C829" i="5"/>
  <c r="H827" i="5"/>
  <c r="A953" i="1" a="1"/>
  <c r="A953" i="1" l="1"/>
  <c r="B953" i="1"/>
  <c r="F953" i="1" s="1"/>
  <c r="C953" i="1"/>
  <c r="E951" i="1"/>
  <c r="D829" i="5"/>
  <c r="H828" i="5"/>
  <c r="F829" i="5"/>
  <c r="E830" i="5" s="1"/>
  <c r="C830" i="5"/>
  <c r="A954" i="1" a="1"/>
  <c r="A954" i="1" l="1"/>
  <c r="B954" i="1"/>
  <c r="F954" i="1" s="1"/>
  <c r="C954" i="1"/>
  <c r="E952" i="1"/>
  <c r="D830" i="5"/>
  <c r="F830" i="5"/>
  <c r="E831" i="5" s="1"/>
  <c r="C831" i="5"/>
  <c r="H829" i="5"/>
  <c r="A955" i="1" a="1"/>
  <c r="A955" i="1" l="1"/>
  <c r="B955" i="1"/>
  <c r="F955" i="1" s="1"/>
  <c r="C955" i="1"/>
  <c r="E953" i="1"/>
  <c r="D831" i="5"/>
  <c r="H830" i="5"/>
  <c r="F831" i="5"/>
  <c r="E832" i="5" s="1"/>
  <c r="C832" i="5"/>
  <c r="A956" i="1" a="1"/>
  <c r="A956" i="1" l="1"/>
  <c r="B956" i="1"/>
  <c r="F956" i="1" s="1"/>
  <c r="C956" i="1"/>
  <c r="E954" i="1"/>
  <c r="D832" i="5"/>
  <c r="F832" i="5"/>
  <c r="E833" i="5" s="1"/>
  <c r="C833" i="5"/>
  <c r="H831" i="5"/>
  <c r="A957" i="1" a="1"/>
  <c r="A957" i="1" l="1"/>
  <c r="B957" i="1"/>
  <c r="F957" i="1" s="1"/>
  <c r="C957" i="1"/>
  <c r="E955" i="1"/>
  <c r="D833" i="5"/>
  <c r="H832" i="5"/>
  <c r="F833" i="5"/>
  <c r="E834" i="5" s="1"/>
  <c r="C834" i="5"/>
  <c r="A958" i="1" a="1"/>
  <c r="A958" i="1" l="1"/>
  <c r="B958" i="1"/>
  <c r="F958" i="1" s="1"/>
  <c r="C958" i="1"/>
  <c r="E956" i="1"/>
  <c r="D834" i="5"/>
  <c r="F834" i="5"/>
  <c r="E835" i="5" s="1"/>
  <c r="C835" i="5"/>
  <c r="H833" i="5"/>
  <c r="A959" i="1" a="1"/>
  <c r="A959" i="1" l="1"/>
  <c r="B959" i="1"/>
  <c r="F959" i="1" s="1"/>
  <c r="C959" i="1"/>
  <c r="E957" i="1"/>
  <c r="D835" i="5"/>
  <c r="H834" i="5"/>
  <c r="F835" i="5"/>
  <c r="E836" i="5" s="1"/>
  <c r="C836" i="5"/>
  <c r="A960" i="1" a="1"/>
  <c r="A960" i="1" l="1"/>
  <c r="B960" i="1"/>
  <c r="F960" i="1" s="1"/>
  <c r="C960" i="1"/>
  <c r="E958" i="1"/>
  <c r="D836" i="5"/>
  <c r="F836" i="5"/>
  <c r="E837" i="5" s="1"/>
  <c r="C837" i="5"/>
  <c r="H835" i="5"/>
  <c r="A961" i="1" a="1"/>
  <c r="A961" i="1" l="1"/>
  <c r="B961" i="1"/>
  <c r="F961" i="1" s="1"/>
  <c r="C961" i="1"/>
  <c r="E959" i="1"/>
  <c r="D837" i="5"/>
  <c r="H836" i="5"/>
  <c r="F837" i="5"/>
  <c r="E838" i="5" s="1"/>
  <c r="C838" i="5"/>
  <c r="A962" i="1" a="1"/>
  <c r="A962" i="1" l="1"/>
  <c r="B962" i="1"/>
  <c r="F962" i="1" s="1"/>
  <c r="C962" i="1"/>
  <c r="E960" i="1"/>
  <c r="D838" i="5"/>
  <c r="F838" i="5"/>
  <c r="E839" i="5" s="1"/>
  <c r="C839" i="5"/>
  <c r="H837" i="5"/>
  <c r="A963" i="1" a="1"/>
  <c r="A963" i="1" l="1"/>
  <c r="B963" i="1"/>
  <c r="F963" i="1" s="1"/>
  <c r="C963" i="1"/>
  <c r="E961" i="1"/>
  <c r="D839" i="5"/>
  <c r="H838" i="5"/>
  <c r="F839" i="5"/>
  <c r="E840" i="5" s="1"/>
  <c r="C840" i="5"/>
  <c r="A964" i="1" a="1"/>
  <c r="A964" i="1" l="1"/>
  <c r="B964" i="1"/>
  <c r="F964" i="1" s="1"/>
  <c r="C964" i="1"/>
  <c r="E962" i="1"/>
  <c r="D840" i="5"/>
  <c r="F840" i="5"/>
  <c r="E841" i="5" s="1"/>
  <c r="C841" i="5"/>
  <c r="H839" i="5"/>
  <c r="A965" i="1" a="1"/>
  <c r="A965" i="1" l="1"/>
  <c r="B965" i="1"/>
  <c r="F965" i="1" s="1"/>
  <c r="C965" i="1"/>
  <c r="E963" i="1"/>
  <c r="D841" i="5"/>
  <c r="H840" i="5"/>
  <c r="F841" i="5"/>
  <c r="E842" i="5" s="1"/>
  <c r="C842" i="5"/>
  <c r="A966" i="1" a="1"/>
  <c r="A966" i="1" l="1"/>
  <c r="B966" i="1"/>
  <c r="F966" i="1" s="1"/>
  <c r="C966" i="1"/>
  <c r="E964" i="1"/>
  <c r="D842" i="5"/>
  <c r="F842" i="5"/>
  <c r="E843" i="5" s="1"/>
  <c r="C843" i="5"/>
  <c r="H841" i="5"/>
  <c r="A967" i="1" a="1"/>
  <c r="A967" i="1" l="1"/>
  <c r="B967" i="1"/>
  <c r="F967" i="1" s="1"/>
  <c r="C967" i="1"/>
  <c r="E965" i="1"/>
  <c r="D843" i="5"/>
  <c r="H842" i="5"/>
  <c r="F843" i="5"/>
  <c r="E844" i="5" s="1"/>
  <c r="C844" i="5"/>
  <c r="A968" i="1" a="1"/>
  <c r="A968" i="1" l="1"/>
  <c r="B968" i="1"/>
  <c r="F968" i="1" s="1"/>
  <c r="C968" i="1"/>
  <c r="E966" i="1"/>
  <c r="D844" i="5"/>
  <c r="F844" i="5"/>
  <c r="E845" i="5" s="1"/>
  <c r="C845" i="5"/>
  <c r="H843" i="5"/>
  <c r="A969" i="1" a="1"/>
  <c r="A969" i="1" l="1"/>
  <c r="B969" i="1"/>
  <c r="F969" i="1" s="1"/>
  <c r="C969" i="1"/>
  <c r="E967" i="1"/>
  <c r="D845" i="5"/>
  <c r="H844" i="5"/>
  <c r="F845" i="5"/>
  <c r="E846" i="5" s="1"/>
  <c r="C846" i="5"/>
  <c r="A970" i="1" a="1"/>
  <c r="A970" i="1" l="1"/>
  <c r="B970" i="1"/>
  <c r="F970" i="1" s="1"/>
  <c r="C970" i="1"/>
  <c r="E968" i="1"/>
  <c r="D846" i="5"/>
  <c r="F846" i="5"/>
  <c r="E847" i="5" s="1"/>
  <c r="C847" i="5"/>
  <c r="H845" i="5"/>
  <c r="A971" i="1" a="1"/>
  <c r="A971" i="1" l="1"/>
  <c r="B971" i="1"/>
  <c r="F971" i="1" s="1"/>
  <c r="C971" i="1"/>
  <c r="E969" i="1"/>
  <c r="D847" i="5"/>
  <c r="H846" i="5"/>
  <c r="F847" i="5"/>
  <c r="E848" i="5" s="1"/>
  <c r="C848" i="5"/>
  <c r="A972" i="1" a="1"/>
  <c r="A972" i="1" l="1"/>
  <c r="B972" i="1"/>
  <c r="F972" i="1" s="1"/>
  <c r="C972" i="1"/>
  <c r="E970" i="1"/>
  <c r="D848" i="5"/>
  <c r="F848" i="5"/>
  <c r="E849" i="5" s="1"/>
  <c r="C849" i="5"/>
  <c r="H847" i="5"/>
  <c r="A973" i="1" a="1"/>
  <c r="A973" i="1" l="1"/>
  <c r="B973" i="1"/>
  <c r="F973" i="1" s="1"/>
  <c r="C973" i="1"/>
  <c r="E971" i="1"/>
  <c r="D849" i="5"/>
  <c r="H848" i="5"/>
  <c r="F849" i="5"/>
  <c r="E850" i="5" s="1"/>
  <c r="C850" i="5"/>
  <c r="A974" i="1" a="1"/>
  <c r="A974" i="1" l="1"/>
  <c r="B974" i="1"/>
  <c r="F974" i="1" s="1"/>
  <c r="C974" i="1"/>
  <c r="E972" i="1"/>
  <c r="D850" i="5"/>
  <c r="F850" i="5"/>
  <c r="E851" i="5" s="1"/>
  <c r="C851" i="5"/>
  <c r="H849" i="5"/>
  <c r="A975" i="1" a="1"/>
  <c r="A975" i="1" l="1"/>
  <c r="B975" i="1"/>
  <c r="F975" i="1" s="1"/>
  <c r="C975" i="1"/>
  <c r="E973" i="1"/>
  <c r="D851" i="5"/>
  <c r="H850" i="5"/>
  <c r="F851" i="5"/>
  <c r="E852" i="5" s="1"/>
  <c r="C852" i="5"/>
  <c r="A976" i="1" a="1"/>
  <c r="A976" i="1" l="1"/>
  <c r="B976" i="1"/>
  <c r="F976" i="1" s="1"/>
  <c r="C976" i="1"/>
  <c r="E974" i="1"/>
  <c r="D852" i="5"/>
  <c r="F852" i="5"/>
  <c r="E853" i="5" s="1"/>
  <c r="C853" i="5"/>
  <c r="H851" i="5"/>
  <c r="A977" i="1" a="1"/>
  <c r="A977" i="1" l="1"/>
  <c r="B977" i="1"/>
  <c r="F977" i="1" s="1"/>
  <c r="C977" i="1"/>
  <c r="E975" i="1"/>
  <c r="D853" i="5"/>
  <c r="H852" i="5"/>
  <c r="F853" i="5"/>
  <c r="E854" i="5" s="1"/>
  <c r="C854" i="5"/>
  <c r="A978" i="1" a="1"/>
  <c r="A978" i="1" l="1"/>
  <c r="B978" i="1"/>
  <c r="F978" i="1" s="1"/>
  <c r="C978" i="1"/>
  <c r="E976" i="1"/>
  <c r="D854" i="5"/>
  <c r="F854" i="5"/>
  <c r="E855" i="5" s="1"/>
  <c r="C855" i="5"/>
  <c r="H853" i="5"/>
  <c r="A979" i="1" a="1"/>
  <c r="A979" i="1" l="1"/>
  <c r="B979" i="1"/>
  <c r="F979" i="1" s="1"/>
  <c r="C979" i="1"/>
  <c r="E977" i="1"/>
  <c r="D855" i="5"/>
  <c r="H854" i="5"/>
  <c r="F855" i="5"/>
  <c r="E856" i="5" s="1"/>
  <c r="C856" i="5"/>
  <c r="A980" i="1" a="1"/>
  <c r="A980" i="1" l="1"/>
  <c r="B980" i="1"/>
  <c r="F980" i="1" s="1"/>
  <c r="C980" i="1"/>
  <c r="E978" i="1"/>
  <c r="D856" i="5"/>
  <c r="F856" i="5"/>
  <c r="E857" i="5" s="1"/>
  <c r="C857" i="5"/>
  <c r="H855" i="5"/>
  <c r="A981" i="1" a="1"/>
  <c r="A981" i="1" l="1"/>
  <c r="B981" i="1"/>
  <c r="F981" i="1" s="1"/>
  <c r="C981" i="1"/>
  <c r="E979" i="1"/>
  <c r="D857" i="5"/>
  <c r="H856" i="5"/>
  <c r="F857" i="5"/>
  <c r="E858" i="5" s="1"/>
  <c r="C858" i="5"/>
  <c r="A982" i="1" a="1"/>
  <c r="A982" i="1" l="1"/>
  <c r="B982" i="1"/>
  <c r="F982" i="1" s="1"/>
  <c r="C982" i="1"/>
  <c r="E980" i="1"/>
  <c r="D858" i="5"/>
  <c r="F858" i="5"/>
  <c r="E859" i="5" s="1"/>
  <c r="C859" i="5"/>
  <c r="H857" i="5"/>
  <c r="A983" i="1" a="1"/>
  <c r="A983" i="1" l="1"/>
  <c r="B983" i="1"/>
  <c r="F983" i="1" s="1"/>
  <c r="C983" i="1"/>
  <c r="E981" i="1"/>
  <c r="D859" i="5"/>
  <c r="H858" i="5"/>
  <c r="F859" i="5"/>
  <c r="E860" i="5" s="1"/>
  <c r="C860" i="5"/>
  <c r="A984" i="1" a="1"/>
  <c r="A984" i="1" l="1"/>
  <c r="B984" i="1"/>
  <c r="F984" i="1" s="1"/>
  <c r="C984" i="1"/>
  <c r="E982" i="1"/>
  <c r="D860" i="5"/>
  <c r="F860" i="5"/>
  <c r="E861" i="5" s="1"/>
  <c r="C861" i="5"/>
  <c r="H859" i="5"/>
  <c r="A985" i="1" a="1"/>
  <c r="A985" i="1" l="1"/>
  <c r="B985" i="1"/>
  <c r="F985" i="1" s="1"/>
  <c r="C985" i="1"/>
  <c r="E983" i="1"/>
  <c r="D861" i="5"/>
  <c r="H860" i="5"/>
  <c r="F861" i="5"/>
  <c r="E862" i="5" s="1"/>
  <c r="C862" i="5"/>
  <c r="A986" i="1" a="1"/>
  <c r="A986" i="1" l="1"/>
  <c r="B986" i="1"/>
  <c r="F986" i="1" s="1"/>
  <c r="C986" i="1"/>
  <c r="E984" i="1"/>
  <c r="D862" i="5"/>
  <c r="F862" i="5"/>
  <c r="E863" i="5" s="1"/>
  <c r="C863" i="5"/>
  <c r="H861" i="5"/>
  <c r="A987" i="1" a="1"/>
  <c r="A987" i="1" l="1"/>
  <c r="B987" i="1"/>
  <c r="F987" i="1" s="1"/>
  <c r="C987" i="1"/>
  <c r="E985" i="1"/>
  <c r="D863" i="5"/>
  <c r="H862" i="5"/>
  <c r="F863" i="5"/>
  <c r="E864" i="5" s="1"/>
  <c r="C864" i="5"/>
  <c r="A988" i="1" a="1"/>
  <c r="A988" i="1" l="1"/>
  <c r="B988" i="1"/>
  <c r="F988" i="1" s="1"/>
  <c r="C988" i="1"/>
  <c r="E986" i="1"/>
  <c r="D864" i="5"/>
  <c r="F864" i="5"/>
  <c r="E865" i="5" s="1"/>
  <c r="C865" i="5"/>
  <c r="H863" i="5"/>
  <c r="A989" i="1" a="1"/>
  <c r="A989" i="1" l="1"/>
  <c r="B989" i="1"/>
  <c r="F989" i="1" s="1"/>
  <c r="C989" i="1"/>
  <c r="E987" i="1"/>
  <c r="D865" i="5"/>
  <c r="H864" i="5"/>
  <c r="F865" i="5"/>
  <c r="E866" i="5" s="1"/>
  <c r="C866" i="5"/>
  <c r="A990" i="1" a="1"/>
  <c r="A990" i="1" l="1"/>
  <c r="B990" i="1"/>
  <c r="F990" i="1" s="1"/>
  <c r="C990" i="1"/>
  <c r="E988" i="1"/>
  <c r="D866" i="5"/>
  <c r="F866" i="5"/>
  <c r="E867" i="5" s="1"/>
  <c r="C867" i="5"/>
  <c r="H865" i="5"/>
  <c r="A991" i="1" a="1"/>
  <c r="A991" i="1" l="1"/>
  <c r="B991" i="1"/>
  <c r="F991" i="1" s="1"/>
  <c r="C991" i="1"/>
  <c r="E989" i="1"/>
  <c r="D867" i="5"/>
  <c r="H866" i="5"/>
  <c r="F867" i="5"/>
  <c r="E868" i="5" s="1"/>
  <c r="C868" i="5"/>
  <c r="A992" i="1" a="1"/>
  <c r="A992" i="1" l="1"/>
  <c r="B992" i="1"/>
  <c r="F992" i="1" s="1"/>
  <c r="C992" i="1"/>
  <c r="E990" i="1"/>
  <c r="D868" i="5"/>
  <c r="F868" i="5"/>
  <c r="E869" i="5" s="1"/>
  <c r="C869" i="5"/>
  <c r="H867" i="5"/>
  <c r="A993" i="1" a="1"/>
  <c r="A993" i="1" l="1"/>
  <c r="B993" i="1"/>
  <c r="F993" i="1" s="1"/>
  <c r="C993" i="1"/>
  <c r="E991" i="1"/>
  <c r="D869" i="5"/>
  <c r="H868" i="5"/>
  <c r="F869" i="5"/>
  <c r="E870" i="5" s="1"/>
  <c r="C870" i="5"/>
  <c r="A994" i="1" a="1"/>
  <c r="A994" i="1" l="1"/>
  <c r="B994" i="1"/>
  <c r="F994" i="1" s="1"/>
  <c r="C994" i="1"/>
  <c r="E992" i="1"/>
  <c r="D870" i="5"/>
  <c r="F870" i="5"/>
  <c r="E871" i="5" s="1"/>
  <c r="C871" i="5"/>
  <c r="H869" i="5"/>
  <c r="A995" i="1" a="1"/>
  <c r="A995" i="1" l="1"/>
  <c r="B995" i="1"/>
  <c r="F995" i="1" s="1"/>
  <c r="C995" i="1"/>
  <c r="E993" i="1"/>
  <c r="D871" i="5"/>
  <c r="H870" i="5"/>
  <c r="F871" i="5"/>
  <c r="E872" i="5" s="1"/>
  <c r="C872" i="5"/>
  <c r="A996" i="1" a="1"/>
  <c r="A996" i="1" l="1"/>
  <c r="B996" i="1"/>
  <c r="F996" i="1" s="1"/>
  <c r="C996" i="1"/>
  <c r="E994" i="1"/>
  <c r="D872" i="5"/>
  <c r="F872" i="5"/>
  <c r="E873" i="5" s="1"/>
  <c r="C873" i="5"/>
  <c r="H871" i="5"/>
  <c r="A997" i="1" a="1"/>
  <c r="A997" i="1" l="1"/>
  <c r="B997" i="1"/>
  <c r="F997" i="1" s="1"/>
  <c r="C997" i="1"/>
  <c r="E995" i="1"/>
  <c r="D873" i="5"/>
  <c r="H872" i="5"/>
  <c r="F873" i="5"/>
  <c r="E874" i="5" s="1"/>
  <c r="C874" i="5"/>
  <c r="A998" i="1" a="1"/>
  <c r="A998" i="1" l="1"/>
  <c r="B998" i="1"/>
  <c r="F998" i="1" s="1"/>
  <c r="C998" i="1"/>
  <c r="E996" i="1"/>
  <c r="D874" i="5"/>
  <c r="F874" i="5"/>
  <c r="E875" i="5" s="1"/>
  <c r="C875" i="5"/>
  <c r="H873" i="5"/>
  <c r="A999" i="1" a="1"/>
  <c r="A999" i="1" l="1"/>
  <c r="B999" i="1"/>
  <c r="F999" i="1" s="1"/>
  <c r="C999" i="1"/>
  <c r="E997" i="1"/>
  <c r="D875" i="5"/>
  <c r="H874" i="5"/>
  <c r="F875" i="5"/>
  <c r="E876" i="5" s="1"/>
  <c r="C876" i="5"/>
  <c r="A1000" i="1" a="1"/>
  <c r="A1000" i="1" l="1"/>
  <c r="B1000" i="1"/>
  <c r="F1000" i="1" s="1"/>
  <c r="C1000" i="1"/>
  <c r="E998" i="1"/>
  <c r="D876" i="5"/>
  <c r="F876" i="5"/>
  <c r="E877" i="5" s="1"/>
  <c r="C877" i="5"/>
  <c r="H875" i="5"/>
  <c r="A1001" i="1" a="1"/>
  <c r="A1001" i="1" l="1"/>
  <c r="B1001" i="1"/>
  <c r="F1001" i="1" s="1"/>
  <c r="C1001" i="1"/>
  <c r="E999" i="1"/>
  <c r="D877" i="5"/>
  <c r="H876" i="5"/>
  <c r="F877" i="5"/>
  <c r="E878" i="5" s="1"/>
  <c r="C878" i="5"/>
  <c r="A1002" i="1" a="1"/>
  <c r="A1002" i="1" l="1"/>
  <c r="B1002" i="1"/>
  <c r="F1002" i="1" s="1"/>
  <c r="C1002" i="1"/>
  <c r="E1000" i="1"/>
  <c r="D878" i="5"/>
  <c r="F878" i="5"/>
  <c r="E879" i="5" s="1"/>
  <c r="C879" i="5"/>
  <c r="H877" i="5"/>
  <c r="A1003" i="1" a="1"/>
  <c r="A1003" i="1" l="1"/>
  <c r="B1003" i="1"/>
  <c r="F1003" i="1" s="1"/>
  <c r="C1003" i="1"/>
  <c r="E1001" i="1"/>
  <c r="D879" i="5"/>
  <c r="H878" i="5"/>
  <c r="F879" i="5"/>
  <c r="E880" i="5" s="1"/>
  <c r="C880" i="5"/>
  <c r="A1004" i="1" a="1"/>
  <c r="A1004" i="1" l="1"/>
  <c r="B1004" i="1"/>
  <c r="F1004" i="1" s="1"/>
  <c r="C1004" i="1"/>
  <c r="E1002" i="1"/>
  <c r="D880" i="5"/>
  <c r="F880" i="5"/>
  <c r="E881" i="5" s="1"/>
  <c r="C881" i="5"/>
  <c r="H879" i="5"/>
  <c r="A1005" i="1" a="1"/>
  <c r="A1005" i="1" l="1"/>
  <c r="B1005" i="1"/>
  <c r="F1005" i="1" s="1"/>
  <c r="C1005" i="1"/>
  <c r="E1003" i="1"/>
  <c r="D881" i="5"/>
  <c r="H880" i="5"/>
  <c r="F881" i="5"/>
  <c r="E882" i="5" s="1"/>
  <c r="C882" i="5"/>
  <c r="A1006" i="1" a="1"/>
  <c r="A1006" i="1" l="1"/>
  <c r="B1006" i="1"/>
  <c r="F1006" i="1" s="1"/>
  <c r="C1006" i="1"/>
  <c r="E1004" i="1"/>
  <c r="D882" i="5"/>
  <c r="F882" i="5"/>
  <c r="E883" i="5" s="1"/>
  <c r="C883" i="5"/>
  <c r="H881" i="5"/>
  <c r="A1007" i="1" a="1"/>
  <c r="A1007" i="1" l="1"/>
  <c r="B1007" i="1"/>
  <c r="F1007" i="1" s="1"/>
  <c r="C1007" i="1"/>
  <c r="E1005" i="1"/>
  <c r="D883" i="5"/>
  <c r="H882" i="5"/>
  <c r="F883" i="5"/>
  <c r="E884" i="5" s="1"/>
  <c r="C884" i="5"/>
  <c r="A1008" i="1" a="1"/>
  <c r="A1008" i="1" l="1"/>
  <c r="B1008" i="1"/>
  <c r="F1008" i="1" s="1"/>
  <c r="C1008" i="1"/>
  <c r="E1006" i="1"/>
  <c r="D884" i="5"/>
  <c r="F884" i="5"/>
  <c r="E885" i="5" s="1"/>
  <c r="C885" i="5"/>
  <c r="H883" i="5"/>
  <c r="E1007" i="1" l="1"/>
  <c r="D885" i="5"/>
  <c r="H884" i="5"/>
  <c r="F885" i="5"/>
  <c r="E886" i="5" s="1"/>
  <c r="C886" i="5"/>
  <c r="E1008" i="1" l="1"/>
  <c r="J3" i="1" s="1"/>
  <c r="J4" i="1"/>
  <c r="D886" i="5"/>
  <c r="F886" i="5"/>
  <c r="E887" i="5" s="1"/>
  <c r="C887" i="5"/>
  <c r="H885" i="5"/>
  <c r="D887" i="5" l="1"/>
  <c r="H886" i="5"/>
  <c r="F887" i="5"/>
  <c r="E888" i="5" s="1"/>
  <c r="C888" i="5"/>
  <c r="D888" i="5" l="1"/>
  <c r="F888" i="5"/>
  <c r="E889" i="5" s="1"/>
  <c r="C889" i="5"/>
  <c r="H887" i="5"/>
  <c r="D889" i="5" l="1"/>
  <c r="H888" i="5"/>
  <c r="F889" i="5"/>
  <c r="E890" i="5" s="1"/>
  <c r="C890" i="5"/>
  <c r="D890" i="5" l="1"/>
  <c r="F890" i="5"/>
  <c r="E891" i="5" s="1"/>
  <c r="C891" i="5"/>
  <c r="H889" i="5"/>
  <c r="D891" i="5" l="1"/>
  <c r="H890" i="5"/>
  <c r="F891" i="5"/>
  <c r="E892" i="5" s="1"/>
  <c r="C892" i="5"/>
  <c r="D892" i="5" l="1"/>
  <c r="F892" i="5"/>
  <c r="E893" i="5" s="1"/>
  <c r="C893" i="5"/>
  <c r="H891" i="5"/>
  <c r="D893" i="5" l="1"/>
  <c r="H892" i="5"/>
  <c r="F893" i="5"/>
  <c r="E894" i="5" s="1"/>
  <c r="C894" i="5"/>
  <c r="D894" i="5" l="1"/>
  <c r="F894" i="5"/>
  <c r="E895" i="5" s="1"/>
  <c r="C895" i="5"/>
  <c r="H893" i="5"/>
  <c r="D895" i="5" l="1"/>
  <c r="H894" i="5"/>
  <c r="F895" i="5"/>
  <c r="E896" i="5" s="1"/>
  <c r="C896" i="5"/>
  <c r="D896" i="5" l="1"/>
  <c r="F896" i="5"/>
  <c r="E897" i="5" s="1"/>
  <c r="C897" i="5"/>
  <c r="H895" i="5"/>
  <c r="D897" i="5" l="1"/>
  <c r="H896" i="5"/>
  <c r="F897" i="5"/>
  <c r="E898" i="5" s="1"/>
  <c r="C898" i="5"/>
  <c r="D898" i="5" l="1"/>
  <c r="F898" i="5"/>
  <c r="E899" i="5" s="1"/>
  <c r="C899" i="5"/>
  <c r="H897" i="5"/>
  <c r="D899" i="5" l="1"/>
  <c r="H898" i="5"/>
  <c r="F899" i="5"/>
  <c r="E900" i="5" s="1"/>
  <c r="C900" i="5"/>
  <c r="D900" i="5" l="1"/>
  <c r="F900" i="5"/>
  <c r="E901" i="5" s="1"/>
  <c r="C901" i="5"/>
  <c r="H899" i="5"/>
  <c r="D901" i="5" l="1"/>
  <c r="H900" i="5"/>
  <c r="F901" i="5"/>
  <c r="E902" i="5" s="1"/>
  <c r="C902" i="5"/>
  <c r="D902" i="5" l="1"/>
  <c r="F902" i="5"/>
  <c r="E903" i="5" s="1"/>
  <c r="C903" i="5"/>
  <c r="H901" i="5"/>
  <c r="D903" i="5" l="1"/>
  <c r="H902" i="5"/>
  <c r="F903" i="5"/>
  <c r="E904" i="5" s="1"/>
  <c r="C904" i="5"/>
  <c r="D904" i="5" l="1"/>
  <c r="F904" i="5"/>
  <c r="E905" i="5" s="1"/>
  <c r="C905" i="5"/>
  <c r="H903" i="5"/>
  <c r="D905" i="5" l="1"/>
  <c r="H904" i="5"/>
  <c r="F905" i="5"/>
  <c r="E906" i="5" s="1"/>
  <c r="C906" i="5"/>
  <c r="D906" i="5" l="1"/>
  <c r="F906" i="5"/>
  <c r="E907" i="5" s="1"/>
  <c r="C907" i="5"/>
  <c r="H905" i="5"/>
  <c r="D907" i="5" l="1"/>
  <c r="H906" i="5"/>
  <c r="C908" i="5"/>
  <c r="F907" i="5"/>
  <c r="E908" i="5" s="1"/>
  <c r="D908" i="5" l="1"/>
  <c r="F908" i="5"/>
  <c r="E909" i="5" s="1"/>
  <c r="C909" i="5"/>
  <c r="H907" i="5"/>
  <c r="D909" i="5" l="1"/>
  <c r="H908" i="5"/>
  <c r="F909" i="5"/>
  <c r="E910" i="5" s="1"/>
  <c r="C910" i="5"/>
  <c r="D910" i="5" l="1"/>
  <c r="F910" i="5"/>
  <c r="E911" i="5" s="1"/>
  <c r="C911" i="5"/>
  <c r="H909" i="5"/>
  <c r="D911" i="5" l="1"/>
  <c r="H910" i="5"/>
  <c r="F911" i="5"/>
  <c r="E912" i="5" s="1"/>
  <c r="C912" i="5"/>
  <c r="D912" i="5" l="1"/>
  <c r="F912" i="5"/>
  <c r="E913" i="5" s="1"/>
  <c r="C913" i="5"/>
  <c r="H911" i="5"/>
  <c r="D913" i="5" l="1"/>
  <c r="H912" i="5"/>
  <c r="F913" i="5"/>
  <c r="E914" i="5" s="1"/>
  <c r="C914" i="5"/>
  <c r="D914" i="5" l="1"/>
  <c r="F914" i="5"/>
  <c r="E915" i="5" s="1"/>
  <c r="C915" i="5"/>
  <c r="H913" i="5"/>
  <c r="D915" i="5" l="1"/>
  <c r="H914" i="5"/>
  <c r="F915" i="5"/>
  <c r="E916" i="5" s="1"/>
  <c r="C916" i="5"/>
  <c r="D916" i="5" l="1"/>
  <c r="F916" i="5"/>
  <c r="E917" i="5" s="1"/>
  <c r="C917" i="5"/>
  <c r="H915" i="5"/>
  <c r="D917" i="5" l="1"/>
  <c r="H916" i="5"/>
  <c r="F917" i="5"/>
  <c r="E918" i="5" s="1"/>
  <c r="C918" i="5"/>
  <c r="D918" i="5" l="1"/>
  <c r="F918" i="5"/>
  <c r="E919" i="5" s="1"/>
  <c r="C919" i="5"/>
  <c r="H917" i="5"/>
  <c r="D919" i="5" l="1"/>
  <c r="H918" i="5"/>
  <c r="F919" i="5"/>
  <c r="E920" i="5" s="1"/>
  <c r="C920" i="5"/>
  <c r="D920" i="5" l="1"/>
  <c r="F920" i="5"/>
  <c r="E921" i="5" s="1"/>
  <c r="C921" i="5"/>
  <c r="H919" i="5"/>
  <c r="D921" i="5" l="1"/>
  <c r="H920" i="5"/>
  <c r="F921" i="5"/>
  <c r="E922" i="5" s="1"/>
  <c r="C922" i="5"/>
  <c r="D922" i="5" l="1"/>
  <c r="F922" i="5"/>
  <c r="E923" i="5" s="1"/>
  <c r="C923" i="5"/>
  <c r="H921" i="5"/>
  <c r="D923" i="5" l="1"/>
  <c r="H922" i="5"/>
  <c r="F923" i="5"/>
  <c r="E924" i="5" s="1"/>
  <c r="C924" i="5"/>
  <c r="D924" i="5" l="1"/>
  <c r="F924" i="5"/>
  <c r="E925" i="5" s="1"/>
  <c r="C925" i="5"/>
  <c r="H923" i="5"/>
  <c r="D925" i="5" l="1"/>
  <c r="H924" i="5"/>
  <c r="F925" i="5"/>
  <c r="E926" i="5" s="1"/>
  <c r="C926" i="5"/>
  <c r="D926" i="5" l="1"/>
  <c r="F926" i="5"/>
  <c r="E927" i="5" s="1"/>
  <c r="C927" i="5"/>
  <c r="H925" i="5"/>
  <c r="D927" i="5" l="1"/>
  <c r="H926" i="5"/>
  <c r="F927" i="5"/>
  <c r="E928" i="5" s="1"/>
  <c r="C928" i="5"/>
  <c r="D928" i="5" l="1"/>
  <c r="F928" i="5"/>
  <c r="E929" i="5" s="1"/>
  <c r="C929" i="5"/>
  <c r="H927" i="5"/>
  <c r="D929" i="5" l="1"/>
  <c r="H928" i="5"/>
  <c r="F929" i="5"/>
  <c r="E930" i="5" s="1"/>
  <c r="C930" i="5"/>
  <c r="D930" i="5" l="1"/>
  <c r="F930" i="5"/>
  <c r="E931" i="5" s="1"/>
  <c r="C931" i="5"/>
  <c r="H929" i="5"/>
  <c r="D931" i="5" l="1"/>
  <c r="H930" i="5"/>
  <c r="F931" i="5"/>
  <c r="E932" i="5" s="1"/>
  <c r="C932" i="5"/>
  <c r="D932" i="5" l="1"/>
  <c r="F932" i="5"/>
  <c r="E933" i="5" s="1"/>
  <c r="C933" i="5"/>
  <c r="H931" i="5"/>
  <c r="D933" i="5" l="1"/>
  <c r="H932" i="5"/>
  <c r="F933" i="5"/>
  <c r="E934" i="5" s="1"/>
  <c r="C934" i="5"/>
  <c r="D934" i="5" l="1"/>
  <c r="F934" i="5"/>
  <c r="E935" i="5" s="1"/>
  <c r="C935" i="5"/>
  <c r="H933" i="5"/>
  <c r="D935" i="5" l="1"/>
  <c r="H934" i="5"/>
  <c r="F935" i="5"/>
  <c r="E936" i="5" s="1"/>
  <c r="C936" i="5"/>
  <c r="D936" i="5" l="1"/>
  <c r="F936" i="5"/>
  <c r="E937" i="5" s="1"/>
  <c r="C937" i="5"/>
  <c r="H935" i="5"/>
  <c r="D937" i="5" l="1"/>
  <c r="H936" i="5"/>
  <c r="F937" i="5"/>
  <c r="E938" i="5" s="1"/>
  <c r="C938" i="5"/>
  <c r="D938" i="5" l="1"/>
  <c r="F938" i="5"/>
  <c r="E939" i="5" s="1"/>
  <c r="C939" i="5"/>
  <c r="H937" i="5"/>
  <c r="D939" i="5" l="1"/>
  <c r="H938" i="5"/>
  <c r="F939" i="5"/>
  <c r="E940" i="5" s="1"/>
  <c r="C940" i="5"/>
  <c r="D940" i="5" l="1"/>
  <c r="F940" i="5"/>
  <c r="E941" i="5" s="1"/>
  <c r="C941" i="5"/>
  <c r="H939" i="5"/>
  <c r="D941" i="5" l="1"/>
  <c r="H940" i="5"/>
  <c r="F941" i="5"/>
  <c r="E942" i="5" s="1"/>
  <c r="C942" i="5"/>
  <c r="D942" i="5" l="1"/>
  <c r="F942" i="5"/>
  <c r="E943" i="5" s="1"/>
  <c r="C943" i="5"/>
  <c r="H941" i="5"/>
  <c r="D943" i="5" l="1"/>
  <c r="H942" i="5"/>
  <c r="F943" i="5"/>
  <c r="E944" i="5" s="1"/>
  <c r="C944" i="5"/>
  <c r="D944" i="5" l="1"/>
  <c r="F944" i="5"/>
  <c r="E945" i="5" s="1"/>
  <c r="C945" i="5"/>
  <c r="H943" i="5"/>
  <c r="D945" i="5" l="1"/>
  <c r="H944" i="5"/>
  <c r="F945" i="5"/>
  <c r="E946" i="5" s="1"/>
  <c r="C946" i="5"/>
  <c r="D946" i="5" l="1"/>
  <c r="F946" i="5"/>
  <c r="E947" i="5" s="1"/>
  <c r="C947" i="5"/>
  <c r="H945" i="5"/>
  <c r="D947" i="5" l="1"/>
  <c r="H946" i="5"/>
  <c r="F947" i="5"/>
  <c r="E948" i="5" s="1"/>
  <c r="C948" i="5"/>
  <c r="D948" i="5" l="1"/>
  <c r="F948" i="5"/>
  <c r="E949" i="5" s="1"/>
  <c r="C949" i="5"/>
  <c r="H947" i="5"/>
  <c r="D949" i="5" l="1"/>
  <c r="H948" i="5"/>
  <c r="F949" i="5"/>
  <c r="E950" i="5" s="1"/>
  <c r="C950" i="5"/>
  <c r="D950" i="5" l="1"/>
  <c r="F950" i="5"/>
  <c r="E951" i="5" s="1"/>
  <c r="C951" i="5"/>
  <c r="H949" i="5"/>
  <c r="D951" i="5" l="1"/>
  <c r="H950" i="5"/>
  <c r="F951" i="5"/>
  <c r="E952" i="5" s="1"/>
  <c r="C952" i="5"/>
  <c r="D952" i="5" l="1"/>
  <c r="F952" i="5"/>
  <c r="E953" i="5" s="1"/>
  <c r="C953" i="5"/>
  <c r="H951" i="5"/>
  <c r="D953" i="5" l="1"/>
  <c r="H952" i="5"/>
  <c r="F953" i="5"/>
  <c r="E954" i="5" s="1"/>
  <c r="C954" i="5"/>
  <c r="D954" i="5" l="1"/>
  <c r="F954" i="5"/>
  <c r="E955" i="5" s="1"/>
  <c r="C955" i="5"/>
  <c r="H953" i="5"/>
  <c r="D955" i="5" l="1"/>
  <c r="H954" i="5"/>
  <c r="F955" i="5"/>
  <c r="E956" i="5" s="1"/>
  <c r="C956" i="5"/>
  <c r="D956" i="5" l="1"/>
  <c r="F956" i="5"/>
  <c r="E957" i="5" s="1"/>
  <c r="C957" i="5"/>
  <c r="H955" i="5"/>
  <c r="D957" i="5" l="1"/>
  <c r="H956" i="5"/>
  <c r="F957" i="5"/>
  <c r="E958" i="5" s="1"/>
  <c r="C958" i="5"/>
  <c r="D958" i="5" l="1"/>
  <c r="F958" i="5"/>
  <c r="E959" i="5" s="1"/>
  <c r="C959" i="5"/>
  <c r="H957" i="5"/>
  <c r="D959" i="5" l="1"/>
  <c r="H958" i="5"/>
  <c r="F959" i="5"/>
  <c r="E960" i="5" s="1"/>
  <c r="C960" i="5"/>
  <c r="D960" i="5" l="1"/>
  <c r="F960" i="5"/>
  <c r="E961" i="5" s="1"/>
  <c r="C961" i="5"/>
  <c r="H959" i="5"/>
  <c r="D961" i="5" l="1"/>
  <c r="H960" i="5"/>
  <c r="F961" i="5"/>
  <c r="E962" i="5" s="1"/>
  <c r="C962" i="5"/>
  <c r="D962" i="5" l="1"/>
  <c r="F962" i="5"/>
  <c r="E963" i="5" s="1"/>
  <c r="C963" i="5"/>
  <c r="H961" i="5"/>
  <c r="D963" i="5" l="1"/>
  <c r="H962" i="5"/>
  <c r="F963" i="5"/>
  <c r="E964" i="5" s="1"/>
  <c r="C964" i="5"/>
  <c r="D964" i="5" l="1"/>
  <c r="F964" i="5"/>
  <c r="E965" i="5" s="1"/>
  <c r="C965" i="5"/>
  <c r="H963" i="5"/>
  <c r="D965" i="5" l="1"/>
  <c r="H964" i="5"/>
  <c r="F965" i="5"/>
  <c r="E966" i="5" s="1"/>
  <c r="C966" i="5"/>
  <c r="D966" i="5" l="1"/>
  <c r="F966" i="5"/>
  <c r="E967" i="5" s="1"/>
  <c r="C967" i="5"/>
  <c r="H965" i="5"/>
  <c r="D967" i="5" l="1"/>
  <c r="H966" i="5"/>
  <c r="F967" i="5"/>
  <c r="E968" i="5" s="1"/>
  <c r="C968" i="5"/>
  <c r="D968" i="5" l="1"/>
  <c r="F968" i="5"/>
  <c r="E969" i="5" s="1"/>
  <c r="C969" i="5"/>
  <c r="H967" i="5"/>
  <c r="D969" i="5" l="1"/>
  <c r="H968" i="5"/>
  <c r="F969" i="5"/>
  <c r="E970" i="5" s="1"/>
  <c r="C970" i="5"/>
  <c r="D970" i="5" l="1"/>
  <c r="F970" i="5"/>
  <c r="E971" i="5" s="1"/>
  <c r="C971" i="5"/>
  <c r="H969" i="5"/>
  <c r="D971" i="5" l="1"/>
  <c r="H970" i="5"/>
  <c r="F971" i="5"/>
  <c r="E972" i="5" s="1"/>
  <c r="C972" i="5"/>
  <c r="D972" i="5" l="1"/>
  <c r="F972" i="5"/>
  <c r="E973" i="5" s="1"/>
  <c r="C973" i="5"/>
  <c r="H971" i="5"/>
  <c r="D973" i="5" l="1"/>
  <c r="H972" i="5"/>
  <c r="F973" i="5"/>
  <c r="E974" i="5" s="1"/>
  <c r="C974" i="5"/>
  <c r="D974" i="5" l="1"/>
  <c r="F974" i="5"/>
  <c r="E975" i="5" s="1"/>
  <c r="C975" i="5"/>
  <c r="H973" i="5"/>
  <c r="D975" i="5" l="1"/>
  <c r="H974" i="5"/>
  <c r="F975" i="5"/>
  <c r="E976" i="5" s="1"/>
  <c r="C976" i="5"/>
  <c r="D976" i="5" l="1"/>
  <c r="F976" i="5"/>
  <c r="E977" i="5" s="1"/>
  <c r="C977" i="5"/>
  <c r="H975" i="5"/>
  <c r="D977" i="5" l="1"/>
  <c r="H976" i="5"/>
  <c r="F977" i="5"/>
  <c r="E978" i="5" s="1"/>
  <c r="C978" i="5"/>
  <c r="D978" i="5" l="1"/>
  <c r="F978" i="5"/>
  <c r="E979" i="5" s="1"/>
  <c r="C979" i="5"/>
  <c r="H977" i="5"/>
  <c r="D979" i="5" l="1"/>
  <c r="H978" i="5"/>
  <c r="F979" i="5"/>
  <c r="E980" i="5" s="1"/>
  <c r="C980" i="5"/>
  <c r="D980" i="5" l="1"/>
  <c r="F980" i="5"/>
  <c r="E981" i="5" s="1"/>
  <c r="C981" i="5"/>
  <c r="H979" i="5"/>
  <c r="D981" i="5" l="1"/>
  <c r="H980" i="5"/>
  <c r="F981" i="5"/>
  <c r="E982" i="5" s="1"/>
  <c r="C982" i="5"/>
  <c r="D982" i="5" l="1"/>
  <c r="F982" i="5"/>
  <c r="E983" i="5" s="1"/>
  <c r="C983" i="5"/>
  <c r="H981" i="5"/>
  <c r="D983" i="5" l="1"/>
  <c r="H982" i="5"/>
  <c r="F983" i="5"/>
  <c r="E984" i="5" s="1"/>
  <c r="C984" i="5"/>
  <c r="D984" i="5" l="1"/>
  <c r="F984" i="5"/>
  <c r="E985" i="5" s="1"/>
  <c r="C985" i="5"/>
  <c r="H983" i="5"/>
  <c r="D985" i="5" l="1"/>
  <c r="H984" i="5"/>
  <c r="F985" i="5"/>
  <c r="E986" i="5" s="1"/>
  <c r="C986" i="5"/>
  <c r="D986" i="5" l="1"/>
  <c r="F986" i="5"/>
  <c r="E987" i="5" s="1"/>
  <c r="C987" i="5"/>
  <c r="H985" i="5"/>
  <c r="D987" i="5" l="1"/>
  <c r="H986" i="5"/>
  <c r="F987" i="5"/>
  <c r="E988" i="5" s="1"/>
  <c r="C988" i="5"/>
  <c r="D988" i="5" l="1"/>
  <c r="F988" i="5"/>
  <c r="E989" i="5" s="1"/>
  <c r="C989" i="5"/>
  <c r="H987" i="5"/>
  <c r="D989" i="5" l="1"/>
  <c r="H988" i="5"/>
  <c r="F989" i="5"/>
  <c r="E990" i="5" s="1"/>
  <c r="C990" i="5"/>
  <c r="D990" i="5" l="1"/>
  <c r="F990" i="5"/>
  <c r="E991" i="5" s="1"/>
  <c r="C991" i="5"/>
  <c r="H989" i="5"/>
  <c r="D991" i="5" l="1"/>
  <c r="H990" i="5"/>
  <c r="F991" i="5"/>
  <c r="E992" i="5" s="1"/>
  <c r="C992" i="5"/>
  <c r="D992" i="5" l="1"/>
  <c r="F992" i="5"/>
  <c r="E993" i="5" s="1"/>
  <c r="C993" i="5"/>
  <c r="H991" i="5"/>
  <c r="D993" i="5" l="1"/>
  <c r="H992" i="5"/>
  <c r="F993" i="5"/>
  <c r="E994" i="5" s="1"/>
  <c r="C994" i="5"/>
  <c r="D994" i="5" l="1"/>
  <c r="F994" i="5"/>
  <c r="E995" i="5" s="1"/>
  <c r="C995" i="5"/>
  <c r="H993" i="5"/>
  <c r="D995" i="5" l="1"/>
  <c r="H994" i="5"/>
  <c r="F995" i="5"/>
  <c r="E996" i="5" s="1"/>
  <c r="C996" i="5"/>
  <c r="D996" i="5" l="1"/>
  <c r="F996" i="5"/>
  <c r="E997" i="5" s="1"/>
  <c r="C997" i="5"/>
  <c r="H995" i="5"/>
  <c r="D997" i="5" l="1"/>
  <c r="H996" i="5"/>
  <c r="F997" i="5"/>
  <c r="E998" i="5" s="1"/>
  <c r="C998" i="5"/>
  <c r="D998" i="5" l="1"/>
  <c r="F998" i="5"/>
  <c r="E999" i="5" s="1"/>
  <c r="C999" i="5"/>
  <c r="H997" i="5"/>
  <c r="D999" i="5" l="1"/>
  <c r="H998" i="5"/>
  <c r="F999" i="5"/>
  <c r="E1000" i="5" s="1"/>
  <c r="C1000" i="5"/>
  <c r="D1000" i="5" l="1"/>
  <c r="F1000" i="5"/>
  <c r="E1001" i="5" s="1"/>
  <c r="C1001" i="5"/>
  <c r="H999" i="5"/>
  <c r="D1001" i="5" l="1"/>
  <c r="H1000" i="5"/>
  <c r="F1001" i="5"/>
  <c r="E1002" i="5" s="1"/>
  <c r="C1002" i="5"/>
  <c r="D1002" i="5" l="1"/>
  <c r="F1002" i="5"/>
  <c r="E1003" i="5" s="1"/>
  <c r="C1003" i="5"/>
  <c r="H1001" i="5"/>
  <c r="D1003" i="5" l="1"/>
  <c r="H1002" i="5"/>
  <c r="F1003" i="5"/>
  <c r="E1004" i="5" s="1"/>
  <c r="C1004" i="5"/>
  <c r="D1004" i="5" l="1"/>
  <c r="F1004" i="5"/>
  <c r="E1005" i="5" s="1"/>
  <c r="C1005" i="5"/>
  <c r="H1003" i="5"/>
  <c r="D1005" i="5" l="1"/>
  <c r="H1004" i="5"/>
  <c r="F1005" i="5"/>
  <c r="E1006" i="5" s="1"/>
  <c r="C1006" i="5"/>
  <c r="D1006" i="5" l="1"/>
  <c r="F1006" i="5"/>
  <c r="E1007" i="5" s="1"/>
  <c r="C1007" i="5"/>
  <c r="H1005" i="5"/>
  <c r="D1007" i="5" l="1"/>
  <c r="H1006" i="5"/>
  <c r="F1007" i="5"/>
  <c r="E1008" i="5" s="1"/>
  <c r="C1008" i="5"/>
  <c r="D1008" i="5" l="1"/>
  <c r="F1008" i="5"/>
  <c r="E1009" i="5" s="1"/>
  <c r="C1009" i="5"/>
  <c r="H1007" i="5"/>
  <c r="D1009" i="5" l="1"/>
  <c r="H1008" i="5"/>
  <c r="F1009" i="5"/>
  <c r="E1010" i="5" s="1"/>
  <c r="D1010" i="5" s="1"/>
  <c r="C1010" i="5"/>
  <c r="F1010" i="5" l="1"/>
  <c r="H1009" i="5"/>
  <c r="H1010" i="5" s="1"/>
  <c r="L5" i="5" l="1"/>
  <c r="L6" i="5"/>
  <c r="L7" i="5"/>
  <c r="M7" i="5" l="1"/>
  <c r="S7" i="5"/>
  <c r="T7" i="5" s="1"/>
  <c r="M6" i="5"/>
  <c r="S6" i="5"/>
  <c r="T6" i="5" s="1"/>
  <c r="M5" i="5"/>
  <c r="S5" i="5"/>
  <c r="T5" i="5" s="1"/>
</calcChain>
</file>

<file path=xl/comments1.xml><?xml version="1.0" encoding="utf-8"?>
<comments xmlns="http://schemas.openxmlformats.org/spreadsheetml/2006/main">
  <authors>
    <author xml:space="preserve"> </author>
  </authors>
  <commentList>
    <comment ref="L3" authorId="0" shapeId="0">
      <text>
        <r>
          <rPr>
            <b/>
            <sz val="10"/>
            <color indexed="81"/>
            <rFont val="Tahoma"/>
            <family val="2"/>
          </rPr>
          <t>=PROCV(K3;$H$10:$I$4000;2)</t>
        </r>
      </text>
    </comment>
    <comment ref="M4" authorId="0" shapeId="0">
      <text>
        <r>
          <rPr>
            <b/>
            <sz val="10"/>
            <color indexed="81"/>
            <rFont val="Tahoma"/>
            <family val="2"/>
          </rPr>
          <t>=L4-L3</t>
        </r>
      </text>
    </comment>
    <comment ref="N4" authorId="0" shapeId="0">
      <text>
        <r>
          <rPr>
            <b/>
            <sz val="10"/>
            <color indexed="81"/>
            <rFont val="Tahoma"/>
            <family val="2"/>
          </rPr>
          <t>=M4*2</t>
        </r>
      </text>
    </comment>
    <comment ref="H10" authorId="0" shapeId="0">
      <text>
        <r>
          <rPr>
            <b/>
            <sz val="10"/>
            <color indexed="81"/>
            <rFont val="Tahoma"/>
            <family val="2"/>
          </rPr>
          <t>=(D10*D11&lt;0)*1</t>
        </r>
      </text>
    </comment>
    <comment ref="I10" authorId="0" shapeId="0">
      <text>
        <r>
          <rPr>
            <b/>
            <sz val="10"/>
            <color indexed="81"/>
            <rFont val="Tahoma"/>
            <family val="2"/>
          </rPr>
          <t>=B10</t>
        </r>
      </text>
    </comment>
    <comment ref="H11" authorId="0" shapeId="0">
      <text>
        <r>
          <rPr>
            <b/>
            <sz val="10"/>
            <color indexed="81"/>
            <rFont val="Tahoma"/>
            <family val="2"/>
          </rPr>
          <t>=H10+(D11*D12&lt;0)*1</t>
        </r>
      </text>
    </comment>
  </commentList>
</comments>
</file>

<file path=xl/comments2.xml><?xml version="1.0" encoding="utf-8"?>
<comments xmlns="http://schemas.openxmlformats.org/spreadsheetml/2006/main">
  <authors>
    <author xml:space="preserve"> </author>
  </authors>
  <commentList>
    <comment ref="C9" authorId="0" shapeId="0">
      <text>
        <r>
          <rPr>
            <b/>
            <sz val="10"/>
            <color indexed="81"/>
            <rFont val="Tahoma"/>
            <family val="2"/>
          </rPr>
          <t>=ODE_RK4($A$2:$A$3,A7:C7,$B$4,$E$2,$F$2,$G$2)</t>
        </r>
      </text>
    </comment>
  </commentList>
</comments>
</file>

<file path=xl/sharedStrings.xml><?xml version="1.0" encoding="utf-8"?>
<sst xmlns="http://schemas.openxmlformats.org/spreadsheetml/2006/main" count="66" uniqueCount="39">
  <si>
    <t>yi+1=y+1/6(k1+2*k2+2*k3+k4)</t>
  </si>
  <si>
    <t>x</t>
  </si>
  <si>
    <t>Max ou Min?</t>
  </si>
  <si>
    <t>v</t>
  </si>
  <si>
    <t>t</t>
  </si>
  <si>
    <t>k4=f(t+h;v+k3*h)</t>
  </si>
  <si>
    <t>k3=f(t+0,5*h;v+0,5*k2*h)</t>
  </si>
  <si>
    <t>h=</t>
  </si>
  <si>
    <t>k2=f(t+0,5*h;v+0,5*k1*h)</t>
  </si>
  <si>
    <t>v' = -(k*x)/m-u/m*v</t>
  </si>
  <si>
    <t>k1=f(t,v)</t>
  </si>
  <si>
    <t>x' = v</t>
  </si>
  <si>
    <t>x'=f(t,v)</t>
  </si>
  <si>
    <t>Pico no?</t>
  </si>
  <si>
    <t>u</t>
  </si>
  <si>
    <t>m</t>
  </si>
  <si>
    <t>k</t>
  </si>
  <si>
    <t>m.x'' = -K.x-u.x'</t>
  </si>
  <si>
    <t>v'(t)</t>
  </si>
  <si>
    <t>v(t)</t>
  </si>
  <si>
    <t>x'(t)</t>
  </si>
  <si>
    <t>x(t)</t>
  </si>
  <si>
    <t>dv/dt = -(K.x)/m-u/m.v</t>
  </si>
  <si>
    <t>m/s</t>
  </si>
  <si>
    <t>v(0)=</t>
  </si>
  <si>
    <t>dx/dt = v</t>
  </si>
  <si>
    <t>x(0) =</t>
  </si>
  <si>
    <t>kg</t>
  </si>
  <si>
    <t>m =</t>
  </si>
  <si>
    <t>m.d2x/dt2 = -K.x-u.dx/dt</t>
  </si>
  <si>
    <t>k =</t>
  </si>
  <si>
    <t>u=</t>
  </si>
  <si>
    <t>Massa-Mola Método de Euler</t>
  </si>
  <si>
    <t>Pico?</t>
  </si>
  <si>
    <t>Periodo</t>
  </si>
  <si>
    <t>T.de Dif.</t>
  </si>
  <si>
    <t>Pico no.</t>
  </si>
  <si>
    <t>Massa-Mola - Oscilação - Valores de Pico - Método de Euler</t>
  </si>
  <si>
    <t>Massa Mola - Valores de Pico RK4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</si>
</sst>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"/>
  </numFmts>
  <fonts count="4" x14ac:knownFonts="1">
    <font>
      <sz val="11"/>
      <color theme="1"/>
      <name val="Calibri"/>
      <family val="2"/>
      <scheme val="minor"/>
    </font>
    <font>
      <b/>
      <sz val="10"/>
      <color indexed="81"/>
      <name val="Tahoma"/>
      <family val="2"/>
    </font>
    <font>
      <sz val="10"/>
      <color indexed="8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3" fillId="0" borderId="0" xfId="0" applyFon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worksheet" Target="worksheets/sheet3.xml"/><Relationship Id="rId10" Type="http://schemas.openxmlformats.org/officeDocument/2006/relationships/calcChain" Target="calcChain.xml"/><Relationship Id="rId4" Type="http://schemas.openxmlformats.org/officeDocument/2006/relationships/chartsheet" Target="chartsheets/sheet2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Plan1!$C$9</c:f>
              <c:strCache>
                <c:ptCount val="1"/>
                <c:pt idx="0">
                  <c:v>x(t)</c:v>
                </c:pt>
              </c:strCache>
            </c:strRef>
          </c:tx>
          <c:marker>
            <c:symbol val="none"/>
          </c:marker>
          <c:xVal>
            <c:numRef>
              <c:f>Plan1!$B$10:$B$1010</c:f>
              <c:numCache>
                <c:formatCode>0.000</c:formatCode>
                <c:ptCount val="100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  <c:pt idx="21">
                  <c:v>4.2000000000000011</c:v>
                </c:pt>
                <c:pt idx="22">
                  <c:v>4.4000000000000012</c:v>
                </c:pt>
                <c:pt idx="23">
                  <c:v>4.6000000000000014</c:v>
                </c:pt>
                <c:pt idx="24">
                  <c:v>4.8000000000000016</c:v>
                </c:pt>
                <c:pt idx="25">
                  <c:v>5.0000000000000018</c:v>
                </c:pt>
                <c:pt idx="26">
                  <c:v>5.200000000000002</c:v>
                </c:pt>
                <c:pt idx="27">
                  <c:v>5.4000000000000021</c:v>
                </c:pt>
                <c:pt idx="28">
                  <c:v>5.6000000000000023</c:v>
                </c:pt>
                <c:pt idx="29">
                  <c:v>5.8000000000000025</c:v>
                </c:pt>
                <c:pt idx="30">
                  <c:v>6.0000000000000027</c:v>
                </c:pt>
                <c:pt idx="31">
                  <c:v>6.2000000000000028</c:v>
                </c:pt>
                <c:pt idx="32">
                  <c:v>6.400000000000003</c:v>
                </c:pt>
                <c:pt idx="33">
                  <c:v>6.6000000000000032</c:v>
                </c:pt>
                <c:pt idx="34">
                  <c:v>6.8000000000000034</c:v>
                </c:pt>
                <c:pt idx="35">
                  <c:v>7.0000000000000036</c:v>
                </c:pt>
                <c:pt idx="36">
                  <c:v>7.2000000000000037</c:v>
                </c:pt>
                <c:pt idx="37">
                  <c:v>7.4000000000000039</c:v>
                </c:pt>
                <c:pt idx="38">
                  <c:v>7.6000000000000041</c:v>
                </c:pt>
                <c:pt idx="39">
                  <c:v>7.8000000000000043</c:v>
                </c:pt>
                <c:pt idx="40">
                  <c:v>8.0000000000000036</c:v>
                </c:pt>
                <c:pt idx="41">
                  <c:v>8.2000000000000028</c:v>
                </c:pt>
                <c:pt idx="42">
                  <c:v>8.4000000000000021</c:v>
                </c:pt>
                <c:pt idx="43">
                  <c:v>8.6000000000000014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9.3999999999999986</c:v>
                </c:pt>
                <c:pt idx="48">
                  <c:v>9.5999999999999979</c:v>
                </c:pt>
                <c:pt idx="49">
                  <c:v>9.7999999999999972</c:v>
                </c:pt>
                <c:pt idx="50">
                  <c:v>9.9999999999999964</c:v>
                </c:pt>
                <c:pt idx="51">
                  <c:v>10.199999999999996</c:v>
                </c:pt>
                <c:pt idx="52">
                  <c:v>10.399999999999995</c:v>
                </c:pt>
                <c:pt idx="53">
                  <c:v>10.599999999999994</c:v>
                </c:pt>
                <c:pt idx="54">
                  <c:v>10.799999999999994</c:v>
                </c:pt>
                <c:pt idx="55">
                  <c:v>10.999999999999993</c:v>
                </c:pt>
                <c:pt idx="56">
                  <c:v>11.199999999999992</c:v>
                </c:pt>
                <c:pt idx="57">
                  <c:v>11.399999999999991</c:v>
                </c:pt>
                <c:pt idx="58">
                  <c:v>11.599999999999991</c:v>
                </c:pt>
                <c:pt idx="59">
                  <c:v>11.79999999999999</c:v>
                </c:pt>
                <c:pt idx="60">
                  <c:v>11.999999999999989</c:v>
                </c:pt>
                <c:pt idx="61">
                  <c:v>12.199999999999989</c:v>
                </c:pt>
                <c:pt idx="62">
                  <c:v>12.399999999999988</c:v>
                </c:pt>
                <c:pt idx="63">
                  <c:v>12.599999999999987</c:v>
                </c:pt>
                <c:pt idx="64">
                  <c:v>12.799999999999986</c:v>
                </c:pt>
                <c:pt idx="65">
                  <c:v>12.999999999999986</c:v>
                </c:pt>
                <c:pt idx="66">
                  <c:v>13.199999999999985</c:v>
                </c:pt>
                <c:pt idx="67">
                  <c:v>13.399999999999984</c:v>
                </c:pt>
                <c:pt idx="68">
                  <c:v>13.599999999999984</c:v>
                </c:pt>
                <c:pt idx="69">
                  <c:v>13.799999999999983</c:v>
                </c:pt>
                <c:pt idx="70">
                  <c:v>13.999999999999982</c:v>
                </c:pt>
                <c:pt idx="71">
                  <c:v>14.199999999999982</c:v>
                </c:pt>
                <c:pt idx="72">
                  <c:v>14.399999999999981</c:v>
                </c:pt>
                <c:pt idx="73">
                  <c:v>14.59999999999998</c:v>
                </c:pt>
                <c:pt idx="74">
                  <c:v>14.799999999999979</c:v>
                </c:pt>
                <c:pt idx="75">
                  <c:v>14.999999999999979</c:v>
                </c:pt>
                <c:pt idx="76">
                  <c:v>15.199999999999978</c:v>
                </c:pt>
                <c:pt idx="77">
                  <c:v>15.399999999999977</c:v>
                </c:pt>
                <c:pt idx="78">
                  <c:v>15.599999999999977</c:v>
                </c:pt>
                <c:pt idx="79">
                  <c:v>15.799999999999976</c:v>
                </c:pt>
                <c:pt idx="80">
                  <c:v>15.999999999999975</c:v>
                </c:pt>
                <c:pt idx="81">
                  <c:v>16.199999999999974</c:v>
                </c:pt>
                <c:pt idx="82">
                  <c:v>16.399999999999974</c:v>
                </c:pt>
                <c:pt idx="83">
                  <c:v>16.599999999999973</c:v>
                </c:pt>
                <c:pt idx="84">
                  <c:v>16.799999999999972</c:v>
                </c:pt>
                <c:pt idx="85">
                  <c:v>16.999999999999972</c:v>
                </c:pt>
                <c:pt idx="86">
                  <c:v>17.199999999999971</c:v>
                </c:pt>
                <c:pt idx="87">
                  <c:v>17.39999999999997</c:v>
                </c:pt>
                <c:pt idx="88">
                  <c:v>17.599999999999969</c:v>
                </c:pt>
                <c:pt idx="89">
                  <c:v>17.799999999999969</c:v>
                </c:pt>
                <c:pt idx="90">
                  <c:v>17.999999999999968</c:v>
                </c:pt>
                <c:pt idx="91">
                  <c:v>18.199999999999967</c:v>
                </c:pt>
                <c:pt idx="92">
                  <c:v>18.399999999999967</c:v>
                </c:pt>
                <c:pt idx="93">
                  <c:v>18.599999999999966</c:v>
                </c:pt>
                <c:pt idx="94">
                  <c:v>18.799999999999965</c:v>
                </c:pt>
                <c:pt idx="95">
                  <c:v>18.999999999999964</c:v>
                </c:pt>
                <c:pt idx="96">
                  <c:v>19.199999999999964</c:v>
                </c:pt>
                <c:pt idx="97">
                  <c:v>19.399999999999963</c:v>
                </c:pt>
                <c:pt idx="98">
                  <c:v>19.599999999999962</c:v>
                </c:pt>
                <c:pt idx="99">
                  <c:v>19.799999999999962</c:v>
                </c:pt>
                <c:pt idx="100">
                  <c:v>19.999999999999961</c:v>
                </c:pt>
                <c:pt idx="101">
                  <c:v>20.19999999999996</c:v>
                </c:pt>
                <c:pt idx="102">
                  <c:v>20.399999999999959</c:v>
                </c:pt>
                <c:pt idx="103">
                  <c:v>20.599999999999959</c:v>
                </c:pt>
                <c:pt idx="104">
                  <c:v>20.799999999999958</c:v>
                </c:pt>
                <c:pt idx="105">
                  <c:v>20.999999999999957</c:v>
                </c:pt>
                <c:pt idx="106">
                  <c:v>21.199999999999957</c:v>
                </c:pt>
                <c:pt idx="107">
                  <c:v>21.399999999999956</c:v>
                </c:pt>
                <c:pt idx="108">
                  <c:v>21.599999999999955</c:v>
                </c:pt>
                <c:pt idx="109">
                  <c:v>21.799999999999955</c:v>
                </c:pt>
                <c:pt idx="110">
                  <c:v>21.999999999999954</c:v>
                </c:pt>
                <c:pt idx="111">
                  <c:v>22.199999999999953</c:v>
                </c:pt>
                <c:pt idx="112">
                  <c:v>22.399999999999952</c:v>
                </c:pt>
                <c:pt idx="113">
                  <c:v>22.599999999999952</c:v>
                </c:pt>
                <c:pt idx="114">
                  <c:v>22.799999999999951</c:v>
                </c:pt>
                <c:pt idx="115">
                  <c:v>22.99999999999995</c:v>
                </c:pt>
                <c:pt idx="116">
                  <c:v>23.19999999999995</c:v>
                </c:pt>
                <c:pt idx="117">
                  <c:v>23.399999999999949</c:v>
                </c:pt>
                <c:pt idx="118">
                  <c:v>23.599999999999948</c:v>
                </c:pt>
                <c:pt idx="119">
                  <c:v>23.799999999999947</c:v>
                </c:pt>
                <c:pt idx="120">
                  <c:v>23.999999999999947</c:v>
                </c:pt>
                <c:pt idx="121">
                  <c:v>24.199999999999946</c:v>
                </c:pt>
                <c:pt idx="122">
                  <c:v>24.399999999999945</c:v>
                </c:pt>
                <c:pt idx="123">
                  <c:v>24.599999999999945</c:v>
                </c:pt>
                <c:pt idx="124">
                  <c:v>24.799999999999944</c:v>
                </c:pt>
                <c:pt idx="125">
                  <c:v>24.999999999999943</c:v>
                </c:pt>
                <c:pt idx="126">
                  <c:v>25.199999999999942</c:v>
                </c:pt>
                <c:pt idx="127">
                  <c:v>25.399999999999942</c:v>
                </c:pt>
                <c:pt idx="128">
                  <c:v>25.599999999999941</c:v>
                </c:pt>
                <c:pt idx="129">
                  <c:v>25.79999999999994</c:v>
                </c:pt>
                <c:pt idx="130">
                  <c:v>25.99999999999994</c:v>
                </c:pt>
                <c:pt idx="131">
                  <c:v>26.199999999999939</c:v>
                </c:pt>
                <c:pt idx="132">
                  <c:v>26.399999999999938</c:v>
                </c:pt>
                <c:pt idx="133">
                  <c:v>26.599999999999937</c:v>
                </c:pt>
                <c:pt idx="134">
                  <c:v>26.799999999999937</c:v>
                </c:pt>
                <c:pt idx="135">
                  <c:v>26.999999999999936</c:v>
                </c:pt>
                <c:pt idx="136">
                  <c:v>27.199999999999935</c:v>
                </c:pt>
                <c:pt idx="137">
                  <c:v>27.399999999999935</c:v>
                </c:pt>
                <c:pt idx="138">
                  <c:v>27.599999999999934</c:v>
                </c:pt>
                <c:pt idx="139">
                  <c:v>27.799999999999933</c:v>
                </c:pt>
                <c:pt idx="140">
                  <c:v>27.999999999999932</c:v>
                </c:pt>
                <c:pt idx="141">
                  <c:v>28.199999999999932</c:v>
                </c:pt>
                <c:pt idx="142">
                  <c:v>28.399999999999931</c:v>
                </c:pt>
                <c:pt idx="143">
                  <c:v>28.59999999999993</c:v>
                </c:pt>
                <c:pt idx="144">
                  <c:v>28.79999999999993</c:v>
                </c:pt>
                <c:pt idx="145">
                  <c:v>28.999999999999929</c:v>
                </c:pt>
                <c:pt idx="146">
                  <c:v>29.199999999999928</c:v>
                </c:pt>
                <c:pt idx="147">
                  <c:v>29.399999999999928</c:v>
                </c:pt>
                <c:pt idx="148">
                  <c:v>29.599999999999927</c:v>
                </c:pt>
                <c:pt idx="149">
                  <c:v>29.799999999999926</c:v>
                </c:pt>
                <c:pt idx="150">
                  <c:v>29.999999999999925</c:v>
                </c:pt>
                <c:pt idx="151">
                  <c:v>30.199999999999925</c:v>
                </c:pt>
                <c:pt idx="152">
                  <c:v>30.399999999999924</c:v>
                </c:pt>
                <c:pt idx="153">
                  <c:v>30.599999999999923</c:v>
                </c:pt>
                <c:pt idx="154">
                  <c:v>30.799999999999923</c:v>
                </c:pt>
                <c:pt idx="155">
                  <c:v>30.999999999999922</c:v>
                </c:pt>
                <c:pt idx="156">
                  <c:v>31.199999999999921</c:v>
                </c:pt>
                <c:pt idx="157">
                  <c:v>31.39999999999992</c:v>
                </c:pt>
                <c:pt idx="158">
                  <c:v>31.59999999999992</c:v>
                </c:pt>
                <c:pt idx="159">
                  <c:v>31.799999999999919</c:v>
                </c:pt>
                <c:pt idx="160">
                  <c:v>31.999999999999918</c:v>
                </c:pt>
                <c:pt idx="161">
                  <c:v>32.199999999999918</c:v>
                </c:pt>
                <c:pt idx="162">
                  <c:v>32.39999999999992</c:v>
                </c:pt>
                <c:pt idx="163">
                  <c:v>32.599999999999923</c:v>
                </c:pt>
                <c:pt idx="164">
                  <c:v>32.799999999999926</c:v>
                </c:pt>
                <c:pt idx="165">
                  <c:v>32.999999999999929</c:v>
                </c:pt>
                <c:pt idx="166">
                  <c:v>33.199999999999932</c:v>
                </c:pt>
                <c:pt idx="167">
                  <c:v>33.399999999999935</c:v>
                </c:pt>
                <c:pt idx="168">
                  <c:v>33.599999999999937</c:v>
                </c:pt>
                <c:pt idx="169">
                  <c:v>33.79999999999994</c:v>
                </c:pt>
                <c:pt idx="170">
                  <c:v>33.999999999999943</c:v>
                </c:pt>
                <c:pt idx="171">
                  <c:v>34.199999999999946</c:v>
                </c:pt>
                <c:pt idx="172">
                  <c:v>34.399999999999949</c:v>
                </c:pt>
                <c:pt idx="173">
                  <c:v>34.599999999999952</c:v>
                </c:pt>
                <c:pt idx="174">
                  <c:v>34.799999999999955</c:v>
                </c:pt>
                <c:pt idx="175">
                  <c:v>34.999999999999957</c:v>
                </c:pt>
                <c:pt idx="176">
                  <c:v>35.19999999999996</c:v>
                </c:pt>
                <c:pt idx="177">
                  <c:v>35.399999999999963</c:v>
                </c:pt>
                <c:pt idx="178">
                  <c:v>35.599999999999966</c:v>
                </c:pt>
                <c:pt idx="179">
                  <c:v>35.799999999999969</c:v>
                </c:pt>
                <c:pt idx="180">
                  <c:v>35.999999999999972</c:v>
                </c:pt>
                <c:pt idx="181">
                  <c:v>36.199999999999974</c:v>
                </c:pt>
                <c:pt idx="182">
                  <c:v>36.399999999999977</c:v>
                </c:pt>
                <c:pt idx="183">
                  <c:v>36.59999999999998</c:v>
                </c:pt>
                <c:pt idx="184">
                  <c:v>36.799999999999983</c:v>
                </c:pt>
                <c:pt idx="185">
                  <c:v>36.999999999999986</c:v>
                </c:pt>
                <c:pt idx="186">
                  <c:v>37.199999999999989</c:v>
                </c:pt>
                <c:pt idx="187">
                  <c:v>37.399999999999991</c:v>
                </c:pt>
                <c:pt idx="188">
                  <c:v>37.599999999999994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38.400000000000006</c:v>
                </c:pt>
                <c:pt idx="193">
                  <c:v>38.600000000000009</c:v>
                </c:pt>
                <c:pt idx="194">
                  <c:v>38.800000000000011</c:v>
                </c:pt>
                <c:pt idx="195">
                  <c:v>39.000000000000014</c:v>
                </c:pt>
                <c:pt idx="196">
                  <c:v>39.200000000000017</c:v>
                </c:pt>
                <c:pt idx="197">
                  <c:v>39.40000000000002</c:v>
                </c:pt>
                <c:pt idx="198">
                  <c:v>39.600000000000023</c:v>
                </c:pt>
                <c:pt idx="199">
                  <c:v>39.800000000000026</c:v>
                </c:pt>
                <c:pt idx="200">
                  <c:v>40.000000000000028</c:v>
                </c:pt>
                <c:pt idx="201">
                  <c:v>40.200000000000031</c:v>
                </c:pt>
                <c:pt idx="202">
                  <c:v>40.400000000000034</c:v>
                </c:pt>
                <c:pt idx="203">
                  <c:v>40.600000000000037</c:v>
                </c:pt>
                <c:pt idx="204">
                  <c:v>40.80000000000004</c:v>
                </c:pt>
                <c:pt idx="205">
                  <c:v>41.000000000000043</c:v>
                </c:pt>
                <c:pt idx="206">
                  <c:v>41.200000000000045</c:v>
                </c:pt>
                <c:pt idx="207">
                  <c:v>41.400000000000048</c:v>
                </c:pt>
                <c:pt idx="208">
                  <c:v>41.600000000000051</c:v>
                </c:pt>
                <c:pt idx="209">
                  <c:v>41.800000000000054</c:v>
                </c:pt>
                <c:pt idx="210">
                  <c:v>42.000000000000057</c:v>
                </c:pt>
                <c:pt idx="211">
                  <c:v>42.20000000000006</c:v>
                </c:pt>
                <c:pt idx="212">
                  <c:v>42.400000000000063</c:v>
                </c:pt>
                <c:pt idx="213">
                  <c:v>42.600000000000065</c:v>
                </c:pt>
                <c:pt idx="214">
                  <c:v>42.800000000000068</c:v>
                </c:pt>
                <c:pt idx="215">
                  <c:v>43.000000000000071</c:v>
                </c:pt>
                <c:pt idx="216">
                  <c:v>43.200000000000074</c:v>
                </c:pt>
                <c:pt idx="217">
                  <c:v>43.400000000000077</c:v>
                </c:pt>
                <c:pt idx="218">
                  <c:v>43.60000000000008</c:v>
                </c:pt>
                <c:pt idx="219">
                  <c:v>43.800000000000082</c:v>
                </c:pt>
                <c:pt idx="220">
                  <c:v>44.000000000000085</c:v>
                </c:pt>
                <c:pt idx="221">
                  <c:v>44.200000000000088</c:v>
                </c:pt>
                <c:pt idx="222">
                  <c:v>44.400000000000091</c:v>
                </c:pt>
                <c:pt idx="223">
                  <c:v>44.600000000000094</c:v>
                </c:pt>
                <c:pt idx="224">
                  <c:v>44.800000000000097</c:v>
                </c:pt>
                <c:pt idx="225">
                  <c:v>45.000000000000099</c:v>
                </c:pt>
                <c:pt idx="226">
                  <c:v>45.200000000000102</c:v>
                </c:pt>
                <c:pt idx="227">
                  <c:v>45.400000000000105</c:v>
                </c:pt>
                <c:pt idx="228">
                  <c:v>45.600000000000108</c:v>
                </c:pt>
                <c:pt idx="229">
                  <c:v>45.800000000000111</c:v>
                </c:pt>
                <c:pt idx="230">
                  <c:v>46.000000000000114</c:v>
                </c:pt>
                <c:pt idx="231">
                  <c:v>46.200000000000117</c:v>
                </c:pt>
                <c:pt idx="232">
                  <c:v>46.400000000000119</c:v>
                </c:pt>
                <c:pt idx="233">
                  <c:v>46.600000000000122</c:v>
                </c:pt>
                <c:pt idx="234">
                  <c:v>46.800000000000125</c:v>
                </c:pt>
                <c:pt idx="235">
                  <c:v>47.000000000000128</c:v>
                </c:pt>
                <c:pt idx="236">
                  <c:v>47.200000000000131</c:v>
                </c:pt>
                <c:pt idx="237">
                  <c:v>47.400000000000134</c:v>
                </c:pt>
                <c:pt idx="238">
                  <c:v>47.600000000000136</c:v>
                </c:pt>
                <c:pt idx="239">
                  <c:v>47.800000000000139</c:v>
                </c:pt>
                <c:pt idx="240">
                  <c:v>48.000000000000142</c:v>
                </c:pt>
                <c:pt idx="241">
                  <c:v>48.200000000000145</c:v>
                </c:pt>
                <c:pt idx="242">
                  <c:v>48.400000000000148</c:v>
                </c:pt>
                <c:pt idx="243">
                  <c:v>48.600000000000151</c:v>
                </c:pt>
                <c:pt idx="244">
                  <c:v>48.800000000000153</c:v>
                </c:pt>
                <c:pt idx="245">
                  <c:v>49.000000000000156</c:v>
                </c:pt>
                <c:pt idx="246">
                  <c:v>49.200000000000159</c:v>
                </c:pt>
                <c:pt idx="247">
                  <c:v>49.400000000000162</c:v>
                </c:pt>
                <c:pt idx="248">
                  <c:v>49.600000000000165</c:v>
                </c:pt>
                <c:pt idx="249">
                  <c:v>49.800000000000168</c:v>
                </c:pt>
                <c:pt idx="250">
                  <c:v>50.000000000000171</c:v>
                </c:pt>
                <c:pt idx="251">
                  <c:v>50.200000000000173</c:v>
                </c:pt>
                <c:pt idx="252">
                  <c:v>50.400000000000176</c:v>
                </c:pt>
                <c:pt idx="253">
                  <c:v>50.600000000000179</c:v>
                </c:pt>
                <c:pt idx="254">
                  <c:v>50.800000000000182</c:v>
                </c:pt>
                <c:pt idx="255">
                  <c:v>51.000000000000185</c:v>
                </c:pt>
                <c:pt idx="256">
                  <c:v>51.200000000000188</c:v>
                </c:pt>
                <c:pt idx="257">
                  <c:v>51.40000000000019</c:v>
                </c:pt>
                <c:pt idx="258">
                  <c:v>51.600000000000193</c:v>
                </c:pt>
                <c:pt idx="259">
                  <c:v>51.800000000000196</c:v>
                </c:pt>
                <c:pt idx="260">
                  <c:v>52.000000000000199</c:v>
                </c:pt>
                <c:pt idx="261">
                  <c:v>52.200000000000202</c:v>
                </c:pt>
                <c:pt idx="262">
                  <c:v>52.400000000000205</c:v>
                </c:pt>
                <c:pt idx="263">
                  <c:v>52.600000000000207</c:v>
                </c:pt>
                <c:pt idx="264">
                  <c:v>52.80000000000021</c:v>
                </c:pt>
                <c:pt idx="265">
                  <c:v>53.000000000000213</c:v>
                </c:pt>
                <c:pt idx="266">
                  <c:v>53.200000000000216</c:v>
                </c:pt>
                <c:pt idx="267">
                  <c:v>53.400000000000219</c:v>
                </c:pt>
                <c:pt idx="268">
                  <c:v>53.600000000000222</c:v>
                </c:pt>
                <c:pt idx="269">
                  <c:v>53.800000000000225</c:v>
                </c:pt>
                <c:pt idx="270">
                  <c:v>54.000000000000227</c:v>
                </c:pt>
                <c:pt idx="271">
                  <c:v>54.20000000000023</c:v>
                </c:pt>
                <c:pt idx="272">
                  <c:v>54.400000000000233</c:v>
                </c:pt>
                <c:pt idx="273">
                  <c:v>54.600000000000236</c:v>
                </c:pt>
                <c:pt idx="274">
                  <c:v>54.800000000000239</c:v>
                </c:pt>
                <c:pt idx="275">
                  <c:v>55.000000000000242</c:v>
                </c:pt>
                <c:pt idx="276">
                  <c:v>55.200000000000244</c:v>
                </c:pt>
                <c:pt idx="277">
                  <c:v>55.400000000000247</c:v>
                </c:pt>
                <c:pt idx="278">
                  <c:v>55.60000000000025</c:v>
                </c:pt>
                <c:pt idx="279">
                  <c:v>55.800000000000253</c:v>
                </c:pt>
                <c:pt idx="280">
                  <c:v>56.000000000000256</c:v>
                </c:pt>
                <c:pt idx="281">
                  <c:v>56.200000000000259</c:v>
                </c:pt>
                <c:pt idx="282">
                  <c:v>56.400000000000261</c:v>
                </c:pt>
                <c:pt idx="283">
                  <c:v>56.600000000000264</c:v>
                </c:pt>
                <c:pt idx="284">
                  <c:v>56.800000000000267</c:v>
                </c:pt>
                <c:pt idx="285">
                  <c:v>57.00000000000027</c:v>
                </c:pt>
                <c:pt idx="286">
                  <c:v>57.200000000000273</c:v>
                </c:pt>
                <c:pt idx="287">
                  <c:v>57.400000000000276</c:v>
                </c:pt>
                <c:pt idx="288">
                  <c:v>57.600000000000279</c:v>
                </c:pt>
                <c:pt idx="289">
                  <c:v>57.800000000000281</c:v>
                </c:pt>
                <c:pt idx="290">
                  <c:v>58.000000000000284</c:v>
                </c:pt>
                <c:pt idx="291">
                  <c:v>58.200000000000287</c:v>
                </c:pt>
                <c:pt idx="292">
                  <c:v>58.40000000000029</c:v>
                </c:pt>
                <c:pt idx="293">
                  <c:v>58.600000000000293</c:v>
                </c:pt>
                <c:pt idx="294">
                  <c:v>58.800000000000296</c:v>
                </c:pt>
                <c:pt idx="295">
                  <c:v>59.000000000000298</c:v>
                </c:pt>
                <c:pt idx="296">
                  <c:v>59.200000000000301</c:v>
                </c:pt>
                <c:pt idx="297">
                  <c:v>59.400000000000304</c:v>
                </c:pt>
                <c:pt idx="298">
                  <c:v>59.600000000000307</c:v>
                </c:pt>
                <c:pt idx="299">
                  <c:v>59.80000000000031</c:v>
                </c:pt>
                <c:pt idx="300">
                  <c:v>60.000000000000313</c:v>
                </c:pt>
                <c:pt idx="301">
                  <c:v>60.200000000000315</c:v>
                </c:pt>
                <c:pt idx="302">
                  <c:v>60.400000000000318</c:v>
                </c:pt>
                <c:pt idx="303">
                  <c:v>60.600000000000321</c:v>
                </c:pt>
                <c:pt idx="304">
                  <c:v>60.800000000000324</c:v>
                </c:pt>
                <c:pt idx="305">
                  <c:v>61.000000000000327</c:v>
                </c:pt>
                <c:pt idx="306">
                  <c:v>61.20000000000033</c:v>
                </c:pt>
                <c:pt idx="307">
                  <c:v>61.400000000000333</c:v>
                </c:pt>
                <c:pt idx="308">
                  <c:v>61.600000000000335</c:v>
                </c:pt>
                <c:pt idx="309">
                  <c:v>61.800000000000338</c:v>
                </c:pt>
                <c:pt idx="310">
                  <c:v>62.000000000000341</c:v>
                </c:pt>
                <c:pt idx="311">
                  <c:v>62.200000000000344</c:v>
                </c:pt>
                <c:pt idx="312">
                  <c:v>62.400000000000347</c:v>
                </c:pt>
                <c:pt idx="313">
                  <c:v>62.60000000000035</c:v>
                </c:pt>
                <c:pt idx="314">
                  <c:v>62.800000000000352</c:v>
                </c:pt>
                <c:pt idx="315">
                  <c:v>63.000000000000355</c:v>
                </c:pt>
                <c:pt idx="316">
                  <c:v>63.200000000000358</c:v>
                </c:pt>
                <c:pt idx="317">
                  <c:v>63.400000000000361</c:v>
                </c:pt>
                <c:pt idx="318">
                  <c:v>63.600000000000364</c:v>
                </c:pt>
                <c:pt idx="319">
                  <c:v>63.800000000000367</c:v>
                </c:pt>
                <c:pt idx="320">
                  <c:v>64.000000000000369</c:v>
                </c:pt>
                <c:pt idx="321">
                  <c:v>64.200000000000372</c:v>
                </c:pt>
                <c:pt idx="322">
                  <c:v>64.400000000000375</c:v>
                </c:pt>
                <c:pt idx="323">
                  <c:v>64.600000000000378</c:v>
                </c:pt>
                <c:pt idx="324">
                  <c:v>64.800000000000381</c:v>
                </c:pt>
                <c:pt idx="325">
                  <c:v>65.000000000000384</c:v>
                </c:pt>
                <c:pt idx="326">
                  <c:v>65.200000000000387</c:v>
                </c:pt>
                <c:pt idx="327">
                  <c:v>65.400000000000389</c:v>
                </c:pt>
                <c:pt idx="328">
                  <c:v>65.600000000000392</c:v>
                </c:pt>
                <c:pt idx="329">
                  <c:v>65.800000000000395</c:v>
                </c:pt>
                <c:pt idx="330">
                  <c:v>66.000000000000398</c:v>
                </c:pt>
                <c:pt idx="331">
                  <c:v>66.200000000000401</c:v>
                </c:pt>
                <c:pt idx="332">
                  <c:v>66.400000000000404</c:v>
                </c:pt>
                <c:pt idx="333">
                  <c:v>66.600000000000406</c:v>
                </c:pt>
                <c:pt idx="334">
                  <c:v>66.800000000000409</c:v>
                </c:pt>
                <c:pt idx="335">
                  <c:v>67.000000000000412</c:v>
                </c:pt>
                <c:pt idx="336">
                  <c:v>67.200000000000415</c:v>
                </c:pt>
                <c:pt idx="337">
                  <c:v>67.400000000000418</c:v>
                </c:pt>
                <c:pt idx="338">
                  <c:v>67.600000000000421</c:v>
                </c:pt>
                <c:pt idx="339">
                  <c:v>67.800000000000423</c:v>
                </c:pt>
                <c:pt idx="340">
                  <c:v>68.000000000000426</c:v>
                </c:pt>
                <c:pt idx="341">
                  <c:v>68.200000000000429</c:v>
                </c:pt>
                <c:pt idx="342">
                  <c:v>68.400000000000432</c:v>
                </c:pt>
                <c:pt idx="343">
                  <c:v>68.600000000000435</c:v>
                </c:pt>
                <c:pt idx="344">
                  <c:v>68.800000000000438</c:v>
                </c:pt>
                <c:pt idx="345">
                  <c:v>69.000000000000441</c:v>
                </c:pt>
                <c:pt idx="346">
                  <c:v>69.200000000000443</c:v>
                </c:pt>
                <c:pt idx="347">
                  <c:v>69.400000000000446</c:v>
                </c:pt>
                <c:pt idx="348">
                  <c:v>69.600000000000449</c:v>
                </c:pt>
                <c:pt idx="349">
                  <c:v>69.800000000000452</c:v>
                </c:pt>
                <c:pt idx="350">
                  <c:v>70.000000000000455</c:v>
                </c:pt>
                <c:pt idx="351">
                  <c:v>70.200000000000458</c:v>
                </c:pt>
                <c:pt idx="352">
                  <c:v>70.40000000000046</c:v>
                </c:pt>
                <c:pt idx="353">
                  <c:v>70.600000000000463</c:v>
                </c:pt>
                <c:pt idx="354">
                  <c:v>70.800000000000466</c:v>
                </c:pt>
                <c:pt idx="355">
                  <c:v>71.000000000000469</c:v>
                </c:pt>
                <c:pt idx="356">
                  <c:v>71.200000000000472</c:v>
                </c:pt>
                <c:pt idx="357">
                  <c:v>71.400000000000475</c:v>
                </c:pt>
                <c:pt idx="358">
                  <c:v>71.600000000000477</c:v>
                </c:pt>
                <c:pt idx="359">
                  <c:v>71.80000000000048</c:v>
                </c:pt>
                <c:pt idx="360">
                  <c:v>72.000000000000483</c:v>
                </c:pt>
                <c:pt idx="361">
                  <c:v>72.200000000000486</c:v>
                </c:pt>
                <c:pt idx="362">
                  <c:v>72.400000000000489</c:v>
                </c:pt>
                <c:pt idx="363">
                  <c:v>72.600000000000492</c:v>
                </c:pt>
                <c:pt idx="364">
                  <c:v>72.800000000000495</c:v>
                </c:pt>
                <c:pt idx="365">
                  <c:v>73.000000000000497</c:v>
                </c:pt>
                <c:pt idx="366">
                  <c:v>73.2000000000005</c:v>
                </c:pt>
                <c:pt idx="367">
                  <c:v>73.400000000000503</c:v>
                </c:pt>
                <c:pt idx="368">
                  <c:v>73.600000000000506</c:v>
                </c:pt>
                <c:pt idx="369">
                  <c:v>73.800000000000509</c:v>
                </c:pt>
                <c:pt idx="370">
                  <c:v>74.000000000000512</c:v>
                </c:pt>
                <c:pt idx="371">
                  <c:v>74.200000000000514</c:v>
                </c:pt>
                <c:pt idx="372">
                  <c:v>74.400000000000517</c:v>
                </c:pt>
                <c:pt idx="373">
                  <c:v>74.60000000000052</c:v>
                </c:pt>
                <c:pt idx="374">
                  <c:v>74.800000000000523</c:v>
                </c:pt>
                <c:pt idx="375">
                  <c:v>75.000000000000526</c:v>
                </c:pt>
                <c:pt idx="376">
                  <c:v>75.200000000000529</c:v>
                </c:pt>
                <c:pt idx="377">
                  <c:v>75.400000000000531</c:v>
                </c:pt>
                <c:pt idx="378">
                  <c:v>75.600000000000534</c:v>
                </c:pt>
                <c:pt idx="379">
                  <c:v>75.800000000000537</c:v>
                </c:pt>
                <c:pt idx="380">
                  <c:v>76.00000000000054</c:v>
                </c:pt>
                <c:pt idx="381">
                  <c:v>76.200000000000543</c:v>
                </c:pt>
                <c:pt idx="382">
                  <c:v>76.400000000000546</c:v>
                </c:pt>
                <c:pt idx="383">
                  <c:v>76.600000000000549</c:v>
                </c:pt>
                <c:pt idx="384">
                  <c:v>76.800000000000551</c:v>
                </c:pt>
                <c:pt idx="385">
                  <c:v>77.000000000000554</c:v>
                </c:pt>
                <c:pt idx="386">
                  <c:v>77.200000000000557</c:v>
                </c:pt>
                <c:pt idx="387">
                  <c:v>77.40000000000056</c:v>
                </c:pt>
                <c:pt idx="388">
                  <c:v>77.600000000000563</c:v>
                </c:pt>
                <c:pt idx="389">
                  <c:v>77.800000000000566</c:v>
                </c:pt>
                <c:pt idx="390">
                  <c:v>78.000000000000568</c:v>
                </c:pt>
                <c:pt idx="391">
                  <c:v>78.200000000000571</c:v>
                </c:pt>
                <c:pt idx="392">
                  <c:v>78.400000000000574</c:v>
                </c:pt>
                <c:pt idx="393">
                  <c:v>78.600000000000577</c:v>
                </c:pt>
                <c:pt idx="394">
                  <c:v>78.80000000000058</c:v>
                </c:pt>
                <c:pt idx="395">
                  <c:v>79.000000000000583</c:v>
                </c:pt>
                <c:pt idx="396">
                  <c:v>79.200000000000585</c:v>
                </c:pt>
                <c:pt idx="397">
                  <c:v>79.400000000000588</c:v>
                </c:pt>
                <c:pt idx="398">
                  <c:v>79.600000000000591</c:v>
                </c:pt>
                <c:pt idx="399">
                  <c:v>79.800000000000594</c:v>
                </c:pt>
                <c:pt idx="400">
                  <c:v>80.000000000000597</c:v>
                </c:pt>
                <c:pt idx="401">
                  <c:v>80.2000000000006</c:v>
                </c:pt>
                <c:pt idx="402">
                  <c:v>80.400000000000603</c:v>
                </c:pt>
                <c:pt idx="403">
                  <c:v>80.600000000000605</c:v>
                </c:pt>
                <c:pt idx="404">
                  <c:v>80.800000000000608</c:v>
                </c:pt>
                <c:pt idx="405">
                  <c:v>81.000000000000611</c:v>
                </c:pt>
                <c:pt idx="406">
                  <c:v>81.200000000000614</c:v>
                </c:pt>
                <c:pt idx="407">
                  <c:v>81.400000000000617</c:v>
                </c:pt>
                <c:pt idx="408">
                  <c:v>81.60000000000062</c:v>
                </c:pt>
                <c:pt idx="409">
                  <c:v>81.800000000000622</c:v>
                </c:pt>
                <c:pt idx="410">
                  <c:v>82.000000000000625</c:v>
                </c:pt>
                <c:pt idx="411">
                  <c:v>82.200000000000628</c:v>
                </c:pt>
                <c:pt idx="412">
                  <c:v>82.400000000000631</c:v>
                </c:pt>
                <c:pt idx="413">
                  <c:v>82.600000000000634</c:v>
                </c:pt>
                <c:pt idx="414">
                  <c:v>82.800000000000637</c:v>
                </c:pt>
                <c:pt idx="415">
                  <c:v>83.000000000000639</c:v>
                </c:pt>
                <c:pt idx="416">
                  <c:v>83.200000000000642</c:v>
                </c:pt>
                <c:pt idx="417">
                  <c:v>83.400000000000645</c:v>
                </c:pt>
                <c:pt idx="418">
                  <c:v>83.600000000000648</c:v>
                </c:pt>
                <c:pt idx="419">
                  <c:v>83.800000000000651</c:v>
                </c:pt>
                <c:pt idx="420">
                  <c:v>84.000000000000654</c:v>
                </c:pt>
                <c:pt idx="421">
                  <c:v>84.200000000000657</c:v>
                </c:pt>
                <c:pt idx="422">
                  <c:v>84.400000000000659</c:v>
                </c:pt>
                <c:pt idx="423">
                  <c:v>84.600000000000662</c:v>
                </c:pt>
                <c:pt idx="424">
                  <c:v>84.800000000000665</c:v>
                </c:pt>
                <c:pt idx="425">
                  <c:v>85.000000000000668</c:v>
                </c:pt>
                <c:pt idx="426">
                  <c:v>85.200000000000671</c:v>
                </c:pt>
                <c:pt idx="427">
                  <c:v>85.400000000000674</c:v>
                </c:pt>
                <c:pt idx="428">
                  <c:v>85.600000000000676</c:v>
                </c:pt>
                <c:pt idx="429">
                  <c:v>85.800000000000679</c:v>
                </c:pt>
                <c:pt idx="430">
                  <c:v>86.000000000000682</c:v>
                </c:pt>
                <c:pt idx="431">
                  <c:v>86.200000000000685</c:v>
                </c:pt>
                <c:pt idx="432">
                  <c:v>86.400000000000688</c:v>
                </c:pt>
                <c:pt idx="433">
                  <c:v>86.600000000000691</c:v>
                </c:pt>
                <c:pt idx="434">
                  <c:v>86.800000000000693</c:v>
                </c:pt>
                <c:pt idx="435">
                  <c:v>87.000000000000696</c:v>
                </c:pt>
                <c:pt idx="436">
                  <c:v>87.200000000000699</c:v>
                </c:pt>
                <c:pt idx="437">
                  <c:v>87.400000000000702</c:v>
                </c:pt>
                <c:pt idx="438">
                  <c:v>87.600000000000705</c:v>
                </c:pt>
                <c:pt idx="439">
                  <c:v>87.800000000000708</c:v>
                </c:pt>
                <c:pt idx="440">
                  <c:v>88.000000000000711</c:v>
                </c:pt>
                <c:pt idx="441">
                  <c:v>88.200000000000713</c:v>
                </c:pt>
                <c:pt idx="442">
                  <c:v>88.400000000000716</c:v>
                </c:pt>
                <c:pt idx="443">
                  <c:v>88.600000000000719</c:v>
                </c:pt>
                <c:pt idx="444">
                  <c:v>88.800000000000722</c:v>
                </c:pt>
                <c:pt idx="445">
                  <c:v>89.000000000000725</c:v>
                </c:pt>
                <c:pt idx="446">
                  <c:v>89.200000000000728</c:v>
                </c:pt>
                <c:pt idx="447">
                  <c:v>89.40000000000073</c:v>
                </c:pt>
                <c:pt idx="448">
                  <c:v>89.600000000000733</c:v>
                </c:pt>
                <c:pt idx="449">
                  <c:v>89.800000000000736</c:v>
                </c:pt>
                <c:pt idx="450">
                  <c:v>90.000000000000739</c:v>
                </c:pt>
                <c:pt idx="451">
                  <c:v>90.200000000000742</c:v>
                </c:pt>
                <c:pt idx="452">
                  <c:v>90.400000000000745</c:v>
                </c:pt>
                <c:pt idx="453">
                  <c:v>90.600000000000747</c:v>
                </c:pt>
                <c:pt idx="454">
                  <c:v>90.80000000000075</c:v>
                </c:pt>
                <c:pt idx="455">
                  <c:v>91.000000000000753</c:v>
                </c:pt>
                <c:pt idx="456">
                  <c:v>91.200000000000756</c:v>
                </c:pt>
                <c:pt idx="457">
                  <c:v>91.400000000000759</c:v>
                </c:pt>
                <c:pt idx="458">
                  <c:v>91.600000000000762</c:v>
                </c:pt>
                <c:pt idx="459">
                  <c:v>91.800000000000765</c:v>
                </c:pt>
                <c:pt idx="460">
                  <c:v>92.000000000000767</c:v>
                </c:pt>
                <c:pt idx="461">
                  <c:v>92.20000000000077</c:v>
                </c:pt>
                <c:pt idx="462">
                  <c:v>92.400000000000773</c:v>
                </c:pt>
                <c:pt idx="463">
                  <c:v>92.600000000000776</c:v>
                </c:pt>
                <c:pt idx="464">
                  <c:v>92.800000000000779</c:v>
                </c:pt>
                <c:pt idx="465">
                  <c:v>93.000000000000782</c:v>
                </c:pt>
                <c:pt idx="466">
                  <c:v>93.200000000000784</c:v>
                </c:pt>
                <c:pt idx="467">
                  <c:v>93.400000000000787</c:v>
                </c:pt>
                <c:pt idx="468">
                  <c:v>93.60000000000079</c:v>
                </c:pt>
                <c:pt idx="469">
                  <c:v>93.800000000000793</c:v>
                </c:pt>
                <c:pt idx="470">
                  <c:v>94.000000000000796</c:v>
                </c:pt>
                <c:pt idx="471">
                  <c:v>94.200000000000799</c:v>
                </c:pt>
                <c:pt idx="472">
                  <c:v>94.400000000000801</c:v>
                </c:pt>
                <c:pt idx="473">
                  <c:v>94.600000000000804</c:v>
                </c:pt>
                <c:pt idx="474">
                  <c:v>94.800000000000807</c:v>
                </c:pt>
                <c:pt idx="475">
                  <c:v>95.00000000000081</c:v>
                </c:pt>
                <c:pt idx="476">
                  <c:v>95.200000000000813</c:v>
                </c:pt>
                <c:pt idx="477">
                  <c:v>95.400000000000816</c:v>
                </c:pt>
                <c:pt idx="478">
                  <c:v>95.600000000000819</c:v>
                </c:pt>
                <c:pt idx="479">
                  <c:v>95.800000000000821</c:v>
                </c:pt>
                <c:pt idx="480">
                  <c:v>96.000000000000824</c:v>
                </c:pt>
                <c:pt idx="481">
                  <c:v>96.200000000000827</c:v>
                </c:pt>
                <c:pt idx="482">
                  <c:v>96.40000000000083</c:v>
                </c:pt>
                <c:pt idx="483">
                  <c:v>96.600000000000833</c:v>
                </c:pt>
                <c:pt idx="484">
                  <c:v>96.800000000000836</c:v>
                </c:pt>
                <c:pt idx="485">
                  <c:v>97.000000000000838</c:v>
                </c:pt>
                <c:pt idx="486">
                  <c:v>97.200000000000841</c:v>
                </c:pt>
                <c:pt idx="487">
                  <c:v>97.400000000000844</c:v>
                </c:pt>
                <c:pt idx="488">
                  <c:v>97.600000000000847</c:v>
                </c:pt>
                <c:pt idx="489">
                  <c:v>97.80000000000085</c:v>
                </c:pt>
                <c:pt idx="490">
                  <c:v>98.000000000000853</c:v>
                </c:pt>
                <c:pt idx="491">
                  <c:v>98.200000000000855</c:v>
                </c:pt>
                <c:pt idx="492">
                  <c:v>98.400000000000858</c:v>
                </c:pt>
                <c:pt idx="493">
                  <c:v>98.600000000000861</c:v>
                </c:pt>
                <c:pt idx="494">
                  <c:v>98.800000000000864</c:v>
                </c:pt>
                <c:pt idx="495">
                  <c:v>99.000000000000867</c:v>
                </c:pt>
                <c:pt idx="496">
                  <c:v>99.20000000000087</c:v>
                </c:pt>
                <c:pt idx="497">
                  <c:v>99.400000000000873</c:v>
                </c:pt>
                <c:pt idx="498">
                  <c:v>99.600000000000875</c:v>
                </c:pt>
                <c:pt idx="499">
                  <c:v>99.800000000000878</c:v>
                </c:pt>
                <c:pt idx="500">
                  <c:v>100.00000000000088</c:v>
                </c:pt>
                <c:pt idx="501">
                  <c:v>100.20000000000088</c:v>
                </c:pt>
                <c:pt idx="502">
                  <c:v>100.40000000000089</c:v>
                </c:pt>
                <c:pt idx="503">
                  <c:v>100.60000000000089</c:v>
                </c:pt>
                <c:pt idx="504">
                  <c:v>100.80000000000089</c:v>
                </c:pt>
                <c:pt idx="505">
                  <c:v>101.0000000000009</c:v>
                </c:pt>
                <c:pt idx="506">
                  <c:v>101.2000000000009</c:v>
                </c:pt>
                <c:pt idx="507">
                  <c:v>101.4000000000009</c:v>
                </c:pt>
                <c:pt idx="508">
                  <c:v>101.6000000000009</c:v>
                </c:pt>
                <c:pt idx="509">
                  <c:v>101.80000000000091</c:v>
                </c:pt>
                <c:pt idx="510">
                  <c:v>102.00000000000091</c:v>
                </c:pt>
                <c:pt idx="511">
                  <c:v>102.20000000000091</c:v>
                </c:pt>
                <c:pt idx="512">
                  <c:v>102.40000000000092</c:v>
                </c:pt>
                <c:pt idx="513">
                  <c:v>102.60000000000092</c:v>
                </c:pt>
                <c:pt idx="514">
                  <c:v>102.80000000000092</c:v>
                </c:pt>
                <c:pt idx="515">
                  <c:v>103.00000000000092</c:v>
                </c:pt>
                <c:pt idx="516">
                  <c:v>103.20000000000093</c:v>
                </c:pt>
                <c:pt idx="517">
                  <c:v>103.40000000000093</c:v>
                </c:pt>
                <c:pt idx="518">
                  <c:v>103.60000000000093</c:v>
                </c:pt>
                <c:pt idx="519">
                  <c:v>103.80000000000094</c:v>
                </c:pt>
                <c:pt idx="520">
                  <c:v>104.00000000000094</c:v>
                </c:pt>
                <c:pt idx="521">
                  <c:v>104.20000000000094</c:v>
                </c:pt>
                <c:pt idx="522">
                  <c:v>104.40000000000094</c:v>
                </c:pt>
                <c:pt idx="523">
                  <c:v>104.60000000000095</c:v>
                </c:pt>
                <c:pt idx="524">
                  <c:v>104.80000000000095</c:v>
                </c:pt>
                <c:pt idx="525">
                  <c:v>105.00000000000095</c:v>
                </c:pt>
                <c:pt idx="526">
                  <c:v>105.20000000000095</c:v>
                </c:pt>
                <c:pt idx="527">
                  <c:v>105.40000000000096</c:v>
                </c:pt>
                <c:pt idx="528">
                  <c:v>105.60000000000096</c:v>
                </c:pt>
                <c:pt idx="529">
                  <c:v>105.80000000000096</c:v>
                </c:pt>
                <c:pt idx="530">
                  <c:v>106.00000000000097</c:v>
                </c:pt>
                <c:pt idx="531">
                  <c:v>106.20000000000097</c:v>
                </c:pt>
                <c:pt idx="532">
                  <c:v>106.40000000000097</c:v>
                </c:pt>
                <c:pt idx="533">
                  <c:v>106.60000000000097</c:v>
                </c:pt>
                <c:pt idx="534">
                  <c:v>106.80000000000098</c:v>
                </c:pt>
                <c:pt idx="535">
                  <c:v>107.00000000000098</c:v>
                </c:pt>
                <c:pt idx="536">
                  <c:v>107.20000000000098</c:v>
                </c:pt>
                <c:pt idx="537">
                  <c:v>107.40000000000099</c:v>
                </c:pt>
                <c:pt idx="538">
                  <c:v>107.60000000000099</c:v>
                </c:pt>
                <c:pt idx="539">
                  <c:v>107.80000000000099</c:v>
                </c:pt>
                <c:pt idx="540">
                  <c:v>108.00000000000099</c:v>
                </c:pt>
                <c:pt idx="541">
                  <c:v>108.200000000001</c:v>
                </c:pt>
                <c:pt idx="542">
                  <c:v>108.400000000001</c:v>
                </c:pt>
                <c:pt idx="543">
                  <c:v>108.600000000001</c:v>
                </c:pt>
                <c:pt idx="544">
                  <c:v>108.80000000000101</c:v>
                </c:pt>
                <c:pt idx="545">
                  <c:v>109.00000000000101</c:v>
                </c:pt>
                <c:pt idx="546">
                  <c:v>109.20000000000101</c:v>
                </c:pt>
                <c:pt idx="547">
                  <c:v>109.40000000000101</c:v>
                </c:pt>
                <c:pt idx="548">
                  <c:v>109.60000000000102</c:v>
                </c:pt>
                <c:pt idx="549">
                  <c:v>109.80000000000102</c:v>
                </c:pt>
                <c:pt idx="550">
                  <c:v>110.00000000000102</c:v>
                </c:pt>
                <c:pt idx="551">
                  <c:v>110.20000000000103</c:v>
                </c:pt>
                <c:pt idx="552">
                  <c:v>110.40000000000103</c:v>
                </c:pt>
                <c:pt idx="553">
                  <c:v>110.60000000000103</c:v>
                </c:pt>
                <c:pt idx="554">
                  <c:v>110.80000000000103</c:v>
                </c:pt>
                <c:pt idx="555">
                  <c:v>111.00000000000104</c:v>
                </c:pt>
                <c:pt idx="556">
                  <c:v>111.20000000000104</c:v>
                </c:pt>
                <c:pt idx="557">
                  <c:v>111.40000000000104</c:v>
                </c:pt>
                <c:pt idx="558">
                  <c:v>111.60000000000105</c:v>
                </c:pt>
                <c:pt idx="559">
                  <c:v>111.80000000000105</c:v>
                </c:pt>
                <c:pt idx="560">
                  <c:v>112.00000000000105</c:v>
                </c:pt>
                <c:pt idx="561">
                  <c:v>112.20000000000105</c:v>
                </c:pt>
                <c:pt idx="562">
                  <c:v>112.40000000000106</c:v>
                </c:pt>
                <c:pt idx="563">
                  <c:v>112.60000000000106</c:v>
                </c:pt>
                <c:pt idx="564">
                  <c:v>112.80000000000106</c:v>
                </c:pt>
                <c:pt idx="565">
                  <c:v>113.00000000000107</c:v>
                </c:pt>
                <c:pt idx="566">
                  <c:v>113.20000000000107</c:v>
                </c:pt>
                <c:pt idx="567">
                  <c:v>113.40000000000107</c:v>
                </c:pt>
                <c:pt idx="568">
                  <c:v>113.60000000000107</c:v>
                </c:pt>
                <c:pt idx="569">
                  <c:v>113.80000000000108</c:v>
                </c:pt>
                <c:pt idx="570">
                  <c:v>114.00000000000108</c:v>
                </c:pt>
                <c:pt idx="571">
                  <c:v>114.20000000000108</c:v>
                </c:pt>
                <c:pt idx="572">
                  <c:v>114.40000000000109</c:v>
                </c:pt>
                <c:pt idx="573">
                  <c:v>114.60000000000109</c:v>
                </c:pt>
                <c:pt idx="574">
                  <c:v>114.80000000000109</c:v>
                </c:pt>
                <c:pt idx="575">
                  <c:v>115.00000000000109</c:v>
                </c:pt>
                <c:pt idx="576">
                  <c:v>115.2000000000011</c:v>
                </c:pt>
                <c:pt idx="577">
                  <c:v>115.4000000000011</c:v>
                </c:pt>
                <c:pt idx="578">
                  <c:v>115.6000000000011</c:v>
                </c:pt>
                <c:pt idx="579">
                  <c:v>115.80000000000111</c:v>
                </c:pt>
                <c:pt idx="580">
                  <c:v>116.00000000000111</c:v>
                </c:pt>
                <c:pt idx="581">
                  <c:v>116.20000000000111</c:v>
                </c:pt>
                <c:pt idx="582">
                  <c:v>116.40000000000111</c:v>
                </c:pt>
                <c:pt idx="583">
                  <c:v>116.60000000000112</c:v>
                </c:pt>
                <c:pt idx="584">
                  <c:v>116.80000000000112</c:v>
                </c:pt>
                <c:pt idx="585">
                  <c:v>117.00000000000112</c:v>
                </c:pt>
                <c:pt idx="586">
                  <c:v>117.20000000000113</c:v>
                </c:pt>
                <c:pt idx="587">
                  <c:v>117.40000000000113</c:v>
                </c:pt>
                <c:pt idx="588">
                  <c:v>117.60000000000113</c:v>
                </c:pt>
                <c:pt idx="589">
                  <c:v>117.80000000000113</c:v>
                </c:pt>
                <c:pt idx="590">
                  <c:v>118.00000000000114</c:v>
                </c:pt>
                <c:pt idx="591">
                  <c:v>118.20000000000114</c:v>
                </c:pt>
                <c:pt idx="592">
                  <c:v>118.40000000000114</c:v>
                </c:pt>
                <c:pt idx="593">
                  <c:v>118.60000000000115</c:v>
                </c:pt>
                <c:pt idx="594">
                  <c:v>118.80000000000115</c:v>
                </c:pt>
                <c:pt idx="595">
                  <c:v>119.00000000000115</c:v>
                </c:pt>
                <c:pt idx="596">
                  <c:v>119.20000000000115</c:v>
                </c:pt>
                <c:pt idx="597">
                  <c:v>119.40000000000116</c:v>
                </c:pt>
                <c:pt idx="598">
                  <c:v>119.60000000000116</c:v>
                </c:pt>
                <c:pt idx="599">
                  <c:v>119.80000000000116</c:v>
                </c:pt>
                <c:pt idx="600">
                  <c:v>120.00000000000117</c:v>
                </c:pt>
                <c:pt idx="601">
                  <c:v>120.20000000000117</c:v>
                </c:pt>
                <c:pt idx="602">
                  <c:v>120.40000000000117</c:v>
                </c:pt>
                <c:pt idx="603">
                  <c:v>120.60000000000117</c:v>
                </c:pt>
                <c:pt idx="604">
                  <c:v>120.80000000000118</c:v>
                </c:pt>
                <c:pt idx="605">
                  <c:v>121.00000000000118</c:v>
                </c:pt>
                <c:pt idx="606">
                  <c:v>121.20000000000118</c:v>
                </c:pt>
                <c:pt idx="607">
                  <c:v>121.40000000000119</c:v>
                </c:pt>
                <c:pt idx="608">
                  <c:v>121.60000000000119</c:v>
                </c:pt>
                <c:pt idx="609">
                  <c:v>121.80000000000119</c:v>
                </c:pt>
                <c:pt idx="610">
                  <c:v>122.00000000000119</c:v>
                </c:pt>
                <c:pt idx="611">
                  <c:v>122.2000000000012</c:v>
                </c:pt>
                <c:pt idx="612">
                  <c:v>122.4000000000012</c:v>
                </c:pt>
                <c:pt idx="613">
                  <c:v>122.6000000000012</c:v>
                </c:pt>
                <c:pt idx="614">
                  <c:v>122.80000000000121</c:v>
                </c:pt>
                <c:pt idx="615">
                  <c:v>123.00000000000121</c:v>
                </c:pt>
                <c:pt idx="616">
                  <c:v>123.20000000000121</c:v>
                </c:pt>
                <c:pt idx="617">
                  <c:v>123.40000000000121</c:v>
                </c:pt>
                <c:pt idx="618">
                  <c:v>123.60000000000122</c:v>
                </c:pt>
                <c:pt idx="619">
                  <c:v>123.80000000000122</c:v>
                </c:pt>
                <c:pt idx="620">
                  <c:v>124.00000000000122</c:v>
                </c:pt>
                <c:pt idx="621">
                  <c:v>124.20000000000122</c:v>
                </c:pt>
                <c:pt idx="622">
                  <c:v>124.40000000000123</c:v>
                </c:pt>
                <c:pt idx="623">
                  <c:v>124.60000000000123</c:v>
                </c:pt>
                <c:pt idx="624">
                  <c:v>124.80000000000123</c:v>
                </c:pt>
                <c:pt idx="625">
                  <c:v>125.00000000000124</c:v>
                </c:pt>
                <c:pt idx="626">
                  <c:v>125.20000000000124</c:v>
                </c:pt>
                <c:pt idx="627">
                  <c:v>125.40000000000124</c:v>
                </c:pt>
                <c:pt idx="628">
                  <c:v>125.60000000000124</c:v>
                </c:pt>
                <c:pt idx="629">
                  <c:v>125.80000000000125</c:v>
                </c:pt>
                <c:pt idx="630">
                  <c:v>126.00000000000125</c:v>
                </c:pt>
                <c:pt idx="631">
                  <c:v>126.20000000000125</c:v>
                </c:pt>
                <c:pt idx="632">
                  <c:v>126.40000000000126</c:v>
                </c:pt>
                <c:pt idx="633">
                  <c:v>126.60000000000126</c:v>
                </c:pt>
                <c:pt idx="634">
                  <c:v>126.80000000000126</c:v>
                </c:pt>
                <c:pt idx="635">
                  <c:v>127.00000000000126</c:v>
                </c:pt>
                <c:pt idx="636">
                  <c:v>127.20000000000127</c:v>
                </c:pt>
                <c:pt idx="637">
                  <c:v>127.40000000000127</c:v>
                </c:pt>
                <c:pt idx="638">
                  <c:v>127.60000000000127</c:v>
                </c:pt>
                <c:pt idx="639">
                  <c:v>127.80000000000128</c:v>
                </c:pt>
                <c:pt idx="640">
                  <c:v>128.00000000000128</c:v>
                </c:pt>
                <c:pt idx="641">
                  <c:v>128.20000000000127</c:v>
                </c:pt>
                <c:pt idx="642">
                  <c:v>128.40000000000126</c:v>
                </c:pt>
                <c:pt idx="643">
                  <c:v>128.60000000000124</c:v>
                </c:pt>
                <c:pt idx="644">
                  <c:v>128.80000000000123</c:v>
                </c:pt>
                <c:pt idx="645">
                  <c:v>129.00000000000122</c:v>
                </c:pt>
                <c:pt idx="646">
                  <c:v>129.20000000000121</c:v>
                </c:pt>
                <c:pt idx="647">
                  <c:v>129.4000000000012</c:v>
                </c:pt>
                <c:pt idx="648">
                  <c:v>129.60000000000119</c:v>
                </c:pt>
                <c:pt idx="649">
                  <c:v>129.80000000000118</c:v>
                </c:pt>
                <c:pt idx="650">
                  <c:v>130.00000000000117</c:v>
                </c:pt>
                <c:pt idx="651">
                  <c:v>130.20000000000115</c:v>
                </c:pt>
                <c:pt idx="652">
                  <c:v>130.40000000000114</c:v>
                </c:pt>
                <c:pt idx="653">
                  <c:v>130.60000000000113</c:v>
                </c:pt>
                <c:pt idx="654">
                  <c:v>130.80000000000112</c:v>
                </c:pt>
                <c:pt idx="655">
                  <c:v>131.00000000000111</c:v>
                </c:pt>
                <c:pt idx="656">
                  <c:v>131.2000000000011</c:v>
                </c:pt>
                <c:pt idx="657">
                  <c:v>131.40000000000109</c:v>
                </c:pt>
                <c:pt idx="658">
                  <c:v>131.60000000000107</c:v>
                </c:pt>
                <c:pt idx="659">
                  <c:v>131.80000000000106</c:v>
                </c:pt>
                <c:pt idx="660">
                  <c:v>132.00000000000105</c:v>
                </c:pt>
                <c:pt idx="661">
                  <c:v>132.20000000000104</c:v>
                </c:pt>
                <c:pt idx="662">
                  <c:v>132.40000000000103</c:v>
                </c:pt>
                <c:pt idx="663">
                  <c:v>132.60000000000102</c:v>
                </c:pt>
                <c:pt idx="664">
                  <c:v>132.80000000000101</c:v>
                </c:pt>
                <c:pt idx="665">
                  <c:v>133.00000000000099</c:v>
                </c:pt>
                <c:pt idx="666">
                  <c:v>133.20000000000098</c:v>
                </c:pt>
                <c:pt idx="667">
                  <c:v>133.40000000000097</c:v>
                </c:pt>
                <c:pt idx="668">
                  <c:v>133.60000000000096</c:v>
                </c:pt>
                <c:pt idx="669">
                  <c:v>133.80000000000095</c:v>
                </c:pt>
                <c:pt idx="670">
                  <c:v>134.00000000000094</c:v>
                </c:pt>
                <c:pt idx="671">
                  <c:v>134.20000000000093</c:v>
                </c:pt>
                <c:pt idx="672">
                  <c:v>134.40000000000092</c:v>
                </c:pt>
                <c:pt idx="673">
                  <c:v>134.6000000000009</c:v>
                </c:pt>
                <c:pt idx="674">
                  <c:v>134.80000000000089</c:v>
                </c:pt>
                <c:pt idx="675">
                  <c:v>135.00000000000088</c:v>
                </c:pt>
                <c:pt idx="676">
                  <c:v>135.20000000000087</c:v>
                </c:pt>
                <c:pt idx="677">
                  <c:v>135.40000000000086</c:v>
                </c:pt>
                <c:pt idx="678">
                  <c:v>135.60000000000085</c:v>
                </c:pt>
                <c:pt idx="679">
                  <c:v>135.80000000000084</c:v>
                </c:pt>
                <c:pt idx="680">
                  <c:v>136.00000000000082</c:v>
                </c:pt>
                <c:pt idx="681">
                  <c:v>136.20000000000081</c:v>
                </c:pt>
                <c:pt idx="682">
                  <c:v>136.4000000000008</c:v>
                </c:pt>
                <c:pt idx="683">
                  <c:v>136.60000000000079</c:v>
                </c:pt>
                <c:pt idx="684">
                  <c:v>136.80000000000078</c:v>
                </c:pt>
                <c:pt idx="685">
                  <c:v>137.00000000000077</c:v>
                </c:pt>
                <c:pt idx="686">
                  <c:v>137.20000000000076</c:v>
                </c:pt>
                <c:pt idx="687">
                  <c:v>137.40000000000074</c:v>
                </c:pt>
                <c:pt idx="688">
                  <c:v>137.60000000000073</c:v>
                </c:pt>
                <c:pt idx="689">
                  <c:v>137.80000000000072</c:v>
                </c:pt>
                <c:pt idx="690">
                  <c:v>138.00000000000071</c:v>
                </c:pt>
                <c:pt idx="691">
                  <c:v>138.2000000000007</c:v>
                </c:pt>
                <c:pt idx="692">
                  <c:v>138.40000000000069</c:v>
                </c:pt>
                <c:pt idx="693">
                  <c:v>138.60000000000068</c:v>
                </c:pt>
                <c:pt idx="694">
                  <c:v>138.80000000000067</c:v>
                </c:pt>
                <c:pt idx="695">
                  <c:v>139.00000000000065</c:v>
                </c:pt>
                <c:pt idx="696">
                  <c:v>139.20000000000064</c:v>
                </c:pt>
                <c:pt idx="697">
                  <c:v>139.40000000000063</c:v>
                </c:pt>
                <c:pt idx="698">
                  <c:v>139.60000000000062</c:v>
                </c:pt>
                <c:pt idx="699">
                  <c:v>139.80000000000061</c:v>
                </c:pt>
                <c:pt idx="700">
                  <c:v>140.0000000000006</c:v>
                </c:pt>
                <c:pt idx="701">
                  <c:v>140.20000000000059</c:v>
                </c:pt>
                <c:pt idx="702">
                  <c:v>140.40000000000057</c:v>
                </c:pt>
                <c:pt idx="703">
                  <c:v>140.60000000000056</c:v>
                </c:pt>
                <c:pt idx="704">
                  <c:v>140.80000000000055</c:v>
                </c:pt>
                <c:pt idx="705">
                  <c:v>141.00000000000054</c:v>
                </c:pt>
                <c:pt idx="706">
                  <c:v>141.20000000000053</c:v>
                </c:pt>
                <c:pt idx="707">
                  <c:v>141.40000000000052</c:v>
                </c:pt>
                <c:pt idx="708">
                  <c:v>141.60000000000051</c:v>
                </c:pt>
                <c:pt idx="709">
                  <c:v>141.80000000000049</c:v>
                </c:pt>
                <c:pt idx="710">
                  <c:v>142.00000000000048</c:v>
                </c:pt>
                <c:pt idx="711">
                  <c:v>142.20000000000047</c:v>
                </c:pt>
                <c:pt idx="712">
                  <c:v>142.40000000000046</c:v>
                </c:pt>
                <c:pt idx="713">
                  <c:v>142.60000000000045</c:v>
                </c:pt>
                <c:pt idx="714">
                  <c:v>142.80000000000044</c:v>
                </c:pt>
                <c:pt idx="715">
                  <c:v>143.00000000000043</c:v>
                </c:pt>
                <c:pt idx="716">
                  <c:v>143.20000000000041</c:v>
                </c:pt>
                <c:pt idx="717">
                  <c:v>143.4000000000004</c:v>
                </c:pt>
                <c:pt idx="718">
                  <c:v>143.60000000000039</c:v>
                </c:pt>
                <c:pt idx="719">
                  <c:v>143.80000000000038</c:v>
                </c:pt>
                <c:pt idx="720">
                  <c:v>144.00000000000037</c:v>
                </c:pt>
                <c:pt idx="721">
                  <c:v>144.20000000000036</c:v>
                </c:pt>
                <c:pt idx="722">
                  <c:v>144.40000000000035</c:v>
                </c:pt>
                <c:pt idx="723">
                  <c:v>144.60000000000034</c:v>
                </c:pt>
                <c:pt idx="724">
                  <c:v>144.80000000000032</c:v>
                </c:pt>
                <c:pt idx="725">
                  <c:v>145.00000000000031</c:v>
                </c:pt>
                <c:pt idx="726">
                  <c:v>145.2000000000003</c:v>
                </c:pt>
                <c:pt idx="727">
                  <c:v>145.40000000000029</c:v>
                </c:pt>
                <c:pt idx="728">
                  <c:v>145.60000000000028</c:v>
                </c:pt>
                <c:pt idx="729">
                  <c:v>145.80000000000027</c:v>
                </c:pt>
                <c:pt idx="730">
                  <c:v>146.00000000000026</c:v>
                </c:pt>
                <c:pt idx="731">
                  <c:v>146.20000000000024</c:v>
                </c:pt>
                <c:pt idx="732">
                  <c:v>146.40000000000023</c:v>
                </c:pt>
                <c:pt idx="733">
                  <c:v>146.60000000000022</c:v>
                </c:pt>
                <c:pt idx="734">
                  <c:v>146.80000000000021</c:v>
                </c:pt>
                <c:pt idx="735">
                  <c:v>147.0000000000002</c:v>
                </c:pt>
                <c:pt idx="736">
                  <c:v>147.20000000000019</c:v>
                </c:pt>
                <c:pt idx="737">
                  <c:v>147.40000000000018</c:v>
                </c:pt>
                <c:pt idx="738">
                  <c:v>147.60000000000016</c:v>
                </c:pt>
                <c:pt idx="739">
                  <c:v>147.80000000000015</c:v>
                </c:pt>
                <c:pt idx="740">
                  <c:v>148.00000000000014</c:v>
                </c:pt>
                <c:pt idx="741">
                  <c:v>148.20000000000013</c:v>
                </c:pt>
                <c:pt idx="742">
                  <c:v>148.40000000000012</c:v>
                </c:pt>
                <c:pt idx="743">
                  <c:v>148.60000000000011</c:v>
                </c:pt>
                <c:pt idx="744">
                  <c:v>148.8000000000001</c:v>
                </c:pt>
                <c:pt idx="745">
                  <c:v>149.00000000000009</c:v>
                </c:pt>
                <c:pt idx="746">
                  <c:v>149.20000000000007</c:v>
                </c:pt>
                <c:pt idx="747">
                  <c:v>149.40000000000006</c:v>
                </c:pt>
                <c:pt idx="748">
                  <c:v>149.60000000000005</c:v>
                </c:pt>
                <c:pt idx="749">
                  <c:v>149.80000000000004</c:v>
                </c:pt>
                <c:pt idx="750">
                  <c:v>150.00000000000003</c:v>
                </c:pt>
                <c:pt idx="751">
                  <c:v>150.20000000000002</c:v>
                </c:pt>
                <c:pt idx="752">
                  <c:v>150.4</c:v>
                </c:pt>
                <c:pt idx="753">
                  <c:v>150.6</c:v>
                </c:pt>
                <c:pt idx="754">
                  <c:v>150.79999999999998</c:v>
                </c:pt>
                <c:pt idx="755">
                  <c:v>150.99999999999997</c:v>
                </c:pt>
                <c:pt idx="756">
                  <c:v>151.19999999999996</c:v>
                </c:pt>
                <c:pt idx="757">
                  <c:v>151.39999999999995</c:v>
                </c:pt>
                <c:pt idx="758">
                  <c:v>151.59999999999994</c:v>
                </c:pt>
                <c:pt idx="759">
                  <c:v>151.79999999999993</c:v>
                </c:pt>
                <c:pt idx="760">
                  <c:v>151.99999999999991</c:v>
                </c:pt>
                <c:pt idx="761">
                  <c:v>152.1999999999999</c:v>
                </c:pt>
                <c:pt idx="762">
                  <c:v>152.39999999999989</c:v>
                </c:pt>
                <c:pt idx="763">
                  <c:v>152.59999999999988</c:v>
                </c:pt>
                <c:pt idx="764">
                  <c:v>152.79999999999987</c:v>
                </c:pt>
                <c:pt idx="765">
                  <c:v>152.99999999999986</c:v>
                </c:pt>
                <c:pt idx="766">
                  <c:v>153.19999999999985</c:v>
                </c:pt>
                <c:pt idx="767">
                  <c:v>153.39999999999984</c:v>
                </c:pt>
                <c:pt idx="768">
                  <c:v>153.59999999999982</c:v>
                </c:pt>
                <c:pt idx="769">
                  <c:v>153.79999999999981</c:v>
                </c:pt>
                <c:pt idx="770">
                  <c:v>153.9999999999998</c:v>
                </c:pt>
                <c:pt idx="771">
                  <c:v>154.19999999999979</c:v>
                </c:pt>
                <c:pt idx="772">
                  <c:v>154.39999999999978</c:v>
                </c:pt>
                <c:pt idx="773">
                  <c:v>154.59999999999977</c:v>
                </c:pt>
                <c:pt idx="774">
                  <c:v>154.79999999999976</c:v>
                </c:pt>
                <c:pt idx="775">
                  <c:v>154.99999999999974</c:v>
                </c:pt>
                <c:pt idx="776">
                  <c:v>155.19999999999973</c:v>
                </c:pt>
                <c:pt idx="777">
                  <c:v>155.39999999999972</c:v>
                </c:pt>
                <c:pt idx="778">
                  <c:v>155.59999999999971</c:v>
                </c:pt>
                <c:pt idx="779">
                  <c:v>155.7999999999997</c:v>
                </c:pt>
                <c:pt idx="780">
                  <c:v>155.99999999999969</c:v>
                </c:pt>
                <c:pt idx="781">
                  <c:v>156.19999999999968</c:v>
                </c:pt>
                <c:pt idx="782">
                  <c:v>156.39999999999966</c:v>
                </c:pt>
                <c:pt idx="783">
                  <c:v>156.59999999999965</c:v>
                </c:pt>
                <c:pt idx="784">
                  <c:v>156.79999999999964</c:v>
                </c:pt>
                <c:pt idx="785">
                  <c:v>156.99999999999963</c:v>
                </c:pt>
                <c:pt idx="786">
                  <c:v>157.19999999999962</c:v>
                </c:pt>
                <c:pt idx="787">
                  <c:v>157.39999999999961</c:v>
                </c:pt>
                <c:pt idx="788">
                  <c:v>157.5999999999996</c:v>
                </c:pt>
                <c:pt idx="789">
                  <c:v>157.79999999999959</c:v>
                </c:pt>
                <c:pt idx="790">
                  <c:v>157.99999999999957</c:v>
                </c:pt>
                <c:pt idx="791">
                  <c:v>158.19999999999956</c:v>
                </c:pt>
                <c:pt idx="792">
                  <c:v>158.39999999999955</c:v>
                </c:pt>
                <c:pt idx="793">
                  <c:v>158.59999999999954</c:v>
                </c:pt>
                <c:pt idx="794">
                  <c:v>158.79999999999953</c:v>
                </c:pt>
                <c:pt idx="795">
                  <c:v>158.99999999999952</c:v>
                </c:pt>
                <c:pt idx="796">
                  <c:v>159.19999999999951</c:v>
                </c:pt>
                <c:pt idx="797">
                  <c:v>159.39999999999949</c:v>
                </c:pt>
                <c:pt idx="798">
                  <c:v>159.59999999999948</c:v>
                </c:pt>
                <c:pt idx="799">
                  <c:v>159.79999999999947</c:v>
                </c:pt>
                <c:pt idx="800">
                  <c:v>159.99999999999946</c:v>
                </c:pt>
                <c:pt idx="801">
                  <c:v>160.19999999999945</c:v>
                </c:pt>
                <c:pt idx="802">
                  <c:v>160.39999999999944</c:v>
                </c:pt>
                <c:pt idx="803">
                  <c:v>160.59999999999943</c:v>
                </c:pt>
                <c:pt idx="804">
                  <c:v>160.79999999999941</c:v>
                </c:pt>
                <c:pt idx="805">
                  <c:v>160.9999999999994</c:v>
                </c:pt>
                <c:pt idx="806">
                  <c:v>161.19999999999939</c:v>
                </c:pt>
                <c:pt idx="807">
                  <c:v>161.39999999999938</c:v>
                </c:pt>
                <c:pt idx="808">
                  <c:v>161.59999999999937</c:v>
                </c:pt>
                <c:pt idx="809">
                  <c:v>161.79999999999936</c:v>
                </c:pt>
                <c:pt idx="810">
                  <c:v>161.99999999999935</c:v>
                </c:pt>
                <c:pt idx="811">
                  <c:v>162.19999999999933</c:v>
                </c:pt>
                <c:pt idx="812">
                  <c:v>162.39999999999932</c:v>
                </c:pt>
                <c:pt idx="813">
                  <c:v>162.59999999999931</c:v>
                </c:pt>
                <c:pt idx="814">
                  <c:v>162.7999999999993</c:v>
                </c:pt>
                <c:pt idx="815">
                  <c:v>162.99999999999929</c:v>
                </c:pt>
                <c:pt idx="816">
                  <c:v>163.19999999999928</c:v>
                </c:pt>
                <c:pt idx="817">
                  <c:v>163.39999999999927</c:v>
                </c:pt>
                <c:pt idx="818">
                  <c:v>163.59999999999926</c:v>
                </c:pt>
                <c:pt idx="819">
                  <c:v>163.79999999999924</c:v>
                </c:pt>
                <c:pt idx="820">
                  <c:v>163.99999999999923</c:v>
                </c:pt>
                <c:pt idx="821">
                  <c:v>164.19999999999922</c:v>
                </c:pt>
                <c:pt idx="822">
                  <c:v>164.39999999999921</c:v>
                </c:pt>
                <c:pt idx="823">
                  <c:v>164.5999999999992</c:v>
                </c:pt>
                <c:pt idx="824">
                  <c:v>164.79999999999919</c:v>
                </c:pt>
                <c:pt idx="825">
                  <c:v>164.99999999999918</c:v>
                </c:pt>
                <c:pt idx="826">
                  <c:v>165.19999999999916</c:v>
                </c:pt>
                <c:pt idx="827">
                  <c:v>165.39999999999915</c:v>
                </c:pt>
                <c:pt idx="828">
                  <c:v>165.59999999999914</c:v>
                </c:pt>
                <c:pt idx="829">
                  <c:v>165.79999999999913</c:v>
                </c:pt>
                <c:pt idx="830">
                  <c:v>165.99999999999912</c:v>
                </c:pt>
                <c:pt idx="831">
                  <c:v>166.19999999999911</c:v>
                </c:pt>
                <c:pt idx="832">
                  <c:v>166.3999999999991</c:v>
                </c:pt>
                <c:pt idx="833">
                  <c:v>166.59999999999908</c:v>
                </c:pt>
                <c:pt idx="834">
                  <c:v>166.79999999999907</c:v>
                </c:pt>
                <c:pt idx="835">
                  <c:v>166.99999999999906</c:v>
                </c:pt>
                <c:pt idx="836">
                  <c:v>167.19999999999905</c:v>
                </c:pt>
                <c:pt idx="837">
                  <c:v>167.39999999999904</c:v>
                </c:pt>
                <c:pt idx="838">
                  <c:v>167.59999999999903</c:v>
                </c:pt>
                <c:pt idx="839">
                  <c:v>167.79999999999902</c:v>
                </c:pt>
                <c:pt idx="840">
                  <c:v>167.99999999999901</c:v>
                </c:pt>
                <c:pt idx="841">
                  <c:v>168.19999999999899</c:v>
                </c:pt>
                <c:pt idx="842">
                  <c:v>168.39999999999898</c:v>
                </c:pt>
                <c:pt idx="843">
                  <c:v>168.59999999999897</c:v>
                </c:pt>
                <c:pt idx="844">
                  <c:v>168.79999999999896</c:v>
                </c:pt>
                <c:pt idx="845">
                  <c:v>168.99999999999895</c:v>
                </c:pt>
                <c:pt idx="846">
                  <c:v>169.19999999999894</c:v>
                </c:pt>
                <c:pt idx="847">
                  <c:v>169.39999999999893</c:v>
                </c:pt>
                <c:pt idx="848">
                  <c:v>169.59999999999891</c:v>
                </c:pt>
                <c:pt idx="849">
                  <c:v>169.7999999999989</c:v>
                </c:pt>
                <c:pt idx="850">
                  <c:v>169.99999999999889</c:v>
                </c:pt>
                <c:pt idx="851">
                  <c:v>170.19999999999888</c:v>
                </c:pt>
                <c:pt idx="852">
                  <c:v>170.39999999999887</c:v>
                </c:pt>
                <c:pt idx="853">
                  <c:v>170.59999999999886</c:v>
                </c:pt>
                <c:pt idx="854">
                  <c:v>170.79999999999885</c:v>
                </c:pt>
                <c:pt idx="855">
                  <c:v>170.99999999999883</c:v>
                </c:pt>
                <c:pt idx="856">
                  <c:v>171.19999999999882</c:v>
                </c:pt>
                <c:pt idx="857">
                  <c:v>171.39999999999881</c:v>
                </c:pt>
                <c:pt idx="858">
                  <c:v>171.5999999999988</c:v>
                </c:pt>
                <c:pt idx="859">
                  <c:v>171.79999999999879</c:v>
                </c:pt>
                <c:pt idx="860">
                  <c:v>171.99999999999878</c:v>
                </c:pt>
                <c:pt idx="861">
                  <c:v>172.19999999999877</c:v>
                </c:pt>
                <c:pt idx="862">
                  <c:v>172.39999999999876</c:v>
                </c:pt>
                <c:pt idx="863">
                  <c:v>172.59999999999874</c:v>
                </c:pt>
                <c:pt idx="864">
                  <c:v>172.79999999999873</c:v>
                </c:pt>
                <c:pt idx="865">
                  <c:v>172.99999999999872</c:v>
                </c:pt>
                <c:pt idx="866">
                  <c:v>173.19999999999871</c:v>
                </c:pt>
                <c:pt idx="867">
                  <c:v>173.3999999999987</c:v>
                </c:pt>
                <c:pt idx="868">
                  <c:v>173.59999999999869</c:v>
                </c:pt>
                <c:pt idx="869">
                  <c:v>173.79999999999868</c:v>
                </c:pt>
                <c:pt idx="870">
                  <c:v>173.99999999999866</c:v>
                </c:pt>
                <c:pt idx="871">
                  <c:v>174.19999999999865</c:v>
                </c:pt>
                <c:pt idx="872">
                  <c:v>174.39999999999864</c:v>
                </c:pt>
                <c:pt idx="873">
                  <c:v>174.59999999999863</c:v>
                </c:pt>
                <c:pt idx="874">
                  <c:v>174.79999999999862</c:v>
                </c:pt>
                <c:pt idx="875">
                  <c:v>174.99999999999861</c:v>
                </c:pt>
                <c:pt idx="876">
                  <c:v>175.1999999999986</c:v>
                </c:pt>
                <c:pt idx="877">
                  <c:v>175.39999999999858</c:v>
                </c:pt>
                <c:pt idx="878">
                  <c:v>175.59999999999857</c:v>
                </c:pt>
                <c:pt idx="879">
                  <c:v>175.79999999999856</c:v>
                </c:pt>
                <c:pt idx="880">
                  <c:v>175.99999999999855</c:v>
                </c:pt>
                <c:pt idx="881">
                  <c:v>176.19999999999854</c:v>
                </c:pt>
                <c:pt idx="882">
                  <c:v>176.39999999999853</c:v>
                </c:pt>
                <c:pt idx="883">
                  <c:v>176.59999999999852</c:v>
                </c:pt>
                <c:pt idx="884">
                  <c:v>176.79999999999851</c:v>
                </c:pt>
                <c:pt idx="885">
                  <c:v>176.99999999999849</c:v>
                </c:pt>
                <c:pt idx="886">
                  <c:v>177.19999999999848</c:v>
                </c:pt>
                <c:pt idx="887">
                  <c:v>177.39999999999847</c:v>
                </c:pt>
                <c:pt idx="888">
                  <c:v>177.59999999999846</c:v>
                </c:pt>
                <c:pt idx="889">
                  <c:v>177.79999999999845</c:v>
                </c:pt>
                <c:pt idx="890">
                  <c:v>177.99999999999844</c:v>
                </c:pt>
                <c:pt idx="891">
                  <c:v>178.19999999999843</c:v>
                </c:pt>
                <c:pt idx="892">
                  <c:v>178.39999999999841</c:v>
                </c:pt>
                <c:pt idx="893">
                  <c:v>178.5999999999984</c:v>
                </c:pt>
                <c:pt idx="894">
                  <c:v>178.79999999999839</c:v>
                </c:pt>
                <c:pt idx="895">
                  <c:v>178.99999999999838</c:v>
                </c:pt>
                <c:pt idx="896">
                  <c:v>179.19999999999837</c:v>
                </c:pt>
                <c:pt idx="897">
                  <c:v>179.39999999999836</c:v>
                </c:pt>
                <c:pt idx="898">
                  <c:v>179.59999999999835</c:v>
                </c:pt>
                <c:pt idx="899">
                  <c:v>179.79999999999833</c:v>
                </c:pt>
                <c:pt idx="900">
                  <c:v>179.99999999999832</c:v>
                </c:pt>
                <c:pt idx="901">
                  <c:v>180.19999999999831</c:v>
                </c:pt>
                <c:pt idx="902">
                  <c:v>180.3999999999983</c:v>
                </c:pt>
                <c:pt idx="903">
                  <c:v>180.59999999999829</c:v>
                </c:pt>
                <c:pt idx="904">
                  <c:v>180.79999999999828</c:v>
                </c:pt>
                <c:pt idx="905">
                  <c:v>180.99999999999827</c:v>
                </c:pt>
                <c:pt idx="906">
                  <c:v>181.19999999999825</c:v>
                </c:pt>
                <c:pt idx="907">
                  <c:v>181.39999999999824</c:v>
                </c:pt>
                <c:pt idx="908">
                  <c:v>181.59999999999823</c:v>
                </c:pt>
                <c:pt idx="909">
                  <c:v>181.79999999999822</c:v>
                </c:pt>
                <c:pt idx="910">
                  <c:v>181.99999999999821</c:v>
                </c:pt>
                <c:pt idx="911">
                  <c:v>182.1999999999982</c:v>
                </c:pt>
                <c:pt idx="912">
                  <c:v>182.39999999999819</c:v>
                </c:pt>
                <c:pt idx="913">
                  <c:v>182.59999999999818</c:v>
                </c:pt>
                <c:pt idx="914">
                  <c:v>182.79999999999816</c:v>
                </c:pt>
                <c:pt idx="915">
                  <c:v>182.99999999999815</c:v>
                </c:pt>
                <c:pt idx="916">
                  <c:v>183.19999999999814</c:v>
                </c:pt>
                <c:pt idx="917">
                  <c:v>183.39999999999813</c:v>
                </c:pt>
                <c:pt idx="918">
                  <c:v>183.59999999999812</c:v>
                </c:pt>
                <c:pt idx="919">
                  <c:v>183.79999999999811</c:v>
                </c:pt>
                <c:pt idx="920">
                  <c:v>183.9999999999981</c:v>
                </c:pt>
                <c:pt idx="921">
                  <c:v>184.19999999999808</c:v>
                </c:pt>
                <c:pt idx="922">
                  <c:v>184.39999999999807</c:v>
                </c:pt>
                <c:pt idx="923">
                  <c:v>184.59999999999806</c:v>
                </c:pt>
                <c:pt idx="924">
                  <c:v>184.79999999999805</c:v>
                </c:pt>
                <c:pt idx="925">
                  <c:v>184.99999999999804</c:v>
                </c:pt>
                <c:pt idx="926">
                  <c:v>185.19999999999803</c:v>
                </c:pt>
                <c:pt idx="927">
                  <c:v>185.39999999999802</c:v>
                </c:pt>
                <c:pt idx="928">
                  <c:v>185.599999999998</c:v>
                </c:pt>
                <c:pt idx="929">
                  <c:v>185.79999999999799</c:v>
                </c:pt>
                <c:pt idx="930">
                  <c:v>185.99999999999798</c:v>
                </c:pt>
                <c:pt idx="931">
                  <c:v>186.19999999999797</c:v>
                </c:pt>
                <c:pt idx="932">
                  <c:v>186.39999999999796</c:v>
                </c:pt>
                <c:pt idx="933">
                  <c:v>186.59999999999795</c:v>
                </c:pt>
                <c:pt idx="934">
                  <c:v>186.79999999999794</c:v>
                </c:pt>
                <c:pt idx="935">
                  <c:v>186.99999999999793</c:v>
                </c:pt>
                <c:pt idx="936">
                  <c:v>187.19999999999791</c:v>
                </c:pt>
                <c:pt idx="937">
                  <c:v>187.3999999999979</c:v>
                </c:pt>
                <c:pt idx="938">
                  <c:v>187.59999999999789</c:v>
                </c:pt>
                <c:pt idx="939">
                  <c:v>187.79999999999788</c:v>
                </c:pt>
                <c:pt idx="940">
                  <c:v>187.99999999999787</c:v>
                </c:pt>
                <c:pt idx="941">
                  <c:v>188.19999999999786</c:v>
                </c:pt>
                <c:pt idx="942">
                  <c:v>188.39999999999785</c:v>
                </c:pt>
                <c:pt idx="943">
                  <c:v>188.59999999999783</c:v>
                </c:pt>
                <c:pt idx="944">
                  <c:v>188.79999999999782</c:v>
                </c:pt>
                <c:pt idx="945">
                  <c:v>188.99999999999781</c:v>
                </c:pt>
                <c:pt idx="946">
                  <c:v>189.1999999999978</c:v>
                </c:pt>
                <c:pt idx="947">
                  <c:v>189.39999999999779</c:v>
                </c:pt>
                <c:pt idx="948">
                  <c:v>189.59999999999778</c:v>
                </c:pt>
                <c:pt idx="949">
                  <c:v>189.79999999999777</c:v>
                </c:pt>
                <c:pt idx="950">
                  <c:v>189.99999999999775</c:v>
                </c:pt>
                <c:pt idx="951">
                  <c:v>190.19999999999774</c:v>
                </c:pt>
                <c:pt idx="952">
                  <c:v>190.39999999999773</c:v>
                </c:pt>
                <c:pt idx="953">
                  <c:v>190.59999999999772</c:v>
                </c:pt>
                <c:pt idx="954">
                  <c:v>190.79999999999771</c:v>
                </c:pt>
                <c:pt idx="955">
                  <c:v>190.9999999999977</c:v>
                </c:pt>
                <c:pt idx="956">
                  <c:v>191.19999999999769</c:v>
                </c:pt>
                <c:pt idx="957">
                  <c:v>191.39999999999768</c:v>
                </c:pt>
                <c:pt idx="958">
                  <c:v>191.59999999999766</c:v>
                </c:pt>
                <c:pt idx="959">
                  <c:v>191.79999999999765</c:v>
                </c:pt>
                <c:pt idx="960">
                  <c:v>191.99999999999764</c:v>
                </c:pt>
                <c:pt idx="961">
                  <c:v>192.19999999999763</c:v>
                </c:pt>
                <c:pt idx="962">
                  <c:v>192.39999999999762</c:v>
                </c:pt>
                <c:pt idx="963">
                  <c:v>192.59999999999761</c:v>
                </c:pt>
                <c:pt idx="964">
                  <c:v>192.7999999999976</c:v>
                </c:pt>
                <c:pt idx="965">
                  <c:v>192.99999999999758</c:v>
                </c:pt>
                <c:pt idx="966">
                  <c:v>193.19999999999757</c:v>
                </c:pt>
                <c:pt idx="967">
                  <c:v>193.39999999999756</c:v>
                </c:pt>
                <c:pt idx="968">
                  <c:v>193.59999999999755</c:v>
                </c:pt>
                <c:pt idx="969">
                  <c:v>193.79999999999754</c:v>
                </c:pt>
                <c:pt idx="970">
                  <c:v>193.99999999999753</c:v>
                </c:pt>
                <c:pt idx="971">
                  <c:v>194.19999999999752</c:v>
                </c:pt>
                <c:pt idx="972">
                  <c:v>194.3999999999975</c:v>
                </c:pt>
                <c:pt idx="973">
                  <c:v>194.59999999999749</c:v>
                </c:pt>
                <c:pt idx="974">
                  <c:v>194.79999999999748</c:v>
                </c:pt>
                <c:pt idx="975">
                  <c:v>194.99999999999747</c:v>
                </c:pt>
                <c:pt idx="976">
                  <c:v>195.19999999999746</c:v>
                </c:pt>
                <c:pt idx="977">
                  <c:v>195.39999999999745</c:v>
                </c:pt>
                <c:pt idx="978">
                  <c:v>195.59999999999744</c:v>
                </c:pt>
                <c:pt idx="979">
                  <c:v>195.79999999999742</c:v>
                </c:pt>
                <c:pt idx="980">
                  <c:v>195.99999999999741</c:v>
                </c:pt>
                <c:pt idx="981">
                  <c:v>196.1999999999974</c:v>
                </c:pt>
                <c:pt idx="982">
                  <c:v>196.39999999999739</c:v>
                </c:pt>
                <c:pt idx="983">
                  <c:v>196.59999999999738</c:v>
                </c:pt>
                <c:pt idx="984">
                  <c:v>196.79999999999737</c:v>
                </c:pt>
                <c:pt idx="985">
                  <c:v>196.99999999999736</c:v>
                </c:pt>
                <c:pt idx="986">
                  <c:v>197.19999999999735</c:v>
                </c:pt>
                <c:pt idx="987">
                  <c:v>197.39999999999733</c:v>
                </c:pt>
                <c:pt idx="988">
                  <c:v>197.59999999999732</c:v>
                </c:pt>
                <c:pt idx="989">
                  <c:v>197.79999999999731</c:v>
                </c:pt>
                <c:pt idx="990">
                  <c:v>197.9999999999973</c:v>
                </c:pt>
                <c:pt idx="991">
                  <c:v>198.19999999999729</c:v>
                </c:pt>
                <c:pt idx="992">
                  <c:v>198.39999999999728</c:v>
                </c:pt>
                <c:pt idx="993">
                  <c:v>198.59999999999727</c:v>
                </c:pt>
                <c:pt idx="994">
                  <c:v>198.79999999999725</c:v>
                </c:pt>
                <c:pt idx="995">
                  <c:v>198.99999999999724</c:v>
                </c:pt>
                <c:pt idx="996">
                  <c:v>199.19999999999723</c:v>
                </c:pt>
                <c:pt idx="997">
                  <c:v>199.39999999999722</c:v>
                </c:pt>
                <c:pt idx="998">
                  <c:v>199.59999999999721</c:v>
                </c:pt>
                <c:pt idx="999">
                  <c:v>199.7999999999972</c:v>
                </c:pt>
                <c:pt idx="1000">
                  <c:v>199.99999999999719</c:v>
                </c:pt>
              </c:numCache>
            </c:numRef>
          </c:xVal>
          <c:yVal>
            <c:numRef>
              <c:f>Plan1!$C$10:$C$1010</c:f>
              <c:numCache>
                <c:formatCode>0.000</c:formatCode>
                <c:ptCount val="1001"/>
                <c:pt idx="0">
                  <c:v>5</c:v>
                </c:pt>
                <c:pt idx="1">
                  <c:v>3</c:v>
                </c:pt>
                <c:pt idx="2">
                  <c:v>1.0153333333333332</c:v>
                </c:pt>
                <c:pt idx="3">
                  <c:v>-0.9528097777777782</c:v>
                </c:pt>
                <c:pt idx="4">
                  <c:v>-2.9032604420740746</c:v>
                </c:pt>
                <c:pt idx="5">
                  <c:v>-4.8348716936517544</c:v>
                </c:pt>
                <c:pt idx="6">
                  <c:v>-6.746519066586659</c:v>
                </c:pt>
                <c:pt idx="7">
                  <c:v>-8.6371011495784042</c:v>
                </c:pt>
                <c:pt idx="8">
                  <c:v>-10.505540120417836</c:v>
                </c:pt>
                <c:pt idx="9">
                  <c:v>-12.350782260096379</c:v>
                </c:pt>
                <c:pt idx="10">
                  <c:v>-14.171798446390978</c:v>
                </c:pt>
                <c:pt idx="11">
                  <c:v>-15.96758462677343</c:v>
                </c:pt>
                <c:pt idx="12">
                  <c:v>-17.737162270508051</c:v>
                </c:pt>
                <c:pt idx="13">
                  <c:v>-19.479578799816633</c:v>
                </c:pt>
                <c:pt idx="14">
                  <c:v>-21.193908000004662</c:v>
                </c:pt>
                <c:pt idx="15">
                  <c:v>-22.879250408457725</c:v>
                </c:pt>
                <c:pt idx="16">
                  <c:v>-24.534733682431892</c:v>
                </c:pt>
                <c:pt idx="17">
                  <c:v>-26.159512945576662</c:v>
                </c:pt>
                <c:pt idx="18">
                  <c:v>-27.75277111314379</c:v>
                </c:pt>
                <c:pt idx="19">
                  <c:v>-29.313719195849909</c:v>
                </c:pt>
                <c:pt idx="20">
                  <c:v>-30.841596582375342</c:v>
                </c:pt>
                <c:pt idx="21">
                  <c:v>-32.335671300495967</c:v>
                </c:pt>
                <c:pt idx="22">
                  <c:v>-33.795240256859216</c:v>
                </c:pt>
                <c:pt idx="23">
                  <c:v>-35.219629455429413</c:v>
                </c:pt>
                <c:pt idx="24">
                  <c:v>-36.608194194641719</c:v>
                </c:pt>
                <c:pt idx="25">
                  <c:v>-37.960319243317755</c:v>
                </c:pt>
                <c:pt idx="26">
                  <c:v>-39.275418995409723</c:v>
                </c:pt>
                <c:pt idx="27">
                  <c:v>-40.552937603653284</c:v>
                </c:pt>
                <c:pt idx="28">
                  <c:v>-41.792349092222963</c:v>
                </c:pt>
                <c:pt idx="29">
                  <c:v>-42.993157448496895</c:v>
                </c:pt>
                <c:pt idx="30">
                  <c:v>-44.154896694050784</c:v>
                </c:pt>
                <c:pt idx="31">
                  <c:v>-45.277130935013837</c:v>
                </c:pt>
                <c:pt idx="32">
                  <c:v>-46.35945439193187</c:v>
                </c:pt>
                <c:pt idx="33">
                  <c:v>-47.401491409295325</c:v>
                </c:pt>
                <c:pt idx="34">
                  <c:v>-48.402896444902098</c:v>
                </c:pt>
                <c:pt idx="35">
                  <c:v>-49.363354039237016</c:v>
                </c:pt>
                <c:pt idx="36">
                  <c:v>-50.282578765061537</c:v>
                </c:pt>
                <c:pt idx="37">
                  <c:v>-51.160315157418871</c:v>
                </c:pt>
                <c:pt idx="38">
                  <c:v>-51.996337624270829</c:v>
                </c:pt>
                <c:pt idx="39">
                  <c:v>-52.790450337993889</c:v>
                </c:pt>
                <c:pt idx="40">
                  <c:v>-53.54248710797269</c:v>
                </c:pt>
                <c:pt idx="41">
                  <c:v>-54.25231123453969</c:v>
                </c:pt>
                <c:pt idx="42">
                  <c:v>-54.919815344520082</c:v>
                </c:pt>
                <c:pt idx="43">
                  <c:v>-55.544921208650962</c:v>
                </c:pt>
                <c:pt idx="44">
                  <c:v>-56.127579541153608</c:v>
                </c:pt>
                <c:pt idx="45">
                  <c:v>-56.667769781747133</c:v>
                </c:pt>
                <c:pt idx="46">
                  <c:v>-57.165499860401013</c:v>
                </c:pt>
                <c:pt idx="47">
                  <c:v>-57.620805945132958</c:v>
                </c:pt>
                <c:pt idx="48">
                  <c:v>-58.033752173167137</c:v>
                </c:pt>
                <c:pt idx="49">
                  <c:v>-58.404430365776243</c:v>
                </c:pt>
                <c:pt idx="50">
                  <c:v>-58.732959727138883</c:v>
                </c:pt>
                <c:pt idx="51">
                  <c:v>-59.019486527551628</c:v>
                </c:pt>
                <c:pt idx="52">
                  <c:v>-59.264183771342424</c:v>
                </c:pt>
                <c:pt idx="53">
                  <c:v>-59.467250849839473</c:v>
                </c:pt>
                <c:pt idx="54">
                  <c:v>-59.628913179756324</c:v>
                </c:pt>
                <c:pt idx="55">
                  <c:v>-59.74942182736072</c:v>
                </c:pt>
                <c:pt idx="56">
                  <c:v>-59.829053118800971</c:v>
                </c:pt>
                <c:pt idx="57">
                  <c:v>-59.86810823696954</c:v>
                </c:pt>
                <c:pt idx="58">
                  <c:v>-59.866912805289338</c:v>
                </c:pt>
                <c:pt idx="59">
                  <c:v>-59.825816458813506</c:v>
                </c:pt>
                <c:pt idx="60">
                  <c:v>-59.745192403034586</c:v>
                </c:pt>
                <c:pt idx="61">
                  <c:v>-59.625436960803725</c:v>
                </c:pt>
                <c:pt idx="62">
                  <c:v>-59.466969107764996</c:v>
                </c:pt>
                <c:pt idx="63">
                  <c:v>-59.270229996714093</c:v>
                </c:pt>
                <c:pt idx="64">
                  <c:v>-59.035682471294486</c:v>
                </c:pt>
                <c:pt idx="65">
                  <c:v>-58.763810569447656</c:v>
                </c:pt>
                <c:pt idx="66">
                  <c:v>-58.455119017037198</c:v>
                </c:pt>
                <c:pt idx="67">
                  <c:v>-58.110132712069607</c:v>
                </c:pt>
                <c:pt idx="68">
                  <c:v>-57.729396199937021</c:v>
                </c:pt>
                <c:pt idx="69">
                  <c:v>-57.313473140109629</c:v>
                </c:pt>
                <c:pt idx="70">
                  <c:v>-56.862945764707334</c:v>
                </c:pt>
                <c:pt idx="71">
                  <c:v>-56.378414329382053</c:v>
                </c:pt>
                <c:pt idx="72">
                  <c:v>-55.860496556943339</c:v>
                </c:pt>
                <c:pt idx="73">
                  <c:v>-55.309827074161127</c:v>
                </c:pt>
                <c:pt idx="74">
                  <c:v>-54.727056842180254</c:v>
                </c:pt>
                <c:pt idx="75">
                  <c:v>-54.112852580981766</c:v>
                </c:pt>
                <c:pt idx="76">
                  <c:v>-53.467896188326343</c:v>
                </c:pt>
                <c:pt idx="77">
                  <c:v>-52.792884153615049</c:v>
                </c:pt>
                <c:pt idx="78">
                  <c:v>-52.088526967102176</c:v>
                </c:pt>
                <c:pt idx="79">
                  <c:v>-51.355548524894346</c:v>
                </c:pt>
                <c:pt idx="80">
                  <c:v>-50.594685530169052</c:v>
                </c:pt>
                <c:pt idx="81">
                  <c:v>-49.806686891044599</c:v>
                </c:pt>
                <c:pt idx="82">
                  <c:v>-48.992313115531864</c:v>
                </c:pt>
                <c:pt idx="83">
                  <c:v>-48.152335703996549</c:v>
                </c:pt>
                <c:pt idx="84">
                  <c:v>-47.287536539558545</c:v>
                </c:pt>
                <c:pt idx="85">
                  <c:v>-46.398707276852626</c:v>
                </c:pt>
                <c:pt idx="86">
                  <c:v>-45.486648729572259</c:v>
                </c:pt>
                <c:pt idx="87">
                  <c:v>-44.552170257215273</c:v>
                </c:pt>
                <c:pt idx="88">
                  <c:v>-43.596089151447238</c:v>
                </c:pt>
                <c:pt idx="89">
                  <c:v>-42.619230022494897</c:v>
                </c:pt>
                <c:pt idx="90">
                  <c:v>-41.622424185978474</c:v>
                </c:pt>
                <c:pt idx="91">
                  <c:v>-40.606509050587874</c:v>
                </c:pt>
                <c:pt idx="92">
                  <c:v>-39.572327507003607</c:v>
                </c:pt>
                <c:pt idx="93">
                  <c:v>-38.520727318459066</c:v>
                </c:pt>
                <c:pt idx="94">
                  <c:v>-37.452560513336273</c:v>
                </c:pt>
                <c:pt idx="95">
                  <c:v>-36.368682780182318</c:v>
                </c:pt>
                <c:pt idx="96">
                  <c:v>-35.269952865528907</c:v>
                </c:pt>
                <c:pt idx="97">
                  <c:v>-34.157231974892142</c:v>
                </c:pt>
                <c:pt idx="98">
                  <c:v>-33.031383177324301</c:v>
                </c:pt>
                <c:pt idx="99">
                  <c:v>-31.893270813883831</c:v>
                </c:pt>
                <c:pt idx="100">
                  <c:v>-30.743759910383922</c:v>
                </c:pt>
                <c:pt idx="101">
                  <c:v>-29.583715594774091</c:v>
                </c:pt>
                <c:pt idx="102">
                  <c:v>-28.414002519503029</c:v>
                </c:pt>
                <c:pt idx="103">
                  <c:v>-27.235484289204646</c:v>
                </c:pt>
                <c:pt idx="104">
                  <c:v>-26.049022894042714</c:v>
                </c:pt>
                <c:pt idx="105">
                  <c:v>-24.855478149042824</c:v>
                </c:pt>
                <c:pt idx="106">
                  <c:v>-23.655707139733572</c:v>
                </c:pt>
                <c:pt idx="107">
                  <c:v>-22.450563674411843</c:v>
                </c:pt>
                <c:pt idx="108">
                  <c:v>-21.240897743339961</c:v>
                </c:pt>
                <c:pt idx="109">
                  <c:v>-20.02755498517514</c:v>
                </c:pt>
                <c:pt idx="110">
                  <c:v>-18.811376160924297</c:v>
                </c:pt>
                <c:pt idx="111">
                  <c:v>-17.593196635709681</c:v>
                </c:pt>
                <c:pt idx="112">
                  <c:v>-16.373845868623118</c:v>
                </c:pt>
                <c:pt idx="113">
                  <c:v>-15.15414691093889</c:v>
                </c:pt>
                <c:pt idx="114">
                  <c:v>-13.934915912947298</c:v>
                </c:pt>
                <c:pt idx="115">
                  <c:v>-12.716961639663003</c:v>
                </c:pt>
                <c:pt idx="116">
                  <c:v>-11.501084995654063</c:v>
                </c:pt>
                <c:pt idx="117">
                  <c:v>-10.288078559229431</c:v>
                </c:pt>
                <c:pt idx="118">
                  <c:v>-9.0787261262143275</c:v>
                </c:pt>
                <c:pt idx="119">
                  <c:v>-7.8738022635345439</c:v>
                </c:pt>
                <c:pt idx="120">
                  <c:v>-6.6740718728222959</c:v>
                </c:pt>
                <c:pt idx="121">
                  <c:v>-5.4802897642476722</c:v>
                </c:pt>
                <c:pt idx="122">
                  <c:v>-4.2932002407711973</c:v>
                </c:pt>
                <c:pt idx="123">
                  <c:v>-3.1135366930043373</c:v>
                </c:pt>
                <c:pt idx="124">
                  <c:v>-1.9420212048561205</c:v>
                </c:pt>
                <c:pt idx="125">
                  <c:v>-0.77936417013528425</c:v>
                </c:pt>
                <c:pt idx="126">
                  <c:v>0.37373607973139511</c:v>
                </c:pt>
                <c:pt idx="127">
                  <c:v>1.5165936367127424</c:v>
                </c:pt>
                <c:pt idx="128">
                  <c:v>2.6485353657757762</c:v>
                </c:pt>
                <c:pt idx="129">
                  <c:v>3.7689012429430795</c:v>
                </c:pt>
                <c:pt idx="130">
                  <c:v>4.8770446816796378</c:v>
                </c:pt>
                <c:pt idx="131">
                  <c:v>5.9723328474926927</c:v>
                </c:pt>
                <c:pt idx="132">
                  <c:v>7.0541469606370395</c:v>
                </c:pt>
                <c:pt idx="133">
                  <c:v>8.1218825868270432</c:v>
                </c:pt>
                <c:pt idx="134">
                  <c:v>9.1749499158655166</c:v>
                </c:pt>
                <c:pt idx="135">
                  <c:v>10.212774028108413</c:v>
                </c:pt>
                <c:pt idx="136">
                  <c:v>11.234795148693131</c:v>
                </c:pt>
                <c:pt idx="137">
                  <c:v>12.240468889466987</c:v>
                </c:pt>
                <c:pt idx="138">
                  <c:v>13.229266478561158</c:v>
                </c:pt>
                <c:pt idx="139">
                  <c:v>14.200674977564137</c:v>
                </c:pt>
                <c:pt idx="140">
                  <c:v>15.154197486257383</c:v>
                </c:pt>
                <c:pt idx="141">
                  <c:v>16.08935333488445</c:v>
                </c:pt>
                <c:pt idx="142">
                  <c:v>17.00567826393349</c:v>
                </c:pt>
                <c:pt idx="143">
                  <c:v>17.902724591421485</c:v>
                </c:pt>
                <c:pt idx="144">
                  <c:v>18.780061367676968</c:v>
                </c:pt>
                <c:pt idx="145">
                  <c:v>19.637274517626452</c:v>
                </c:pt>
                <c:pt idx="146">
                  <c:v>20.473966970597957</c:v>
                </c:pt>
                <c:pt idx="147">
                  <c:v>21.289758777663309</c:v>
                </c:pt>
                <c:pt idx="148">
                  <c:v>22.084287216548987</c:v>
                </c:pt>
                <c:pt idx="149">
                  <c:v>22.857206884153289</c:v>
                </c:pt>
                <c:pt idx="150">
                  <c:v>23.608189776715587</c:v>
                </c:pt>
                <c:pt idx="151">
                  <c:v>24.3369253576912</c:v>
                </c:pt>
                <c:pt idx="152">
                  <c:v>25.043120613393231</c:v>
                </c:pt>
                <c:pt idx="153">
                  <c:v>25.72650009647025</c:v>
                </c:pt>
                <c:pt idx="154">
                  <c:v>26.386805957296286</c:v>
                </c:pt>
                <c:pt idx="155">
                  <c:v>27.023797963356966</c:v>
                </c:pt>
                <c:pt idx="156">
                  <c:v>27.637253506722882</c:v>
                </c:pt>
                <c:pt idx="157">
                  <c:v>28.226967599708477</c:v>
                </c:pt>
                <c:pt idx="158">
                  <c:v>28.792752858821725</c:v>
                </c:pt>
                <c:pt idx="159">
                  <c:v>29.334439477116778</c:v>
                </c:pt>
                <c:pt idx="160">
                  <c:v>29.851875185068529</c:v>
                </c:pt>
                <c:pt idx="161">
                  <c:v>30.344925200094654</c:v>
                </c:pt>
                <c:pt idx="162">
                  <c:v>30.813472164857153</c:v>
                </c:pt>
                <c:pt idx="163">
                  <c:v>31.257416074481807</c:v>
                </c:pt>
                <c:pt idx="164">
                  <c:v>31.676674192840061</c:v>
                </c:pt>
                <c:pt idx="165">
                  <c:v>32.071180958043982</c:v>
                </c:pt>
                <c:pt idx="166">
                  <c:v>32.440887877310772</c:v>
                </c:pt>
                <c:pt idx="167">
                  <c:v>32.785763411359042</c:v>
                </c:pt>
                <c:pt idx="168">
                  <c:v>33.105792848504656</c:v>
                </c:pt>
                <c:pt idx="169">
                  <c:v>33.400978168629337</c:v>
                </c:pt>
                <c:pt idx="170">
                  <c:v>33.671337897200516</c:v>
                </c:pt>
                <c:pt idx="171">
                  <c:v>33.916906949525945</c:v>
                </c:pt>
                <c:pt idx="172">
                  <c:v>34.137736465431537</c:v>
                </c:pt>
                <c:pt idx="173">
                  <c:v>34.333893634555665</c:v>
                </c:pt>
                <c:pt idx="174">
                  <c:v>34.505461512457678</c:v>
                </c:pt>
                <c:pt idx="175">
                  <c:v>34.652538827742902</c:v>
                </c:pt>
                <c:pt idx="176">
                  <c:v>34.775239780410487</c:v>
                </c:pt>
                <c:pt idx="177">
                  <c:v>34.873693831634682</c:v>
                </c:pt>
                <c:pt idx="178">
                  <c:v>34.948045485193845</c:v>
                </c:pt>
                <c:pt idx="179">
                  <c:v>34.998454060765368</c:v>
                </c:pt>
                <c:pt idx="180">
                  <c:v>35.025093459308096</c:v>
                </c:pt>
                <c:pt idx="181">
                  <c:v>35.028151920757246</c:v>
                </c:pt>
                <c:pt idx="182">
                  <c:v>35.007831774259998</c:v>
                </c:pt>
                <c:pt idx="183">
                  <c:v>34.964349181182882</c:v>
                </c:pt>
                <c:pt idx="184">
                  <c:v>34.897933871124984</c:v>
                </c:pt>
                <c:pt idx="185">
                  <c:v>34.808828871173503</c:v>
                </c:pt>
                <c:pt idx="186">
                  <c:v>34.697290228640817</c:v>
                </c:pt>
                <c:pt idx="187">
                  <c:v>34.563586727524324</c:v>
                </c:pt>
                <c:pt idx="188">
                  <c:v>34.407999598932491</c:v>
                </c:pt>
                <c:pt idx="189">
                  <c:v>34.230822225722498</c:v>
                </c:pt>
                <c:pt idx="190">
                  <c:v>34.032359841596509</c:v>
                </c:pt>
                <c:pt idx="191">
                  <c:v>33.812929224905218</c:v>
                </c:pt>
                <c:pt idx="192">
                  <c:v>33.572858387408644</c:v>
                </c:pt>
                <c:pt idx="193">
                  <c:v>33.312486258245436</c:v>
                </c:pt>
                <c:pt idx="194">
                  <c:v>33.032162363362808</c:v>
                </c:pt>
                <c:pt idx="195">
                  <c:v>32.73224650066026</c:v>
                </c:pt>
                <c:pt idx="196">
                  <c:v>32.413108411100694</c:v>
                </c:pt>
                <c:pt idx="197">
                  <c:v>32.07512744604324</c:v>
                </c:pt>
                <c:pt idx="198">
                  <c:v>31.718692231052255</c:v>
                </c:pt>
                <c:pt idx="199">
                  <c:v>31.344200326437157</c:v>
                </c:pt>
                <c:pt idx="200">
                  <c:v>30.952057884777766</c:v>
                </c:pt>
                <c:pt idx="201">
                  <c:v>30.542679305689571</c:v>
                </c:pt>
                <c:pt idx="202">
                  <c:v>30.116486888083013</c:v>
                </c:pt>
                <c:pt idx="203">
                  <c:v>29.673910480170324</c:v>
                </c:pt>
                <c:pt idx="204">
                  <c:v>29.215387127472766</c:v>
                </c:pt>
                <c:pt idx="205">
                  <c:v>28.741360719080273</c:v>
                </c:pt>
                <c:pt idx="206">
                  <c:v>28.252281632414459</c:v>
                </c:pt>
                <c:pt idx="207">
                  <c:v>27.748606376744807</c:v>
                </c:pt>
                <c:pt idx="208">
                  <c:v>27.230797235706461</c:v>
                </c:pt>
                <c:pt idx="209">
                  <c:v>26.699321909066644</c:v>
                </c:pt>
                <c:pt idx="210">
                  <c:v>26.154653153984995</c:v>
                </c:pt>
                <c:pt idx="211">
                  <c:v>25.597268426011397</c:v>
                </c:pt>
                <c:pt idx="212">
                  <c:v>25.027649520062894</c:v>
                </c:pt>
                <c:pt idx="213">
                  <c:v>24.446282211619238</c:v>
                </c:pt>
                <c:pt idx="214">
                  <c:v>23.853655898374345</c:v>
                </c:pt>
                <c:pt idx="215">
                  <c:v>23.250263242578662</c:v>
                </c:pt>
                <c:pt idx="216">
                  <c:v>22.636599814304819</c:v>
                </c:pt>
                <c:pt idx="217">
                  <c:v>22.013163735866481</c:v>
                </c:pt>
                <c:pt idx="218">
                  <c:v>21.380455327617362</c:v>
                </c:pt>
                <c:pt idx="219">
                  <c:v>20.73897675535466</c:v>
                </c:pt>
                <c:pt idx="220">
                  <c:v>20.089231679547996</c:v>
                </c:pt>
                <c:pt idx="221">
                  <c:v>19.431724906611958</c:v>
                </c:pt>
                <c:pt idx="222">
                  <c:v>18.766962042436958</c:v>
                </c:pt>
                <c:pt idx="223">
                  <c:v>18.09544914838985</c:v>
                </c:pt>
                <c:pt idx="224">
                  <c:v>17.417692399992223</c:v>
                </c:pt>
                <c:pt idx="225">
                  <c:v>16.734197748480714</c:v>
                </c:pt>
                <c:pt idx="226">
                  <c:v>16.045470585449984</c:v>
                </c:pt>
                <c:pt idx="227">
                  <c:v>15.352015410775222</c:v>
                </c:pt>
                <c:pt idx="228">
                  <c:v>14.654335504007124</c:v>
                </c:pt>
                <c:pt idx="229">
                  <c:v>13.952932599428344</c:v>
                </c:pt>
                <c:pt idx="230">
                  <c:v>13.248306564956295</c:v>
                </c:pt>
                <c:pt idx="231">
                  <c:v>12.540955085073033</c:v>
                </c:pt>
                <c:pt idx="232">
                  <c:v>11.831373347958712</c:v>
                </c:pt>
                <c:pt idx="233">
                  <c:v>11.120053737000742</c:v>
                </c:pt>
                <c:pt idx="234">
                  <c:v>10.407485526846406</c:v>
                </c:pt>
                <c:pt idx="235">
                  <c:v>9.6941545841621775</c:v>
                </c:pt>
                <c:pt idx="236">
                  <c:v>8.9805430732584366</c:v>
                </c:pt>
                <c:pt idx="237">
                  <c:v>8.2671291667336906</c:v>
                </c:pt>
                <c:pt idx="238">
                  <c:v>7.5543867612876694</c:v>
                </c:pt>
                <c:pt idx="239">
                  <c:v>6.842785198847988</c:v>
                </c:pt>
                <c:pt idx="240">
                  <c:v>6.1327889931502186</c:v>
                </c:pt>
                <c:pt idx="241">
                  <c:v>5.4248575619063963</c:v>
                </c:pt>
                <c:pt idx="242">
                  <c:v>4.7194449646920837</c:v>
                </c:pt>
                <c:pt idx="243">
                  <c:v>4.0169996466771671</c:v>
                </c:pt>
                <c:pt idx="244">
                  <c:v>3.3179641883205946</c:v>
                </c:pt>
                <c:pt idx="245">
                  <c:v>2.6227750611442322</c:v>
                </c:pt>
                <c:pt idx="246">
                  <c:v>1.9318623896959686</c:v>
                </c:pt>
                <c:pt idx="247">
                  <c:v>1.2456497198071261</c:v>
                </c:pt>
                <c:pt idx="248">
                  <c:v>0.56455379324411548</c:v>
                </c:pt>
                <c:pt idx="249">
                  <c:v>-0.1110156711508451</c:v>
                </c:pt>
                <c:pt idx="250">
                  <c:v>-0.78065618974028217</c:v>
                </c:pt>
                <c:pt idx="251">
                  <c:v>-1.4439727197087839</c:v>
                </c:pt>
                <c:pt idx="252">
                  <c:v>-2.1005778579377528</c:v>
                </c:pt>
                <c:pt idx="253">
                  <c:v>-2.7500920330634453</c:v>
                </c:pt>
                <c:pt idx="254">
                  <c:v>-3.3921436906493394</c:v>
                </c:pt>
                <c:pt idx="255">
                  <c:v>-4.0263694714090565</c:v>
                </c:pt>
                <c:pt idx="256">
                  <c:v>-4.6524143824212505</c:v>
                </c:pt>
                <c:pt idx="257">
                  <c:v>-5.2699319612830573</c:v>
                </c:pt>
                <c:pt idx="258">
                  <c:v>-5.8785844331538737</c:v>
                </c:pt>
                <c:pt idx="259">
                  <c:v>-6.4780428606463731</c:v>
                </c:pt>
                <c:pt idx="260">
                  <c:v>-7.0679872865268401</c:v>
                </c:pt>
                <c:pt idx="261">
                  <c:v>-7.6481068691919916</c:v>
                </c:pt>
                <c:pt idx="262">
                  <c:v>-8.2181000108945845</c:v>
                </c:pt>
                <c:pt idx="263">
                  <c:v>-8.7776744786951575</c:v>
                </c:pt>
                <c:pt idx="264">
                  <c:v>-9.3265475181223287</c:v>
                </c:pt>
                <c:pt idx="265">
                  <c:v>-9.8644459595290499</c:v>
                </c:pt>
                <c:pt idx="266">
                  <c:v>-10.391106317137227</c:v>
                </c:pt>
                <c:pt idx="267">
                  <c:v>-10.906274880768041</c:v>
                </c:pt>
                <c:pt idx="268">
                  <c:v>-11.409707800260211</c:v>
                </c:pt>
                <c:pt idx="269">
                  <c:v>-11.901171162583275</c:v>
                </c:pt>
                <c:pt idx="270">
                  <c:v>-12.380441061657816</c:v>
                </c:pt>
                <c:pt idx="271">
                  <c:v>-12.847303660899273</c:v>
                </c:pt>
                <c:pt idx="272">
                  <c:v>-13.301555248506704</c:v>
                </c:pt>
                <c:pt idx="273">
                  <c:v>-13.743002285522532</c:v>
                </c:pt>
                <c:pt idx="274">
                  <c:v>-14.171461446693876</c:v>
                </c:pt>
                <c:pt idx="275">
                  <c:v>-14.586759654170605</c:v>
                </c:pt>
                <c:pt idx="276">
                  <c:v>-14.988734104079755</c:v>
                </c:pt>
                <c:pt idx="277">
                  <c:v>-15.377232286020307</c:v>
                </c:pt>
                <c:pt idx="278">
                  <c:v>-15.752111995526693</c:v>
                </c:pt>
                <c:pt idx="279">
                  <c:v>-16.113241339553674</c:v>
                </c:pt>
                <c:pt idx="280">
                  <c:v>-16.460498735039383</c:v>
                </c:pt>
                <c:pt idx="281">
                  <c:v>-16.793772900607525</c:v>
                </c:pt>
                <c:pt idx="282">
                  <c:v>-17.112962841473671</c:v>
                </c:pt>
                <c:pt idx="283">
                  <c:v>-17.417977827624661</c:v>
                </c:pt>
                <c:pt idx="284">
                  <c:v>-17.708737365343925</c:v>
                </c:pt>
                <c:pt idx="285">
                  <c:v>-17.985171162159393</c:v>
                </c:pt>
                <c:pt idx="286">
                  <c:v>-18.247219085294354</c:v>
                </c:pt>
                <c:pt idx="287">
                  <c:v>-18.494831113705285</c:v>
                </c:pt>
                <c:pt idx="288">
                  <c:v>-18.727967283794182</c:v>
                </c:pt>
                <c:pt idx="289">
                  <c:v>-18.946597628886447</c:v>
                </c:pt>
                <c:pt idx="290">
                  <c:v>-19.150702112568656</c:v>
                </c:pt>
                <c:pt idx="291">
                  <c:v>-19.340270555983903</c:v>
                </c:pt>
                <c:pt idx="292">
                  <c:v>-19.515302559185564</c:v>
                </c:pt>
                <c:pt idx="293">
                  <c:v>-19.675807416653353</c:v>
                </c:pt>
                <c:pt idx="294">
                  <c:v>-19.821804027078652</c:v>
                </c:pt>
                <c:pt idx="295">
                  <c:v>-19.953320797528882</c:v>
                </c:pt>
                <c:pt idx="296">
                  <c:v>-20.070395542103523</c:v>
                </c:pt>
                <c:pt idx="297">
                  <c:v>-20.173075375197115</c:v>
                </c:pt>
                <c:pt idx="298">
                  <c:v>-20.261416599487095</c:v>
                </c:pt>
                <c:pt idx="299">
                  <c:v>-20.335484588766906</c:v>
                </c:pt>
                <c:pt idx="300">
                  <c:v>-20.395353665747113</c:v>
                </c:pt>
                <c:pt idx="301">
                  <c:v>-20.441106974949658</c:v>
                </c:pt>
                <c:pt idx="302">
                  <c:v>-20.472836350822483</c:v>
                </c:pt>
                <c:pt idx="303">
                  <c:v>-20.490642181203864</c:v>
                </c:pt>
                <c:pt idx="304">
                  <c:v>-20.494633266267801</c:v>
                </c:pt>
                <c:pt idx="305">
                  <c:v>-20.484926673083674</c:v>
                </c:pt>
                <c:pt idx="306">
                  <c:v>-20.461647585925085</c:v>
                </c:pt>
                <c:pt idx="307">
                  <c:v>-20.424929152464589</c:v>
                </c:pt>
                <c:pt idx="308">
                  <c:v>-20.37491232599244</c:v>
                </c:pt>
                <c:pt idx="309">
                  <c:v>-20.311745703799055</c:v>
                </c:pt>
                <c:pt idx="310">
                  <c:v>-20.235585361862146</c:v>
                </c:pt>
                <c:pt idx="311">
                  <c:v>-20.146594685980784</c:v>
                </c:pt>
                <c:pt idx="312">
                  <c:v>-20.044944199499739</c:v>
                </c:pt>
                <c:pt idx="313">
                  <c:v>-19.930811387768529</c:v>
                </c:pt>
                <c:pt idx="314">
                  <c:v>-19.804380519480478</c:v>
                </c:pt>
                <c:pt idx="315">
                  <c:v>-19.665842465037937</c:v>
                </c:pt>
                <c:pt idx="316">
                  <c:v>-19.515394512090538</c:v>
                </c:pt>
                <c:pt idx="317">
                  <c:v>-19.353240178393957</c:v>
                </c:pt>
                <c:pt idx="318">
                  <c:v>-19.179589022137151</c:v>
                </c:pt>
                <c:pt idx="319">
                  <c:v>-18.994656449886477</c:v>
                </c:pt>
                <c:pt idx="320">
                  <c:v>-18.798663522295385</c:v>
                </c:pt>
                <c:pt idx="321">
                  <c:v>-18.591836757728554</c:v>
                </c:pt>
                <c:pt idx="322">
                  <c:v>-18.374407933949481</c:v>
                </c:pt>
                <c:pt idx="323">
                  <c:v>-18.146613888020529</c:v>
                </c:pt>
                <c:pt idx="324">
                  <c:v>-17.908696314564281</c:v>
                </c:pt>
                <c:pt idx="325">
                  <c:v>-17.660901562534942</c:v>
                </c:pt>
                <c:pt idx="326">
                  <c:v>-17.40348043064817</c:v>
                </c:pt>
                <c:pt idx="327">
                  <c:v>-17.136687961617316</c:v>
                </c:pt>
                <c:pt idx="328">
                  <c:v>-16.86078323534365</c:v>
                </c:pt>
                <c:pt idx="329">
                  <c:v>-16.576029161207462</c:v>
                </c:pt>
                <c:pt idx="330">
                  <c:v>-16.282692269606315</c:v>
                </c:pt>
                <c:pt idx="331">
                  <c:v>-15.981042502885975</c:v>
                </c:pt>
                <c:pt idx="332">
                  <c:v>-15.671353005808619</c:v>
                </c:pt>
                <c:pt idx="333">
                  <c:v>-15.353899915702062</c:v>
                </c:pt>
                <c:pt idx="334">
                  <c:v>-15.028962152432626</c:v>
                </c:pt>
                <c:pt idx="335">
                  <c:v>-14.696821208343238</c:v>
                </c:pt>
                <c:pt idx="336">
                  <c:v>-14.357760938297062</c:v>
                </c:pt>
                <c:pt idx="337">
                  <c:v>-14.012067349965756</c:v>
                </c:pt>
                <c:pt idx="338">
                  <c:v>-13.66002839450001</c:v>
                </c:pt>
                <c:pt idx="339">
                  <c:v>-13.301933757718635</c:v>
                </c:pt>
                <c:pt idx="340">
                  <c:v>-12.938074651950885</c:v>
                </c:pt>
                <c:pt idx="341">
                  <c:v>-12.568743608665155</c:v>
                </c:pt>
                <c:pt idx="342">
                  <c:v>-12.194234272015457</c:v>
                </c:pt>
                <c:pt idx="343">
                  <c:v>-11.814841193435381</c:v>
                </c:pt>
                <c:pt idx="344">
                  <c:v>-11.430859627407374</c:v>
                </c:pt>
                <c:pt idx="345">
                  <c:v>-11.042585328533338</c:v>
                </c:pt>
                <c:pt idx="346">
                  <c:v>-10.650314350030522</c:v>
                </c:pt>
                <c:pt idx="347">
                  <c:v>-10.25434284377471</c:v>
                </c:pt>
                <c:pt idx="348">
                  <c:v>-9.854966862010599</c:v>
                </c:pt>
                <c:pt idx="349">
                  <c:v>-9.4524821608471026</c:v>
                </c:pt>
                <c:pt idx="350">
                  <c:v>-9.0471840056531256</c:v>
                </c:pt>
                <c:pt idx="351">
                  <c:v>-8.639366978467061</c:v>
                </c:pt>
                <c:pt idx="352">
                  <c:v>-8.229324787530965</c:v>
                </c:pt>
                <c:pt idx="353">
                  <c:v>-7.8173500790579604</c:v>
                </c:pt>
                <c:pt idx="354">
                  <c:v>-7.4037342513390163</c:v>
                </c:pt>
                <c:pt idx="355">
                  <c:v>-6.988767271292744</c:v>
                </c:pt>
                <c:pt idx="356">
                  <c:v>-6.5727374935593446</c:v>
                </c:pt>
                <c:pt idx="357">
                  <c:v>-6.1559314822372615</c:v>
                </c:pt>
                <c:pt idx="358">
                  <c:v>-5.7386338353584776</c:v>
                </c:pt>
                <c:pt idx="359">
                  <c:v>-5.3211270121957384</c:v>
                </c:pt>
                <c:pt idx="360">
                  <c:v>-4.9036911634922786</c:v>
                </c:pt>
                <c:pt idx="361">
                  <c:v>-4.4866039647019207</c:v>
                </c:pt>
                <c:pt idx="362">
                  <c:v>-4.070140452324611</c:v>
                </c:pt>
                <c:pt idx="363">
                  <c:v>-3.6545728634196886</c:v>
                </c:pt>
                <c:pt idx="364">
                  <c:v>-3.2401704783763288</c:v>
                </c:pt>
                <c:pt idx="365">
                  <c:v>-2.8271994670177607</c:v>
                </c:pt>
                <c:pt idx="366">
                  <c:v>-2.4159227381129549</c:v>
                </c:pt>
                <c:pt idx="367">
                  <c:v>-2.0065997923665821</c:v>
                </c:pt>
                <c:pt idx="368">
                  <c:v>-1.5994865789551003</c:v>
                </c:pt>
                <c:pt idx="369">
                  <c:v>-1.1948353556738811</c:v>
                </c:pt>
                <c:pt idx="370">
                  <c:v>-0.79289455275731657</c:v>
                </c:pt>
                <c:pt idx="371">
                  <c:v>-0.39390864043085744</c:v>
                </c:pt>
                <c:pt idx="372">
                  <c:v>1.8819997490596152E-3</c:v>
                </c:pt>
                <c:pt idx="373">
                  <c:v>0.39424119971425137</c:v>
                </c:pt>
                <c:pt idx="374">
                  <c:v>0.78293712581326869</c:v>
                </c:pt>
                <c:pt idx="375">
                  <c:v>1.1677423958022191</c:v>
                </c:pt>
                <c:pt idx="376">
                  <c:v>1.5484341918540636</c:v>
                </c:pt>
                <c:pt idx="377">
                  <c:v>1.924794369545556</c:v>
                </c:pt>
                <c:pt idx="378">
                  <c:v>2.2966095627840253</c:v>
                </c:pt>
                <c:pt idx="379">
                  <c:v>2.6636712846392383</c:v>
                </c:pt>
                <c:pt idx="380">
                  <c:v>3.0257760240486133</c:v>
                </c:pt>
                <c:pt idx="381">
                  <c:v>3.3827253383670746</c:v>
                </c:pt>
                <c:pt idx="382">
                  <c:v>3.7343259417358645</c:v>
                </c:pt>
                <c:pt idx="383">
                  <c:v>4.0803897892476346</c:v>
                </c:pt>
                <c:pt idx="384">
                  <c:v>4.4207341568881375</c:v>
                </c:pt>
                <c:pt idx="385">
                  <c:v>4.7551817172378303</c:v>
                </c:pt>
                <c:pt idx="386">
                  <c:v>5.0835606109196672</c:v>
                </c:pt>
                <c:pt idx="387">
                  <c:v>5.4057045137823154</c:v>
                </c:pt>
                <c:pt idx="388">
                  <c:v>5.7214526998109658</c:v>
                </c:pt>
                <c:pt idx="389">
                  <c:v>6.0306500997608268</c:v>
                </c:pt>
                <c:pt idx="390">
                  <c:v>6.3331473555112821</c:v>
                </c:pt>
                <c:pt idx="391">
                  <c:v>6.6288008701415588</c:v>
                </c:pt>
                <c:pt idx="392">
                  <c:v>6.9174728537316126</c:v>
                </c:pt>
                <c:pt idx="393">
                  <c:v>7.1990313648947311</c:v>
                </c:pt>
                <c:pt idx="394">
                  <c:v>7.4733503480511727</c:v>
                </c:pt>
                <c:pt idx="395">
                  <c:v>7.7403096664548912</c:v>
                </c:pt>
                <c:pt idx="396">
                  <c:v>7.999795130988141</c:v>
                </c:pt>
                <c:pt idx="397">
                  <c:v>8.2516985247414443</c:v>
                </c:pt>
                <c:pt idx="398">
                  <c:v>8.4959176233990572</c:v>
                </c:pt>
                <c:pt idx="399">
                  <c:v>8.7323562114527054</c:v>
                </c:pt>
                <c:pt idx="400">
                  <c:v>8.9609240942689201</c:v>
                </c:pt>
                <c:pt idx="401">
                  <c:v>9.1815371060378812</c:v>
                </c:pt>
                <c:pt idx="402">
                  <c:v>9.3941171136341524</c:v>
                </c:pt>
                <c:pt idx="403">
                  <c:v>9.5985920164221668</c:v>
                </c:pt>
                <c:pt idx="404">
                  <c:v>9.7948957420417369</c:v>
                </c:pt>
                <c:pt idx="405">
                  <c:v>9.9829682382112424</c:v>
                </c:pt>
                <c:pt idx="406">
                  <c:v>10.162755460588473</c:v>
                </c:pt>
                <c:pt idx="407">
                  <c:v>10.334209356731375</c:v>
                </c:pt>
                <c:pt idx="408">
                  <c:v>10.497287846203216</c:v>
                </c:pt>
                <c:pt idx="409">
                  <c:v>10.651954796868834</c:v>
                </c:pt>
                <c:pt idx="410">
                  <c:v>10.79817999743077</c:v>
                </c:pt>
                <c:pt idx="411">
                  <c:v>10.935939126256216</c:v>
                </c:pt>
                <c:pt idx="412">
                  <c:v>11.065213716547669</c:v>
                </c:pt>
                <c:pt idx="413">
                  <c:v>11.185991117912232</c:v>
                </c:pt>
                <c:pt idx="414">
                  <c:v>11.298264454386361</c:v>
                </c:pt>
                <c:pt idx="415">
                  <c:v>11.40203257897479</c:v>
                </c:pt>
                <c:pt idx="416">
                  <c:v>11.497300024764137</c:v>
                </c:pt>
                <c:pt idx="417">
                  <c:v>11.584076952673465</c:v>
                </c:pt>
                <c:pt idx="418">
                  <c:v>11.662379095905797</c:v>
                </c:pt>
                <c:pt idx="419">
                  <c:v>11.732227701166178</c:v>
                </c:pt>
                <c:pt idx="420">
                  <c:v>11.793649466713525</c:v>
                </c:pt>
                <c:pt idx="421">
                  <c:v>11.846676477314986</c:v>
                </c:pt>
                <c:pt idx="422">
                  <c:v>11.891346136173025</c:v>
                </c:pt>
                <c:pt idx="423">
                  <c:v>11.927701093896845</c:v>
                </c:pt>
                <c:pt idx="424">
                  <c:v>11.955789174591127</c:v>
                </c:pt>
                <c:pt idx="425">
                  <c:v>11.975663299136331</c:v>
                </c:pt>
                <c:pt idx="426">
                  <c:v>11.987381405736054</c:v>
                </c:pt>
                <c:pt idx="427">
                  <c:v>11.991006367808087</c:v>
                </c:pt>
                <c:pt idx="428">
                  <c:v>11.986605909296957</c:v>
                </c:pt>
                <c:pt idx="429">
                  <c:v>11.974252517486725</c:v>
                </c:pt>
                <c:pt idx="430">
                  <c:v>11.954023353393859</c:v>
                </c:pt>
                <c:pt idx="431">
                  <c:v>11.926000159820868</c:v>
                </c:pt>
                <c:pt idx="432">
                  <c:v>11.890269167152296</c:v>
                </c:pt>
                <c:pt idx="433">
                  <c:v>11.846920996975417</c:v>
                </c:pt>
                <c:pt idx="434">
                  <c:v>11.796050563608754</c:v>
                </c:pt>
                <c:pt idx="435">
                  <c:v>11.737756973622195</c:v>
                </c:pt>
                <c:pt idx="436">
                  <c:v>11.672143423433106</c:v>
                </c:pt>
                <c:pt idx="437">
                  <c:v>11.599317095063366</c:v>
                </c:pt>
                <c:pt idx="438">
                  <c:v>11.519389050142788</c:v>
                </c:pt>
                <c:pt idx="439">
                  <c:v>11.432474122244761</c:v>
                </c:pt>
                <c:pt idx="440">
                  <c:v>11.338690807640353</c:v>
                </c:pt>
                <c:pt idx="441">
                  <c:v>11.238161154557423</c:v>
                </c:pt>
                <c:pt idx="442">
                  <c:v>11.131010651031506</c:v>
                </c:pt>
                <c:pt idx="443">
                  <c:v>11.017368111435459</c:v>
                </c:pt>
                <c:pt idx="444">
                  <c:v>10.897365561774956</c:v>
                </c:pt>
                <c:pt idx="445">
                  <c:v>10.771138123836993</c:v>
                </c:pt>
                <c:pt idx="446">
                  <c:v>10.6388238982786</c:v>
                </c:pt>
                <c:pt idx="447">
                  <c:v>10.500563846742862</c:v>
                </c:pt>
                <c:pt idx="448">
                  <c:v>10.356501673089271</c:v>
                </c:pt>
                <c:pt idx="449">
                  <c:v>10.206783703825286</c:v>
                </c:pt>
                <c:pt idx="450">
                  <c:v>10.051558767825705</c:v>
                </c:pt>
                <c:pt idx="451">
                  <c:v>9.8909780754262364</c:v>
                </c:pt>
                <c:pt idx="452">
                  <c:v>9.7251950969772789</c:v>
                </c:pt>
                <c:pt idx="453">
                  <c:v>9.5543654409435614</c:v>
                </c:pt>
                <c:pt idx="454">
                  <c:v>9.3786467316348396</c:v>
                </c:pt>
                <c:pt idx="455">
                  <c:v>9.1981984866523714</c:v>
                </c:pt>
                <c:pt idx="456">
                  <c:v>9.0131819941353157</c:v>
                </c:pt>
                <c:pt idx="457">
                  <c:v>8.8237601898906508</c:v>
                </c:pt>
                <c:pt idx="458">
                  <c:v>8.6300975344895132</c:v>
                </c:pt>
                <c:pt idx="459">
                  <c:v>8.4323598904121919</c:v>
                </c:pt>
                <c:pt idx="460">
                  <c:v>8.2307143993232668</c:v>
                </c:pt>
                <c:pt idx="461">
                  <c:v>8.0253293595575634</c:v>
                </c:pt>
                <c:pt idx="462">
                  <c:v>7.8163741038967904</c:v>
                </c:pt>
                <c:pt idx="463">
                  <c:v>7.6040188777158129</c:v>
                </c:pt>
                <c:pt idx="464">
                  <c:v>7.388434717576593</c:v>
                </c:pt>
                <c:pt idx="465">
                  <c:v>7.1697933303468622</c:v>
                </c:pt>
                <c:pt idx="466">
                  <c:v>6.9482669729195576</c:v>
                </c:pt>
                <c:pt idx="467">
                  <c:v>6.7240283326080101</c:v>
                </c:pt>
                <c:pt idx="468">
                  <c:v>6.4972504082907578</c:v>
                </c:pt>
                <c:pt idx="469">
                  <c:v>6.2681063923787281</c:v>
                </c:pt>
                <c:pt idx="470">
                  <c:v>6.0367695536763497</c:v>
                </c:pt>
                <c:pt idx="471">
                  <c:v>5.8034131212069413</c:v>
                </c:pt>
                <c:pt idx="472">
                  <c:v>5.5682101690714632</c:v>
                </c:pt>
                <c:pt idx="473">
                  <c:v>5.3313335024084445</c:v>
                </c:pt>
                <c:pt idx="474">
                  <c:v>5.0929555445215664</c:v>
                </c:pt>
                <c:pt idx="475">
                  <c:v>4.8532482252400273</c:v>
                </c:pt>
                <c:pt idx="476">
                  <c:v>4.6123828705754342</c:v>
                </c:pt>
                <c:pt idx="477">
                  <c:v>4.3705300937375506</c:v>
                </c:pt>
                <c:pt idx="478">
                  <c:v>4.1278596875697708</c:v>
                </c:pt>
                <c:pt idx="479">
                  <c:v>3.8845405184637318</c:v>
                </c:pt>
                <c:pt idx="480">
                  <c:v>3.6407404218109694</c:v>
                </c:pt>
                <c:pt idx="481">
                  <c:v>3.3966260990479902</c:v>
                </c:pt>
                <c:pt idx="482">
                  <c:v>3.1523630163495913</c:v>
                </c:pt>
                <c:pt idx="483">
                  <c:v>2.9081153050236788</c:v>
                </c:pt>
                <c:pt idx="484">
                  <c:v>2.664045663659242</c:v>
                </c:pt>
                <c:pt idx="485">
                  <c:v>2.4203152620775241</c:v>
                </c:pt>
                <c:pt idx="486">
                  <c:v>2.1770836471347961</c:v>
                </c:pt>
                <c:pt idx="487">
                  <c:v>1.9345086504234819</c:v>
                </c:pt>
                <c:pt idx="488">
                  <c:v>1.6927462979167167</c:v>
                </c:pt>
                <c:pt idx="489">
                  <c:v>1.4519507215997325</c:v>
                </c:pt>
                <c:pt idx="490">
                  <c:v>1.2122740731297621</c:v>
                </c:pt>
                <c:pt idx="491">
                  <c:v>0.97386643956444507</c:v>
                </c:pt>
                <c:pt idx="492">
                  <c:v>0.7368757611969845</c:v>
                </c:pt>
                <c:pt idx="493">
                  <c:v>0.50144775153457732</c:v>
                </c:pt>
                <c:pt idx="494">
                  <c:v>0.26772581945488794</c:v>
                </c:pt>
                <c:pt idx="495">
                  <c:v>3.5850993573585899E-2</c:v>
                </c:pt>
                <c:pt idx="496">
                  <c:v>-0.1940381511457939</c:v>
                </c:pt>
                <c:pt idx="497">
                  <c:v>-0.42180556451017526</c:v>
                </c:pt>
                <c:pt idx="498">
                  <c:v>-0.64731778991572519</c:v>
                </c:pt>
                <c:pt idx="499">
                  <c:v>-0.87044403084114985</c:v>
                </c:pt>
                <c:pt idx="500">
                  <c:v>-1.0910562149913268</c:v>
                </c:pt>
                <c:pt idx="501">
                  <c:v>-1.3090290560688747</c:v>
                </c:pt>
                <c:pt idx="502">
                  <c:v>-1.5242401131530379</c:v>
                </c:pt>
                <c:pt idx="503">
                  <c:v>-1.7365698476670364</c:v>
                </c:pt>
                <c:pt idx="504">
                  <c:v>-1.9459016779168021</c:v>
                </c:pt>
                <c:pt idx="505">
                  <c:v>-2.152122031185792</c:v>
                </c:pt>
                <c:pt idx="506">
                  <c:v>-2.3551203933723266</c:v>
                </c:pt>
                <c:pt idx="507">
                  <c:v>-2.5547893561576633</c:v>
                </c:pt>
                <c:pt idx="508">
                  <c:v>-2.7510246616947551</c:v>
                </c:pt>
                <c:pt idx="509">
                  <c:v>-2.9437252448093956</c:v>
                </c:pt>
                <c:pt idx="510">
                  <c:v>-3.1327932727071697</c:v>
                </c:pt>
                <c:pt idx="511">
                  <c:v>-3.3181341821813581</c:v>
                </c:pt>
                <c:pt idx="512">
                  <c:v>-3.4996567143186494</c:v>
                </c:pt>
                <c:pt idx="513">
                  <c:v>-3.6772729467012053</c:v>
                </c:pt>
                <c:pt idx="514">
                  <c:v>-3.8508983231053113</c:v>
                </c:pt>
                <c:pt idx="515">
                  <c:v>-4.0204516806985113</c:v>
                </c:pt>
                <c:pt idx="516">
                  <c:v>-4.1858552747387714</c:v>
                </c:pt>
                <c:pt idx="517">
                  <c:v>-4.3470348007808566</c:v>
                </c:pt>
                <c:pt idx="518">
                  <c:v>-4.5039194143967238</c:v>
                </c:pt>
                <c:pt idx="519">
                  <c:v>-4.656441748418322</c:v>
                </c:pt>
                <c:pt idx="520">
                  <c:v>-4.8045379277127873</c:v>
                </c:pt>
                <c:pt idx="521">
                  <c:v>-4.9481475815015585</c:v>
                </c:pt>
                <c:pt idx="522">
                  <c:v>-5.0872138532364932</c:v>
                </c:pt>
                <c:pt idx="523">
                  <c:v>-5.2216834080475669</c:v>
                </c:pt>
                <c:pt idx="524">
                  <c:v>-5.3515064377782471</c:v>
                </c:pt>
                <c:pt idx="525">
                  <c:v>-5.476636663626075</c:v>
                </c:pt>
                <c:pt idx="526">
                  <c:v>-5.5970313364074711</c:v>
                </c:pt>
                <c:pt idx="527">
                  <c:v>-5.7126512344671569</c:v>
                </c:pt>
                <c:pt idx="528">
                  <c:v>-5.8234606592540139</c:v>
                </c:pt>
                <c:pt idx="529">
                  <c:v>-5.9294274285865489</c:v>
                </c:pt>
                <c:pt idx="530">
                  <c:v>-6.0305228676324782</c:v>
                </c:pt>
                <c:pt idx="531">
                  <c:v>-6.126721797628254</c:v>
                </c:pt>
                <c:pt idx="532">
                  <c:v>-6.2180025223656479</c:v>
                </c:pt>
                <c:pt idx="533">
                  <c:v>-6.3043468124737405</c:v>
                </c:pt>
                <c:pt idx="534">
                  <c:v>-6.3857398875259133</c:v>
                </c:pt>
                <c:pt idx="535">
                  <c:v>-6.4621703960026169</c:v>
                </c:pt>
                <c:pt idx="536">
                  <c:v>-6.5336303931418538</c:v>
                </c:pt>
                <c:pt idx="537">
                  <c:v>-6.6001153167104567</c:v>
                </c:pt>
                <c:pt idx="538">
                  <c:v>-6.6616239607303243</c:v>
                </c:pt>
                <c:pt idx="539">
                  <c:v>-6.7181584471948659</c:v>
                </c:pt>
                <c:pt idx="540">
                  <c:v>-6.7697241958119188</c:v>
                </c:pt>
                <c:pt idx="541">
                  <c:v>-6.8163298918104154</c:v>
                </c:pt>
                <c:pt idx="542">
                  <c:v>-6.857987451849052</c:v>
                </c:pt>
                <c:pt idx="543">
                  <c:v>-6.8947119880661205</c:v>
                </c:pt>
                <c:pt idx="544">
                  <c:v>-6.9265217703105977</c:v>
                </c:pt>
                <c:pt idx="545">
                  <c:v>-6.9534381865954149</c:v>
                </c:pt>
                <c:pt idx="546">
                  <c:v>-6.9754857018147005</c:v>
                </c:pt>
                <c:pt idx="547">
                  <c:v>-6.9926918147675421</c:v>
                </c:pt>
                <c:pt idx="548">
                  <c:v>-7.0050870135316146</c:v>
                </c:pt>
                <c:pt idx="549">
                  <c:v>-7.0127047292307108</c:v>
                </c:pt>
                <c:pt idx="550">
                  <c:v>-7.0155812882409272</c:v>
                </c:pt>
                <c:pt idx="551">
                  <c:v>-7.0137558628808945</c:v>
                </c:pt>
                <c:pt idx="552">
                  <c:v>-7.0072704206320617</c:v>
                </c:pt>
                <c:pt idx="553">
                  <c:v>-6.9961696719356308</c:v>
                </c:pt>
                <c:pt idx="554">
                  <c:v>-6.9805010166132782</c:v>
                </c:pt>
                <c:pt idx="555">
                  <c:v>-6.9603144889593107</c:v>
                </c:pt>
                <c:pt idx="556">
                  <c:v>-6.9356627015523715</c:v>
                </c:pt>
                <c:pt idx="557">
                  <c:v>-6.9066007878352575</c:v>
                </c:pt>
                <c:pt idx="558">
                  <c:v>-6.8731863435118017</c:v>
                </c:pt>
                <c:pt idx="559">
                  <c:v>-6.8354793668101408</c:v>
                </c:pt>
                <c:pt idx="560">
                  <c:v>-6.7935421976620214</c:v>
                </c:pt>
                <c:pt idx="561">
                  <c:v>-6.7474394558480775</c:v>
                </c:pt>
                <c:pt idx="562">
                  <c:v>-6.697237978159289</c:v>
                </c:pt>
                <c:pt idx="563">
                  <c:v>-6.6430067546250307</c:v>
                </c:pt>
                <c:pt idx="564">
                  <c:v>-6.5848168638583191</c:v>
                </c:pt>
                <c:pt idx="565">
                  <c:v>-6.5227414075690131</c:v>
                </c:pt>
                <c:pt idx="566">
                  <c:v>-6.4568554442958357</c:v>
                </c:pt>
                <c:pt idx="567">
                  <c:v>-6.3872359224081618</c:v>
                </c:pt>
                <c:pt idx="568">
                  <c:v>-6.3139616124285753</c:v>
                </c:pt>
                <c:pt idx="569">
                  <c:v>-6.2371130387271929</c:v>
                </c:pt>
                <c:pt idx="570">
                  <c:v>-6.1567724106387383</c:v>
                </c:pt>
                <c:pt idx="571">
                  <c:v>-6.0730235530532903</c:v>
                </c:pt>
                <c:pt idx="572">
                  <c:v>-5.9859518365315481</c:v>
                </c:pt>
                <c:pt idx="573">
                  <c:v>-5.8956441069953058</c:v>
                </c:pt>
                <c:pt idx="574">
                  <c:v>-5.8021886150437147</c:v>
                </c:pt>
                <c:pt idx="575">
                  <c:v>-5.7056749449456747</c:v>
                </c:pt>
                <c:pt idx="576">
                  <c:v>-5.6061939433585204</c:v>
                </c:pt>
                <c:pt idx="577">
                  <c:v>-5.5038376478228823</c:v>
                </c:pt>
                <c:pt idx="578">
                  <c:v>-5.3986992150833384</c:v>
                </c:pt>
                <c:pt idx="579">
                  <c:v>-5.2908728492841481</c:v>
                </c:pt>
                <c:pt idx="580">
                  <c:v>-5.1804537300890283</c:v>
                </c:pt>
                <c:pt idx="581">
                  <c:v>-5.0675379407735397</c:v>
                </c:pt>
                <c:pt idx="582">
                  <c:v>-4.9522223963382697</c:v>
                </c:pt>
                <c:pt idx="583">
                  <c:v>-4.8346047716905467</c:v>
                </c:pt>
                <c:pt idx="584">
                  <c:v>-4.7147834299419769</c:v>
                </c:pt>
                <c:pt idx="585">
                  <c:v>-4.5928573508686004</c:v>
                </c:pt>
                <c:pt idx="586">
                  <c:v>-4.4689260595799469</c:v>
                </c:pt>
                <c:pt idx="587">
                  <c:v>-4.3430895554427416</c:v>
                </c:pt>
                <c:pt idx="588">
                  <c:v>-4.215448241304431</c:v>
                </c:pt>
                <c:pt idx="589">
                  <c:v>-4.0861028530611154</c:v>
                </c:pt>
                <c:pt idx="590">
                  <c:v>-3.9551543896138681</c:v>
                </c:pt>
                <c:pt idx="591">
                  <c:v>-3.8227040432567545</c:v>
                </c:pt>
                <c:pt idx="592">
                  <c:v>-3.6888531305392314</c:v>
                </c:pt>
                <c:pt idx="593">
                  <c:v>-3.5537030236449003</c:v>
                </c:pt>
                <c:pt idx="594">
                  <c:v>-3.4173550823278904</c:v>
                </c:pt>
                <c:pt idx="595">
                  <c:v>-3.2799105864474094</c:v>
                </c:pt>
                <c:pt idx="596">
                  <c:v>-3.141470669140261</c:v>
                </c:pt>
                <c:pt idx="597">
                  <c:v>-3.0021362506703477</c:v>
                </c:pt>
                <c:pt idx="598">
                  <c:v>-2.8620079729933932</c:v>
                </c:pt>
                <c:pt idx="599">
                  <c:v>-2.7211861350743103</c:v>
                </c:pt>
                <c:pt idx="600">
                  <c:v>-2.5797706289938098</c:v>
                </c:pt>
                <c:pt idx="601">
                  <c:v>-2.437860876880011</c:v>
                </c:pt>
                <c:pt idx="602">
                  <c:v>-2.2955557686999453</c:v>
                </c:pt>
                <c:pt idx="603">
                  <c:v>-2.1529536009449735</c:v>
                </c:pt>
                <c:pt idx="604">
                  <c:v>-2.0101520162432478</c:v>
                </c:pt>
                <c:pt idx="605">
                  <c:v>-1.8672479439314418</c:v>
                </c:pt>
                <c:pt idx="606">
                  <c:v>-1.7243375416170506</c:v>
                </c:pt>
                <c:pt idx="607">
                  <c:v>-1.5815161377616394</c:v>
                </c:pt>
                <c:pt idx="608">
                  <c:v>-1.4388781753144673</c:v>
                </c:pt>
                <c:pt idx="609">
                  <c:v>-1.2965171564249609</c:v>
                </c:pt>
                <c:pt idx="610">
                  <c:v>-1.1545255882615471</c:v>
                </c:pt>
                <c:pt idx="611">
                  <c:v>-1.0129949299633751</c:v>
                </c:pt>
                <c:pt idx="612">
                  <c:v>-0.87201554075047838</c:v>
                </c:pt>
                <c:pt idx="613">
                  <c:v>-0.73167662921692644</c:v>
                </c:pt>
                <c:pt idx="614">
                  <c:v>-0.59206620383052067</c:v>
                </c:pt>
                <c:pt idx="615">
                  <c:v>-0.45327102466157665</c:v>
                </c:pt>
                <c:pt idx="616">
                  <c:v>-0.31537655636232242</c:v>
                </c:pt>
                <c:pt idx="617">
                  <c:v>-0.17846692241742024</c:v>
                </c:pt>
                <c:pt idx="618">
                  <c:v>-4.2624860685095578E-2</c:v>
                </c:pt>
                <c:pt idx="619">
                  <c:v>9.2068319752672323E-2</c:v>
                </c:pt>
                <c:pt idx="620">
                  <c:v>0.2255327804134778</c:v>
                </c:pt>
                <c:pt idx="621">
                  <c:v>0.35769019389494727</c:v>
                </c:pt>
                <c:pt idx="622">
                  <c:v>0.48846378299698079</c:v>
                </c:pt>
                <c:pt idx="623">
                  <c:v>0.61777835847146534</c:v>
                </c:pt>
                <c:pt idx="624">
                  <c:v>0.74556035538619003</c:v>
                </c:pt>
                <c:pt idx="625">
                  <c:v>0.87173786809072973</c:v>
                </c:pt>
                <c:pt idx="626">
                  <c:v>0.99624068377310282</c:v>
                </c:pt>
                <c:pt idx="627">
                  <c:v>1.1190003145970466</c:v>
                </c:pt>
                <c:pt idx="628">
                  <c:v>1.2399500284107849</c:v>
                </c:pt>
                <c:pt idx="629">
                  <c:v>1.3590248780191969</c:v>
                </c:pt>
                <c:pt idx="630">
                  <c:v>1.4761617290123232</c:v>
                </c:pt>
                <c:pt idx="631">
                  <c:v>1.5912992861441677</c:v>
                </c:pt>
                <c:pt idx="632">
                  <c:v>1.7043781182567734</c:v>
                </c:pt>
                <c:pt idx="633">
                  <c:v>1.8153406817455653</c:v>
                </c:pt>
                <c:pt idx="634">
                  <c:v>1.9241313425629571</c:v>
                </c:pt>
                <c:pt idx="635">
                  <c:v>2.030696396758223</c:v>
                </c:pt>
                <c:pt idx="636">
                  <c:v>2.1349840895526246</c:v>
                </c:pt>
                <c:pt idx="637">
                  <c:v>2.2369446329497729</c:v>
                </c:pt>
                <c:pt idx="638">
                  <c:v>2.3365302218821795</c:v>
                </c:pt>
                <c:pt idx="639">
                  <c:v>2.4336950488959168</c:v>
                </c:pt>
                <c:pt idx="640">
                  <c:v>2.5283953173762712</c:v>
                </c:pt>
                <c:pt idx="641">
                  <c:v>2.6205892533182116</c:v>
                </c:pt>
                <c:pt idx="642">
                  <c:v>2.7102371156464433</c:v>
                </c:pt>
                <c:pt idx="643">
                  <c:v>2.7973012050907324</c:v>
                </c:pt>
                <c:pt idx="644">
                  <c:v>2.8817458716231106</c:v>
                </c:pt>
                <c:pt idx="645">
                  <c:v>2.9635375204644596</c:v>
                </c:pt>
                <c:pt idx="646">
                  <c:v>3.0426446166688739</c:v>
                </c:pt>
                <c:pt idx="647">
                  <c:v>3.1190376882950708</c:v>
                </c:pt>
                <c:pt idx="648">
                  <c:v>3.1926893281749771</c:v>
                </c:pt>
                <c:pt idx="649">
                  <c:v>3.2635741942904741</c:v>
                </c:pt>
                <c:pt idx="650">
                  <c:v>3.3316690087701102</c:v>
                </c:pt>
                <c:pt idx="651">
                  <c:v>3.3969525555184092</c:v>
                </c:pt>
                <c:pt idx="652">
                  <c:v>3.4594056764912109</c:v>
                </c:pt>
                <c:pt idx="653">
                  <c:v>3.5190112666312539</c:v>
                </c:pt>
                <c:pt idx="654">
                  <c:v>3.5757542674789957</c:v>
                </c:pt>
                <c:pt idx="655">
                  <c:v>3.6296216594744046</c:v>
                </c:pt>
                <c:pt idx="656">
                  <c:v>3.6806024529662036</c:v>
                </c:pt>
                <c:pt idx="657">
                  <c:v>3.7286876779457629</c:v>
                </c:pt>
                <c:pt idx="658">
                  <c:v>3.7738703725235356</c:v>
                </c:pt>
                <c:pt idx="659">
                  <c:v>3.8161455701666185</c:v>
                </c:pt>
                <c:pt idx="660">
                  <c:v>3.8555102857166834</c:v>
                </c:pt>
                <c:pt idx="661">
                  <c:v>3.8919635002081701</c:v>
                </c:pt>
                <c:pt idx="662">
                  <c:v>3.9255061445072585</c:v>
                </c:pt>
                <c:pt idx="663">
                  <c:v>3.95614108179275</c:v>
                </c:pt>
                <c:pt idx="664">
                  <c:v>3.9838730889005718</c:v>
                </c:pt>
                <c:pt idx="665">
                  <c:v>4.0087088365541925</c:v>
                </c:pt>
                <c:pt idx="666">
                  <c:v>4.0306568685037787</c:v>
                </c:pt>
                <c:pt idx="667">
                  <c:v>4.0497275795974659</c:v>
                </c:pt>
                <c:pt idx="668">
                  <c:v>4.0659331928086093</c:v>
                </c:pt>
                <c:pt idx="669">
                  <c:v>4.0792877352433843</c:v>
                </c:pt>
                <c:pt idx="670">
                  <c:v>4.0898070131535622</c:v>
                </c:pt>
                <c:pt idx="671">
                  <c:v>4.0975085859797495</c:v>
                </c:pt>
                <c:pt idx="672">
                  <c:v>4.1024117394507895</c:v>
                </c:pt>
                <c:pt idx="673">
                  <c:v>4.1045374577654474</c:v>
                </c:pt>
                <c:pt idx="674">
                  <c:v>4.1039083948828674</c:v>
                </c:pt>
                <c:pt idx="675">
                  <c:v>4.1005488449486815</c:v>
                </c:pt>
                <c:pt idx="676">
                  <c:v>4.0944847118839593</c:v>
                </c:pt>
                <c:pt idx="677">
                  <c:v>4.0857434781645416</c:v>
                </c:pt>
                <c:pt idx="678">
                  <c:v>4.074354172818583</c:v>
                </c:pt>
                <c:pt idx="679">
                  <c:v>4.0603473386704101</c:v>
                </c:pt>
                <c:pt idx="680">
                  <c:v>4.0437549988590744</c:v>
                </c:pt>
                <c:pt idx="681">
                  <c:v>4.0246106226601981</c:v>
                </c:pt>
                <c:pt idx="682">
                  <c:v>4.0029490906399383</c:v>
                </c:pt>
                <c:pt idx="683">
                  <c:v>3.9788066591700941</c:v>
                </c:pt>
                <c:pt idx="684">
                  <c:v>3.9522209243335418</c:v>
                </c:pt>
                <c:pt idx="685">
                  <c:v>3.9232307852493506</c:v>
                </c:pt>
                <c:pt idx="686">
                  <c:v>3.8918764068470559</c:v>
                </c:pt>
                <c:pt idx="687">
                  <c:v>3.8581991821196833</c:v>
                </c:pt>
                <c:pt idx="688">
                  <c:v>3.8222416938852013</c:v>
                </c:pt>
                <c:pt idx="689">
                  <c:v>3.7840476760861614</c:v>
                </c:pt>
                <c:pt idx="690">
                  <c:v>3.7436619746573223</c:v>
                </c:pt>
                <c:pt idx="691">
                  <c:v>3.701130507991095</c:v>
                </c:pt>
                <c:pt idx="692">
                  <c:v>3.6565002270306475</c:v>
                </c:pt>
                <c:pt idx="693">
                  <c:v>3.6098190750205035</c:v>
                </c:pt>
                <c:pt idx="694">
                  <c:v>3.5611359469444337</c:v>
                </c:pt>
                <c:pt idx="695">
                  <c:v>3.5105006486803938</c:v>
                </c:pt>
                <c:pt idx="696">
                  <c:v>3.4579638559021886</c:v>
                </c:pt>
                <c:pt idx="697">
                  <c:v>3.4035770727574595</c:v>
                </c:pt>
                <c:pt idx="698">
                  <c:v>3.3473925903514798</c:v>
                </c:pt>
                <c:pt idx="699">
                  <c:v>3.2894634450661178</c:v>
                </c:pt>
                <c:pt idx="700">
                  <c:v>3.2298433767431849</c:v>
                </c:pt>
                <c:pt idx="701">
                  <c:v>3.1685867867612219</c:v>
                </c:pt>
                <c:pt idx="702">
                  <c:v>3.105748696034595</c:v>
                </c:pt>
                <c:pt idx="703">
                  <c:v>3.0413847029635761</c:v>
                </c:pt>
                <c:pt idx="704">
                  <c:v>2.9755509413638634</c:v>
                </c:pt>
                <c:pt idx="705">
                  <c:v>2.9083040384037724</c:v>
                </c:pt>
                <c:pt idx="706">
                  <c:v>2.8397010725770664</c:v>
                </c:pt>
                <c:pt idx="707">
                  <c:v>2.7697995317391402</c:v>
                </c:pt>
                <c:pt idx="708">
                  <c:v>2.6986572712339836</c:v>
                </c:pt>
                <c:pt idx="709">
                  <c:v>2.6263324721390489</c:v>
                </c:pt>
                <c:pt idx="710">
                  <c:v>2.552883599654844</c:v>
                </c:pt>
                <c:pt idx="711">
                  <c:v>2.4783693616657327</c:v>
                </c:pt>
                <c:pt idx="712">
                  <c:v>2.4028486674980831</c:v>
                </c:pt>
                <c:pt idx="713">
                  <c:v>2.3263805869015544</c:v>
                </c:pt>
                <c:pt idx="714">
                  <c:v>2.2490243092789277</c:v>
                </c:pt>
                <c:pt idx="715">
                  <c:v>2.1708391031895111</c:v>
                </c:pt>
                <c:pt idx="716">
                  <c:v>2.0918842761507435</c:v>
                </c:pt>
                <c:pt idx="717">
                  <c:v>2.0122191347622111</c:v>
                </c:pt>
                <c:pt idx="718">
                  <c:v>1.9319029451758714</c:v>
                </c:pt>
                <c:pt idx="719">
                  <c:v>1.8509948939358292</c:v>
                </c:pt>
                <c:pt idx="720">
                  <c:v>1.7695540492105768</c:v>
                </c:pt>
                <c:pt idx="721">
                  <c:v>1.6876393224401363</c:v>
                </c:pt>
                <c:pt idx="722">
                  <c:v>1.6053094304200795</c:v>
                </c:pt>
                <c:pt idx="723">
                  <c:v>1.5226228578439165</c:v>
                </c:pt>
                <c:pt idx="724">
                  <c:v>1.439637820324851</c:v>
                </c:pt>
                <c:pt idx="725">
                  <c:v>1.3564122279174007</c:v>
                </c:pt>
                <c:pt idx="726">
                  <c:v>1.2730036491588701</c:v>
                </c:pt>
                <c:pt idx="727">
                  <c:v>1.1894692756501408</c:v>
                </c:pt>
                <c:pt idx="728">
                  <c:v>1.1058658871947205</c:v>
                </c:pt>
                <c:pt idx="729">
                  <c:v>1.0222498175144505</c:v>
                </c:pt>
                <c:pt idx="730">
                  <c:v>0.9386769205597334</c:v>
                </c:pt>
                <c:pt idx="731">
                  <c:v>0.85520253743158392</c:v>
                </c:pt>
                <c:pt idx="732">
                  <c:v>0.77188146393225743</c:v>
                </c:pt>
                <c:pt idx="733">
                  <c:v>0.68876791876063692</c:v>
                </c:pt>
                <c:pt idx="734">
                  <c:v>0.60591551236799668</c:v>
                </c:pt>
                <c:pt idx="735">
                  <c:v>0.52337721648918067</c:v>
                </c:pt>
                <c:pt idx="736">
                  <c:v>0.44120533436365494</c:v>
                </c:pt>
                <c:pt idx="737">
                  <c:v>0.359451471660308</c:v>
                </c:pt>
                <c:pt idx="738">
                  <c:v>0.27816650811928317</c:v>
                </c:pt>
                <c:pt idx="739">
                  <c:v>0.19740056992353439</c:v>
                </c:pt>
                <c:pt idx="740">
                  <c:v>0.11720300281219972</c:v>
                </c:pt>
                <c:pt idx="741">
                  <c:v>3.7622345947288499E-2</c:v>
                </c:pt>
                <c:pt idx="742">
                  <c:v>-4.1293693455425023E-2</c:v>
                </c:pt>
                <c:pt idx="743">
                  <c:v>-0.11949826472101141</c:v>
                </c:pt>
                <c:pt idx="744">
                  <c:v>-0.19694539752581539</c:v>
                </c:pt>
                <c:pt idx="745">
                  <c:v>-0.27359002491462714</c:v>
                </c:pt>
                <c:pt idx="746">
                  <c:v>-0.34938800551612614</c:v>
                </c:pt>
                <c:pt idx="747">
                  <c:v>-0.42429614494873474</c:v>
                </c:pt>
                <c:pt idx="748">
                  <c:v>-0.49827221640962827</c:v>
                </c:pt>
                <c:pt idx="749">
                  <c:v>-0.57127498044025427</c:v>
                </c:pt>
                <c:pt idx="750">
                  <c:v>-0.6432642038623213</c:v>
                </c:pt>
                <c:pt idx="751">
                  <c:v>-0.71420067787882224</c:v>
                </c:pt>
                <c:pt idx="752">
                  <c:v>-0.78404623533526097</c:v>
                </c:pt>
                <c:pt idx="753">
                  <c:v>-0.85276376713685365</c:v>
                </c:pt>
                <c:pt idx="754">
                  <c:v>-0.92031723781807462</c:v>
                </c:pt>
                <c:pt idx="755">
                  <c:v>-0.98667170026151296</c:v>
                </c:pt>
                <c:pt idx="756">
                  <c:v>-1.0517933095636005</c:v>
                </c:pt>
                <c:pt idx="757">
                  <c:v>-1.115649336045361</c:v>
                </c:pt>
                <c:pt idx="758">
                  <c:v>-1.178208177406916</c:v>
                </c:pt>
                <c:pt idx="759">
                  <c:v>-1.2394393700250661</c:v>
                </c:pt>
                <c:pt idx="760">
                  <c:v>-1.2993135993938423</c:v>
                </c:pt>
                <c:pt idx="761">
                  <c:v>-1.3578027097084933</c:v>
                </c:pt>
                <c:pt idx="762">
                  <c:v>-1.4148797125939447</c:v>
                </c:pt>
                <c:pt idx="763">
                  <c:v>-1.4705187949793264</c:v>
                </c:pt>
                <c:pt idx="764">
                  <c:v>-1.5246953261207152</c:v>
                </c:pt>
                <c:pt idx="765">
                  <c:v>-1.5773858637747982</c:v>
                </c:pt>
                <c:pt idx="766">
                  <c:v>-1.6285681595266959</c:v>
                </c:pt>
                <c:pt idx="767">
                  <c:v>-1.678221163275726</c:v>
                </c:pt>
                <c:pt idx="768">
                  <c:v>-1.726325026883414</c:v>
                </c:pt>
                <c:pt idx="769">
                  <c:v>-1.7728611069885798</c:v>
                </c:pt>
                <c:pt idx="770">
                  <c:v>-1.8178119669948418</c:v>
                </c:pt>
                <c:pt idx="771">
                  <c:v>-1.8611613782363863</c:v>
                </c:pt>
                <c:pt idx="772">
                  <c:v>-1.9028943203283464</c:v>
                </c:pt>
                <c:pt idx="773">
                  <c:v>-1.942996980708624</c:v>
                </c:pt>
                <c:pt idx="774">
                  <c:v>-1.9814567533784668</c:v>
                </c:pt>
                <c:pt idx="775">
                  <c:v>-2.0182622368495853</c:v>
                </c:pt>
                <c:pt idx="776">
                  <c:v>-2.0534032313060546</c:v>
                </c:pt>
                <c:pt idx="777">
                  <c:v>-2.0868707349896969</c:v>
                </c:pt>
                <c:pt idx="778">
                  <c:v>-2.1186569398180879</c:v>
                </c:pt>
                <c:pt idx="779">
                  <c:v>-2.148755226244754</c:v>
                </c:pt>
                <c:pt idx="780">
                  <c:v>-2.1771601573715591</c:v>
                </c:pt>
                <c:pt idx="781">
                  <c:v>-2.2038674723236844</c:v>
                </c:pt>
                <c:pt idx="782">
                  <c:v>-2.2288740788980088</c:v>
                </c:pt>
                <c:pt idx="783">
                  <c:v>-2.2521780454960902</c:v>
                </c:pt>
                <c:pt idx="784">
                  <c:v>-2.2737785923533242</c:v>
                </c:pt>
                <c:pt idx="785">
                  <c:v>-2.2936760820762268</c:v>
                </c:pt>
                <c:pt idx="786">
                  <c:v>-2.3118720095001466</c:v>
                </c:pt>
                <c:pt idx="787">
                  <c:v>-2.3283689908800591</c:v>
                </c:pt>
                <c:pt idx="788">
                  <c:v>-2.3431707524274255</c:v>
                </c:pt>
                <c:pt idx="789">
                  <c:v>-2.3562821182064297</c:v>
                </c:pt>
                <c:pt idx="790">
                  <c:v>-2.3677089974032119</c:v>
                </c:pt>
                <c:pt idx="791">
                  <c:v>-2.3774583709820196</c:v>
                </c:pt>
                <c:pt idx="792">
                  <c:v>-2.3855382777424898</c:v>
                </c:pt>
                <c:pt idx="793">
                  <c:v>-2.3919577997925408</c:v>
                </c:pt>
                <c:pt idx="794">
                  <c:v>-2.3967270474516296</c:v>
                </c:pt>
                <c:pt idx="795">
                  <c:v>-2.3998571435993719</c:v>
                </c:pt>
                <c:pt idx="796">
                  <c:v>-2.4013602074847675</c:v>
                </c:pt>
                <c:pt idx="797">
                  <c:v>-2.4012493380115001</c:v>
                </c:pt>
                <c:pt idx="798">
                  <c:v>-2.3995385965149931</c:v>
                </c:pt>
                <c:pt idx="799">
                  <c:v>-2.3962429890471126</c:v>
                </c:pt>
                <c:pt idx="800">
                  <c:v>-2.391378448184589</c:v>
                </c:pt>
                <c:pt idx="801">
                  <c:v>-2.3849618143774176</c:v>
                </c:pt>
                <c:pt idx="802">
                  <c:v>-2.3770108168536566</c:v>
                </c:pt>
                <c:pt idx="803">
                  <c:v>-2.3675440540971993</c:v>
                </c:pt>
                <c:pt idx="804">
                  <c:v>-2.356580973915233</c:v>
                </c:pt>
                <c:pt idx="805">
                  <c:v>-2.3441418531122338</c:v>
                </c:pt>
                <c:pt idx="806">
                  <c:v>-2.3302477767874521</c:v>
                </c:pt>
                <c:pt idx="807">
                  <c:v>-2.3149206172729602</c:v>
                </c:pt>
                <c:pt idx="808">
                  <c:v>-2.2981830127294121</c:v>
                </c:pt>
                <c:pt idx="809">
                  <c:v>-2.2800583454167551</c:v>
                </c:pt>
                <c:pt idx="810">
                  <c:v>-2.2605707196571965</c:v>
                </c:pt>
                <c:pt idx="811">
                  <c:v>-2.2397449395077826</c:v>
                </c:pt>
                <c:pt idx="812">
                  <c:v>-2.2176064861599918</c:v>
                </c:pt>
                <c:pt idx="813">
                  <c:v>-2.1941814950837752</c:v>
                </c:pt>
                <c:pt idx="814">
                  <c:v>-2.1694967329334967</c:v>
                </c:pt>
                <c:pt idx="815">
                  <c:v>-2.1435795742332315</c:v>
                </c:pt>
                <c:pt idx="816">
                  <c:v>-2.1164579778588801</c:v>
                </c:pt>
                <c:pt idx="817">
                  <c:v>-2.0881604633345336</c:v>
                </c:pt>
                <c:pt idx="818">
                  <c:v>-2.0587160869605086</c:v>
                </c:pt>
                <c:pt idx="819">
                  <c:v>-2.0281544177904181</c:v>
                </c:pt>
                <c:pt idx="820">
                  <c:v>-1.9965055134746079</c:v>
                </c:pt>
                <c:pt idx="821">
                  <c:v>-1.9637998959872185</c:v>
                </c:pt>
                <c:pt idx="822">
                  <c:v>-1.9300685272540616</c:v>
                </c:pt>
                <c:pt idx="823">
                  <c:v>-1.8953427846984228</c:v>
                </c:pt>
                <c:pt idx="824">
                  <c:v>-1.8596544367218004</c:v>
                </c:pt>
                <c:pt idx="825">
                  <c:v>-1.8230356181364944</c:v>
                </c:pt>
                <c:pt idx="826">
                  <c:v>-1.7855188055668365</c:v>
                </c:pt>
                <c:pt idx="827">
                  <c:v>-1.7471367928357378</c:v>
                </c:pt>
                <c:pt idx="828">
                  <c:v>-1.7079226663530849</c:v>
                </c:pt>
                <c:pt idx="829">
                  <c:v>-1.6679097805223795</c:v>
                </c:pt>
                <c:pt idx="830">
                  <c:v>-1.6271317331818587</c:v>
                </c:pt>
                <c:pt idx="831">
                  <c:v>-1.5856223410961678</c:v>
                </c:pt>
                <c:pt idx="832">
                  <c:v>-1.5434156155144889</c:v>
                </c:pt>
                <c:pt idx="833">
                  <c:v>-1.5005457378108416</c:v>
                </c:pt>
                <c:pt idx="834">
                  <c:v>-1.4570470352220852</c:v>
                </c:pt>
                <c:pt idx="835">
                  <c:v>-1.41295395669895</c:v>
                </c:pt>
                <c:pt idx="836">
                  <c:v>-1.3683010488852159</c:v>
                </c:pt>
                <c:pt idx="837">
                  <c:v>-1.323122932239944</c:v>
                </c:pt>
                <c:pt idx="838">
                  <c:v>-1.277454277317438</c:v>
                </c:pt>
                <c:pt idx="839">
                  <c:v>-1.231329781219382</c:v>
                </c:pt>
                <c:pt idx="840">
                  <c:v>-1.1847841442333629</c:v>
                </c:pt>
                <c:pt idx="841">
                  <c:v>-1.1378520466717337</c:v>
                </c:pt>
                <c:pt idx="842">
                  <c:v>-1.0905681259245241</c:v>
                </c:pt>
                <c:pt idx="843">
                  <c:v>-1.0429669537398407</c:v>
                </c:pt>
                <c:pt idx="844">
                  <c:v>-0.99508301374493136</c:v>
                </c:pt>
                <c:pt idx="845">
                  <c:v>-0.94695067922081455</c:v>
                </c:pt>
                <c:pt idx="846">
                  <c:v>-0.89860419114309287</c:v>
                </c:pt>
                <c:pt idx="847">
                  <c:v>-0.85007763650128276</c:v>
                </c:pt>
                <c:pt idx="848">
                  <c:v>-0.8014049269087008</c:v>
                </c:pt>
                <c:pt idx="849">
                  <c:v>-0.75261977751464881</c:v>
                </c:pt>
                <c:pt idx="850">
                  <c:v>-0.70375568623033546</c:v>
                </c:pt>
                <c:pt idx="851">
                  <c:v>-0.6548459132796659</c:v>
                </c:pt>
                <c:pt idx="852">
                  <c:v>-0.60592346108571571</c:v>
                </c:pt>
                <c:pt idx="853">
                  <c:v>-0.55702105450338935</c:v>
                </c:pt>
                <c:pt idx="854">
                  <c:v>-0.5081711214084409</c:v>
                </c:pt>
                <c:pt idx="855">
                  <c:v>-0.45940577365270968</c:v>
                </c:pt>
                <c:pt idx="856">
                  <c:v>-0.410756788395093</c:v>
                </c:pt>
                <c:pt idx="857">
                  <c:v>-0.36225558981744554</c:v>
                </c:pt>
                <c:pt idx="858">
                  <c:v>-0.31393323123425942</c:v>
                </c:pt>
                <c:pt idx="859">
                  <c:v>-0.26582037760463806</c:v>
                </c:pt>
                <c:pt idx="860">
                  <c:v>-0.21794728845473701</c:v>
                </c:pt>
                <c:pt idx="861">
                  <c:v>-0.17034380121849862</c:v>
                </c:pt>
                <c:pt idx="862">
                  <c:v>-0.12303931500416197</c:v>
                </c:pt>
                <c:pt idx="863">
                  <c:v>-7.6062774793680135E-2</c:v>
                </c:pt>
                <c:pt idx="864">
                  <c:v>-2.9442656081826682E-2</c:v>
                </c:pt>
                <c:pt idx="865">
                  <c:v>1.6793050038578589E-2</c:v>
                </c:pt>
                <c:pt idx="866">
                  <c:v>6.2616851339247964E-2</c:v>
                </c:pt>
                <c:pt idx="867">
                  <c:v>0.10800176846108536</c:v>
                </c:pt>
                <c:pt idx="868">
                  <c:v>0.15292134845555946</c:v>
                </c:pt>
                <c:pt idx="869">
                  <c:v>0.19734967785777774</c:v>
                </c:pt>
                <c:pt idx="870">
                  <c:v>0.24126139528660495</c:v>
                </c:pt>
                <c:pt idx="871">
                  <c:v>0.2846317035675246</c:v>
                </c:pt>
                <c:pt idx="872">
                  <c:v>0.32743638137429787</c:v>
                </c:pt>
                <c:pt idx="873">
                  <c:v>0.36965179438582962</c:v>
                </c:pt>
                <c:pt idx="874">
                  <c:v>0.41125490595500419</c:v>
                </c:pt>
                <c:pt idx="875">
                  <c:v>0.45222328728660927</c:v>
                </c:pt>
                <c:pt idx="876">
                  <c:v>0.49253512712181602</c:v>
                </c:pt>
                <c:pt idx="877">
                  <c:v>0.53216924092703644</c:v>
                </c:pt>
                <c:pt idx="878">
                  <c:v>0.57110507958532697</c:v>
                </c:pt>
                <c:pt idx="879">
                  <c:v>0.60932273758885536</c:v>
                </c:pt>
                <c:pt idx="880">
                  <c:v>0.64680296073129395</c:v>
                </c:pt>
                <c:pt idx="881">
                  <c:v>0.68352715329934388</c:v>
                </c:pt>
                <c:pt idx="882">
                  <c:v>0.71947738476293777</c:v>
                </c:pt>
                <c:pt idx="883">
                  <c:v>0.75463639596400522</c:v>
                </c:pt>
                <c:pt idx="884">
                  <c:v>0.78898760480402075</c:v>
                </c:pt>
                <c:pt idx="885">
                  <c:v>0.82251511143088685</c:v>
                </c:pt>
                <c:pt idx="886">
                  <c:v>0.85520370292603287</c:v>
                </c:pt>
                <c:pt idx="887">
                  <c:v>0.88703885749293687</c:v>
                </c:pt>
                <c:pt idx="888">
                  <c:v>0.91800674814859917</c:v>
                </c:pt>
                <c:pt idx="889">
                  <c:v>0.94809424591981328</c:v>
                </c:pt>
                <c:pt idx="890">
                  <c:v>0.97728892254639699</c:v>
                </c:pt>
                <c:pt idx="891">
                  <c:v>1.0055790526938526</c:v>
                </c:pt>
                <c:pt idx="892">
                  <c:v>1.0329536156782344</c:v>
                </c:pt>
                <c:pt idx="893">
                  <c:v>1.0594022967062995</c:v>
                </c:pt>
                <c:pt idx="894">
                  <c:v>1.0849154876343172</c:v>
                </c:pt>
                <c:pt idx="895">
                  <c:v>1.1094842872492026</c:v>
                </c:pt>
                <c:pt idx="896">
                  <c:v>1.1331005010759261</c:v>
                </c:pt>
                <c:pt idx="897">
                  <c:v>1.155756640715434</c:v>
                </c:pt>
                <c:pt idx="898">
                  <c:v>1.1774459227175893</c:v>
                </c:pt>
                <c:pt idx="899">
                  <c:v>1.198162266993914</c:v>
                </c:pt>
                <c:pt idx="900">
                  <c:v>1.2179002947751814</c:v>
                </c:pt>
                <c:pt idx="901">
                  <c:v>1.2366553261191611</c:v>
                </c:pt>
                <c:pt idx="902">
                  <c:v>1.25442337697408</c:v>
                </c:pt>
                <c:pt idx="903">
                  <c:v>1.2712011558036069</c:v>
                </c:pt>
                <c:pt idx="904">
                  <c:v>1.2869860597794089</c:v>
                </c:pt>
                <c:pt idx="905">
                  <c:v>1.3017761705475677</c:v>
                </c:pt>
                <c:pt idx="906">
                  <c:v>1.3155702495753707</c:v>
                </c:pt>
                <c:pt idx="907">
                  <c:v>1.3283677330852159</c:v>
                </c:pt>
                <c:pt idx="908">
                  <c:v>1.3401687265825857</c:v>
                </c:pt>
                <c:pt idx="909">
                  <c:v>1.3509739989852565</c:v>
                </c:pt>
                <c:pt idx="910">
                  <c:v>1.360784976361114</c:v>
                </c:pt>
                <c:pt idx="911">
                  <c:v>1.36960373528214</c:v>
                </c:pt>
                <c:pt idx="912">
                  <c:v>1.377432995802329</c:v>
                </c:pt>
                <c:pt idx="913">
                  <c:v>1.3842761140674749</c:v>
                </c:pt>
                <c:pt idx="914">
                  <c:v>1.3901370745649444</c:v>
                </c:pt>
                <c:pt idx="915">
                  <c:v>1.3950204820217258</c:v>
                </c:pt>
                <c:pt idx="916">
                  <c:v>1.3989315529592008</c:v>
                </c:pt>
                <c:pt idx="917">
                  <c:v>1.4018761069132448</c:v>
                </c:pt>
                <c:pt idx="918">
                  <c:v>1.4038605573284115</c:v>
                </c:pt>
                <c:pt idx="919">
                  <c:v>1.4048919021350945</c:v>
                </c:pt>
                <c:pt idx="920">
                  <c:v>1.4049777140186963</c:v>
                </c:pt>
                <c:pt idx="921">
                  <c:v>1.404126130389961</c:v>
                </c:pt>
                <c:pt idx="922">
                  <c:v>1.4023458430657483</c:v>
                </c:pt>
                <c:pt idx="923">
                  <c:v>1.3996460876696348</c:v>
                </c:pt>
                <c:pt idx="924">
                  <c:v>1.3960366327618412</c:v>
                </c:pt>
                <c:pt idx="925">
                  <c:v>1.3915277687080738</c:v>
                </c:pt>
                <c:pt idx="926">
                  <c:v>1.386130296296967</c:v>
                </c:pt>
                <c:pt idx="927">
                  <c:v>1.379855515115892</c:v>
                </c:pt>
                <c:pt idx="928">
                  <c:v>1.3727152116949757</c:v>
                </c:pt>
                <c:pt idx="929">
                  <c:v>1.3647216474292438</c:v>
                </c:pt>
                <c:pt idx="930">
                  <c:v>1.3558875462888622</c:v>
                </c:pt>
                <c:pt idx="931">
                  <c:v>1.3462260823275047</c:v>
                </c:pt>
                <c:pt idx="932">
                  <c:v>1.3357508669989273</c:v>
                </c:pt>
                <c:pt idx="933">
                  <c:v>1.324475936291865</c:v>
                </c:pt>
                <c:pt idx="934">
                  <c:v>1.3124157376934027</c:v>
                </c:pt>
                <c:pt idx="935">
                  <c:v>1.299585116990998</c:v>
                </c:pt>
                <c:pt idx="936">
                  <c:v>1.2859993049233536</c:v>
                </c:pt>
                <c:pt idx="937">
                  <c:v>1.2716739036903464</c:v>
                </c:pt>
                <c:pt idx="938">
                  <c:v>1.2566248733322318</c:v>
                </c:pt>
                <c:pt idx="939">
                  <c:v>1.2408685179883328</c:v>
                </c:pt>
                <c:pt idx="940">
                  <c:v>1.2244214720454218</c:v>
                </c:pt>
                <c:pt idx="941">
                  <c:v>1.2073006861859858</c:v>
                </c:pt>
                <c:pt idx="942">
                  <c:v>1.1895234133465411</c:v>
                </c:pt>
                <c:pt idx="943">
                  <c:v>1.1711071945961404</c:v>
                </c:pt>
                <c:pt idx="944">
                  <c:v>1.1520698449451792</c:v>
                </c:pt>
                <c:pt idx="945">
                  <c:v>1.1324294390945628</c:v>
                </c:pt>
                <c:pt idx="946">
                  <c:v>1.1122042971352555</c:v>
                </c:pt>
                <c:pt idx="947">
                  <c:v>1.0914129702081719</c:v>
                </c:pt>
                <c:pt idx="948">
                  <c:v>1.0700742261343175</c:v>
                </c:pt>
                <c:pt idx="949">
                  <c:v>1.0482070350250137</c:v>
                </c:pt>
                <c:pt idx="950">
                  <c:v>1.0258305548819737</c:v>
                </c:pt>
                <c:pt idx="951">
                  <c:v>1.0029641171969188</c:v>
                </c:pt>
                <c:pt idx="952">
                  <c:v>0.97962721256033647</c:v>
                </c:pt>
                <c:pt idx="953">
                  <c:v>0.95583947628889765</c:v>
                </c:pt>
                <c:pt idx="954">
                  <c:v>0.93162067408095206</c:v>
                </c:pt>
                <c:pt idx="955">
                  <c:v>0.90699068770942137</c:v>
                </c:pt>
                <c:pt idx="956">
                  <c:v>0.88196950076130431</c:v>
                </c:pt>
                <c:pt idx="957">
                  <c:v>0.85657718443289677</c:v>
                </c:pt>
                <c:pt idx="958">
                  <c:v>0.83083388338971342</c:v>
                </c:pt>
                <c:pt idx="959">
                  <c:v>0.80475980169997796</c:v>
                </c:pt>
                <c:pt idx="960">
                  <c:v>0.77837518885042012</c:v>
                </c:pt>
                <c:pt idx="961">
                  <c:v>0.75170032585299151</c:v>
                </c:pt>
                <c:pt idx="962">
                  <c:v>0.72475551145097195</c:v>
                </c:pt>
                <c:pt idx="963">
                  <c:v>0.69756104843280264</c:v>
                </c:pt>
                <c:pt idx="964">
                  <c:v>0.67013723006183556</c:v>
                </c:pt>
                <c:pt idx="965">
                  <c:v>0.64250432663004231</c:v>
                </c:pt>
                <c:pt idx="966">
                  <c:v>0.61468257214357125</c:v>
                </c:pt>
                <c:pt idx="967">
                  <c:v>0.5866921511478872</c:v>
                </c:pt>
                <c:pt idx="968">
                  <c:v>0.55855318570006718</c:v>
                </c:pt>
                <c:pt idx="969">
                  <c:v>0.53028572249566153</c:v>
                </c:pt>
                <c:pt idx="970">
                  <c:v>0.50190972015736368</c:v>
                </c:pt>
                <c:pt idx="971">
                  <c:v>0.47344503669255944</c:v>
                </c:pt>
                <c:pt idx="972">
                  <c:v>0.44491141712665516</c:v>
                </c:pt>
                <c:pt idx="973">
                  <c:v>0.41632848131890426</c:v>
                </c:pt>
                <c:pt idx="974">
                  <c:v>0.38771571196727461</c:v>
                </c:pt>
                <c:pt idx="975">
                  <c:v>0.35909244280871422</c:v>
                </c:pt>
                <c:pt idx="976">
                  <c:v>0.33047784702098892</c:v>
                </c:pt>
                <c:pt idx="977">
                  <c:v>0.30189092583207655</c:v>
                </c:pt>
                <c:pt idx="978">
                  <c:v>0.27335049734291339</c:v>
                </c:pt>
                <c:pt idx="979">
                  <c:v>0.24487518556909435</c:v>
                </c:pt>
                <c:pt idx="980">
                  <c:v>0.21648340970693569</c:v>
                </c:pt>
                <c:pt idx="981">
                  <c:v>0.18819337362911112</c:v>
                </c:pt>
                <c:pt idx="982">
                  <c:v>0.16002305561487495</c:v>
                </c:pt>
                <c:pt idx="983">
                  <c:v>0.13199019831968559</c:v>
                </c:pt>
                <c:pt idx="984">
                  <c:v>0.10411229898884139</c:v>
                </c:pt>
                <c:pt idx="985">
                  <c:v>7.6406599919538618E-2</c:v>
                </c:pt>
                <c:pt idx="986">
                  <c:v>4.889007917555678E-2</c:v>
                </c:pt>
                <c:pt idx="987">
                  <c:v>2.1579441558572412E-2</c:v>
                </c:pt>
                <c:pt idx="988">
                  <c:v>-5.5088901601038076E-3</c:v>
                </c:pt>
                <c:pt idx="989">
                  <c:v>-3.2358783743778097E-2</c:v>
                </c:pt>
                <c:pt idx="990">
                  <c:v>-5.895440572723136E-2</c:v>
                </c:pt>
                <c:pt idx="991">
                  <c:v>-8.5280229383009873E-2</c:v>
                </c:pt>
                <c:pt idx="992">
                  <c:v>-0.11132104241418297</c:v>
                </c:pt>
                <c:pt idx="993">
                  <c:v>-0.13706195437080979</c:v>
                </c:pt>
                <c:pt idx="994">
                  <c:v>-0.16248840378756529</c:v>
                </c:pt>
                <c:pt idx="995">
                  <c:v>-0.18758616504018388</c:v>
                </c:pt>
                <c:pt idx="996">
                  <c:v>-0.2123413549185863</c:v>
                </c:pt>
                <c:pt idx="997">
                  <c:v>-0.23674043891476351</c:v>
                </c:pt>
                <c:pt idx="998">
                  <c:v>-0.26077023722369735</c:v>
                </c:pt>
                <c:pt idx="999">
                  <c:v>-0.28441793045580466</c:v>
                </c:pt>
                <c:pt idx="1000">
                  <c:v>-0.30767106505959646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2F-4F01-9B37-BE0D551DA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088352"/>
        <c:axId val="1"/>
      </c:scatterChart>
      <c:valAx>
        <c:axId val="435088352"/>
        <c:scaling>
          <c:orientation val="minMax"/>
          <c:max val="20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435088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41" footer="0.3149606200000004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Plan1!$C$9</c:f>
              <c:strCache>
                <c:ptCount val="1"/>
                <c:pt idx="0">
                  <c:v>x(t)</c:v>
                </c:pt>
              </c:strCache>
            </c:strRef>
          </c:tx>
          <c:marker>
            <c:symbol val="none"/>
          </c:marker>
          <c:xVal>
            <c:numRef>
              <c:f>Plan1!$B$10:$B$1010</c:f>
              <c:numCache>
                <c:formatCode>0.000</c:formatCode>
                <c:ptCount val="100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  <c:pt idx="21">
                  <c:v>4.2000000000000011</c:v>
                </c:pt>
                <c:pt idx="22">
                  <c:v>4.4000000000000012</c:v>
                </c:pt>
                <c:pt idx="23">
                  <c:v>4.6000000000000014</c:v>
                </c:pt>
                <c:pt idx="24">
                  <c:v>4.8000000000000016</c:v>
                </c:pt>
                <c:pt idx="25">
                  <c:v>5.0000000000000018</c:v>
                </c:pt>
                <c:pt idx="26">
                  <c:v>5.200000000000002</c:v>
                </c:pt>
                <c:pt idx="27">
                  <c:v>5.4000000000000021</c:v>
                </c:pt>
                <c:pt idx="28">
                  <c:v>5.6000000000000023</c:v>
                </c:pt>
                <c:pt idx="29">
                  <c:v>5.8000000000000025</c:v>
                </c:pt>
                <c:pt idx="30">
                  <c:v>6.0000000000000027</c:v>
                </c:pt>
                <c:pt idx="31">
                  <c:v>6.2000000000000028</c:v>
                </c:pt>
                <c:pt idx="32">
                  <c:v>6.400000000000003</c:v>
                </c:pt>
                <c:pt idx="33">
                  <c:v>6.6000000000000032</c:v>
                </c:pt>
                <c:pt idx="34">
                  <c:v>6.8000000000000034</c:v>
                </c:pt>
                <c:pt idx="35">
                  <c:v>7.0000000000000036</c:v>
                </c:pt>
                <c:pt idx="36">
                  <c:v>7.2000000000000037</c:v>
                </c:pt>
                <c:pt idx="37">
                  <c:v>7.4000000000000039</c:v>
                </c:pt>
                <c:pt idx="38">
                  <c:v>7.6000000000000041</c:v>
                </c:pt>
                <c:pt idx="39">
                  <c:v>7.8000000000000043</c:v>
                </c:pt>
                <c:pt idx="40">
                  <c:v>8.0000000000000036</c:v>
                </c:pt>
                <c:pt idx="41">
                  <c:v>8.2000000000000028</c:v>
                </c:pt>
                <c:pt idx="42">
                  <c:v>8.4000000000000021</c:v>
                </c:pt>
                <c:pt idx="43">
                  <c:v>8.6000000000000014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9.3999999999999986</c:v>
                </c:pt>
                <c:pt idx="48">
                  <c:v>9.5999999999999979</c:v>
                </c:pt>
                <c:pt idx="49">
                  <c:v>9.7999999999999972</c:v>
                </c:pt>
                <c:pt idx="50">
                  <c:v>9.9999999999999964</c:v>
                </c:pt>
                <c:pt idx="51">
                  <c:v>10.199999999999996</c:v>
                </c:pt>
                <c:pt idx="52">
                  <c:v>10.399999999999995</c:v>
                </c:pt>
                <c:pt idx="53">
                  <c:v>10.599999999999994</c:v>
                </c:pt>
                <c:pt idx="54">
                  <c:v>10.799999999999994</c:v>
                </c:pt>
                <c:pt idx="55">
                  <c:v>10.999999999999993</c:v>
                </c:pt>
                <c:pt idx="56">
                  <c:v>11.199999999999992</c:v>
                </c:pt>
                <c:pt idx="57">
                  <c:v>11.399999999999991</c:v>
                </c:pt>
                <c:pt idx="58">
                  <c:v>11.599999999999991</c:v>
                </c:pt>
                <c:pt idx="59">
                  <c:v>11.79999999999999</c:v>
                </c:pt>
                <c:pt idx="60">
                  <c:v>11.999999999999989</c:v>
                </c:pt>
                <c:pt idx="61">
                  <c:v>12.199999999999989</c:v>
                </c:pt>
                <c:pt idx="62">
                  <c:v>12.399999999999988</c:v>
                </c:pt>
                <c:pt idx="63">
                  <c:v>12.599999999999987</c:v>
                </c:pt>
                <c:pt idx="64">
                  <c:v>12.799999999999986</c:v>
                </c:pt>
                <c:pt idx="65">
                  <c:v>12.999999999999986</c:v>
                </c:pt>
                <c:pt idx="66">
                  <c:v>13.199999999999985</c:v>
                </c:pt>
                <c:pt idx="67">
                  <c:v>13.399999999999984</c:v>
                </c:pt>
                <c:pt idx="68">
                  <c:v>13.599999999999984</c:v>
                </c:pt>
                <c:pt idx="69">
                  <c:v>13.799999999999983</c:v>
                </c:pt>
                <c:pt idx="70">
                  <c:v>13.999999999999982</c:v>
                </c:pt>
                <c:pt idx="71">
                  <c:v>14.199999999999982</c:v>
                </c:pt>
                <c:pt idx="72">
                  <c:v>14.399999999999981</c:v>
                </c:pt>
                <c:pt idx="73">
                  <c:v>14.59999999999998</c:v>
                </c:pt>
                <c:pt idx="74">
                  <c:v>14.799999999999979</c:v>
                </c:pt>
                <c:pt idx="75">
                  <c:v>14.999999999999979</c:v>
                </c:pt>
                <c:pt idx="76">
                  <c:v>15.199999999999978</c:v>
                </c:pt>
                <c:pt idx="77">
                  <c:v>15.399999999999977</c:v>
                </c:pt>
                <c:pt idx="78">
                  <c:v>15.599999999999977</c:v>
                </c:pt>
                <c:pt idx="79">
                  <c:v>15.799999999999976</c:v>
                </c:pt>
                <c:pt idx="80">
                  <c:v>15.999999999999975</c:v>
                </c:pt>
                <c:pt idx="81">
                  <c:v>16.199999999999974</c:v>
                </c:pt>
                <c:pt idx="82">
                  <c:v>16.399999999999974</c:v>
                </c:pt>
                <c:pt idx="83">
                  <c:v>16.599999999999973</c:v>
                </c:pt>
                <c:pt idx="84">
                  <c:v>16.799999999999972</c:v>
                </c:pt>
                <c:pt idx="85">
                  <c:v>16.999999999999972</c:v>
                </c:pt>
                <c:pt idx="86">
                  <c:v>17.199999999999971</c:v>
                </c:pt>
                <c:pt idx="87">
                  <c:v>17.39999999999997</c:v>
                </c:pt>
                <c:pt idx="88">
                  <c:v>17.599999999999969</c:v>
                </c:pt>
                <c:pt idx="89">
                  <c:v>17.799999999999969</c:v>
                </c:pt>
                <c:pt idx="90">
                  <c:v>17.999999999999968</c:v>
                </c:pt>
                <c:pt idx="91">
                  <c:v>18.199999999999967</c:v>
                </c:pt>
                <c:pt idx="92">
                  <c:v>18.399999999999967</c:v>
                </c:pt>
                <c:pt idx="93">
                  <c:v>18.599999999999966</c:v>
                </c:pt>
                <c:pt idx="94">
                  <c:v>18.799999999999965</c:v>
                </c:pt>
                <c:pt idx="95">
                  <c:v>18.999999999999964</c:v>
                </c:pt>
                <c:pt idx="96">
                  <c:v>19.199999999999964</c:v>
                </c:pt>
                <c:pt idx="97">
                  <c:v>19.399999999999963</c:v>
                </c:pt>
                <c:pt idx="98">
                  <c:v>19.599999999999962</c:v>
                </c:pt>
                <c:pt idx="99">
                  <c:v>19.799999999999962</c:v>
                </c:pt>
                <c:pt idx="100">
                  <c:v>19.999999999999961</c:v>
                </c:pt>
                <c:pt idx="101">
                  <c:v>20.19999999999996</c:v>
                </c:pt>
                <c:pt idx="102">
                  <c:v>20.399999999999959</c:v>
                </c:pt>
                <c:pt idx="103">
                  <c:v>20.599999999999959</c:v>
                </c:pt>
                <c:pt idx="104">
                  <c:v>20.799999999999958</c:v>
                </c:pt>
                <c:pt idx="105">
                  <c:v>20.999999999999957</c:v>
                </c:pt>
                <c:pt idx="106">
                  <c:v>21.199999999999957</c:v>
                </c:pt>
                <c:pt idx="107">
                  <c:v>21.399999999999956</c:v>
                </c:pt>
                <c:pt idx="108">
                  <c:v>21.599999999999955</c:v>
                </c:pt>
                <c:pt idx="109">
                  <c:v>21.799999999999955</c:v>
                </c:pt>
                <c:pt idx="110">
                  <c:v>21.999999999999954</c:v>
                </c:pt>
                <c:pt idx="111">
                  <c:v>22.199999999999953</c:v>
                </c:pt>
                <c:pt idx="112">
                  <c:v>22.399999999999952</c:v>
                </c:pt>
                <c:pt idx="113">
                  <c:v>22.599999999999952</c:v>
                </c:pt>
                <c:pt idx="114">
                  <c:v>22.799999999999951</c:v>
                </c:pt>
                <c:pt idx="115">
                  <c:v>22.99999999999995</c:v>
                </c:pt>
                <c:pt idx="116">
                  <c:v>23.19999999999995</c:v>
                </c:pt>
                <c:pt idx="117">
                  <c:v>23.399999999999949</c:v>
                </c:pt>
                <c:pt idx="118">
                  <c:v>23.599999999999948</c:v>
                </c:pt>
                <c:pt idx="119">
                  <c:v>23.799999999999947</c:v>
                </c:pt>
                <c:pt idx="120">
                  <c:v>23.999999999999947</c:v>
                </c:pt>
                <c:pt idx="121">
                  <c:v>24.199999999999946</c:v>
                </c:pt>
                <c:pt idx="122">
                  <c:v>24.399999999999945</c:v>
                </c:pt>
                <c:pt idx="123">
                  <c:v>24.599999999999945</c:v>
                </c:pt>
                <c:pt idx="124">
                  <c:v>24.799999999999944</c:v>
                </c:pt>
                <c:pt idx="125">
                  <c:v>24.999999999999943</c:v>
                </c:pt>
                <c:pt idx="126">
                  <c:v>25.199999999999942</c:v>
                </c:pt>
                <c:pt idx="127">
                  <c:v>25.399999999999942</c:v>
                </c:pt>
                <c:pt idx="128">
                  <c:v>25.599999999999941</c:v>
                </c:pt>
                <c:pt idx="129">
                  <c:v>25.79999999999994</c:v>
                </c:pt>
                <c:pt idx="130">
                  <c:v>25.99999999999994</c:v>
                </c:pt>
                <c:pt idx="131">
                  <c:v>26.199999999999939</c:v>
                </c:pt>
                <c:pt idx="132">
                  <c:v>26.399999999999938</c:v>
                </c:pt>
                <c:pt idx="133">
                  <c:v>26.599999999999937</c:v>
                </c:pt>
                <c:pt idx="134">
                  <c:v>26.799999999999937</c:v>
                </c:pt>
                <c:pt idx="135">
                  <c:v>26.999999999999936</c:v>
                </c:pt>
                <c:pt idx="136">
                  <c:v>27.199999999999935</c:v>
                </c:pt>
                <c:pt idx="137">
                  <c:v>27.399999999999935</c:v>
                </c:pt>
                <c:pt idx="138">
                  <c:v>27.599999999999934</c:v>
                </c:pt>
                <c:pt idx="139">
                  <c:v>27.799999999999933</c:v>
                </c:pt>
                <c:pt idx="140">
                  <c:v>27.999999999999932</c:v>
                </c:pt>
                <c:pt idx="141">
                  <c:v>28.199999999999932</c:v>
                </c:pt>
                <c:pt idx="142">
                  <c:v>28.399999999999931</c:v>
                </c:pt>
                <c:pt idx="143">
                  <c:v>28.59999999999993</c:v>
                </c:pt>
                <c:pt idx="144">
                  <c:v>28.79999999999993</c:v>
                </c:pt>
                <c:pt idx="145">
                  <c:v>28.999999999999929</c:v>
                </c:pt>
                <c:pt idx="146">
                  <c:v>29.199999999999928</c:v>
                </c:pt>
                <c:pt idx="147">
                  <c:v>29.399999999999928</c:v>
                </c:pt>
                <c:pt idx="148">
                  <c:v>29.599999999999927</c:v>
                </c:pt>
                <c:pt idx="149">
                  <c:v>29.799999999999926</c:v>
                </c:pt>
                <c:pt idx="150">
                  <c:v>29.999999999999925</c:v>
                </c:pt>
                <c:pt idx="151">
                  <c:v>30.199999999999925</c:v>
                </c:pt>
                <c:pt idx="152">
                  <c:v>30.399999999999924</c:v>
                </c:pt>
                <c:pt idx="153">
                  <c:v>30.599999999999923</c:v>
                </c:pt>
                <c:pt idx="154">
                  <c:v>30.799999999999923</c:v>
                </c:pt>
                <c:pt idx="155">
                  <c:v>30.999999999999922</c:v>
                </c:pt>
                <c:pt idx="156">
                  <c:v>31.199999999999921</c:v>
                </c:pt>
                <c:pt idx="157">
                  <c:v>31.39999999999992</c:v>
                </c:pt>
                <c:pt idx="158">
                  <c:v>31.59999999999992</c:v>
                </c:pt>
                <c:pt idx="159">
                  <c:v>31.799999999999919</c:v>
                </c:pt>
                <c:pt idx="160">
                  <c:v>31.999999999999918</c:v>
                </c:pt>
                <c:pt idx="161">
                  <c:v>32.199999999999918</c:v>
                </c:pt>
                <c:pt idx="162">
                  <c:v>32.39999999999992</c:v>
                </c:pt>
                <c:pt idx="163">
                  <c:v>32.599999999999923</c:v>
                </c:pt>
                <c:pt idx="164">
                  <c:v>32.799999999999926</c:v>
                </c:pt>
                <c:pt idx="165">
                  <c:v>32.999999999999929</c:v>
                </c:pt>
                <c:pt idx="166">
                  <c:v>33.199999999999932</c:v>
                </c:pt>
                <c:pt idx="167">
                  <c:v>33.399999999999935</c:v>
                </c:pt>
                <c:pt idx="168">
                  <c:v>33.599999999999937</c:v>
                </c:pt>
                <c:pt idx="169">
                  <c:v>33.79999999999994</c:v>
                </c:pt>
                <c:pt idx="170">
                  <c:v>33.999999999999943</c:v>
                </c:pt>
                <c:pt idx="171">
                  <c:v>34.199999999999946</c:v>
                </c:pt>
                <c:pt idx="172">
                  <c:v>34.399999999999949</c:v>
                </c:pt>
                <c:pt idx="173">
                  <c:v>34.599999999999952</c:v>
                </c:pt>
                <c:pt idx="174">
                  <c:v>34.799999999999955</c:v>
                </c:pt>
                <c:pt idx="175">
                  <c:v>34.999999999999957</c:v>
                </c:pt>
                <c:pt idx="176">
                  <c:v>35.19999999999996</c:v>
                </c:pt>
                <c:pt idx="177">
                  <c:v>35.399999999999963</c:v>
                </c:pt>
                <c:pt idx="178">
                  <c:v>35.599999999999966</c:v>
                </c:pt>
                <c:pt idx="179">
                  <c:v>35.799999999999969</c:v>
                </c:pt>
                <c:pt idx="180">
                  <c:v>35.999999999999972</c:v>
                </c:pt>
                <c:pt idx="181">
                  <c:v>36.199999999999974</c:v>
                </c:pt>
                <c:pt idx="182">
                  <c:v>36.399999999999977</c:v>
                </c:pt>
                <c:pt idx="183">
                  <c:v>36.59999999999998</c:v>
                </c:pt>
                <c:pt idx="184">
                  <c:v>36.799999999999983</c:v>
                </c:pt>
                <c:pt idx="185">
                  <c:v>36.999999999999986</c:v>
                </c:pt>
                <c:pt idx="186">
                  <c:v>37.199999999999989</c:v>
                </c:pt>
                <c:pt idx="187">
                  <c:v>37.399999999999991</c:v>
                </c:pt>
                <c:pt idx="188">
                  <c:v>37.599999999999994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38.400000000000006</c:v>
                </c:pt>
                <c:pt idx="193">
                  <c:v>38.600000000000009</c:v>
                </c:pt>
                <c:pt idx="194">
                  <c:v>38.800000000000011</c:v>
                </c:pt>
                <c:pt idx="195">
                  <c:v>39.000000000000014</c:v>
                </c:pt>
                <c:pt idx="196">
                  <c:v>39.200000000000017</c:v>
                </c:pt>
                <c:pt idx="197">
                  <c:v>39.40000000000002</c:v>
                </c:pt>
                <c:pt idx="198">
                  <c:v>39.600000000000023</c:v>
                </c:pt>
                <c:pt idx="199">
                  <c:v>39.800000000000026</c:v>
                </c:pt>
                <c:pt idx="200">
                  <c:v>40.000000000000028</c:v>
                </c:pt>
                <c:pt idx="201">
                  <c:v>40.200000000000031</c:v>
                </c:pt>
                <c:pt idx="202">
                  <c:v>40.400000000000034</c:v>
                </c:pt>
                <c:pt idx="203">
                  <c:v>40.600000000000037</c:v>
                </c:pt>
                <c:pt idx="204">
                  <c:v>40.80000000000004</c:v>
                </c:pt>
                <c:pt idx="205">
                  <c:v>41.000000000000043</c:v>
                </c:pt>
                <c:pt idx="206">
                  <c:v>41.200000000000045</c:v>
                </c:pt>
                <c:pt idx="207">
                  <c:v>41.400000000000048</c:v>
                </c:pt>
                <c:pt idx="208">
                  <c:v>41.600000000000051</c:v>
                </c:pt>
                <c:pt idx="209">
                  <c:v>41.800000000000054</c:v>
                </c:pt>
                <c:pt idx="210">
                  <c:v>42.000000000000057</c:v>
                </c:pt>
                <c:pt idx="211">
                  <c:v>42.20000000000006</c:v>
                </c:pt>
                <c:pt idx="212">
                  <c:v>42.400000000000063</c:v>
                </c:pt>
                <c:pt idx="213">
                  <c:v>42.600000000000065</c:v>
                </c:pt>
                <c:pt idx="214">
                  <c:v>42.800000000000068</c:v>
                </c:pt>
                <c:pt idx="215">
                  <c:v>43.000000000000071</c:v>
                </c:pt>
                <c:pt idx="216">
                  <c:v>43.200000000000074</c:v>
                </c:pt>
                <c:pt idx="217">
                  <c:v>43.400000000000077</c:v>
                </c:pt>
                <c:pt idx="218">
                  <c:v>43.60000000000008</c:v>
                </c:pt>
                <c:pt idx="219">
                  <c:v>43.800000000000082</c:v>
                </c:pt>
                <c:pt idx="220">
                  <c:v>44.000000000000085</c:v>
                </c:pt>
                <c:pt idx="221">
                  <c:v>44.200000000000088</c:v>
                </c:pt>
                <c:pt idx="222">
                  <c:v>44.400000000000091</c:v>
                </c:pt>
                <c:pt idx="223">
                  <c:v>44.600000000000094</c:v>
                </c:pt>
                <c:pt idx="224">
                  <c:v>44.800000000000097</c:v>
                </c:pt>
                <c:pt idx="225">
                  <c:v>45.000000000000099</c:v>
                </c:pt>
                <c:pt idx="226">
                  <c:v>45.200000000000102</c:v>
                </c:pt>
                <c:pt idx="227">
                  <c:v>45.400000000000105</c:v>
                </c:pt>
                <c:pt idx="228">
                  <c:v>45.600000000000108</c:v>
                </c:pt>
                <c:pt idx="229">
                  <c:v>45.800000000000111</c:v>
                </c:pt>
                <c:pt idx="230">
                  <c:v>46.000000000000114</c:v>
                </c:pt>
                <c:pt idx="231">
                  <c:v>46.200000000000117</c:v>
                </c:pt>
                <c:pt idx="232">
                  <c:v>46.400000000000119</c:v>
                </c:pt>
                <c:pt idx="233">
                  <c:v>46.600000000000122</c:v>
                </c:pt>
                <c:pt idx="234">
                  <c:v>46.800000000000125</c:v>
                </c:pt>
                <c:pt idx="235">
                  <c:v>47.000000000000128</c:v>
                </c:pt>
                <c:pt idx="236">
                  <c:v>47.200000000000131</c:v>
                </c:pt>
                <c:pt idx="237">
                  <c:v>47.400000000000134</c:v>
                </c:pt>
                <c:pt idx="238">
                  <c:v>47.600000000000136</c:v>
                </c:pt>
                <c:pt idx="239">
                  <c:v>47.800000000000139</c:v>
                </c:pt>
                <c:pt idx="240">
                  <c:v>48.000000000000142</c:v>
                </c:pt>
                <c:pt idx="241">
                  <c:v>48.200000000000145</c:v>
                </c:pt>
                <c:pt idx="242">
                  <c:v>48.400000000000148</c:v>
                </c:pt>
                <c:pt idx="243">
                  <c:v>48.600000000000151</c:v>
                </c:pt>
                <c:pt idx="244">
                  <c:v>48.800000000000153</c:v>
                </c:pt>
                <c:pt idx="245">
                  <c:v>49.000000000000156</c:v>
                </c:pt>
                <c:pt idx="246">
                  <c:v>49.200000000000159</c:v>
                </c:pt>
                <c:pt idx="247">
                  <c:v>49.400000000000162</c:v>
                </c:pt>
                <c:pt idx="248">
                  <c:v>49.600000000000165</c:v>
                </c:pt>
                <c:pt idx="249">
                  <c:v>49.800000000000168</c:v>
                </c:pt>
                <c:pt idx="250">
                  <c:v>50.000000000000171</c:v>
                </c:pt>
                <c:pt idx="251">
                  <c:v>50.200000000000173</c:v>
                </c:pt>
                <c:pt idx="252">
                  <c:v>50.400000000000176</c:v>
                </c:pt>
                <c:pt idx="253">
                  <c:v>50.600000000000179</c:v>
                </c:pt>
                <c:pt idx="254">
                  <c:v>50.800000000000182</c:v>
                </c:pt>
                <c:pt idx="255">
                  <c:v>51.000000000000185</c:v>
                </c:pt>
                <c:pt idx="256">
                  <c:v>51.200000000000188</c:v>
                </c:pt>
                <c:pt idx="257">
                  <c:v>51.40000000000019</c:v>
                </c:pt>
                <c:pt idx="258">
                  <c:v>51.600000000000193</c:v>
                </c:pt>
                <c:pt idx="259">
                  <c:v>51.800000000000196</c:v>
                </c:pt>
                <c:pt idx="260">
                  <c:v>52.000000000000199</c:v>
                </c:pt>
                <c:pt idx="261">
                  <c:v>52.200000000000202</c:v>
                </c:pt>
                <c:pt idx="262">
                  <c:v>52.400000000000205</c:v>
                </c:pt>
                <c:pt idx="263">
                  <c:v>52.600000000000207</c:v>
                </c:pt>
                <c:pt idx="264">
                  <c:v>52.80000000000021</c:v>
                </c:pt>
                <c:pt idx="265">
                  <c:v>53.000000000000213</c:v>
                </c:pt>
                <c:pt idx="266">
                  <c:v>53.200000000000216</c:v>
                </c:pt>
                <c:pt idx="267">
                  <c:v>53.400000000000219</c:v>
                </c:pt>
                <c:pt idx="268">
                  <c:v>53.600000000000222</c:v>
                </c:pt>
                <c:pt idx="269">
                  <c:v>53.800000000000225</c:v>
                </c:pt>
                <c:pt idx="270">
                  <c:v>54.000000000000227</c:v>
                </c:pt>
                <c:pt idx="271">
                  <c:v>54.20000000000023</c:v>
                </c:pt>
                <c:pt idx="272">
                  <c:v>54.400000000000233</c:v>
                </c:pt>
                <c:pt idx="273">
                  <c:v>54.600000000000236</c:v>
                </c:pt>
                <c:pt idx="274">
                  <c:v>54.800000000000239</c:v>
                </c:pt>
                <c:pt idx="275">
                  <c:v>55.000000000000242</c:v>
                </c:pt>
                <c:pt idx="276">
                  <c:v>55.200000000000244</c:v>
                </c:pt>
                <c:pt idx="277">
                  <c:v>55.400000000000247</c:v>
                </c:pt>
                <c:pt idx="278">
                  <c:v>55.60000000000025</c:v>
                </c:pt>
                <c:pt idx="279">
                  <c:v>55.800000000000253</c:v>
                </c:pt>
                <c:pt idx="280">
                  <c:v>56.000000000000256</c:v>
                </c:pt>
                <c:pt idx="281">
                  <c:v>56.200000000000259</c:v>
                </c:pt>
                <c:pt idx="282">
                  <c:v>56.400000000000261</c:v>
                </c:pt>
                <c:pt idx="283">
                  <c:v>56.600000000000264</c:v>
                </c:pt>
                <c:pt idx="284">
                  <c:v>56.800000000000267</c:v>
                </c:pt>
                <c:pt idx="285">
                  <c:v>57.00000000000027</c:v>
                </c:pt>
                <c:pt idx="286">
                  <c:v>57.200000000000273</c:v>
                </c:pt>
                <c:pt idx="287">
                  <c:v>57.400000000000276</c:v>
                </c:pt>
                <c:pt idx="288">
                  <c:v>57.600000000000279</c:v>
                </c:pt>
                <c:pt idx="289">
                  <c:v>57.800000000000281</c:v>
                </c:pt>
                <c:pt idx="290">
                  <c:v>58.000000000000284</c:v>
                </c:pt>
                <c:pt idx="291">
                  <c:v>58.200000000000287</c:v>
                </c:pt>
                <c:pt idx="292">
                  <c:v>58.40000000000029</c:v>
                </c:pt>
                <c:pt idx="293">
                  <c:v>58.600000000000293</c:v>
                </c:pt>
                <c:pt idx="294">
                  <c:v>58.800000000000296</c:v>
                </c:pt>
                <c:pt idx="295">
                  <c:v>59.000000000000298</c:v>
                </c:pt>
                <c:pt idx="296">
                  <c:v>59.200000000000301</c:v>
                </c:pt>
                <c:pt idx="297">
                  <c:v>59.400000000000304</c:v>
                </c:pt>
                <c:pt idx="298">
                  <c:v>59.600000000000307</c:v>
                </c:pt>
                <c:pt idx="299">
                  <c:v>59.80000000000031</c:v>
                </c:pt>
                <c:pt idx="300">
                  <c:v>60.000000000000313</c:v>
                </c:pt>
                <c:pt idx="301">
                  <c:v>60.200000000000315</c:v>
                </c:pt>
                <c:pt idx="302">
                  <c:v>60.400000000000318</c:v>
                </c:pt>
                <c:pt idx="303">
                  <c:v>60.600000000000321</c:v>
                </c:pt>
                <c:pt idx="304">
                  <c:v>60.800000000000324</c:v>
                </c:pt>
                <c:pt idx="305">
                  <c:v>61.000000000000327</c:v>
                </c:pt>
                <c:pt idx="306">
                  <c:v>61.20000000000033</c:v>
                </c:pt>
                <c:pt idx="307">
                  <c:v>61.400000000000333</c:v>
                </c:pt>
                <c:pt idx="308">
                  <c:v>61.600000000000335</c:v>
                </c:pt>
                <c:pt idx="309">
                  <c:v>61.800000000000338</c:v>
                </c:pt>
                <c:pt idx="310">
                  <c:v>62.000000000000341</c:v>
                </c:pt>
                <c:pt idx="311">
                  <c:v>62.200000000000344</c:v>
                </c:pt>
                <c:pt idx="312">
                  <c:v>62.400000000000347</c:v>
                </c:pt>
                <c:pt idx="313">
                  <c:v>62.60000000000035</c:v>
                </c:pt>
                <c:pt idx="314">
                  <c:v>62.800000000000352</c:v>
                </c:pt>
                <c:pt idx="315">
                  <c:v>63.000000000000355</c:v>
                </c:pt>
                <c:pt idx="316">
                  <c:v>63.200000000000358</c:v>
                </c:pt>
                <c:pt idx="317">
                  <c:v>63.400000000000361</c:v>
                </c:pt>
                <c:pt idx="318">
                  <c:v>63.600000000000364</c:v>
                </c:pt>
                <c:pt idx="319">
                  <c:v>63.800000000000367</c:v>
                </c:pt>
                <c:pt idx="320">
                  <c:v>64.000000000000369</c:v>
                </c:pt>
                <c:pt idx="321">
                  <c:v>64.200000000000372</c:v>
                </c:pt>
                <c:pt idx="322">
                  <c:v>64.400000000000375</c:v>
                </c:pt>
                <c:pt idx="323">
                  <c:v>64.600000000000378</c:v>
                </c:pt>
                <c:pt idx="324">
                  <c:v>64.800000000000381</c:v>
                </c:pt>
                <c:pt idx="325">
                  <c:v>65.000000000000384</c:v>
                </c:pt>
                <c:pt idx="326">
                  <c:v>65.200000000000387</c:v>
                </c:pt>
                <c:pt idx="327">
                  <c:v>65.400000000000389</c:v>
                </c:pt>
                <c:pt idx="328">
                  <c:v>65.600000000000392</c:v>
                </c:pt>
                <c:pt idx="329">
                  <c:v>65.800000000000395</c:v>
                </c:pt>
                <c:pt idx="330">
                  <c:v>66.000000000000398</c:v>
                </c:pt>
                <c:pt idx="331">
                  <c:v>66.200000000000401</c:v>
                </c:pt>
                <c:pt idx="332">
                  <c:v>66.400000000000404</c:v>
                </c:pt>
                <c:pt idx="333">
                  <c:v>66.600000000000406</c:v>
                </c:pt>
                <c:pt idx="334">
                  <c:v>66.800000000000409</c:v>
                </c:pt>
                <c:pt idx="335">
                  <c:v>67.000000000000412</c:v>
                </c:pt>
                <c:pt idx="336">
                  <c:v>67.200000000000415</c:v>
                </c:pt>
                <c:pt idx="337">
                  <c:v>67.400000000000418</c:v>
                </c:pt>
                <c:pt idx="338">
                  <c:v>67.600000000000421</c:v>
                </c:pt>
                <c:pt idx="339">
                  <c:v>67.800000000000423</c:v>
                </c:pt>
                <c:pt idx="340">
                  <c:v>68.000000000000426</c:v>
                </c:pt>
                <c:pt idx="341">
                  <c:v>68.200000000000429</c:v>
                </c:pt>
                <c:pt idx="342">
                  <c:v>68.400000000000432</c:v>
                </c:pt>
                <c:pt idx="343">
                  <c:v>68.600000000000435</c:v>
                </c:pt>
                <c:pt idx="344">
                  <c:v>68.800000000000438</c:v>
                </c:pt>
                <c:pt idx="345">
                  <c:v>69.000000000000441</c:v>
                </c:pt>
                <c:pt idx="346">
                  <c:v>69.200000000000443</c:v>
                </c:pt>
                <c:pt idx="347">
                  <c:v>69.400000000000446</c:v>
                </c:pt>
                <c:pt idx="348">
                  <c:v>69.600000000000449</c:v>
                </c:pt>
                <c:pt idx="349">
                  <c:v>69.800000000000452</c:v>
                </c:pt>
                <c:pt idx="350">
                  <c:v>70.000000000000455</c:v>
                </c:pt>
                <c:pt idx="351">
                  <c:v>70.200000000000458</c:v>
                </c:pt>
                <c:pt idx="352">
                  <c:v>70.40000000000046</c:v>
                </c:pt>
                <c:pt idx="353">
                  <c:v>70.600000000000463</c:v>
                </c:pt>
                <c:pt idx="354">
                  <c:v>70.800000000000466</c:v>
                </c:pt>
                <c:pt idx="355">
                  <c:v>71.000000000000469</c:v>
                </c:pt>
                <c:pt idx="356">
                  <c:v>71.200000000000472</c:v>
                </c:pt>
                <c:pt idx="357">
                  <c:v>71.400000000000475</c:v>
                </c:pt>
                <c:pt idx="358">
                  <c:v>71.600000000000477</c:v>
                </c:pt>
                <c:pt idx="359">
                  <c:v>71.80000000000048</c:v>
                </c:pt>
                <c:pt idx="360">
                  <c:v>72.000000000000483</c:v>
                </c:pt>
                <c:pt idx="361">
                  <c:v>72.200000000000486</c:v>
                </c:pt>
                <c:pt idx="362">
                  <c:v>72.400000000000489</c:v>
                </c:pt>
                <c:pt idx="363">
                  <c:v>72.600000000000492</c:v>
                </c:pt>
                <c:pt idx="364">
                  <c:v>72.800000000000495</c:v>
                </c:pt>
                <c:pt idx="365">
                  <c:v>73.000000000000497</c:v>
                </c:pt>
                <c:pt idx="366">
                  <c:v>73.2000000000005</c:v>
                </c:pt>
                <c:pt idx="367">
                  <c:v>73.400000000000503</c:v>
                </c:pt>
                <c:pt idx="368">
                  <c:v>73.600000000000506</c:v>
                </c:pt>
                <c:pt idx="369">
                  <c:v>73.800000000000509</c:v>
                </c:pt>
                <c:pt idx="370">
                  <c:v>74.000000000000512</c:v>
                </c:pt>
                <c:pt idx="371">
                  <c:v>74.200000000000514</c:v>
                </c:pt>
                <c:pt idx="372">
                  <c:v>74.400000000000517</c:v>
                </c:pt>
                <c:pt idx="373">
                  <c:v>74.60000000000052</c:v>
                </c:pt>
                <c:pt idx="374">
                  <c:v>74.800000000000523</c:v>
                </c:pt>
                <c:pt idx="375">
                  <c:v>75.000000000000526</c:v>
                </c:pt>
                <c:pt idx="376">
                  <c:v>75.200000000000529</c:v>
                </c:pt>
                <c:pt idx="377">
                  <c:v>75.400000000000531</c:v>
                </c:pt>
                <c:pt idx="378">
                  <c:v>75.600000000000534</c:v>
                </c:pt>
                <c:pt idx="379">
                  <c:v>75.800000000000537</c:v>
                </c:pt>
                <c:pt idx="380">
                  <c:v>76.00000000000054</c:v>
                </c:pt>
                <c:pt idx="381">
                  <c:v>76.200000000000543</c:v>
                </c:pt>
                <c:pt idx="382">
                  <c:v>76.400000000000546</c:v>
                </c:pt>
                <c:pt idx="383">
                  <c:v>76.600000000000549</c:v>
                </c:pt>
                <c:pt idx="384">
                  <c:v>76.800000000000551</c:v>
                </c:pt>
                <c:pt idx="385">
                  <c:v>77.000000000000554</c:v>
                </c:pt>
                <c:pt idx="386">
                  <c:v>77.200000000000557</c:v>
                </c:pt>
                <c:pt idx="387">
                  <c:v>77.40000000000056</c:v>
                </c:pt>
                <c:pt idx="388">
                  <c:v>77.600000000000563</c:v>
                </c:pt>
                <c:pt idx="389">
                  <c:v>77.800000000000566</c:v>
                </c:pt>
                <c:pt idx="390">
                  <c:v>78.000000000000568</c:v>
                </c:pt>
                <c:pt idx="391">
                  <c:v>78.200000000000571</c:v>
                </c:pt>
                <c:pt idx="392">
                  <c:v>78.400000000000574</c:v>
                </c:pt>
                <c:pt idx="393">
                  <c:v>78.600000000000577</c:v>
                </c:pt>
                <c:pt idx="394">
                  <c:v>78.80000000000058</c:v>
                </c:pt>
                <c:pt idx="395">
                  <c:v>79.000000000000583</c:v>
                </c:pt>
                <c:pt idx="396">
                  <c:v>79.200000000000585</c:v>
                </c:pt>
                <c:pt idx="397">
                  <c:v>79.400000000000588</c:v>
                </c:pt>
                <c:pt idx="398">
                  <c:v>79.600000000000591</c:v>
                </c:pt>
                <c:pt idx="399">
                  <c:v>79.800000000000594</c:v>
                </c:pt>
                <c:pt idx="400">
                  <c:v>80.000000000000597</c:v>
                </c:pt>
                <c:pt idx="401">
                  <c:v>80.2000000000006</c:v>
                </c:pt>
                <c:pt idx="402">
                  <c:v>80.400000000000603</c:v>
                </c:pt>
                <c:pt idx="403">
                  <c:v>80.600000000000605</c:v>
                </c:pt>
                <c:pt idx="404">
                  <c:v>80.800000000000608</c:v>
                </c:pt>
                <c:pt idx="405">
                  <c:v>81.000000000000611</c:v>
                </c:pt>
                <c:pt idx="406">
                  <c:v>81.200000000000614</c:v>
                </c:pt>
                <c:pt idx="407">
                  <c:v>81.400000000000617</c:v>
                </c:pt>
                <c:pt idx="408">
                  <c:v>81.60000000000062</c:v>
                </c:pt>
                <c:pt idx="409">
                  <c:v>81.800000000000622</c:v>
                </c:pt>
                <c:pt idx="410">
                  <c:v>82.000000000000625</c:v>
                </c:pt>
                <c:pt idx="411">
                  <c:v>82.200000000000628</c:v>
                </c:pt>
                <c:pt idx="412">
                  <c:v>82.400000000000631</c:v>
                </c:pt>
                <c:pt idx="413">
                  <c:v>82.600000000000634</c:v>
                </c:pt>
                <c:pt idx="414">
                  <c:v>82.800000000000637</c:v>
                </c:pt>
                <c:pt idx="415">
                  <c:v>83.000000000000639</c:v>
                </c:pt>
                <c:pt idx="416">
                  <c:v>83.200000000000642</c:v>
                </c:pt>
                <c:pt idx="417">
                  <c:v>83.400000000000645</c:v>
                </c:pt>
                <c:pt idx="418">
                  <c:v>83.600000000000648</c:v>
                </c:pt>
                <c:pt idx="419">
                  <c:v>83.800000000000651</c:v>
                </c:pt>
                <c:pt idx="420">
                  <c:v>84.000000000000654</c:v>
                </c:pt>
                <c:pt idx="421">
                  <c:v>84.200000000000657</c:v>
                </c:pt>
                <c:pt idx="422">
                  <c:v>84.400000000000659</c:v>
                </c:pt>
                <c:pt idx="423">
                  <c:v>84.600000000000662</c:v>
                </c:pt>
                <c:pt idx="424">
                  <c:v>84.800000000000665</c:v>
                </c:pt>
                <c:pt idx="425">
                  <c:v>85.000000000000668</c:v>
                </c:pt>
                <c:pt idx="426">
                  <c:v>85.200000000000671</c:v>
                </c:pt>
                <c:pt idx="427">
                  <c:v>85.400000000000674</c:v>
                </c:pt>
                <c:pt idx="428">
                  <c:v>85.600000000000676</c:v>
                </c:pt>
                <c:pt idx="429">
                  <c:v>85.800000000000679</c:v>
                </c:pt>
                <c:pt idx="430">
                  <c:v>86.000000000000682</c:v>
                </c:pt>
                <c:pt idx="431">
                  <c:v>86.200000000000685</c:v>
                </c:pt>
                <c:pt idx="432">
                  <c:v>86.400000000000688</c:v>
                </c:pt>
                <c:pt idx="433">
                  <c:v>86.600000000000691</c:v>
                </c:pt>
                <c:pt idx="434">
                  <c:v>86.800000000000693</c:v>
                </c:pt>
                <c:pt idx="435">
                  <c:v>87.000000000000696</c:v>
                </c:pt>
                <c:pt idx="436">
                  <c:v>87.200000000000699</c:v>
                </c:pt>
                <c:pt idx="437">
                  <c:v>87.400000000000702</c:v>
                </c:pt>
                <c:pt idx="438">
                  <c:v>87.600000000000705</c:v>
                </c:pt>
                <c:pt idx="439">
                  <c:v>87.800000000000708</c:v>
                </c:pt>
                <c:pt idx="440">
                  <c:v>88.000000000000711</c:v>
                </c:pt>
                <c:pt idx="441">
                  <c:v>88.200000000000713</c:v>
                </c:pt>
                <c:pt idx="442">
                  <c:v>88.400000000000716</c:v>
                </c:pt>
                <c:pt idx="443">
                  <c:v>88.600000000000719</c:v>
                </c:pt>
                <c:pt idx="444">
                  <c:v>88.800000000000722</c:v>
                </c:pt>
                <c:pt idx="445">
                  <c:v>89.000000000000725</c:v>
                </c:pt>
                <c:pt idx="446">
                  <c:v>89.200000000000728</c:v>
                </c:pt>
                <c:pt idx="447">
                  <c:v>89.40000000000073</c:v>
                </c:pt>
                <c:pt idx="448">
                  <c:v>89.600000000000733</c:v>
                </c:pt>
                <c:pt idx="449">
                  <c:v>89.800000000000736</c:v>
                </c:pt>
                <c:pt idx="450">
                  <c:v>90.000000000000739</c:v>
                </c:pt>
                <c:pt idx="451">
                  <c:v>90.200000000000742</c:v>
                </c:pt>
                <c:pt idx="452">
                  <c:v>90.400000000000745</c:v>
                </c:pt>
                <c:pt idx="453">
                  <c:v>90.600000000000747</c:v>
                </c:pt>
                <c:pt idx="454">
                  <c:v>90.80000000000075</c:v>
                </c:pt>
                <c:pt idx="455">
                  <c:v>91.000000000000753</c:v>
                </c:pt>
                <c:pt idx="456">
                  <c:v>91.200000000000756</c:v>
                </c:pt>
                <c:pt idx="457">
                  <c:v>91.400000000000759</c:v>
                </c:pt>
                <c:pt idx="458">
                  <c:v>91.600000000000762</c:v>
                </c:pt>
                <c:pt idx="459">
                  <c:v>91.800000000000765</c:v>
                </c:pt>
                <c:pt idx="460">
                  <c:v>92.000000000000767</c:v>
                </c:pt>
                <c:pt idx="461">
                  <c:v>92.20000000000077</c:v>
                </c:pt>
                <c:pt idx="462">
                  <c:v>92.400000000000773</c:v>
                </c:pt>
                <c:pt idx="463">
                  <c:v>92.600000000000776</c:v>
                </c:pt>
                <c:pt idx="464">
                  <c:v>92.800000000000779</c:v>
                </c:pt>
                <c:pt idx="465">
                  <c:v>93.000000000000782</c:v>
                </c:pt>
                <c:pt idx="466">
                  <c:v>93.200000000000784</c:v>
                </c:pt>
                <c:pt idx="467">
                  <c:v>93.400000000000787</c:v>
                </c:pt>
                <c:pt idx="468">
                  <c:v>93.60000000000079</c:v>
                </c:pt>
                <c:pt idx="469">
                  <c:v>93.800000000000793</c:v>
                </c:pt>
                <c:pt idx="470">
                  <c:v>94.000000000000796</c:v>
                </c:pt>
                <c:pt idx="471">
                  <c:v>94.200000000000799</c:v>
                </c:pt>
                <c:pt idx="472">
                  <c:v>94.400000000000801</c:v>
                </c:pt>
                <c:pt idx="473">
                  <c:v>94.600000000000804</c:v>
                </c:pt>
                <c:pt idx="474">
                  <c:v>94.800000000000807</c:v>
                </c:pt>
                <c:pt idx="475">
                  <c:v>95.00000000000081</c:v>
                </c:pt>
                <c:pt idx="476">
                  <c:v>95.200000000000813</c:v>
                </c:pt>
                <c:pt idx="477">
                  <c:v>95.400000000000816</c:v>
                </c:pt>
                <c:pt idx="478">
                  <c:v>95.600000000000819</c:v>
                </c:pt>
                <c:pt idx="479">
                  <c:v>95.800000000000821</c:v>
                </c:pt>
                <c:pt idx="480">
                  <c:v>96.000000000000824</c:v>
                </c:pt>
                <c:pt idx="481">
                  <c:v>96.200000000000827</c:v>
                </c:pt>
                <c:pt idx="482">
                  <c:v>96.40000000000083</c:v>
                </c:pt>
                <c:pt idx="483">
                  <c:v>96.600000000000833</c:v>
                </c:pt>
                <c:pt idx="484">
                  <c:v>96.800000000000836</c:v>
                </c:pt>
                <c:pt idx="485">
                  <c:v>97.000000000000838</c:v>
                </c:pt>
                <c:pt idx="486">
                  <c:v>97.200000000000841</c:v>
                </c:pt>
                <c:pt idx="487">
                  <c:v>97.400000000000844</c:v>
                </c:pt>
                <c:pt idx="488">
                  <c:v>97.600000000000847</c:v>
                </c:pt>
                <c:pt idx="489">
                  <c:v>97.80000000000085</c:v>
                </c:pt>
                <c:pt idx="490">
                  <c:v>98.000000000000853</c:v>
                </c:pt>
                <c:pt idx="491">
                  <c:v>98.200000000000855</c:v>
                </c:pt>
                <c:pt idx="492">
                  <c:v>98.400000000000858</c:v>
                </c:pt>
                <c:pt idx="493">
                  <c:v>98.600000000000861</c:v>
                </c:pt>
                <c:pt idx="494">
                  <c:v>98.800000000000864</c:v>
                </c:pt>
                <c:pt idx="495">
                  <c:v>99.000000000000867</c:v>
                </c:pt>
                <c:pt idx="496">
                  <c:v>99.20000000000087</c:v>
                </c:pt>
                <c:pt idx="497">
                  <c:v>99.400000000000873</c:v>
                </c:pt>
                <c:pt idx="498">
                  <c:v>99.600000000000875</c:v>
                </c:pt>
                <c:pt idx="499">
                  <c:v>99.800000000000878</c:v>
                </c:pt>
                <c:pt idx="500">
                  <c:v>100.00000000000088</c:v>
                </c:pt>
                <c:pt idx="501">
                  <c:v>100.20000000000088</c:v>
                </c:pt>
                <c:pt idx="502">
                  <c:v>100.40000000000089</c:v>
                </c:pt>
                <c:pt idx="503">
                  <c:v>100.60000000000089</c:v>
                </c:pt>
                <c:pt idx="504">
                  <c:v>100.80000000000089</c:v>
                </c:pt>
                <c:pt idx="505">
                  <c:v>101.0000000000009</c:v>
                </c:pt>
                <c:pt idx="506">
                  <c:v>101.2000000000009</c:v>
                </c:pt>
                <c:pt idx="507">
                  <c:v>101.4000000000009</c:v>
                </c:pt>
                <c:pt idx="508">
                  <c:v>101.6000000000009</c:v>
                </c:pt>
                <c:pt idx="509">
                  <c:v>101.80000000000091</c:v>
                </c:pt>
                <c:pt idx="510">
                  <c:v>102.00000000000091</c:v>
                </c:pt>
                <c:pt idx="511">
                  <c:v>102.20000000000091</c:v>
                </c:pt>
                <c:pt idx="512">
                  <c:v>102.40000000000092</c:v>
                </c:pt>
                <c:pt idx="513">
                  <c:v>102.60000000000092</c:v>
                </c:pt>
                <c:pt idx="514">
                  <c:v>102.80000000000092</c:v>
                </c:pt>
                <c:pt idx="515">
                  <c:v>103.00000000000092</c:v>
                </c:pt>
                <c:pt idx="516">
                  <c:v>103.20000000000093</c:v>
                </c:pt>
                <c:pt idx="517">
                  <c:v>103.40000000000093</c:v>
                </c:pt>
                <c:pt idx="518">
                  <c:v>103.60000000000093</c:v>
                </c:pt>
                <c:pt idx="519">
                  <c:v>103.80000000000094</c:v>
                </c:pt>
                <c:pt idx="520">
                  <c:v>104.00000000000094</c:v>
                </c:pt>
                <c:pt idx="521">
                  <c:v>104.20000000000094</c:v>
                </c:pt>
                <c:pt idx="522">
                  <c:v>104.40000000000094</c:v>
                </c:pt>
                <c:pt idx="523">
                  <c:v>104.60000000000095</c:v>
                </c:pt>
                <c:pt idx="524">
                  <c:v>104.80000000000095</c:v>
                </c:pt>
                <c:pt idx="525">
                  <c:v>105.00000000000095</c:v>
                </c:pt>
                <c:pt idx="526">
                  <c:v>105.20000000000095</c:v>
                </c:pt>
                <c:pt idx="527">
                  <c:v>105.40000000000096</c:v>
                </c:pt>
                <c:pt idx="528">
                  <c:v>105.60000000000096</c:v>
                </c:pt>
                <c:pt idx="529">
                  <c:v>105.80000000000096</c:v>
                </c:pt>
                <c:pt idx="530">
                  <c:v>106.00000000000097</c:v>
                </c:pt>
                <c:pt idx="531">
                  <c:v>106.20000000000097</c:v>
                </c:pt>
                <c:pt idx="532">
                  <c:v>106.40000000000097</c:v>
                </c:pt>
                <c:pt idx="533">
                  <c:v>106.60000000000097</c:v>
                </c:pt>
                <c:pt idx="534">
                  <c:v>106.80000000000098</c:v>
                </c:pt>
                <c:pt idx="535">
                  <c:v>107.00000000000098</c:v>
                </c:pt>
                <c:pt idx="536">
                  <c:v>107.20000000000098</c:v>
                </c:pt>
                <c:pt idx="537">
                  <c:v>107.40000000000099</c:v>
                </c:pt>
                <c:pt idx="538">
                  <c:v>107.60000000000099</c:v>
                </c:pt>
                <c:pt idx="539">
                  <c:v>107.80000000000099</c:v>
                </c:pt>
                <c:pt idx="540">
                  <c:v>108.00000000000099</c:v>
                </c:pt>
                <c:pt idx="541">
                  <c:v>108.200000000001</c:v>
                </c:pt>
                <c:pt idx="542">
                  <c:v>108.400000000001</c:v>
                </c:pt>
                <c:pt idx="543">
                  <c:v>108.600000000001</c:v>
                </c:pt>
                <c:pt idx="544">
                  <c:v>108.80000000000101</c:v>
                </c:pt>
                <c:pt idx="545">
                  <c:v>109.00000000000101</c:v>
                </c:pt>
                <c:pt idx="546">
                  <c:v>109.20000000000101</c:v>
                </c:pt>
                <c:pt idx="547">
                  <c:v>109.40000000000101</c:v>
                </c:pt>
                <c:pt idx="548">
                  <c:v>109.60000000000102</c:v>
                </c:pt>
                <c:pt idx="549">
                  <c:v>109.80000000000102</c:v>
                </c:pt>
                <c:pt idx="550">
                  <c:v>110.00000000000102</c:v>
                </c:pt>
                <c:pt idx="551">
                  <c:v>110.20000000000103</c:v>
                </c:pt>
                <c:pt idx="552">
                  <c:v>110.40000000000103</c:v>
                </c:pt>
                <c:pt idx="553">
                  <c:v>110.60000000000103</c:v>
                </c:pt>
                <c:pt idx="554">
                  <c:v>110.80000000000103</c:v>
                </c:pt>
                <c:pt idx="555">
                  <c:v>111.00000000000104</c:v>
                </c:pt>
                <c:pt idx="556">
                  <c:v>111.20000000000104</c:v>
                </c:pt>
                <c:pt idx="557">
                  <c:v>111.40000000000104</c:v>
                </c:pt>
                <c:pt idx="558">
                  <c:v>111.60000000000105</c:v>
                </c:pt>
                <c:pt idx="559">
                  <c:v>111.80000000000105</c:v>
                </c:pt>
                <c:pt idx="560">
                  <c:v>112.00000000000105</c:v>
                </c:pt>
                <c:pt idx="561">
                  <c:v>112.20000000000105</c:v>
                </c:pt>
                <c:pt idx="562">
                  <c:v>112.40000000000106</c:v>
                </c:pt>
                <c:pt idx="563">
                  <c:v>112.60000000000106</c:v>
                </c:pt>
                <c:pt idx="564">
                  <c:v>112.80000000000106</c:v>
                </c:pt>
                <c:pt idx="565">
                  <c:v>113.00000000000107</c:v>
                </c:pt>
                <c:pt idx="566">
                  <c:v>113.20000000000107</c:v>
                </c:pt>
                <c:pt idx="567">
                  <c:v>113.40000000000107</c:v>
                </c:pt>
                <c:pt idx="568">
                  <c:v>113.60000000000107</c:v>
                </c:pt>
                <c:pt idx="569">
                  <c:v>113.80000000000108</c:v>
                </c:pt>
                <c:pt idx="570">
                  <c:v>114.00000000000108</c:v>
                </c:pt>
                <c:pt idx="571">
                  <c:v>114.20000000000108</c:v>
                </c:pt>
                <c:pt idx="572">
                  <c:v>114.40000000000109</c:v>
                </c:pt>
                <c:pt idx="573">
                  <c:v>114.60000000000109</c:v>
                </c:pt>
                <c:pt idx="574">
                  <c:v>114.80000000000109</c:v>
                </c:pt>
                <c:pt idx="575">
                  <c:v>115.00000000000109</c:v>
                </c:pt>
                <c:pt idx="576">
                  <c:v>115.2000000000011</c:v>
                </c:pt>
                <c:pt idx="577">
                  <c:v>115.4000000000011</c:v>
                </c:pt>
                <c:pt idx="578">
                  <c:v>115.6000000000011</c:v>
                </c:pt>
                <c:pt idx="579">
                  <c:v>115.80000000000111</c:v>
                </c:pt>
                <c:pt idx="580">
                  <c:v>116.00000000000111</c:v>
                </c:pt>
                <c:pt idx="581">
                  <c:v>116.20000000000111</c:v>
                </c:pt>
                <c:pt idx="582">
                  <c:v>116.40000000000111</c:v>
                </c:pt>
                <c:pt idx="583">
                  <c:v>116.60000000000112</c:v>
                </c:pt>
                <c:pt idx="584">
                  <c:v>116.80000000000112</c:v>
                </c:pt>
                <c:pt idx="585">
                  <c:v>117.00000000000112</c:v>
                </c:pt>
                <c:pt idx="586">
                  <c:v>117.20000000000113</c:v>
                </c:pt>
                <c:pt idx="587">
                  <c:v>117.40000000000113</c:v>
                </c:pt>
                <c:pt idx="588">
                  <c:v>117.60000000000113</c:v>
                </c:pt>
                <c:pt idx="589">
                  <c:v>117.80000000000113</c:v>
                </c:pt>
                <c:pt idx="590">
                  <c:v>118.00000000000114</c:v>
                </c:pt>
                <c:pt idx="591">
                  <c:v>118.20000000000114</c:v>
                </c:pt>
                <c:pt idx="592">
                  <c:v>118.40000000000114</c:v>
                </c:pt>
                <c:pt idx="593">
                  <c:v>118.60000000000115</c:v>
                </c:pt>
                <c:pt idx="594">
                  <c:v>118.80000000000115</c:v>
                </c:pt>
                <c:pt idx="595">
                  <c:v>119.00000000000115</c:v>
                </c:pt>
                <c:pt idx="596">
                  <c:v>119.20000000000115</c:v>
                </c:pt>
                <c:pt idx="597">
                  <c:v>119.40000000000116</c:v>
                </c:pt>
                <c:pt idx="598">
                  <c:v>119.60000000000116</c:v>
                </c:pt>
                <c:pt idx="599">
                  <c:v>119.80000000000116</c:v>
                </c:pt>
                <c:pt idx="600">
                  <c:v>120.00000000000117</c:v>
                </c:pt>
                <c:pt idx="601">
                  <c:v>120.20000000000117</c:v>
                </c:pt>
                <c:pt idx="602">
                  <c:v>120.40000000000117</c:v>
                </c:pt>
                <c:pt idx="603">
                  <c:v>120.60000000000117</c:v>
                </c:pt>
                <c:pt idx="604">
                  <c:v>120.80000000000118</c:v>
                </c:pt>
                <c:pt idx="605">
                  <c:v>121.00000000000118</c:v>
                </c:pt>
                <c:pt idx="606">
                  <c:v>121.20000000000118</c:v>
                </c:pt>
                <c:pt idx="607">
                  <c:v>121.40000000000119</c:v>
                </c:pt>
                <c:pt idx="608">
                  <c:v>121.60000000000119</c:v>
                </c:pt>
                <c:pt idx="609">
                  <c:v>121.80000000000119</c:v>
                </c:pt>
                <c:pt idx="610">
                  <c:v>122.00000000000119</c:v>
                </c:pt>
                <c:pt idx="611">
                  <c:v>122.2000000000012</c:v>
                </c:pt>
                <c:pt idx="612">
                  <c:v>122.4000000000012</c:v>
                </c:pt>
                <c:pt idx="613">
                  <c:v>122.6000000000012</c:v>
                </c:pt>
                <c:pt idx="614">
                  <c:v>122.80000000000121</c:v>
                </c:pt>
                <c:pt idx="615">
                  <c:v>123.00000000000121</c:v>
                </c:pt>
                <c:pt idx="616">
                  <c:v>123.20000000000121</c:v>
                </c:pt>
                <c:pt idx="617">
                  <c:v>123.40000000000121</c:v>
                </c:pt>
                <c:pt idx="618">
                  <c:v>123.60000000000122</c:v>
                </c:pt>
                <c:pt idx="619">
                  <c:v>123.80000000000122</c:v>
                </c:pt>
                <c:pt idx="620">
                  <c:v>124.00000000000122</c:v>
                </c:pt>
                <c:pt idx="621">
                  <c:v>124.20000000000122</c:v>
                </c:pt>
                <c:pt idx="622">
                  <c:v>124.40000000000123</c:v>
                </c:pt>
                <c:pt idx="623">
                  <c:v>124.60000000000123</c:v>
                </c:pt>
                <c:pt idx="624">
                  <c:v>124.80000000000123</c:v>
                </c:pt>
                <c:pt idx="625">
                  <c:v>125.00000000000124</c:v>
                </c:pt>
                <c:pt idx="626">
                  <c:v>125.20000000000124</c:v>
                </c:pt>
                <c:pt idx="627">
                  <c:v>125.40000000000124</c:v>
                </c:pt>
                <c:pt idx="628">
                  <c:v>125.60000000000124</c:v>
                </c:pt>
                <c:pt idx="629">
                  <c:v>125.80000000000125</c:v>
                </c:pt>
                <c:pt idx="630">
                  <c:v>126.00000000000125</c:v>
                </c:pt>
                <c:pt idx="631">
                  <c:v>126.20000000000125</c:v>
                </c:pt>
                <c:pt idx="632">
                  <c:v>126.40000000000126</c:v>
                </c:pt>
                <c:pt idx="633">
                  <c:v>126.60000000000126</c:v>
                </c:pt>
                <c:pt idx="634">
                  <c:v>126.80000000000126</c:v>
                </c:pt>
                <c:pt idx="635">
                  <c:v>127.00000000000126</c:v>
                </c:pt>
                <c:pt idx="636">
                  <c:v>127.20000000000127</c:v>
                </c:pt>
                <c:pt idx="637">
                  <c:v>127.40000000000127</c:v>
                </c:pt>
                <c:pt idx="638">
                  <c:v>127.60000000000127</c:v>
                </c:pt>
                <c:pt idx="639">
                  <c:v>127.80000000000128</c:v>
                </c:pt>
                <c:pt idx="640">
                  <c:v>128.00000000000128</c:v>
                </c:pt>
                <c:pt idx="641">
                  <c:v>128.20000000000127</c:v>
                </c:pt>
                <c:pt idx="642">
                  <c:v>128.40000000000126</c:v>
                </c:pt>
                <c:pt idx="643">
                  <c:v>128.60000000000124</c:v>
                </c:pt>
                <c:pt idx="644">
                  <c:v>128.80000000000123</c:v>
                </c:pt>
                <c:pt idx="645">
                  <c:v>129.00000000000122</c:v>
                </c:pt>
                <c:pt idx="646">
                  <c:v>129.20000000000121</c:v>
                </c:pt>
                <c:pt idx="647">
                  <c:v>129.4000000000012</c:v>
                </c:pt>
                <c:pt idx="648">
                  <c:v>129.60000000000119</c:v>
                </c:pt>
                <c:pt idx="649">
                  <c:v>129.80000000000118</c:v>
                </c:pt>
                <c:pt idx="650">
                  <c:v>130.00000000000117</c:v>
                </c:pt>
                <c:pt idx="651">
                  <c:v>130.20000000000115</c:v>
                </c:pt>
                <c:pt idx="652">
                  <c:v>130.40000000000114</c:v>
                </c:pt>
                <c:pt idx="653">
                  <c:v>130.60000000000113</c:v>
                </c:pt>
                <c:pt idx="654">
                  <c:v>130.80000000000112</c:v>
                </c:pt>
                <c:pt idx="655">
                  <c:v>131.00000000000111</c:v>
                </c:pt>
                <c:pt idx="656">
                  <c:v>131.2000000000011</c:v>
                </c:pt>
                <c:pt idx="657">
                  <c:v>131.40000000000109</c:v>
                </c:pt>
                <c:pt idx="658">
                  <c:v>131.60000000000107</c:v>
                </c:pt>
                <c:pt idx="659">
                  <c:v>131.80000000000106</c:v>
                </c:pt>
                <c:pt idx="660">
                  <c:v>132.00000000000105</c:v>
                </c:pt>
                <c:pt idx="661">
                  <c:v>132.20000000000104</c:v>
                </c:pt>
                <c:pt idx="662">
                  <c:v>132.40000000000103</c:v>
                </c:pt>
                <c:pt idx="663">
                  <c:v>132.60000000000102</c:v>
                </c:pt>
                <c:pt idx="664">
                  <c:v>132.80000000000101</c:v>
                </c:pt>
                <c:pt idx="665">
                  <c:v>133.00000000000099</c:v>
                </c:pt>
                <c:pt idx="666">
                  <c:v>133.20000000000098</c:v>
                </c:pt>
                <c:pt idx="667">
                  <c:v>133.40000000000097</c:v>
                </c:pt>
                <c:pt idx="668">
                  <c:v>133.60000000000096</c:v>
                </c:pt>
                <c:pt idx="669">
                  <c:v>133.80000000000095</c:v>
                </c:pt>
                <c:pt idx="670">
                  <c:v>134.00000000000094</c:v>
                </c:pt>
                <c:pt idx="671">
                  <c:v>134.20000000000093</c:v>
                </c:pt>
                <c:pt idx="672">
                  <c:v>134.40000000000092</c:v>
                </c:pt>
                <c:pt idx="673">
                  <c:v>134.6000000000009</c:v>
                </c:pt>
                <c:pt idx="674">
                  <c:v>134.80000000000089</c:v>
                </c:pt>
                <c:pt idx="675">
                  <c:v>135.00000000000088</c:v>
                </c:pt>
                <c:pt idx="676">
                  <c:v>135.20000000000087</c:v>
                </c:pt>
                <c:pt idx="677">
                  <c:v>135.40000000000086</c:v>
                </c:pt>
                <c:pt idx="678">
                  <c:v>135.60000000000085</c:v>
                </c:pt>
                <c:pt idx="679">
                  <c:v>135.80000000000084</c:v>
                </c:pt>
                <c:pt idx="680">
                  <c:v>136.00000000000082</c:v>
                </c:pt>
                <c:pt idx="681">
                  <c:v>136.20000000000081</c:v>
                </c:pt>
                <c:pt idx="682">
                  <c:v>136.4000000000008</c:v>
                </c:pt>
                <c:pt idx="683">
                  <c:v>136.60000000000079</c:v>
                </c:pt>
                <c:pt idx="684">
                  <c:v>136.80000000000078</c:v>
                </c:pt>
                <c:pt idx="685">
                  <c:v>137.00000000000077</c:v>
                </c:pt>
                <c:pt idx="686">
                  <c:v>137.20000000000076</c:v>
                </c:pt>
                <c:pt idx="687">
                  <c:v>137.40000000000074</c:v>
                </c:pt>
                <c:pt idx="688">
                  <c:v>137.60000000000073</c:v>
                </c:pt>
                <c:pt idx="689">
                  <c:v>137.80000000000072</c:v>
                </c:pt>
                <c:pt idx="690">
                  <c:v>138.00000000000071</c:v>
                </c:pt>
                <c:pt idx="691">
                  <c:v>138.2000000000007</c:v>
                </c:pt>
                <c:pt idx="692">
                  <c:v>138.40000000000069</c:v>
                </c:pt>
                <c:pt idx="693">
                  <c:v>138.60000000000068</c:v>
                </c:pt>
                <c:pt idx="694">
                  <c:v>138.80000000000067</c:v>
                </c:pt>
                <c:pt idx="695">
                  <c:v>139.00000000000065</c:v>
                </c:pt>
                <c:pt idx="696">
                  <c:v>139.20000000000064</c:v>
                </c:pt>
                <c:pt idx="697">
                  <c:v>139.40000000000063</c:v>
                </c:pt>
                <c:pt idx="698">
                  <c:v>139.60000000000062</c:v>
                </c:pt>
                <c:pt idx="699">
                  <c:v>139.80000000000061</c:v>
                </c:pt>
                <c:pt idx="700">
                  <c:v>140.0000000000006</c:v>
                </c:pt>
                <c:pt idx="701">
                  <c:v>140.20000000000059</c:v>
                </c:pt>
                <c:pt idx="702">
                  <c:v>140.40000000000057</c:v>
                </c:pt>
                <c:pt idx="703">
                  <c:v>140.60000000000056</c:v>
                </c:pt>
                <c:pt idx="704">
                  <c:v>140.80000000000055</c:v>
                </c:pt>
                <c:pt idx="705">
                  <c:v>141.00000000000054</c:v>
                </c:pt>
                <c:pt idx="706">
                  <c:v>141.20000000000053</c:v>
                </c:pt>
                <c:pt idx="707">
                  <c:v>141.40000000000052</c:v>
                </c:pt>
                <c:pt idx="708">
                  <c:v>141.60000000000051</c:v>
                </c:pt>
                <c:pt idx="709">
                  <c:v>141.80000000000049</c:v>
                </c:pt>
                <c:pt idx="710">
                  <c:v>142.00000000000048</c:v>
                </c:pt>
                <c:pt idx="711">
                  <c:v>142.20000000000047</c:v>
                </c:pt>
                <c:pt idx="712">
                  <c:v>142.40000000000046</c:v>
                </c:pt>
                <c:pt idx="713">
                  <c:v>142.60000000000045</c:v>
                </c:pt>
                <c:pt idx="714">
                  <c:v>142.80000000000044</c:v>
                </c:pt>
                <c:pt idx="715">
                  <c:v>143.00000000000043</c:v>
                </c:pt>
                <c:pt idx="716">
                  <c:v>143.20000000000041</c:v>
                </c:pt>
                <c:pt idx="717">
                  <c:v>143.4000000000004</c:v>
                </c:pt>
                <c:pt idx="718">
                  <c:v>143.60000000000039</c:v>
                </c:pt>
                <c:pt idx="719">
                  <c:v>143.80000000000038</c:v>
                </c:pt>
                <c:pt idx="720">
                  <c:v>144.00000000000037</c:v>
                </c:pt>
                <c:pt idx="721">
                  <c:v>144.20000000000036</c:v>
                </c:pt>
                <c:pt idx="722">
                  <c:v>144.40000000000035</c:v>
                </c:pt>
                <c:pt idx="723">
                  <c:v>144.60000000000034</c:v>
                </c:pt>
                <c:pt idx="724">
                  <c:v>144.80000000000032</c:v>
                </c:pt>
                <c:pt idx="725">
                  <c:v>145.00000000000031</c:v>
                </c:pt>
                <c:pt idx="726">
                  <c:v>145.2000000000003</c:v>
                </c:pt>
                <c:pt idx="727">
                  <c:v>145.40000000000029</c:v>
                </c:pt>
                <c:pt idx="728">
                  <c:v>145.60000000000028</c:v>
                </c:pt>
                <c:pt idx="729">
                  <c:v>145.80000000000027</c:v>
                </c:pt>
                <c:pt idx="730">
                  <c:v>146.00000000000026</c:v>
                </c:pt>
                <c:pt idx="731">
                  <c:v>146.20000000000024</c:v>
                </c:pt>
                <c:pt idx="732">
                  <c:v>146.40000000000023</c:v>
                </c:pt>
                <c:pt idx="733">
                  <c:v>146.60000000000022</c:v>
                </c:pt>
                <c:pt idx="734">
                  <c:v>146.80000000000021</c:v>
                </c:pt>
                <c:pt idx="735">
                  <c:v>147.0000000000002</c:v>
                </c:pt>
                <c:pt idx="736">
                  <c:v>147.20000000000019</c:v>
                </c:pt>
                <c:pt idx="737">
                  <c:v>147.40000000000018</c:v>
                </c:pt>
                <c:pt idx="738">
                  <c:v>147.60000000000016</c:v>
                </c:pt>
                <c:pt idx="739">
                  <c:v>147.80000000000015</c:v>
                </c:pt>
                <c:pt idx="740">
                  <c:v>148.00000000000014</c:v>
                </c:pt>
                <c:pt idx="741">
                  <c:v>148.20000000000013</c:v>
                </c:pt>
                <c:pt idx="742">
                  <c:v>148.40000000000012</c:v>
                </c:pt>
                <c:pt idx="743">
                  <c:v>148.60000000000011</c:v>
                </c:pt>
                <c:pt idx="744">
                  <c:v>148.8000000000001</c:v>
                </c:pt>
                <c:pt idx="745">
                  <c:v>149.00000000000009</c:v>
                </c:pt>
                <c:pt idx="746">
                  <c:v>149.20000000000007</c:v>
                </c:pt>
                <c:pt idx="747">
                  <c:v>149.40000000000006</c:v>
                </c:pt>
                <c:pt idx="748">
                  <c:v>149.60000000000005</c:v>
                </c:pt>
                <c:pt idx="749">
                  <c:v>149.80000000000004</c:v>
                </c:pt>
                <c:pt idx="750">
                  <c:v>150.00000000000003</c:v>
                </c:pt>
                <c:pt idx="751">
                  <c:v>150.20000000000002</c:v>
                </c:pt>
                <c:pt idx="752">
                  <c:v>150.4</c:v>
                </c:pt>
                <c:pt idx="753">
                  <c:v>150.6</c:v>
                </c:pt>
                <c:pt idx="754">
                  <c:v>150.79999999999998</c:v>
                </c:pt>
                <c:pt idx="755">
                  <c:v>150.99999999999997</c:v>
                </c:pt>
                <c:pt idx="756">
                  <c:v>151.19999999999996</c:v>
                </c:pt>
                <c:pt idx="757">
                  <c:v>151.39999999999995</c:v>
                </c:pt>
                <c:pt idx="758">
                  <c:v>151.59999999999994</c:v>
                </c:pt>
                <c:pt idx="759">
                  <c:v>151.79999999999993</c:v>
                </c:pt>
                <c:pt idx="760">
                  <c:v>151.99999999999991</c:v>
                </c:pt>
                <c:pt idx="761">
                  <c:v>152.1999999999999</c:v>
                </c:pt>
                <c:pt idx="762">
                  <c:v>152.39999999999989</c:v>
                </c:pt>
                <c:pt idx="763">
                  <c:v>152.59999999999988</c:v>
                </c:pt>
                <c:pt idx="764">
                  <c:v>152.79999999999987</c:v>
                </c:pt>
                <c:pt idx="765">
                  <c:v>152.99999999999986</c:v>
                </c:pt>
                <c:pt idx="766">
                  <c:v>153.19999999999985</c:v>
                </c:pt>
                <c:pt idx="767">
                  <c:v>153.39999999999984</c:v>
                </c:pt>
                <c:pt idx="768">
                  <c:v>153.59999999999982</c:v>
                </c:pt>
                <c:pt idx="769">
                  <c:v>153.79999999999981</c:v>
                </c:pt>
                <c:pt idx="770">
                  <c:v>153.9999999999998</c:v>
                </c:pt>
                <c:pt idx="771">
                  <c:v>154.19999999999979</c:v>
                </c:pt>
                <c:pt idx="772">
                  <c:v>154.39999999999978</c:v>
                </c:pt>
                <c:pt idx="773">
                  <c:v>154.59999999999977</c:v>
                </c:pt>
                <c:pt idx="774">
                  <c:v>154.79999999999976</c:v>
                </c:pt>
                <c:pt idx="775">
                  <c:v>154.99999999999974</c:v>
                </c:pt>
                <c:pt idx="776">
                  <c:v>155.19999999999973</c:v>
                </c:pt>
                <c:pt idx="777">
                  <c:v>155.39999999999972</c:v>
                </c:pt>
                <c:pt idx="778">
                  <c:v>155.59999999999971</c:v>
                </c:pt>
                <c:pt idx="779">
                  <c:v>155.7999999999997</c:v>
                </c:pt>
                <c:pt idx="780">
                  <c:v>155.99999999999969</c:v>
                </c:pt>
                <c:pt idx="781">
                  <c:v>156.19999999999968</c:v>
                </c:pt>
                <c:pt idx="782">
                  <c:v>156.39999999999966</c:v>
                </c:pt>
                <c:pt idx="783">
                  <c:v>156.59999999999965</c:v>
                </c:pt>
                <c:pt idx="784">
                  <c:v>156.79999999999964</c:v>
                </c:pt>
                <c:pt idx="785">
                  <c:v>156.99999999999963</c:v>
                </c:pt>
                <c:pt idx="786">
                  <c:v>157.19999999999962</c:v>
                </c:pt>
                <c:pt idx="787">
                  <c:v>157.39999999999961</c:v>
                </c:pt>
                <c:pt idx="788">
                  <c:v>157.5999999999996</c:v>
                </c:pt>
                <c:pt idx="789">
                  <c:v>157.79999999999959</c:v>
                </c:pt>
                <c:pt idx="790">
                  <c:v>157.99999999999957</c:v>
                </c:pt>
                <c:pt idx="791">
                  <c:v>158.19999999999956</c:v>
                </c:pt>
                <c:pt idx="792">
                  <c:v>158.39999999999955</c:v>
                </c:pt>
                <c:pt idx="793">
                  <c:v>158.59999999999954</c:v>
                </c:pt>
                <c:pt idx="794">
                  <c:v>158.79999999999953</c:v>
                </c:pt>
                <c:pt idx="795">
                  <c:v>158.99999999999952</c:v>
                </c:pt>
                <c:pt idx="796">
                  <c:v>159.19999999999951</c:v>
                </c:pt>
                <c:pt idx="797">
                  <c:v>159.39999999999949</c:v>
                </c:pt>
                <c:pt idx="798">
                  <c:v>159.59999999999948</c:v>
                </c:pt>
                <c:pt idx="799">
                  <c:v>159.79999999999947</c:v>
                </c:pt>
                <c:pt idx="800">
                  <c:v>159.99999999999946</c:v>
                </c:pt>
                <c:pt idx="801">
                  <c:v>160.19999999999945</c:v>
                </c:pt>
                <c:pt idx="802">
                  <c:v>160.39999999999944</c:v>
                </c:pt>
                <c:pt idx="803">
                  <c:v>160.59999999999943</c:v>
                </c:pt>
                <c:pt idx="804">
                  <c:v>160.79999999999941</c:v>
                </c:pt>
                <c:pt idx="805">
                  <c:v>160.9999999999994</c:v>
                </c:pt>
                <c:pt idx="806">
                  <c:v>161.19999999999939</c:v>
                </c:pt>
                <c:pt idx="807">
                  <c:v>161.39999999999938</c:v>
                </c:pt>
                <c:pt idx="808">
                  <c:v>161.59999999999937</c:v>
                </c:pt>
                <c:pt idx="809">
                  <c:v>161.79999999999936</c:v>
                </c:pt>
                <c:pt idx="810">
                  <c:v>161.99999999999935</c:v>
                </c:pt>
                <c:pt idx="811">
                  <c:v>162.19999999999933</c:v>
                </c:pt>
                <c:pt idx="812">
                  <c:v>162.39999999999932</c:v>
                </c:pt>
                <c:pt idx="813">
                  <c:v>162.59999999999931</c:v>
                </c:pt>
                <c:pt idx="814">
                  <c:v>162.7999999999993</c:v>
                </c:pt>
                <c:pt idx="815">
                  <c:v>162.99999999999929</c:v>
                </c:pt>
                <c:pt idx="816">
                  <c:v>163.19999999999928</c:v>
                </c:pt>
                <c:pt idx="817">
                  <c:v>163.39999999999927</c:v>
                </c:pt>
                <c:pt idx="818">
                  <c:v>163.59999999999926</c:v>
                </c:pt>
                <c:pt idx="819">
                  <c:v>163.79999999999924</c:v>
                </c:pt>
                <c:pt idx="820">
                  <c:v>163.99999999999923</c:v>
                </c:pt>
                <c:pt idx="821">
                  <c:v>164.19999999999922</c:v>
                </c:pt>
                <c:pt idx="822">
                  <c:v>164.39999999999921</c:v>
                </c:pt>
                <c:pt idx="823">
                  <c:v>164.5999999999992</c:v>
                </c:pt>
                <c:pt idx="824">
                  <c:v>164.79999999999919</c:v>
                </c:pt>
                <c:pt idx="825">
                  <c:v>164.99999999999918</c:v>
                </c:pt>
                <c:pt idx="826">
                  <c:v>165.19999999999916</c:v>
                </c:pt>
                <c:pt idx="827">
                  <c:v>165.39999999999915</c:v>
                </c:pt>
                <c:pt idx="828">
                  <c:v>165.59999999999914</c:v>
                </c:pt>
                <c:pt idx="829">
                  <c:v>165.79999999999913</c:v>
                </c:pt>
                <c:pt idx="830">
                  <c:v>165.99999999999912</c:v>
                </c:pt>
                <c:pt idx="831">
                  <c:v>166.19999999999911</c:v>
                </c:pt>
                <c:pt idx="832">
                  <c:v>166.3999999999991</c:v>
                </c:pt>
                <c:pt idx="833">
                  <c:v>166.59999999999908</c:v>
                </c:pt>
                <c:pt idx="834">
                  <c:v>166.79999999999907</c:v>
                </c:pt>
                <c:pt idx="835">
                  <c:v>166.99999999999906</c:v>
                </c:pt>
                <c:pt idx="836">
                  <c:v>167.19999999999905</c:v>
                </c:pt>
                <c:pt idx="837">
                  <c:v>167.39999999999904</c:v>
                </c:pt>
                <c:pt idx="838">
                  <c:v>167.59999999999903</c:v>
                </c:pt>
                <c:pt idx="839">
                  <c:v>167.79999999999902</c:v>
                </c:pt>
                <c:pt idx="840">
                  <c:v>167.99999999999901</c:v>
                </c:pt>
                <c:pt idx="841">
                  <c:v>168.19999999999899</c:v>
                </c:pt>
                <c:pt idx="842">
                  <c:v>168.39999999999898</c:v>
                </c:pt>
                <c:pt idx="843">
                  <c:v>168.59999999999897</c:v>
                </c:pt>
                <c:pt idx="844">
                  <c:v>168.79999999999896</c:v>
                </c:pt>
                <c:pt idx="845">
                  <c:v>168.99999999999895</c:v>
                </c:pt>
                <c:pt idx="846">
                  <c:v>169.19999999999894</c:v>
                </c:pt>
                <c:pt idx="847">
                  <c:v>169.39999999999893</c:v>
                </c:pt>
                <c:pt idx="848">
                  <c:v>169.59999999999891</c:v>
                </c:pt>
                <c:pt idx="849">
                  <c:v>169.7999999999989</c:v>
                </c:pt>
                <c:pt idx="850">
                  <c:v>169.99999999999889</c:v>
                </c:pt>
                <c:pt idx="851">
                  <c:v>170.19999999999888</c:v>
                </c:pt>
                <c:pt idx="852">
                  <c:v>170.39999999999887</c:v>
                </c:pt>
                <c:pt idx="853">
                  <c:v>170.59999999999886</c:v>
                </c:pt>
                <c:pt idx="854">
                  <c:v>170.79999999999885</c:v>
                </c:pt>
                <c:pt idx="855">
                  <c:v>170.99999999999883</c:v>
                </c:pt>
                <c:pt idx="856">
                  <c:v>171.19999999999882</c:v>
                </c:pt>
                <c:pt idx="857">
                  <c:v>171.39999999999881</c:v>
                </c:pt>
                <c:pt idx="858">
                  <c:v>171.5999999999988</c:v>
                </c:pt>
                <c:pt idx="859">
                  <c:v>171.79999999999879</c:v>
                </c:pt>
                <c:pt idx="860">
                  <c:v>171.99999999999878</c:v>
                </c:pt>
                <c:pt idx="861">
                  <c:v>172.19999999999877</c:v>
                </c:pt>
                <c:pt idx="862">
                  <c:v>172.39999999999876</c:v>
                </c:pt>
                <c:pt idx="863">
                  <c:v>172.59999999999874</c:v>
                </c:pt>
                <c:pt idx="864">
                  <c:v>172.79999999999873</c:v>
                </c:pt>
                <c:pt idx="865">
                  <c:v>172.99999999999872</c:v>
                </c:pt>
                <c:pt idx="866">
                  <c:v>173.19999999999871</c:v>
                </c:pt>
                <c:pt idx="867">
                  <c:v>173.3999999999987</c:v>
                </c:pt>
                <c:pt idx="868">
                  <c:v>173.59999999999869</c:v>
                </c:pt>
                <c:pt idx="869">
                  <c:v>173.79999999999868</c:v>
                </c:pt>
                <c:pt idx="870">
                  <c:v>173.99999999999866</c:v>
                </c:pt>
                <c:pt idx="871">
                  <c:v>174.19999999999865</c:v>
                </c:pt>
                <c:pt idx="872">
                  <c:v>174.39999999999864</c:v>
                </c:pt>
                <c:pt idx="873">
                  <c:v>174.59999999999863</c:v>
                </c:pt>
                <c:pt idx="874">
                  <c:v>174.79999999999862</c:v>
                </c:pt>
                <c:pt idx="875">
                  <c:v>174.99999999999861</c:v>
                </c:pt>
                <c:pt idx="876">
                  <c:v>175.1999999999986</c:v>
                </c:pt>
                <c:pt idx="877">
                  <c:v>175.39999999999858</c:v>
                </c:pt>
                <c:pt idx="878">
                  <c:v>175.59999999999857</c:v>
                </c:pt>
                <c:pt idx="879">
                  <c:v>175.79999999999856</c:v>
                </c:pt>
                <c:pt idx="880">
                  <c:v>175.99999999999855</c:v>
                </c:pt>
                <c:pt idx="881">
                  <c:v>176.19999999999854</c:v>
                </c:pt>
                <c:pt idx="882">
                  <c:v>176.39999999999853</c:v>
                </c:pt>
                <c:pt idx="883">
                  <c:v>176.59999999999852</c:v>
                </c:pt>
                <c:pt idx="884">
                  <c:v>176.79999999999851</c:v>
                </c:pt>
                <c:pt idx="885">
                  <c:v>176.99999999999849</c:v>
                </c:pt>
                <c:pt idx="886">
                  <c:v>177.19999999999848</c:v>
                </c:pt>
                <c:pt idx="887">
                  <c:v>177.39999999999847</c:v>
                </c:pt>
                <c:pt idx="888">
                  <c:v>177.59999999999846</c:v>
                </c:pt>
                <c:pt idx="889">
                  <c:v>177.79999999999845</c:v>
                </c:pt>
                <c:pt idx="890">
                  <c:v>177.99999999999844</c:v>
                </c:pt>
                <c:pt idx="891">
                  <c:v>178.19999999999843</c:v>
                </c:pt>
                <c:pt idx="892">
                  <c:v>178.39999999999841</c:v>
                </c:pt>
                <c:pt idx="893">
                  <c:v>178.5999999999984</c:v>
                </c:pt>
                <c:pt idx="894">
                  <c:v>178.79999999999839</c:v>
                </c:pt>
                <c:pt idx="895">
                  <c:v>178.99999999999838</c:v>
                </c:pt>
                <c:pt idx="896">
                  <c:v>179.19999999999837</c:v>
                </c:pt>
                <c:pt idx="897">
                  <c:v>179.39999999999836</c:v>
                </c:pt>
                <c:pt idx="898">
                  <c:v>179.59999999999835</c:v>
                </c:pt>
                <c:pt idx="899">
                  <c:v>179.79999999999833</c:v>
                </c:pt>
                <c:pt idx="900">
                  <c:v>179.99999999999832</c:v>
                </c:pt>
                <c:pt idx="901">
                  <c:v>180.19999999999831</c:v>
                </c:pt>
                <c:pt idx="902">
                  <c:v>180.3999999999983</c:v>
                </c:pt>
                <c:pt idx="903">
                  <c:v>180.59999999999829</c:v>
                </c:pt>
                <c:pt idx="904">
                  <c:v>180.79999999999828</c:v>
                </c:pt>
                <c:pt idx="905">
                  <c:v>180.99999999999827</c:v>
                </c:pt>
                <c:pt idx="906">
                  <c:v>181.19999999999825</c:v>
                </c:pt>
                <c:pt idx="907">
                  <c:v>181.39999999999824</c:v>
                </c:pt>
                <c:pt idx="908">
                  <c:v>181.59999999999823</c:v>
                </c:pt>
                <c:pt idx="909">
                  <c:v>181.79999999999822</c:v>
                </c:pt>
                <c:pt idx="910">
                  <c:v>181.99999999999821</c:v>
                </c:pt>
                <c:pt idx="911">
                  <c:v>182.1999999999982</c:v>
                </c:pt>
                <c:pt idx="912">
                  <c:v>182.39999999999819</c:v>
                </c:pt>
                <c:pt idx="913">
                  <c:v>182.59999999999818</c:v>
                </c:pt>
                <c:pt idx="914">
                  <c:v>182.79999999999816</c:v>
                </c:pt>
                <c:pt idx="915">
                  <c:v>182.99999999999815</c:v>
                </c:pt>
                <c:pt idx="916">
                  <c:v>183.19999999999814</c:v>
                </c:pt>
                <c:pt idx="917">
                  <c:v>183.39999999999813</c:v>
                </c:pt>
                <c:pt idx="918">
                  <c:v>183.59999999999812</c:v>
                </c:pt>
                <c:pt idx="919">
                  <c:v>183.79999999999811</c:v>
                </c:pt>
                <c:pt idx="920">
                  <c:v>183.9999999999981</c:v>
                </c:pt>
                <c:pt idx="921">
                  <c:v>184.19999999999808</c:v>
                </c:pt>
                <c:pt idx="922">
                  <c:v>184.39999999999807</c:v>
                </c:pt>
                <c:pt idx="923">
                  <c:v>184.59999999999806</c:v>
                </c:pt>
                <c:pt idx="924">
                  <c:v>184.79999999999805</c:v>
                </c:pt>
                <c:pt idx="925">
                  <c:v>184.99999999999804</c:v>
                </c:pt>
                <c:pt idx="926">
                  <c:v>185.19999999999803</c:v>
                </c:pt>
                <c:pt idx="927">
                  <c:v>185.39999999999802</c:v>
                </c:pt>
                <c:pt idx="928">
                  <c:v>185.599999999998</c:v>
                </c:pt>
                <c:pt idx="929">
                  <c:v>185.79999999999799</c:v>
                </c:pt>
                <c:pt idx="930">
                  <c:v>185.99999999999798</c:v>
                </c:pt>
                <c:pt idx="931">
                  <c:v>186.19999999999797</c:v>
                </c:pt>
                <c:pt idx="932">
                  <c:v>186.39999999999796</c:v>
                </c:pt>
                <c:pt idx="933">
                  <c:v>186.59999999999795</c:v>
                </c:pt>
                <c:pt idx="934">
                  <c:v>186.79999999999794</c:v>
                </c:pt>
                <c:pt idx="935">
                  <c:v>186.99999999999793</c:v>
                </c:pt>
                <c:pt idx="936">
                  <c:v>187.19999999999791</c:v>
                </c:pt>
                <c:pt idx="937">
                  <c:v>187.3999999999979</c:v>
                </c:pt>
                <c:pt idx="938">
                  <c:v>187.59999999999789</c:v>
                </c:pt>
                <c:pt idx="939">
                  <c:v>187.79999999999788</c:v>
                </c:pt>
                <c:pt idx="940">
                  <c:v>187.99999999999787</c:v>
                </c:pt>
                <c:pt idx="941">
                  <c:v>188.19999999999786</c:v>
                </c:pt>
                <c:pt idx="942">
                  <c:v>188.39999999999785</c:v>
                </c:pt>
                <c:pt idx="943">
                  <c:v>188.59999999999783</c:v>
                </c:pt>
                <c:pt idx="944">
                  <c:v>188.79999999999782</c:v>
                </c:pt>
                <c:pt idx="945">
                  <c:v>188.99999999999781</c:v>
                </c:pt>
                <c:pt idx="946">
                  <c:v>189.1999999999978</c:v>
                </c:pt>
                <c:pt idx="947">
                  <c:v>189.39999999999779</c:v>
                </c:pt>
                <c:pt idx="948">
                  <c:v>189.59999999999778</c:v>
                </c:pt>
                <c:pt idx="949">
                  <c:v>189.79999999999777</c:v>
                </c:pt>
                <c:pt idx="950">
                  <c:v>189.99999999999775</c:v>
                </c:pt>
                <c:pt idx="951">
                  <c:v>190.19999999999774</c:v>
                </c:pt>
                <c:pt idx="952">
                  <c:v>190.39999999999773</c:v>
                </c:pt>
                <c:pt idx="953">
                  <c:v>190.59999999999772</c:v>
                </c:pt>
                <c:pt idx="954">
                  <c:v>190.79999999999771</c:v>
                </c:pt>
                <c:pt idx="955">
                  <c:v>190.9999999999977</c:v>
                </c:pt>
                <c:pt idx="956">
                  <c:v>191.19999999999769</c:v>
                </c:pt>
                <c:pt idx="957">
                  <c:v>191.39999999999768</c:v>
                </c:pt>
                <c:pt idx="958">
                  <c:v>191.59999999999766</c:v>
                </c:pt>
                <c:pt idx="959">
                  <c:v>191.79999999999765</c:v>
                </c:pt>
                <c:pt idx="960">
                  <c:v>191.99999999999764</c:v>
                </c:pt>
                <c:pt idx="961">
                  <c:v>192.19999999999763</c:v>
                </c:pt>
                <c:pt idx="962">
                  <c:v>192.39999999999762</c:v>
                </c:pt>
                <c:pt idx="963">
                  <c:v>192.59999999999761</c:v>
                </c:pt>
                <c:pt idx="964">
                  <c:v>192.7999999999976</c:v>
                </c:pt>
                <c:pt idx="965">
                  <c:v>192.99999999999758</c:v>
                </c:pt>
                <c:pt idx="966">
                  <c:v>193.19999999999757</c:v>
                </c:pt>
                <c:pt idx="967">
                  <c:v>193.39999999999756</c:v>
                </c:pt>
                <c:pt idx="968">
                  <c:v>193.59999999999755</c:v>
                </c:pt>
                <c:pt idx="969">
                  <c:v>193.79999999999754</c:v>
                </c:pt>
                <c:pt idx="970">
                  <c:v>193.99999999999753</c:v>
                </c:pt>
                <c:pt idx="971">
                  <c:v>194.19999999999752</c:v>
                </c:pt>
                <c:pt idx="972">
                  <c:v>194.3999999999975</c:v>
                </c:pt>
                <c:pt idx="973">
                  <c:v>194.59999999999749</c:v>
                </c:pt>
                <c:pt idx="974">
                  <c:v>194.79999999999748</c:v>
                </c:pt>
                <c:pt idx="975">
                  <c:v>194.99999999999747</c:v>
                </c:pt>
                <c:pt idx="976">
                  <c:v>195.19999999999746</c:v>
                </c:pt>
                <c:pt idx="977">
                  <c:v>195.39999999999745</c:v>
                </c:pt>
                <c:pt idx="978">
                  <c:v>195.59999999999744</c:v>
                </c:pt>
                <c:pt idx="979">
                  <c:v>195.79999999999742</c:v>
                </c:pt>
                <c:pt idx="980">
                  <c:v>195.99999999999741</c:v>
                </c:pt>
                <c:pt idx="981">
                  <c:v>196.1999999999974</c:v>
                </c:pt>
                <c:pt idx="982">
                  <c:v>196.39999999999739</c:v>
                </c:pt>
                <c:pt idx="983">
                  <c:v>196.59999999999738</c:v>
                </c:pt>
                <c:pt idx="984">
                  <c:v>196.79999999999737</c:v>
                </c:pt>
                <c:pt idx="985">
                  <c:v>196.99999999999736</c:v>
                </c:pt>
                <c:pt idx="986">
                  <c:v>197.19999999999735</c:v>
                </c:pt>
                <c:pt idx="987">
                  <c:v>197.39999999999733</c:v>
                </c:pt>
                <c:pt idx="988">
                  <c:v>197.59999999999732</c:v>
                </c:pt>
                <c:pt idx="989">
                  <c:v>197.79999999999731</c:v>
                </c:pt>
                <c:pt idx="990">
                  <c:v>197.9999999999973</c:v>
                </c:pt>
                <c:pt idx="991">
                  <c:v>198.19999999999729</c:v>
                </c:pt>
                <c:pt idx="992">
                  <c:v>198.39999999999728</c:v>
                </c:pt>
                <c:pt idx="993">
                  <c:v>198.59999999999727</c:v>
                </c:pt>
                <c:pt idx="994">
                  <c:v>198.79999999999725</c:v>
                </c:pt>
                <c:pt idx="995">
                  <c:v>198.99999999999724</c:v>
                </c:pt>
                <c:pt idx="996">
                  <c:v>199.19999999999723</c:v>
                </c:pt>
                <c:pt idx="997">
                  <c:v>199.39999999999722</c:v>
                </c:pt>
                <c:pt idx="998">
                  <c:v>199.59999999999721</c:v>
                </c:pt>
                <c:pt idx="999">
                  <c:v>199.7999999999972</c:v>
                </c:pt>
                <c:pt idx="1000">
                  <c:v>199.99999999999719</c:v>
                </c:pt>
              </c:numCache>
            </c:numRef>
          </c:xVal>
          <c:yVal>
            <c:numRef>
              <c:f>Plan1!$C$10:$C$1010</c:f>
              <c:numCache>
                <c:formatCode>0.000</c:formatCode>
                <c:ptCount val="1001"/>
                <c:pt idx="0">
                  <c:v>5</c:v>
                </c:pt>
                <c:pt idx="1">
                  <c:v>3</c:v>
                </c:pt>
                <c:pt idx="2">
                  <c:v>1.0153333333333332</c:v>
                </c:pt>
                <c:pt idx="3">
                  <c:v>-0.9528097777777782</c:v>
                </c:pt>
                <c:pt idx="4">
                  <c:v>-2.9032604420740746</c:v>
                </c:pt>
                <c:pt idx="5">
                  <c:v>-4.8348716936517544</c:v>
                </c:pt>
                <c:pt idx="6">
                  <c:v>-6.746519066586659</c:v>
                </c:pt>
                <c:pt idx="7">
                  <c:v>-8.6371011495784042</c:v>
                </c:pt>
                <c:pt idx="8">
                  <c:v>-10.505540120417836</c:v>
                </c:pt>
                <c:pt idx="9">
                  <c:v>-12.350782260096379</c:v>
                </c:pt>
                <c:pt idx="10">
                  <c:v>-14.171798446390978</c:v>
                </c:pt>
                <c:pt idx="11">
                  <c:v>-15.96758462677343</c:v>
                </c:pt>
                <c:pt idx="12">
                  <c:v>-17.737162270508051</c:v>
                </c:pt>
                <c:pt idx="13">
                  <c:v>-19.479578799816633</c:v>
                </c:pt>
                <c:pt idx="14">
                  <c:v>-21.193908000004662</c:v>
                </c:pt>
                <c:pt idx="15">
                  <c:v>-22.879250408457725</c:v>
                </c:pt>
                <c:pt idx="16">
                  <c:v>-24.534733682431892</c:v>
                </c:pt>
                <c:pt idx="17">
                  <c:v>-26.159512945576662</c:v>
                </c:pt>
                <c:pt idx="18">
                  <c:v>-27.75277111314379</c:v>
                </c:pt>
                <c:pt idx="19">
                  <c:v>-29.313719195849909</c:v>
                </c:pt>
                <c:pt idx="20">
                  <c:v>-30.841596582375342</c:v>
                </c:pt>
                <c:pt idx="21">
                  <c:v>-32.335671300495967</c:v>
                </c:pt>
                <c:pt idx="22">
                  <c:v>-33.795240256859216</c:v>
                </c:pt>
                <c:pt idx="23">
                  <c:v>-35.219629455429413</c:v>
                </c:pt>
                <c:pt idx="24">
                  <c:v>-36.608194194641719</c:v>
                </c:pt>
                <c:pt idx="25">
                  <c:v>-37.960319243317755</c:v>
                </c:pt>
                <c:pt idx="26">
                  <c:v>-39.275418995409723</c:v>
                </c:pt>
                <c:pt idx="27">
                  <c:v>-40.552937603653284</c:v>
                </c:pt>
                <c:pt idx="28">
                  <c:v>-41.792349092222963</c:v>
                </c:pt>
                <c:pt idx="29">
                  <c:v>-42.993157448496895</c:v>
                </c:pt>
                <c:pt idx="30">
                  <c:v>-44.154896694050784</c:v>
                </c:pt>
                <c:pt idx="31">
                  <c:v>-45.277130935013837</c:v>
                </c:pt>
                <c:pt idx="32">
                  <c:v>-46.35945439193187</c:v>
                </c:pt>
                <c:pt idx="33">
                  <c:v>-47.401491409295325</c:v>
                </c:pt>
                <c:pt idx="34">
                  <c:v>-48.402896444902098</c:v>
                </c:pt>
                <c:pt idx="35">
                  <c:v>-49.363354039237016</c:v>
                </c:pt>
                <c:pt idx="36">
                  <c:v>-50.282578765061537</c:v>
                </c:pt>
                <c:pt idx="37">
                  <c:v>-51.160315157418871</c:v>
                </c:pt>
                <c:pt idx="38">
                  <c:v>-51.996337624270829</c:v>
                </c:pt>
                <c:pt idx="39">
                  <c:v>-52.790450337993889</c:v>
                </c:pt>
                <c:pt idx="40">
                  <c:v>-53.54248710797269</c:v>
                </c:pt>
                <c:pt idx="41">
                  <c:v>-54.25231123453969</c:v>
                </c:pt>
                <c:pt idx="42">
                  <c:v>-54.919815344520082</c:v>
                </c:pt>
                <c:pt idx="43">
                  <c:v>-55.544921208650962</c:v>
                </c:pt>
                <c:pt idx="44">
                  <c:v>-56.127579541153608</c:v>
                </c:pt>
                <c:pt idx="45">
                  <c:v>-56.667769781747133</c:v>
                </c:pt>
                <c:pt idx="46">
                  <c:v>-57.165499860401013</c:v>
                </c:pt>
                <c:pt idx="47">
                  <c:v>-57.620805945132958</c:v>
                </c:pt>
                <c:pt idx="48">
                  <c:v>-58.033752173167137</c:v>
                </c:pt>
                <c:pt idx="49">
                  <c:v>-58.404430365776243</c:v>
                </c:pt>
                <c:pt idx="50">
                  <c:v>-58.732959727138883</c:v>
                </c:pt>
                <c:pt idx="51">
                  <c:v>-59.019486527551628</c:v>
                </c:pt>
                <c:pt idx="52">
                  <c:v>-59.264183771342424</c:v>
                </c:pt>
                <c:pt idx="53">
                  <c:v>-59.467250849839473</c:v>
                </c:pt>
                <c:pt idx="54">
                  <c:v>-59.628913179756324</c:v>
                </c:pt>
                <c:pt idx="55">
                  <c:v>-59.74942182736072</c:v>
                </c:pt>
                <c:pt idx="56">
                  <c:v>-59.829053118800971</c:v>
                </c:pt>
                <c:pt idx="57">
                  <c:v>-59.86810823696954</c:v>
                </c:pt>
                <c:pt idx="58">
                  <c:v>-59.866912805289338</c:v>
                </c:pt>
                <c:pt idx="59">
                  <c:v>-59.825816458813506</c:v>
                </c:pt>
                <c:pt idx="60">
                  <c:v>-59.745192403034586</c:v>
                </c:pt>
                <c:pt idx="61">
                  <c:v>-59.625436960803725</c:v>
                </c:pt>
                <c:pt idx="62">
                  <c:v>-59.466969107764996</c:v>
                </c:pt>
                <c:pt idx="63">
                  <c:v>-59.270229996714093</c:v>
                </c:pt>
                <c:pt idx="64">
                  <c:v>-59.035682471294486</c:v>
                </c:pt>
                <c:pt idx="65">
                  <c:v>-58.763810569447656</c:v>
                </c:pt>
                <c:pt idx="66">
                  <c:v>-58.455119017037198</c:v>
                </c:pt>
                <c:pt idx="67">
                  <c:v>-58.110132712069607</c:v>
                </c:pt>
                <c:pt idx="68">
                  <c:v>-57.729396199937021</c:v>
                </c:pt>
                <c:pt idx="69">
                  <c:v>-57.313473140109629</c:v>
                </c:pt>
                <c:pt idx="70">
                  <c:v>-56.862945764707334</c:v>
                </c:pt>
                <c:pt idx="71">
                  <c:v>-56.378414329382053</c:v>
                </c:pt>
                <c:pt idx="72">
                  <c:v>-55.860496556943339</c:v>
                </c:pt>
                <c:pt idx="73">
                  <c:v>-55.309827074161127</c:v>
                </c:pt>
                <c:pt idx="74">
                  <c:v>-54.727056842180254</c:v>
                </c:pt>
                <c:pt idx="75">
                  <c:v>-54.112852580981766</c:v>
                </c:pt>
                <c:pt idx="76">
                  <c:v>-53.467896188326343</c:v>
                </c:pt>
                <c:pt idx="77">
                  <c:v>-52.792884153615049</c:v>
                </c:pt>
                <c:pt idx="78">
                  <c:v>-52.088526967102176</c:v>
                </c:pt>
                <c:pt idx="79">
                  <c:v>-51.355548524894346</c:v>
                </c:pt>
                <c:pt idx="80">
                  <c:v>-50.594685530169052</c:v>
                </c:pt>
                <c:pt idx="81">
                  <c:v>-49.806686891044599</c:v>
                </c:pt>
                <c:pt idx="82">
                  <c:v>-48.992313115531864</c:v>
                </c:pt>
                <c:pt idx="83">
                  <c:v>-48.152335703996549</c:v>
                </c:pt>
                <c:pt idx="84">
                  <c:v>-47.287536539558545</c:v>
                </c:pt>
                <c:pt idx="85">
                  <c:v>-46.398707276852626</c:v>
                </c:pt>
                <c:pt idx="86">
                  <c:v>-45.486648729572259</c:v>
                </c:pt>
                <c:pt idx="87">
                  <c:v>-44.552170257215273</c:v>
                </c:pt>
                <c:pt idx="88">
                  <c:v>-43.596089151447238</c:v>
                </c:pt>
                <c:pt idx="89">
                  <c:v>-42.619230022494897</c:v>
                </c:pt>
                <c:pt idx="90">
                  <c:v>-41.622424185978474</c:v>
                </c:pt>
                <c:pt idx="91">
                  <c:v>-40.606509050587874</c:v>
                </c:pt>
                <c:pt idx="92">
                  <c:v>-39.572327507003607</c:v>
                </c:pt>
                <c:pt idx="93">
                  <c:v>-38.520727318459066</c:v>
                </c:pt>
                <c:pt idx="94">
                  <c:v>-37.452560513336273</c:v>
                </c:pt>
                <c:pt idx="95">
                  <c:v>-36.368682780182318</c:v>
                </c:pt>
                <c:pt idx="96">
                  <c:v>-35.269952865528907</c:v>
                </c:pt>
                <c:pt idx="97">
                  <c:v>-34.157231974892142</c:v>
                </c:pt>
                <c:pt idx="98">
                  <c:v>-33.031383177324301</c:v>
                </c:pt>
                <c:pt idx="99">
                  <c:v>-31.893270813883831</c:v>
                </c:pt>
                <c:pt idx="100">
                  <c:v>-30.743759910383922</c:v>
                </c:pt>
                <c:pt idx="101">
                  <c:v>-29.583715594774091</c:v>
                </c:pt>
                <c:pt idx="102">
                  <c:v>-28.414002519503029</c:v>
                </c:pt>
                <c:pt idx="103">
                  <c:v>-27.235484289204646</c:v>
                </c:pt>
                <c:pt idx="104">
                  <c:v>-26.049022894042714</c:v>
                </c:pt>
                <c:pt idx="105">
                  <c:v>-24.855478149042824</c:v>
                </c:pt>
                <c:pt idx="106">
                  <c:v>-23.655707139733572</c:v>
                </c:pt>
                <c:pt idx="107">
                  <c:v>-22.450563674411843</c:v>
                </c:pt>
                <c:pt idx="108">
                  <c:v>-21.240897743339961</c:v>
                </c:pt>
                <c:pt idx="109">
                  <c:v>-20.02755498517514</c:v>
                </c:pt>
                <c:pt idx="110">
                  <c:v>-18.811376160924297</c:v>
                </c:pt>
                <c:pt idx="111">
                  <c:v>-17.593196635709681</c:v>
                </c:pt>
                <c:pt idx="112">
                  <c:v>-16.373845868623118</c:v>
                </c:pt>
                <c:pt idx="113">
                  <c:v>-15.15414691093889</c:v>
                </c:pt>
                <c:pt idx="114">
                  <c:v>-13.934915912947298</c:v>
                </c:pt>
                <c:pt idx="115">
                  <c:v>-12.716961639663003</c:v>
                </c:pt>
                <c:pt idx="116">
                  <c:v>-11.501084995654063</c:v>
                </c:pt>
                <c:pt idx="117">
                  <c:v>-10.288078559229431</c:v>
                </c:pt>
                <c:pt idx="118">
                  <c:v>-9.0787261262143275</c:v>
                </c:pt>
                <c:pt idx="119">
                  <c:v>-7.8738022635345439</c:v>
                </c:pt>
                <c:pt idx="120">
                  <c:v>-6.6740718728222959</c:v>
                </c:pt>
                <c:pt idx="121">
                  <c:v>-5.4802897642476722</c:v>
                </c:pt>
                <c:pt idx="122">
                  <c:v>-4.2932002407711973</c:v>
                </c:pt>
                <c:pt idx="123">
                  <c:v>-3.1135366930043373</c:v>
                </c:pt>
                <c:pt idx="124">
                  <c:v>-1.9420212048561205</c:v>
                </c:pt>
                <c:pt idx="125">
                  <c:v>-0.77936417013528425</c:v>
                </c:pt>
                <c:pt idx="126">
                  <c:v>0.37373607973139511</c:v>
                </c:pt>
                <c:pt idx="127">
                  <c:v>1.5165936367127424</c:v>
                </c:pt>
                <c:pt idx="128">
                  <c:v>2.6485353657757762</c:v>
                </c:pt>
                <c:pt idx="129">
                  <c:v>3.7689012429430795</c:v>
                </c:pt>
                <c:pt idx="130">
                  <c:v>4.8770446816796378</c:v>
                </c:pt>
                <c:pt idx="131">
                  <c:v>5.9723328474926927</c:v>
                </c:pt>
                <c:pt idx="132">
                  <c:v>7.0541469606370395</c:v>
                </c:pt>
                <c:pt idx="133">
                  <c:v>8.1218825868270432</c:v>
                </c:pt>
                <c:pt idx="134">
                  <c:v>9.1749499158655166</c:v>
                </c:pt>
                <c:pt idx="135">
                  <c:v>10.212774028108413</c:v>
                </c:pt>
                <c:pt idx="136">
                  <c:v>11.234795148693131</c:v>
                </c:pt>
                <c:pt idx="137">
                  <c:v>12.240468889466987</c:v>
                </c:pt>
                <c:pt idx="138">
                  <c:v>13.229266478561158</c:v>
                </c:pt>
                <c:pt idx="139">
                  <c:v>14.200674977564137</c:v>
                </c:pt>
                <c:pt idx="140">
                  <c:v>15.154197486257383</c:v>
                </c:pt>
                <c:pt idx="141">
                  <c:v>16.08935333488445</c:v>
                </c:pt>
                <c:pt idx="142">
                  <c:v>17.00567826393349</c:v>
                </c:pt>
                <c:pt idx="143">
                  <c:v>17.902724591421485</c:v>
                </c:pt>
                <c:pt idx="144">
                  <c:v>18.780061367676968</c:v>
                </c:pt>
                <c:pt idx="145">
                  <c:v>19.637274517626452</c:v>
                </c:pt>
                <c:pt idx="146">
                  <c:v>20.473966970597957</c:v>
                </c:pt>
                <c:pt idx="147">
                  <c:v>21.289758777663309</c:v>
                </c:pt>
                <c:pt idx="148">
                  <c:v>22.084287216548987</c:v>
                </c:pt>
                <c:pt idx="149">
                  <c:v>22.857206884153289</c:v>
                </c:pt>
                <c:pt idx="150">
                  <c:v>23.608189776715587</c:v>
                </c:pt>
                <c:pt idx="151">
                  <c:v>24.3369253576912</c:v>
                </c:pt>
                <c:pt idx="152">
                  <c:v>25.043120613393231</c:v>
                </c:pt>
                <c:pt idx="153">
                  <c:v>25.72650009647025</c:v>
                </c:pt>
                <c:pt idx="154">
                  <c:v>26.386805957296286</c:v>
                </c:pt>
                <c:pt idx="155">
                  <c:v>27.023797963356966</c:v>
                </c:pt>
                <c:pt idx="156">
                  <c:v>27.637253506722882</c:v>
                </c:pt>
                <c:pt idx="157">
                  <c:v>28.226967599708477</c:v>
                </c:pt>
                <c:pt idx="158">
                  <c:v>28.792752858821725</c:v>
                </c:pt>
                <c:pt idx="159">
                  <c:v>29.334439477116778</c:v>
                </c:pt>
                <c:pt idx="160">
                  <c:v>29.851875185068529</c:v>
                </c:pt>
                <c:pt idx="161">
                  <c:v>30.344925200094654</c:v>
                </c:pt>
                <c:pt idx="162">
                  <c:v>30.813472164857153</c:v>
                </c:pt>
                <c:pt idx="163">
                  <c:v>31.257416074481807</c:v>
                </c:pt>
                <c:pt idx="164">
                  <c:v>31.676674192840061</c:v>
                </c:pt>
                <c:pt idx="165">
                  <c:v>32.071180958043982</c:v>
                </c:pt>
                <c:pt idx="166">
                  <c:v>32.440887877310772</c:v>
                </c:pt>
                <c:pt idx="167">
                  <c:v>32.785763411359042</c:v>
                </c:pt>
                <c:pt idx="168">
                  <c:v>33.105792848504656</c:v>
                </c:pt>
                <c:pt idx="169">
                  <c:v>33.400978168629337</c:v>
                </c:pt>
                <c:pt idx="170">
                  <c:v>33.671337897200516</c:v>
                </c:pt>
                <c:pt idx="171">
                  <c:v>33.916906949525945</c:v>
                </c:pt>
                <c:pt idx="172">
                  <c:v>34.137736465431537</c:v>
                </c:pt>
                <c:pt idx="173">
                  <c:v>34.333893634555665</c:v>
                </c:pt>
                <c:pt idx="174">
                  <c:v>34.505461512457678</c:v>
                </c:pt>
                <c:pt idx="175">
                  <c:v>34.652538827742902</c:v>
                </c:pt>
                <c:pt idx="176">
                  <c:v>34.775239780410487</c:v>
                </c:pt>
                <c:pt idx="177">
                  <c:v>34.873693831634682</c:v>
                </c:pt>
                <c:pt idx="178">
                  <c:v>34.948045485193845</c:v>
                </c:pt>
                <c:pt idx="179">
                  <c:v>34.998454060765368</c:v>
                </c:pt>
                <c:pt idx="180">
                  <c:v>35.025093459308096</c:v>
                </c:pt>
                <c:pt idx="181">
                  <c:v>35.028151920757246</c:v>
                </c:pt>
                <c:pt idx="182">
                  <c:v>35.007831774259998</c:v>
                </c:pt>
                <c:pt idx="183">
                  <c:v>34.964349181182882</c:v>
                </c:pt>
                <c:pt idx="184">
                  <c:v>34.897933871124984</c:v>
                </c:pt>
                <c:pt idx="185">
                  <c:v>34.808828871173503</c:v>
                </c:pt>
                <c:pt idx="186">
                  <c:v>34.697290228640817</c:v>
                </c:pt>
                <c:pt idx="187">
                  <c:v>34.563586727524324</c:v>
                </c:pt>
                <c:pt idx="188">
                  <c:v>34.407999598932491</c:v>
                </c:pt>
                <c:pt idx="189">
                  <c:v>34.230822225722498</c:v>
                </c:pt>
                <c:pt idx="190">
                  <c:v>34.032359841596509</c:v>
                </c:pt>
                <c:pt idx="191">
                  <c:v>33.812929224905218</c:v>
                </c:pt>
                <c:pt idx="192">
                  <c:v>33.572858387408644</c:v>
                </c:pt>
                <c:pt idx="193">
                  <c:v>33.312486258245436</c:v>
                </c:pt>
                <c:pt idx="194">
                  <c:v>33.032162363362808</c:v>
                </c:pt>
                <c:pt idx="195">
                  <c:v>32.73224650066026</c:v>
                </c:pt>
                <c:pt idx="196">
                  <c:v>32.413108411100694</c:v>
                </c:pt>
                <c:pt idx="197">
                  <c:v>32.07512744604324</c:v>
                </c:pt>
                <c:pt idx="198">
                  <c:v>31.718692231052255</c:v>
                </c:pt>
                <c:pt idx="199">
                  <c:v>31.344200326437157</c:v>
                </c:pt>
                <c:pt idx="200">
                  <c:v>30.952057884777766</c:v>
                </c:pt>
                <c:pt idx="201">
                  <c:v>30.542679305689571</c:v>
                </c:pt>
                <c:pt idx="202">
                  <c:v>30.116486888083013</c:v>
                </c:pt>
                <c:pt idx="203">
                  <c:v>29.673910480170324</c:v>
                </c:pt>
                <c:pt idx="204">
                  <c:v>29.215387127472766</c:v>
                </c:pt>
                <c:pt idx="205">
                  <c:v>28.741360719080273</c:v>
                </c:pt>
                <c:pt idx="206">
                  <c:v>28.252281632414459</c:v>
                </c:pt>
                <c:pt idx="207">
                  <c:v>27.748606376744807</c:v>
                </c:pt>
                <c:pt idx="208">
                  <c:v>27.230797235706461</c:v>
                </c:pt>
                <c:pt idx="209">
                  <c:v>26.699321909066644</c:v>
                </c:pt>
                <c:pt idx="210">
                  <c:v>26.154653153984995</c:v>
                </c:pt>
                <c:pt idx="211">
                  <c:v>25.597268426011397</c:v>
                </c:pt>
                <c:pt idx="212">
                  <c:v>25.027649520062894</c:v>
                </c:pt>
                <c:pt idx="213">
                  <c:v>24.446282211619238</c:v>
                </c:pt>
                <c:pt idx="214">
                  <c:v>23.853655898374345</c:v>
                </c:pt>
                <c:pt idx="215">
                  <c:v>23.250263242578662</c:v>
                </c:pt>
                <c:pt idx="216">
                  <c:v>22.636599814304819</c:v>
                </c:pt>
                <c:pt idx="217">
                  <c:v>22.013163735866481</c:v>
                </c:pt>
                <c:pt idx="218">
                  <c:v>21.380455327617362</c:v>
                </c:pt>
                <c:pt idx="219">
                  <c:v>20.73897675535466</c:v>
                </c:pt>
                <c:pt idx="220">
                  <c:v>20.089231679547996</c:v>
                </c:pt>
                <c:pt idx="221">
                  <c:v>19.431724906611958</c:v>
                </c:pt>
                <c:pt idx="222">
                  <c:v>18.766962042436958</c:v>
                </c:pt>
                <c:pt idx="223">
                  <c:v>18.09544914838985</c:v>
                </c:pt>
                <c:pt idx="224">
                  <c:v>17.417692399992223</c:v>
                </c:pt>
                <c:pt idx="225">
                  <c:v>16.734197748480714</c:v>
                </c:pt>
                <c:pt idx="226">
                  <c:v>16.045470585449984</c:v>
                </c:pt>
                <c:pt idx="227">
                  <c:v>15.352015410775222</c:v>
                </c:pt>
                <c:pt idx="228">
                  <c:v>14.654335504007124</c:v>
                </c:pt>
                <c:pt idx="229">
                  <c:v>13.952932599428344</c:v>
                </c:pt>
                <c:pt idx="230">
                  <c:v>13.248306564956295</c:v>
                </c:pt>
                <c:pt idx="231">
                  <c:v>12.540955085073033</c:v>
                </c:pt>
                <c:pt idx="232">
                  <c:v>11.831373347958712</c:v>
                </c:pt>
                <c:pt idx="233">
                  <c:v>11.120053737000742</c:v>
                </c:pt>
                <c:pt idx="234">
                  <c:v>10.407485526846406</c:v>
                </c:pt>
                <c:pt idx="235">
                  <c:v>9.6941545841621775</c:v>
                </c:pt>
                <c:pt idx="236">
                  <c:v>8.9805430732584366</c:v>
                </c:pt>
                <c:pt idx="237">
                  <c:v>8.2671291667336906</c:v>
                </c:pt>
                <c:pt idx="238">
                  <c:v>7.5543867612876694</c:v>
                </c:pt>
                <c:pt idx="239">
                  <c:v>6.842785198847988</c:v>
                </c:pt>
                <c:pt idx="240">
                  <c:v>6.1327889931502186</c:v>
                </c:pt>
                <c:pt idx="241">
                  <c:v>5.4248575619063963</c:v>
                </c:pt>
                <c:pt idx="242">
                  <c:v>4.7194449646920837</c:v>
                </c:pt>
                <c:pt idx="243">
                  <c:v>4.0169996466771671</c:v>
                </c:pt>
                <c:pt idx="244">
                  <c:v>3.3179641883205946</c:v>
                </c:pt>
                <c:pt idx="245">
                  <c:v>2.6227750611442322</c:v>
                </c:pt>
                <c:pt idx="246">
                  <c:v>1.9318623896959686</c:v>
                </c:pt>
                <c:pt idx="247">
                  <c:v>1.2456497198071261</c:v>
                </c:pt>
                <c:pt idx="248">
                  <c:v>0.56455379324411548</c:v>
                </c:pt>
                <c:pt idx="249">
                  <c:v>-0.1110156711508451</c:v>
                </c:pt>
                <c:pt idx="250">
                  <c:v>-0.78065618974028217</c:v>
                </c:pt>
                <c:pt idx="251">
                  <c:v>-1.4439727197087839</c:v>
                </c:pt>
                <c:pt idx="252">
                  <c:v>-2.1005778579377528</c:v>
                </c:pt>
                <c:pt idx="253">
                  <c:v>-2.7500920330634453</c:v>
                </c:pt>
                <c:pt idx="254">
                  <c:v>-3.3921436906493394</c:v>
                </c:pt>
                <c:pt idx="255">
                  <c:v>-4.0263694714090565</c:v>
                </c:pt>
                <c:pt idx="256">
                  <c:v>-4.6524143824212505</c:v>
                </c:pt>
                <c:pt idx="257">
                  <c:v>-5.2699319612830573</c:v>
                </c:pt>
                <c:pt idx="258">
                  <c:v>-5.8785844331538737</c:v>
                </c:pt>
                <c:pt idx="259">
                  <c:v>-6.4780428606463731</c:v>
                </c:pt>
                <c:pt idx="260">
                  <c:v>-7.0679872865268401</c:v>
                </c:pt>
                <c:pt idx="261">
                  <c:v>-7.6481068691919916</c:v>
                </c:pt>
                <c:pt idx="262">
                  <c:v>-8.2181000108945845</c:v>
                </c:pt>
                <c:pt idx="263">
                  <c:v>-8.7776744786951575</c:v>
                </c:pt>
                <c:pt idx="264">
                  <c:v>-9.3265475181223287</c:v>
                </c:pt>
                <c:pt idx="265">
                  <c:v>-9.8644459595290499</c:v>
                </c:pt>
                <c:pt idx="266">
                  <c:v>-10.391106317137227</c:v>
                </c:pt>
                <c:pt idx="267">
                  <c:v>-10.906274880768041</c:v>
                </c:pt>
                <c:pt idx="268">
                  <c:v>-11.409707800260211</c:v>
                </c:pt>
                <c:pt idx="269">
                  <c:v>-11.901171162583275</c:v>
                </c:pt>
                <c:pt idx="270">
                  <c:v>-12.380441061657816</c:v>
                </c:pt>
                <c:pt idx="271">
                  <c:v>-12.847303660899273</c:v>
                </c:pt>
                <c:pt idx="272">
                  <c:v>-13.301555248506704</c:v>
                </c:pt>
                <c:pt idx="273">
                  <c:v>-13.743002285522532</c:v>
                </c:pt>
                <c:pt idx="274">
                  <c:v>-14.171461446693876</c:v>
                </c:pt>
                <c:pt idx="275">
                  <c:v>-14.586759654170605</c:v>
                </c:pt>
                <c:pt idx="276">
                  <c:v>-14.988734104079755</c:v>
                </c:pt>
                <c:pt idx="277">
                  <c:v>-15.377232286020307</c:v>
                </c:pt>
                <c:pt idx="278">
                  <c:v>-15.752111995526693</c:v>
                </c:pt>
                <c:pt idx="279">
                  <c:v>-16.113241339553674</c:v>
                </c:pt>
                <c:pt idx="280">
                  <c:v>-16.460498735039383</c:v>
                </c:pt>
                <c:pt idx="281">
                  <c:v>-16.793772900607525</c:v>
                </c:pt>
                <c:pt idx="282">
                  <c:v>-17.112962841473671</c:v>
                </c:pt>
                <c:pt idx="283">
                  <c:v>-17.417977827624661</c:v>
                </c:pt>
                <c:pt idx="284">
                  <c:v>-17.708737365343925</c:v>
                </c:pt>
                <c:pt idx="285">
                  <c:v>-17.985171162159393</c:v>
                </c:pt>
                <c:pt idx="286">
                  <c:v>-18.247219085294354</c:v>
                </c:pt>
                <c:pt idx="287">
                  <c:v>-18.494831113705285</c:v>
                </c:pt>
                <c:pt idx="288">
                  <c:v>-18.727967283794182</c:v>
                </c:pt>
                <c:pt idx="289">
                  <c:v>-18.946597628886447</c:v>
                </c:pt>
                <c:pt idx="290">
                  <c:v>-19.150702112568656</c:v>
                </c:pt>
                <c:pt idx="291">
                  <c:v>-19.340270555983903</c:v>
                </c:pt>
                <c:pt idx="292">
                  <c:v>-19.515302559185564</c:v>
                </c:pt>
                <c:pt idx="293">
                  <c:v>-19.675807416653353</c:v>
                </c:pt>
                <c:pt idx="294">
                  <c:v>-19.821804027078652</c:v>
                </c:pt>
                <c:pt idx="295">
                  <c:v>-19.953320797528882</c:v>
                </c:pt>
                <c:pt idx="296">
                  <c:v>-20.070395542103523</c:v>
                </c:pt>
                <c:pt idx="297">
                  <c:v>-20.173075375197115</c:v>
                </c:pt>
                <c:pt idx="298">
                  <c:v>-20.261416599487095</c:v>
                </c:pt>
                <c:pt idx="299">
                  <c:v>-20.335484588766906</c:v>
                </c:pt>
                <c:pt idx="300">
                  <c:v>-20.395353665747113</c:v>
                </c:pt>
                <c:pt idx="301">
                  <c:v>-20.441106974949658</c:v>
                </c:pt>
                <c:pt idx="302">
                  <c:v>-20.472836350822483</c:v>
                </c:pt>
                <c:pt idx="303">
                  <c:v>-20.490642181203864</c:v>
                </c:pt>
                <c:pt idx="304">
                  <c:v>-20.494633266267801</c:v>
                </c:pt>
                <c:pt idx="305">
                  <c:v>-20.484926673083674</c:v>
                </c:pt>
                <c:pt idx="306">
                  <c:v>-20.461647585925085</c:v>
                </c:pt>
                <c:pt idx="307">
                  <c:v>-20.424929152464589</c:v>
                </c:pt>
                <c:pt idx="308">
                  <c:v>-20.37491232599244</c:v>
                </c:pt>
                <c:pt idx="309">
                  <c:v>-20.311745703799055</c:v>
                </c:pt>
                <c:pt idx="310">
                  <c:v>-20.235585361862146</c:v>
                </c:pt>
                <c:pt idx="311">
                  <c:v>-20.146594685980784</c:v>
                </c:pt>
                <c:pt idx="312">
                  <c:v>-20.044944199499739</c:v>
                </c:pt>
                <c:pt idx="313">
                  <c:v>-19.930811387768529</c:v>
                </c:pt>
                <c:pt idx="314">
                  <c:v>-19.804380519480478</c:v>
                </c:pt>
                <c:pt idx="315">
                  <c:v>-19.665842465037937</c:v>
                </c:pt>
                <c:pt idx="316">
                  <c:v>-19.515394512090538</c:v>
                </c:pt>
                <c:pt idx="317">
                  <c:v>-19.353240178393957</c:v>
                </c:pt>
                <c:pt idx="318">
                  <c:v>-19.179589022137151</c:v>
                </c:pt>
                <c:pt idx="319">
                  <c:v>-18.994656449886477</c:v>
                </c:pt>
                <c:pt idx="320">
                  <c:v>-18.798663522295385</c:v>
                </c:pt>
                <c:pt idx="321">
                  <c:v>-18.591836757728554</c:v>
                </c:pt>
                <c:pt idx="322">
                  <c:v>-18.374407933949481</c:v>
                </c:pt>
                <c:pt idx="323">
                  <c:v>-18.146613888020529</c:v>
                </c:pt>
                <c:pt idx="324">
                  <c:v>-17.908696314564281</c:v>
                </c:pt>
                <c:pt idx="325">
                  <c:v>-17.660901562534942</c:v>
                </c:pt>
                <c:pt idx="326">
                  <c:v>-17.40348043064817</c:v>
                </c:pt>
                <c:pt idx="327">
                  <c:v>-17.136687961617316</c:v>
                </c:pt>
                <c:pt idx="328">
                  <c:v>-16.86078323534365</c:v>
                </c:pt>
                <c:pt idx="329">
                  <c:v>-16.576029161207462</c:v>
                </c:pt>
                <c:pt idx="330">
                  <c:v>-16.282692269606315</c:v>
                </c:pt>
                <c:pt idx="331">
                  <c:v>-15.981042502885975</c:v>
                </c:pt>
                <c:pt idx="332">
                  <c:v>-15.671353005808619</c:v>
                </c:pt>
                <c:pt idx="333">
                  <c:v>-15.353899915702062</c:v>
                </c:pt>
                <c:pt idx="334">
                  <c:v>-15.028962152432626</c:v>
                </c:pt>
                <c:pt idx="335">
                  <c:v>-14.696821208343238</c:v>
                </c:pt>
                <c:pt idx="336">
                  <c:v>-14.357760938297062</c:v>
                </c:pt>
                <c:pt idx="337">
                  <c:v>-14.012067349965756</c:v>
                </c:pt>
                <c:pt idx="338">
                  <c:v>-13.66002839450001</c:v>
                </c:pt>
                <c:pt idx="339">
                  <c:v>-13.301933757718635</c:v>
                </c:pt>
                <c:pt idx="340">
                  <c:v>-12.938074651950885</c:v>
                </c:pt>
                <c:pt idx="341">
                  <c:v>-12.568743608665155</c:v>
                </c:pt>
                <c:pt idx="342">
                  <c:v>-12.194234272015457</c:v>
                </c:pt>
                <c:pt idx="343">
                  <c:v>-11.814841193435381</c:v>
                </c:pt>
                <c:pt idx="344">
                  <c:v>-11.430859627407374</c:v>
                </c:pt>
                <c:pt idx="345">
                  <c:v>-11.042585328533338</c:v>
                </c:pt>
                <c:pt idx="346">
                  <c:v>-10.650314350030522</c:v>
                </c:pt>
                <c:pt idx="347">
                  <c:v>-10.25434284377471</c:v>
                </c:pt>
                <c:pt idx="348">
                  <c:v>-9.854966862010599</c:v>
                </c:pt>
                <c:pt idx="349">
                  <c:v>-9.4524821608471026</c:v>
                </c:pt>
                <c:pt idx="350">
                  <c:v>-9.0471840056531256</c:v>
                </c:pt>
                <c:pt idx="351">
                  <c:v>-8.639366978467061</c:v>
                </c:pt>
                <c:pt idx="352">
                  <c:v>-8.229324787530965</c:v>
                </c:pt>
                <c:pt idx="353">
                  <c:v>-7.8173500790579604</c:v>
                </c:pt>
                <c:pt idx="354">
                  <c:v>-7.4037342513390163</c:v>
                </c:pt>
                <c:pt idx="355">
                  <c:v>-6.988767271292744</c:v>
                </c:pt>
                <c:pt idx="356">
                  <c:v>-6.5727374935593446</c:v>
                </c:pt>
                <c:pt idx="357">
                  <c:v>-6.1559314822372615</c:v>
                </c:pt>
                <c:pt idx="358">
                  <c:v>-5.7386338353584776</c:v>
                </c:pt>
                <c:pt idx="359">
                  <c:v>-5.3211270121957384</c:v>
                </c:pt>
                <c:pt idx="360">
                  <c:v>-4.9036911634922786</c:v>
                </c:pt>
                <c:pt idx="361">
                  <c:v>-4.4866039647019207</c:v>
                </c:pt>
                <c:pt idx="362">
                  <c:v>-4.070140452324611</c:v>
                </c:pt>
                <c:pt idx="363">
                  <c:v>-3.6545728634196886</c:v>
                </c:pt>
                <c:pt idx="364">
                  <c:v>-3.2401704783763288</c:v>
                </c:pt>
                <c:pt idx="365">
                  <c:v>-2.8271994670177607</c:v>
                </c:pt>
                <c:pt idx="366">
                  <c:v>-2.4159227381129549</c:v>
                </c:pt>
                <c:pt idx="367">
                  <c:v>-2.0065997923665821</c:v>
                </c:pt>
                <c:pt idx="368">
                  <c:v>-1.5994865789551003</c:v>
                </c:pt>
                <c:pt idx="369">
                  <c:v>-1.1948353556738811</c:v>
                </c:pt>
                <c:pt idx="370">
                  <c:v>-0.79289455275731657</c:v>
                </c:pt>
                <c:pt idx="371">
                  <c:v>-0.39390864043085744</c:v>
                </c:pt>
                <c:pt idx="372">
                  <c:v>1.8819997490596152E-3</c:v>
                </c:pt>
                <c:pt idx="373">
                  <c:v>0.39424119971425137</c:v>
                </c:pt>
                <c:pt idx="374">
                  <c:v>0.78293712581326869</c:v>
                </c:pt>
                <c:pt idx="375">
                  <c:v>1.1677423958022191</c:v>
                </c:pt>
                <c:pt idx="376">
                  <c:v>1.5484341918540636</c:v>
                </c:pt>
                <c:pt idx="377">
                  <c:v>1.924794369545556</c:v>
                </c:pt>
                <c:pt idx="378">
                  <c:v>2.2966095627840253</c:v>
                </c:pt>
                <c:pt idx="379">
                  <c:v>2.6636712846392383</c:v>
                </c:pt>
                <c:pt idx="380">
                  <c:v>3.0257760240486133</c:v>
                </c:pt>
                <c:pt idx="381">
                  <c:v>3.3827253383670746</c:v>
                </c:pt>
                <c:pt idx="382">
                  <c:v>3.7343259417358645</c:v>
                </c:pt>
                <c:pt idx="383">
                  <c:v>4.0803897892476346</c:v>
                </c:pt>
                <c:pt idx="384">
                  <c:v>4.4207341568881375</c:v>
                </c:pt>
                <c:pt idx="385">
                  <c:v>4.7551817172378303</c:v>
                </c:pt>
                <c:pt idx="386">
                  <c:v>5.0835606109196672</c:v>
                </c:pt>
                <c:pt idx="387">
                  <c:v>5.4057045137823154</c:v>
                </c:pt>
                <c:pt idx="388">
                  <c:v>5.7214526998109658</c:v>
                </c:pt>
                <c:pt idx="389">
                  <c:v>6.0306500997608268</c:v>
                </c:pt>
                <c:pt idx="390">
                  <c:v>6.3331473555112821</c:v>
                </c:pt>
                <c:pt idx="391">
                  <c:v>6.6288008701415588</c:v>
                </c:pt>
                <c:pt idx="392">
                  <c:v>6.9174728537316126</c:v>
                </c:pt>
                <c:pt idx="393">
                  <c:v>7.1990313648947311</c:v>
                </c:pt>
                <c:pt idx="394">
                  <c:v>7.4733503480511727</c:v>
                </c:pt>
                <c:pt idx="395">
                  <c:v>7.7403096664548912</c:v>
                </c:pt>
                <c:pt idx="396">
                  <c:v>7.999795130988141</c:v>
                </c:pt>
                <c:pt idx="397">
                  <c:v>8.2516985247414443</c:v>
                </c:pt>
                <c:pt idx="398">
                  <c:v>8.4959176233990572</c:v>
                </c:pt>
                <c:pt idx="399">
                  <c:v>8.7323562114527054</c:v>
                </c:pt>
                <c:pt idx="400">
                  <c:v>8.9609240942689201</c:v>
                </c:pt>
                <c:pt idx="401">
                  <c:v>9.1815371060378812</c:v>
                </c:pt>
                <c:pt idx="402">
                  <c:v>9.3941171136341524</c:v>
                </c:pt>
                <c:pt idx="403">
                  <c:v>9.5985920164221668</c:v>
                </c:pt>
                <c:pt idx="404">
                  <c:v>9.7948957420417369</c:v>
                </c:pt>
                <c:pt idx="405">
                  <c:v>9.9829682382112424</c:v>
                </c:pt>
                <c:pt idx="406">
                  <c:v>10.162755460588473</c:v>
                </c:pt>
                <c:pt idx="407">
                  <c:v>10.334209356731375</c:v>
                </c:pt>
                <c:pt idx="408">
                  <c:v>10.497287846203216</c:v>
                </c:pt>
                <c:pt idx="409">
                  <c:v>10.651954796868834</c:v>
                </c:pt>
                <c:pt idx="410">
                  <c:v>10.79817999743077</c:v>
                </c:pt>
                <c:pt idx="411">
                  <c:v>10.935939126256216</c:v>
                </c:pt>
                <c:pt idx="412">
                  <c:v>11.065213716547669</c:v>
                </c:pt>
                <c:pt idx="413">
                  <c:v>11.185991117912232</c:v>
                </c:pt>
                <c:pt idx="414">
                  <c:v>11.298264454386361</c:v>
                </c:pt>
                <c:pt idx="415">
                  <c:v>11.40203257897479</c:v>
                </c:pt>
                <c:pt idx="416">
                  <c:v>11.497300024764137</c:v>
                </c:pt>
                <c:pt idx="417">
                  <c:v>11.584076952673465</c:v>
                </c:pt>
                <c:pt idx="418">
                  <c:v>11.662379095905797</c:v>
                </c:pt>
                <c:pt idx="419">
                  <c:v>11.732227701166178</c:v>
                </c:pt>
                <c:pt idx="420">
                  <c:v>11.793649466713525</c:v>
                </c:pt>
                <c:pt idx="421">
                  <c:v>11.846676477314986</c:v>
                </c:pt>
                <c:pt idx="422">
                  <c:v>11.891346136173025</c:v>
                </c:pt>
                <c:pt idx="423">
                  <c:v>11.927701093896845</c:v>
                </c:pt>
                <c:pt idx="424">
                  <c:v>11.955789174591127</c:v>
                </c:pt>
                <c:pt idx="425">
                  <c:v>11.975663299136331</c:v>
                </c:pt>
                <c:pt idx="426">
                  <c:v>11.987381405736054</c:v>
                </c:pt>
                <c:pt idx="427">
                  <c:v>11.991006367808087</c:v>
                </c:pt>
                <c:pt idx="428">
                  <c:v>11.986605909296957</c:v>
                </c:pt>
                <c:pt idx="429">
                  <c:v>11.974252517486725</c:v>
                </c:pt>
                <c:pt idx="430">
                  <c:v>11.954023353393859</c:v>
                </c:pt>
                <c:pt idx="431">
                  <c:v>11.926000159820868</c:v>
                </c:pt>
                <c:pt idx="432">
                  <c:v>11.890269167152296</c:v>
                </c:pt>
                <c:pt idx="433">
                  <c:v>11.846920996975417</c:v>
                </c:pt>
                <c:pt idx="434">
                  <c:v>11.796050563608754</c:v>
                </c:pt>
                <c:pt idx="435">
                  <c:v>11.737756973622195</c:v>
                </c:pt>
                <c:pt idx="436">
                  <c:v>11.672143423433106</c:v>
                </c:pt>
                <c:pt idx="437">
                  <c:v>11.599317095063366</c:v>
                </c:pt>
                <c:pt idx="438">
                  <c:v>11.519389050142788</c:v>
                </c:pt>
                <c:pt idx="439">
                  <c:v>11.432474122244761</c:v>
                </c:pt>
                <c:pt idx="440">
                  <c:v>11.338690807640353</c:v>
                </c:pt>
                <c:pt idx="441">
                  <c:v>11.238161154557423</c:v>
                </c:pt>
                <c:pt idx="442">
                  <c:v>11.131010651031506</c:v>
                </c:pt>
                <c:pt idx="443">
                  <c:v>11.017368111435459</c:v>
                </c:pt>
                <c:pt idx="444">
                  <c:v>10.897365561774956</c:v>
                </c:pt>
                <c:pt idx="445">
                  <c:v>10.771138123836993</c:v>
                </c:pt>
                <c:pt idx="446">
                  <c:v>10.6388238982786</c:v>
                </c:pt>
                <c:pt idx="447">
                  <c:v>10.500563846742862</c:v>
                </c:pt>
                <c:pt idx="448">
                  <c:v>10.356501673089271</c:v>
                </c:pt>
                <c:pt idx="449">
                  <c:v>10.206783703825286</c:v>
                </c:pt>
                <c:pt idx="450">
                  <c:v>10.051558767825705</c:v>
                </c:pt>
                <c:pt idx="451">
                  <c:v>9.8909780754262364</c:v>
                </c:pt>
                <c:pt idx="452">
                  <c:v>9.7251950969772789</c:v>
                </c:pt>
                <c:pt idx="453">
                  <c:v>9.5543654409435614</c:v>
                </c:pt>
                <c:pt idx="454">
                  <c:v>9.3786467316348396</c:v>
                </c:pt>
                <c:pt idx="455">
                  <c:v>9.1981984866523714</c:v>
                </c:pt>
                <c:pt idx="456">
                  <c:v>9.0131819941353157</c:v>
                </c:pt>
                <c:pt idx="457">
                  <c:v>8.8237601898906508</c:v>
                </c:pt>
                <c:pt idx="458">
                  <c:v>8.6300975344895132</c:v>
                </c:pt>
                <c:pt idx="459">
                  <c:v>8.4323598904121919</c:v>
                </c:pt>
                <c:pt idx="460">
                  <c:v>8.2307143993232668</c:v>
                </c:pt>
                <c:pt idx="461">
                  <c:v>8.0253293595575634</c:v>
                </c:pt>
                <c:pt idx="462">
                  <c:v>7.8163741038967904</c:v>
                </c:pt>
                <c:pt idx="463">
                  <c:v>7.6040188777158129</c:v>
                </c:pt>
                <c:pt idx="464">
                  <c:v>7.388434717576593</c:v>
                </c:pt>
                <c:pt idx="465">
                  <c:v>7.1697933303468622</c:v>
                </c:pt>
                <c:pt idx="466">
                  <c:v>6.9482669729195576</c:v>
                </c:pt>
                <c:pt idx="467">
                  <c:v>6.7240283326080101</c:v>
                </c:pt>
                <c:pt idx="468">
                  <c:v>6.4972504082907578</c:v>
                </c:pt>
                <c:pt idx="469">
                  <c:v>6.2681063923787281</c:v>
                </c:pt>
                <c:pt idx="470">
                  <c:v>6.0367695536763497</c:v>
                </c:pt>
                <c:pt idx="471">
                  <c:v>5.8034131212069413</c:v>
                </c:pt>
                <c:pt idx="472">
                  <c:v>5.5682101690714632</c:v>
                </c:pt>
                <c:pt idx="473">
                  <c:v>5.3313335024084445</c:v>
                </c:pt>
                <c:pt idx="474">
                  <c:v>5.0929555445215664</c:v>
                </c:pt>
                <c:pt idx="475">
                  <c:v>4.8532482252400273</c:v>
                </c:pt>
                <c:pt idx="476">
                  <c:v>4.6123828705754342</c:v>
                </c:pt>
                <c:pt idx="477">
                  <c:v>4.3705300937375506</c:v>
                </c:pt>
                <c:pt idx="478">
                  <c:v>4.1278596875697708</c:v>
                </c:pt>
                <c:pt idx="479">
                  <c:v>3.8845405184637318</c:v>
                </c:pt>
                <c:pt idx="480">
                  <c:v>3.6407404218109694</c:v>
                </c:pt>
                <c:pt idx="481">
                  <c:v>3.3966260990479902</c:v>
                </c:pt>
                <c:pt idx="482">
                  <c:v>3.1523630163495913</c:v>
                </c:pt>
                <c:pt idx="483">
                  <c:v>2.9081153050236788</c:v>
                </c:pt>
                <c:pt idx="484">
                  <c:v>2.664045663659242</c:v>
                </c:pt>
                <c:pt idx="485">
                  <c:v>2.4203152620775241</c:v>
                </c:pt>
                <c:pt idx="486">
                  <c:v>2.1770836471347961</c:v>
                </c:pt>
                <c:pt idx="487">
                  <c:v>1.9345086504234819</c:v>
                </c:pt>
                <c:pt idx="488">
                  <c:v>1.6927462979167167</c:v>
                </c:pt>
                <c:pt idx="489">
                  <c:v>1.4519507215997325</c:v>
                </c:pt>
                <c:pt idx="490">
                  <c:v>1.2122740731297621</c:v>
                </c:pt>
                <c:pt idx="491">
                  <c:v>0.97386643956444507</c:v>
                </c:pt>
                <c:pt idx="492">
                  <c:v>0.7368757611969845</c:v>
                </c:pt>
                <c:pt idx="493">
                  <c:v>0.50144775153457732</c:v>
                </c:pt>
                <c:pt idx="494">
                  <c:v>0.26772581945488794</c:v>
                </c:pt>
                <c:pt idx="495">
                  <c:v>3.5850993573585899E-2</c:v>
                </c:pt>
                <c:pt idx="496">
                  <c:v>-0.1940381511457939</c:v>
                </c:pt>
                <c:pt idx="497">
                  <c:v>-0.42180556451017526</c:v>
                </c:pt>
                <c:pt idx="498">
                  <c:v>-0.64731778991572519</c:v>
                </c:pt>
                <c:pt idx="499">
                  <c:v>-0.87044403084114985</c:v>
                </c:pt>
                <c:pt idx="500">
                  <c:v>-1.0910562149913268</c:v>
                </c:pt>
                <c:pt idx="501">
                  <c:v>-1.3090290560688747</c:v>
                </c:pt>
                <c:pt idx="502">
                  <c:v>-1.5242401131530379</c:v>
                </c:pt>
                <c:pt idx="503">
                  <c:v>-1.7365698476670364</c:v>
                </c:pt>
                <c:pt idx="504">
                  <c:v>-1.9459016779168021</c:v>
                </c:pt>
                <c:pt idx="505">
                  <c:v>-2.152122031185792</c:v>
                </c:pt>
                <c:pt idx="506">
                  <c:v>-2.3551203933723266</c:v>
                </c:pt>
                <c:pt idx="507">
                  <c:v>-2.5547893561576633</c:v>
                </c:pt>
                <c:pt idx="508">
                  <c:v>-2.7510246616947551</c:v>
                </c:pt>
                <c:pt idx="509">
                  <c:v>-2.9437252448093956</c:v>
                </c:pt>
                <c:pt idx="510">
                  <c:v>-3.1327932727071697</c:v>
                </c:pt>
                <c:pt idx="511">
                  <c:v>-3.3181341821813581</c:v>
                </c:pt>
                <c:pt idx="512">
                  <c:v>-3.4996567143186494</c:v>
                </c:pt>
                <c:pt idx="513">
                  <c:v>-3.6772729467012053</c:v>
                </c:pt>
                <c:pt idx="514">
                  <c:v>-3.8508983231053113</c:v>
                </c:pt>
                <c:pt idx="515">
                  <c:v>-4.0204516806985113</c:v>
                </c:pt>
                <c:pt idx="516">
                  <c:v>-4.1858552747387714</c:v>
                </c:pt>
                <c:pt idx="517">
                  <c:v>-4.3470348007808566</c:v>
                </c:pt>
                <c:pt idx="518">
                  <c:v>-4.5039194143967238</c:v>
                </c:pt>
                <c:pt idx="519">
                  <c:v>-4.656441748418322</c:v>
                </c:pt>
                <c:pt idx="520">
                  <c:v>-4.8045379277127873</c:v>
                </c:pt>
                <c:pt idx="521">
                  <c:v>-4.9481475815015585</c:v>
                </c:pt>
                <c:pt idx="522">
                  <c:v>-5.0872138532364932</c:v>
                </c:pt>
                <c:pt idx="523">
                  <c:v>-5.2216834080475669</c:v>
                </c:pt>
                <c:pt idx="524">
                  <c:v>-5.3515064377782471</c:v>
                </c:pt>
                <c:pt idx="525">
                  <c:v>-5.476636663626075</c:v>
                </c:pt>
                <c:pt idx="526">
                  <c:v>-5.5970313364074711</c:v>
                </c:pt>
                <c:pt idx="527">
                  <c:v>-5.7126512344671569</c:v>
                </c:pt>
                <c:pt idx="528">
                  <c:v>-5.8234606592540139</c:v>
                </c:pt>
                <c:pt idx="529">
                  <c:v>-5.9294274285865489</c:v>
                </c:pt>
                <c:pt idx="530">
                  <c:v>-6.0305228676324782</c:v>
                </c:pt>
                <c:pt idx="531">
                  <c:v>-6.126721797628254</c:v>
                </c:pt>
                <c:pt idx="532">
                  <c:v>-6.2180025223656479</c:v>
                </c:pt>
                <c:pt idx="533">
                  <c:v>-6.3043468124737405</c:v>
                </c:pt>
                <c:pt idx="534">
                  <c:v>-6.3857398875259133</c:v>
                </c:pt>
                <c:pt idx="535">
                  <c:v>-6.4621703960026169</c:v>
                </c:pt>
                <c:pt idx="536">
                  <c:v>-6.5336303931418538</c:v>
                </c:pt>
                <c:pt idx="537">
                  <c:v>-6.6001153167104567</c:v>
                </c:pt>
                <c:pt idx="538">
                  <c:v>-6.6616239607303243</c:v>
                </c:pt>
                <c:pt idx="539">
                  <c:v>-6.7181584471948659</c:v>
                </c:pt>
                <c:pt idx="540">
                  <c:v>-6.7697241958119188</c:v>
                </c:pt>
                <c:pt idx="541">
                  <c:v>-6.8163298918104154</c:v>
                </c:pt>
                <c:pt idx="542">
                  <c:v>-6.857987451849052</c:v>
                </c:pt>
                <c:pt idx="543">
                  <c:v>-6.8947119880661205</c:v>
                </c:pt>
                <c:pt idx="544">
                  <c:v>-6.9265217703105977</c:v>
                </c:pt>
                <c:pt idx="545">
                  <c:v>-6.9534381865954149</c:v>
                </c:pt>
                <c:pt idx="546">
                  <c:v>-6.9754857018147005</c:v>
                </c:pt>
                <c:pt idx="547">
                  <c:v>-6.9926918147675421</c:v>
                </c:pt>
                <c:pt idx="548">
                  <c:v>-7.0050870135316146</c:v>
                </c:pt>
                <c:pt idx="549">
                  <c:v>-7.0127047292307108</c:v>
                </c:pt>
                <c:pt idx="550">
                  <c:v>-7.0155812882409272</c:v>
                </c:pt>
                <c:pt idx="551">
                  <c:v>-7.0137558628808945</c:v>
                </c:pt>
                <c:pt idx="552">
                  <c:v>-7.0072704206320617</c:v>
                </c:pt>
                <c:pt idx="553">
                  <c:v>-6.9961696719356308</c:v>
                </c:pt>
                <c:pt idx="554">
                  <c:v>-6.9805010166132782</c:v>
                </c:pt>
                <c:pt idx="555">
                  <c:v>-6.9603144889593107</c:v>
                </c:pt>
                <c:pt idx="556">
                  <c:v>-6.9356627015523715</c:v>
                </c:pt>
                <c:pt idx="557">
                  <c:v>-6.9066007878352575</c:v>
                </c:pt>
                <c:pt idx="558">
                  <c:v>-6.8731863435118017</c:v>
                </c:pt>
                <c:pt idx="559">
                  <c:v>-6.8354793668101408</c:v>
                </c:pt>
                <c:pt idx="560">
                  <c:v>-6.7935421976620214</c:v>
                </c:pt>
                <c:pt idx="561">
                  <c:v>-6.7474394558480775</c:v>
                </c:pt>
                <c:pt idx="562">
                  <c:v>-6.697237978159289</c:v>
                </c:pt>
                <c:pt idx="563">
                  <c:v>-6.6430067546250307</c:v>
                </c:pt>
                <c:pt idx="564">
                  <c:v>-6.5848168638583191</c:v>
                </c:pt>
                <c:pt idx="565">
                  <c:v>-6.5227414075690131</c:v>
                </c:pt>
                <c:pt idx="566">
                  <c:v>-6.4568554442958357</c:v>
                </c:pt>
                <c:pt idx="567">
                  <c:v>-6.3872359224081618</c:v>
                </c:pt>
                <c:pt idx="568">
                  <c:v>-6.3139616124285753</c:v>
                </c:pt>
                <c:pt idx="569">
                  <c:v>-6.2371130387271929</c:v>
                </c:pt>
                <c:pt idx="570">
                  <c:v>-6.1567724106387383</c:v>
                </c:pt>
                <c:pt idx="571">
                  <c:v>-6.0730235530532903</c:v>
                </c:pt>
                <c:pt idx="572">
                  <c:v>-5.9859518365315481</c:v>
                </c:pt>
                <c:pt idx="573">
                  <c:v>-5.8956441069953058</c:v>
                </c:pt>
                <c:pt idx="574">
                  <c:v>-5.8021886150437147</c:v>
                </c:pt>
                <c:pt idx="575">
                  <c:v>-5.7056749449456747</c:v>
                </c:pt>
                <c:pt idx="576">
                  <c:v>-5.6061939433585204</c:v>
                </c:pt>
                <c:pt idx="577">
                  <c:v>-5.5038376478228823</c:v>
                </c:pt>
                <c:pt idx="578">
                  <c:v>-5.3986992150833384</c:v>
                </c:pt>
                <c:pt idx="579">
                  <c:v>-5.2908728492841481</c:v>
                </c:pt>
                <c:pt idx="580">
                  <c:v>-5.1804537300890283</c:v>
                </c:pt>
                <c:pt idx="581">
                  <c:v>-5.0675379407735397</c:v>
                </c:pt>
                <c:pt idx="582">
                  <c:v>-4.9522223963382697</c:v>
                </c:pt>
                <c:pt idx="583">
                  <c:v>-4.8346047716905467</c:v>
                </c:pt>
                <c:pt idx="584">
                  <c:v>-4.7147834299419769</c:v>
                </c:pt>
                <c:pt idx="585">
                  <c:v>-4.5928573508686004</c:v>
                </c:pt>
                <c:pt idx="586">
                  <c:v>-4.4689260595799469</c:v>
                </c:pt>
                <c:pt idx="587">
                  <c:v>-4.3430895554427416</c:v>
                </c:pt>
                <c:pt idx="588">
                  <c:v>-4.215448241304431</c:v>
                </c:pt>
                <c:pt idx="589">
                  <c:v>-4.0861028530611154</c:v>
                </c:pt>
                <c:pt idx="590">
                  <c:v>-3.9551543896138681</c:v>
                </c:pt>
                <c:pt idx="591">
                  <c:v>-3.8227040432567545</c:v>
                </c:pt>
                <c:pt idx="592">
                  <c:v>-3.6888531305392314</c:v>
                </c:pt>
                <c:pt idx="593">
                  <c:v>-3.5537030236449003</c:v>
                </c:pt>
                <c:pt idx="594">
                  <c:v>-3.4173550823278904</c:v>
                </c:pt>
                <c:pt idx="595">
                  <c:v>-3.2799105864474094</c:v>
                </c:pt>
                <c:pt idx="596">
                  <c:v>-3.141470669140261</c:v>
                </c:pt>
                <c:pt idx="597">
                  <c:v>-3.0021362506703477</c:v>
                </c:pt>
                <c:pt idx="598">
                  <c:v>-2.8620079729933932</c:v>
                </c:pt>
                <c:pt idx="599">
                  <c:v>-2.7211861350743103</c:v>
                </c:pt>
                <c:pt idx="600">
                  <c:v>-2.5797706289938098</c:v>
                </c:pt>
                <c:pt idx="601">
                  <c:v>-2.437860876880011</c:v>
                </c:pt>
                <c:pt idx="602">
                  <c:v>-2.2955557686999453</c:v>
                </c:pt>
                <c:pt idx="603">
                  <c:v>-2.1529536009449735</c:v>
                </c:pt>
                <c:pt idx="604">
                  <c:v>-2.0101520162432478</c:v>
                </c:pt>
                <c:pt idx="605">
                  <c:v>-1.8672479439314418</c:v>
                </c:pt>
                <c:pt idx="606">
                  <c:v>-1.7243375416170506</c:v>
                </c:pt>
                <c:pt idx="607">
                  <c:v>-1.5815161377616394</c:v>
                </c:pt>
                <c:pt idx="608">
                  <c:v>-1.4388781753144673</c:v>
                </c:pt>
                <c:pt idx="609">
                  <c:v>-1.2965171564249609</c:v>
                </c:pt>
                <c:pt idx="610">
                  <c:v>-1.1545255882615471</c:v>
                </c:pt>
                <c:pt idx="611">
                  <c:v>-1.0129949299633751</c:v>
                </c:pt>
                <c:pt idx="612">
                  <c:v>-0.87201554075047838</c:v>
                </c:pt>
                <c:pt idx="613">
                  <c:v>-0.73167662921692644</c:v>
                </c:pt>
                <c:pt idx="614">
                  <c:v>-0.59206620383052067</c:v>
                </c:pt>
                <c:pt idx="615">
                  <c:v>-0.45327102466157665</c:v>
                </c:pt>
                <c:pt idx="616">
                  <c:v>-0.31537655636232242</c:v>
                </c:pt>
                <c:pt idx="617">
                  <c:v>-0.17846692241742024</c:v>
                </c:pt>
                <c:pt idx="618">
                  <c:v>-4.2624860685095578E-2</c:v>
                </c:pt>
                <c:pt idx="619">
                  <c:v>9.2068319752672323E-2</c:v>
                </c:pt>
                <c:pt idx="620">
                  <c:v>0.2255327804134778</c:v>
                </c:pt>
                <c:pt idx="621">
                  <c:v>0.35769019389494727</c:v>
                </c:pt>
                <c:pt idx="622">
                  <c:v>0.48846378299698079</c:v>
                </c:pt>
                <c:pt idx="623">
                  <c:v>0.61777835847146534</c:v>
                </c:pt>
                <c:pt idx="624">
                  <c:v>0.74556035538619003</c:v>
                </c:pt>
                <c:pt idx="625">
                  <c:v>0.87173786809072973</c:v>
                </c:pt>
                <c:pt idx="626">
                  <c:v>0.99624068377310282</c:v>
                </c:pt>
                <c:pt idx="627">
                  <c:v>1.1190003145970466</c:v>
                </c:pt>
                <c:pt idx="628">
                  <c:v>1.2399500284107849</c:v>
                </c:pt>
                <c:pt idx="629">
                  <c:v>1.3590248780191969</c:v>
                </c:pt>
                <c:pt idx="630">
                  <c:v>1.4761617290123232</c:v>
                </c:pt>
                <c:pt idx="631">
                  <c:v>1.5912992861441677</c:v>
                </c:pt>
                <c:pt idx="632">
                  <c:v>1.7043781182567734</c:v>
                </c:pt>
                <c:pt idx="633">
                  <c:v>1.8153406817455653</c:v>
                </c:pt>
                <c:pt idx="634">
                  <c:v>1.9241313425629571</c:v>
                </c:pt>
                <c:pt idx="635">
                  <c:v>2.030696396758223</c:v>
                </c:pt>
                <c:pt idx="636">
                  <c:v>2.1349840895526246</c:v>
                </c:pt>
                <c:pt idx="637">
                  <c:v>2.2369446329497729</c:v>
                </c:pt>
                <c:pt idx="638">
                  <c:v>2.3365302218821795</c:v>
                </c:pt>
                <c:pt idx="639">
                  <c:v>2.4336950488959168</c:v>
                </c:pt>
                <c:pt idx="640">
                  <c:v>2.5283953173762712</c:v>
                </c:pt>
                <c:pt idx="641">
                  <c:v>2.6205892533182116</c:v>
                </c:pt>
                <c:pt idx="642">
                  <c:v>2.7102371156464433</c:v>
                </c:pt>
                <c:pt idx="643">
                  <c:v>2.7973012050907324</c:v>
                </c:pt>
                <c:pt idx="644">
                  <c:v>2.8817458716231106</c:v>
                </c:pt>
                <c:pt idx="645">
                  <c:v>2.9635375204644596</c:v>
                </c:pt>
                <c:pt idx="646">
                  <c:v>3.0426446166688739</c:v>
                </c:pt>
                <c:pt idx="647">
                  <c:v>3.1190376882950708</c:v>
                </c:pt>
                <c:pt idx="648">
                  <c:v>3.1926893281749771</c:v>
                </c:pt>
                <c:pt idx="649">
                  <c:v>3.2635741942904741</c:v>
                </c:pt>
                <c:pt idx="650">
                  <c:v>3.3316690087701102</c:v>
                </c:pt>
                <c:pt idx="651">
                  <c:v>3.3969525555184092</c:v>
                </c:pt>
                <c:pt idx="652">
                  <c:v>3.4594056764912109</c:v>
                </c:pt>
                <c:pt idx="653">
                  <c:v>3.5190112666312539</c:v>
                </c:pt>
                <c:pt idx="654">
                  <c:v>3.5757542674789957</c:v>
                </c:pt>
                <c:pt idx="655">
                  <c:v>3.6296216594744046</c:v>
                </c:pt>
                <c:pt idx="656">
                  <c:v>3.6806024529662036</c:v>
                </c:pt>
                <c:pt idx="657">
                  <c:v>3.7286876779457629</c:v>
                </c:pt>
                <c:pt idx="658">
                  <c:v>3.7738703725235356</c:v>
                </c:pt>
                <c:pt idx="659">
                  <c:v>3.8161455701666185</c:v>
                </c:pt>
                <c:pt idx="660">
                  <c:v>3.8555102857166834</c:v>
                </c:pt>
                <c:pt idx="661">
                  <c:v>3.8919635002081701</c:v>
                </c:pt>
                <c:pt idx="662">
                  <c:v>3.9255061445072585</c:v>
                </c:pt>
                <c:pt idx="663">
                  <c:v>3.95614108179275</c:v>
                </c:pt>
                <c:pt idx="664">
                  <c:v>3.9838730889005718</c:v>
                </c:pt>
                <c:pt idx="665">
                  <c:v>4.0087088365541925</c:v>
                </c:pt>
                <c:pt idx="666">
                  <c:v>4.0306568685037787</c:v>
                </c:pt>
                <c:pt idx="667">
                  <c:v>4.0497275795974659</c:v>
                </c:pt>
                <c:pt idx="668">
                  <c:v>4.0659331928086093</c:v>
                </c:pt>
                <c:pt idx="669">
                  <c:v>4.0792877352433843</c:v>
                </c:pt>
                <c:pt idx="670">
                  <c:v>4.0898070131535622</c:v>
                </c:pt>
                <c:pt idx="671">
                  <c:v>4.0975085859797495</c:v>
                </c:pt>
                <c:pt idx="672">
                  <c:v>4.1024117394507895</c:v>
                </c:pt>
                <c:pt idx="673">
                  <c:v>4.1045374577654474</c:v>
                </c:pt>
                <c:pt idx="674">
                  <c:v>4.1039083948828674</c:v>
                </c:pt>
                <c:pt idx="675">
                  <c:v>4.1005488449486815</c:v>
                </c:pt>
                <c:pt idx="676">
                  <c:v>4.0944847118839593</c:v>
                </c:pt>
                <c:pt idx="677">
                  <c:v>4.0857434781645416</c:v>
                </c:pt>
                <c:pt idx="678">
                  <c:v>4.074354172818583</c:v>
                </c:pt>
                <c:pt idx="679">
                  <c:v>4.0603473386704101</c:v>
                </c:pt>
                <c:pt idx="680">
                  <c:v>4.0437549988590744</c:v>
                </c:pt>
                <c:pt idx="681">
                  <c:v>4.0246106226601981</c:v>
                </c:pt>
                <c:pt idx="682">
                  <c:v>4.0029490906399383</c:v>
                </c:pt>
                <c:pt idx="683">
                  <c:v>3.9788066591700941</c:v>
                </c:pt>
                <c:pt idx="684">
                  <c:v>3.9522209243335418</c:v>
                </c:pt>
                <c:pt idx="685">
                  <c:v>3.9232307852493506</c:v>
                </c:pt>
                <c:pt idx="686">
                  <c:v>3.8918764068470559</c:v>
                </c:pt>
                <c:pt idx="687">
                  <c:v>3.8581991821196833</c:v>
                </c:pt>
                <c:pt idx="688">
                  <c:v>3.8222416938852013</c:v>
                </c:pt>
                <c:pt idx="689">
                  <c:v>3.7840476760861614</c:v>
                </c:pt>
                <c:pt idx="690">
                  <c:v>3.7436619746573223</c:v>
                </c:pt>
                <c:pt idx="691">
                  <c:v>3.701130507991095</c:v>
                </c:pt>
                <c:pt idx="692">
                  <c:v>3.6565002270306475</c:v>
                </c:pt>
                <c:pt idx="693">
                  <c:v>3.6098190750205035</c:v>
                </c:pt>
                <c:pt idx="694">
                  <c:v>3.5611359469444337</c:v>
                </c:pt>
                <c:pt idx="695">
                  <c:v>3.5105006486803938</c:v>
                </c:pt>
                <c:pt idx="696">
                  <c:v>3.4579638559021886</c:v>
                </c:pt>
                <c:pt idx="697">
                  <c:v>3.4035770727574595</c:v>
                </c:pt>
                <c:pt idx="698">
                  <c:v>3.3473925903514798</c:v>
                </c:pt>
                <c:pt idx="699">
                  <c:v>3.2894634450661178</c:v>
                </c:pt>
                <c:pt idx="700">
                  <c:v>3.2298433767431849</c:v>
                </c:pt>
                <c:pt idx="701">
                  <c:v>3.1685867867612219</c:v>
                </c:pt>
                <c:pt idx="702">
                  <c:v>3.105748696034595</c:v>
                </c:pt>
                <c:pt idx="703">
                  <c:v>3.0413847029635761</c:v>
                </c:pt>
                <c:pt idx="704">
                  <c:v>2.9755509413638634</c:v>
                </c:pt>
                <c:pt idx="705">
                  <c:v>2.9083040384037724</c:v>
                </c:pt>
                <c:pt idx="706">
                  <c:v>2.8397010725770664</c:v>
                </c:pt>
                <c:pt idx="707">
                  <c:v>2.7697995317391402</c:v>
                </c:pt>
                <c:pt idx="708">
                  <c:v>2.6986572712339836</c:v>
                </c:pt>
                <c:pt idx="709">
                  <c:v>2.6263324721390489</c:v>
                </c:pt>
                <c:pt idx="710">
                  <c:v>2.552883599654844</c:v>
                </c:pt>
                <c:pt idx="711">
                  <c:v>2.4783693616657327</c:v>
                </c:pt>
                <c:pt idx="712">
                  <c:v>2.4028486674980831</c:v>
                </c:pt>
                <c:pt idx="713">
                  <c:v>2.3263805869015544</c:v>
                </c:pt>
                <c:pt idx="714">
                  <c:v>2.2490243092789277</c:v>
                </c:pt>
                <c:pt idx="715">
                  <c:v>2.1708391031895111</c:v>
                </c:pt>
                <c:pt idx="716">
                  <c:v>2.0918842761507435</c:v>
                </c:pt>
                <c:pt idx="717">
                  <c:v>2.0122191347622111</c:v>
                </c:pt>
                <c:pt idx="718">
                  <c:v>1.9319029451758714</c:v>
                </c:pt>
                <c:pt idx="719">
                  <c:v>1.8509948939358292</c:v>
                </c:pt>
                <c:pt idx="720">
                  <c:v>1.7695540492105768</c:v>
                </c:pt>
                <c:pt idx="721">
                  <c:v>1.6876393224401363</c:v>
                </c:pt>
                <c:pt idx="722">
                  <c:v>1.6053094304200795</c:v>
                </c:pt>
                <c:pt idx="723">
                  <c:v>1.5226228578439165</c:v>
                </c:pt>
                <c:pt idx="724">
                  <c:v>1.439637820324851</c:v>
                </c:pt>
                <c:pt idx="725">
                  <c:v>1.3564122279174007</c:v>
                </c:pt>
                <c:pt idx="726">
                  <c:v>1.2730036491588701</c:v>
                </c:pt>
                <c:pt idx="727">
                  <c:v>1.1894692756501408</c:v>
                </c:pt>
                <c:pt idx="728">
                  <c:v>1.1058658871947205</c:v>
                </c:pt>
                <c:pt idx="729">
                  <c:v>1.0222498175144505</c:v>
                </c:pt>
                <c:pt idx="730">
                  <c:v>0.9386769205597334</c:v>
                </c:pt>
                <c:pt idx="731">
                  <c:v>0.85520253743158392</c:v>
                </c:pt>
                <c:pt idx="732">
                  <c:v>0.77188146393225743</c:v>
                </c:pt>
                <c:pt idx="733">
                  <c:v>0.68876791876063692</c:v>
                </c:pt>
                <c:pt idx="734">
                  <c:v>0.60591551236799668</c:v>
                </c:pt>
                <c:pt idx="735">
                  <c:v>0.52337721648918067</c:v>
                </c:pt>
                <c:pt idx="736">
                  <c:v>0.44120533436365494</c:v>
                </c:pt>
                <c:pt idx="737">
                  <c:v>0.359451471660308</c:v>
                </c:pt>
                <c:pt idx="738">
                  <c:v>0.27816650811928317</c:v>
                </c:pt>
                <c:pt idx="739">
                  <c:v>0.19740056992353439</c:v>
                </c:pt>
                <c:pt idx="740">
                  <c:v>0.11720300281219972</c:v>
                </c:pt>
                <c:pt idx="741">
                  <c:v>3.7622345947288499E-2</c:v>
                </c:pt>
                <c:pt idx="742">
                  <c:v>-4.1293693455425023E-2</c:v>
                </c:pt>
                <c:pt idx="743">
                  <c:v>-0.11949826472101141</c:v>
                </c:pt>
                <c:pt idx="744">
                  <c:v>-0.19694539752581539</c:v>
                </c:pt>
                <c:pt idx="745">
                  <c:v>-0.27359002491462714</c:v>
                </c:pt>
                <c:pt idx="746">
                  <c:v>-0.34938800551612614</c:v>
                </c:pt>
                <c:pt idx="747">
                  <c:v>-0.42429614494873474</c:v>
                </c:pt>
                <c:pt idx="748">
                  <c:v>-0.49827221640962827</c:v>
                </c:pt>
                <c:pt idx="749">
                  <c:v>-0.57127498044025427</c:v>
                </c:pt>
                <c:pt idx="750">
                  <c:v>-0.6432642038623213</c:v>
                </c:pt>
                <c:pt idx="751">
                  <c:v>-0.71420067787882224</c:v>
                </c:pt>
                <c:pt idx="752">
                  <c:v>-0.78404623533526097</c:v>
                </c:pt>
                <c:pt idx="753">
                  <c:v>-0.85276376713685365</c:v>
                </c:pt>
                <c:pt idx="754">
                  <c:v>-0.92031723781807462</c:v>
                </c:pt>
                <c:pt idx="755">
                  <c:v>-0.98667170026151296</c:v>
                </c:pt>
                <c:pt idx="756">
                  <c:v>-1.0517933095636005</c:v>
                </c:pt>
                <c:pt idx="757">
                  <c:v>-1.115649336045361</c:v>
                </c:pt>
                <c:pt idx="758">
                  <c:v>-1.178208177406916</c:v>
                </c:pt>
                <c:pt idx="759">
                  <c:v>-1.2394393700250661</c:v>
                </c:pt>
                <c:pt idx="760">
                  <c:v>-1.2993135993938423</c:v>
                </c:pt>
                <c:pt idx="761">
                  <c:v>-1.3578027097084933</c:v>
                </c:pt>
                <c:pt idx="762">
                  <c:v>-1.4148797125939447</c:v>
                </c:pt>
                <c:pt idx="763">
                  <c:v>-1.4705187949793264</c:v>
                </c:pt>
                <c:pt idx="764">
                  <c:v>-1.5246953261207152</c:v>
                </c:pt>
                <c:pt idx="765">
                  <c:v>-1.5773858637747982</c:v>
                </c:pt>
                <c:pt idx="766">
                  <c:v>-1.6285681595266959</c:v>
                </c:pt>
                <c:pt idx="767">
                  <c:v>-1.678221163275726</c:v>
                </c:pt>
                <c:pt idx="768">
                  <c:v>-1.726325026883414</c:v>
                </c:pt>
                <c:pt idx="769">
                  <c:v>-1.7728611069885798</c:v>
                </c:pt>
                <c:pt idx="770">
                  <c:v>-1.8178119669948418</c:v>
                </c:pt>
                <c:pt idx="771">
                  <c:v>-1.8611613782363863</c:v>
                </c:pt>
                <c:pt idx="772">
                  <c:v>-1.9028943203283464</c:v>
                </c:pt>
                <c:pt idx="773">
                  <c:v>-1.942996980708624</c:v>
                </c:pt>
                <c:pt idx="774">
                  <c:v>-1.9814567533784668</c:v>
                </c:pt>
                <c:pt idx="775">
                  <c:v>-2.0182622368495853</c:v>
                </c:pt>
                <c:pt idx="776">
                  <c:v>-2.0534032313060546</c:v>
                </c:pt>
                <c:pt idx="777">
                  <c:v>-2.0868707349896969</c:v>
                </c:pt>
                <c:pt idx="778">
                  <c:v>-2.1186569398180879</c:v>
                </c:pt>
                <c:pt idx="779">
                  <c:v>-2.148755226244754</c:v>
                </c:pt>
                <c:pt idx="780">
                  <c:v>-2.1771601573715591</c:v>
                </c:pt>
                <c:pt idx="781">
                  <c:v>-2.2038674723236844</c:v>
                </c:pt>
                <c:pt idx="782">
                  <c:v>-2.2288740788980088</c:v>
                </c:pt>
                <c:pt idx="783">
                  <c:v>-2.2521780454960902</c:v>
                </c:pt>
                <c:pt idx="784">
                  <c:v>-2.2737785923533242</c:v>
                </c:pt>
                <c:pt idx="785">
                  <c:v>-2.2936760820762268</c:v>
                </c:pt>
                <c:pt idx="786">
                  <c:v>-2.3118720095001466</c:v>
                </c:pt>
                <c:pt idx="787">
                  <c:v>-2.3283689908800591</c:v>
                </c:pt>
                <c:pt idx="788">
                  <c:v>-2.3431707524274255</c:v>
                </c:pt>
                <c:pt idx="789">
                  <c:v>-2.3562821182064297</c:v>
                </c:pt>
                <c:pt idx="790">
                  <c:v>-2.3677089974032119</c:v>
                </c:pt>
                <c:pt idx="791">
                  <c:v>-2.3774583709820196</c:v>
                </c:pt>
                <c:pt idx="792">
                  <c:v>-2.3855382777424898</c:v>
                </c:pt>
                <c:pt idx="793">
                  <c:v>-2.3919577997925408</c:v>
                </c:pt>
                <c:pt idx="794">
                  <c:v>-2.3967270474516296</c:v>
                </c:pt>
                <c:pt idx="795">
                  <c:v>-2.3998571435993719</c:v>
                </c:pt>
                <c:pt idx="796">
                  <c:v>-2.4013602074847675</c:v>
                </c:pt>
                <c:pt idx="797">
                  <c:v>-2.4012493380115001</c:v>
                </c:pt>
                <c:pt idx="798">
                  <c:v>-2.3995385965149931</c:v>
                </c:pt>
                <c:pt idx="799">
                  <c:v>-2.3962429890471126</c:v>
                </c:pt>
                <c:pt idx="800">
                  <c:v>-2.391378448184589</c:v>
                </c:pt>
                <c:pt idx="801">
                  <c:v>-2.3849618143774176</c:v>
                </c:pt>
                <c:pt idx="802">
                  <c:v>-2.3770108168536566</c:v>
                </c:pt>
                <c:pt idx="803">
                  <c:v>-2.3675440540971993</c:v>
                </c:pt>
                <c:pt idx="804">
                  <c:v>-2.356580973915233</c:v>
                </c:pt>
                <c:pt idx="805">
                  <c:v>-2.3441418531122338</c:v>
                </c:pt>
                <c:pt idx="806">
                  <c:v>-2.3302477767874521</c:v>
                </c:pt>
                <c:pt idx="807">
                  <c:v>-2.3149206172729602</c:v>
                </c:pt>
                <c:pt idx="808">
                  <c:v>-2.2981830127294121</c:v>
                </c:pt>
                <c:pt idx="809">
                  <c:v>-2.2800583454167551</c:v>
                </c:pt>
                <c:pt idx="810">
                  <c:v>-2.2605707196571965</c:v>
                </c:pt>
                <c:pt idx="811">
                  <c:v>-2.2397449395077826</c:v>
                </c:pt>
                <c:pt idx="812">
                  <c:v>-2.2176064861599918</c:v>
                </c:pt>
                <c:pt idx="813">
                  <c:v>-2.1941814950837752</c:v>
                </c:pt>
                <c:pt idx="814">
                  <c:v>-2.1694967329334967</c:v>
                </c:pt>
                <c:pt idx="815">
                  <c:v>-2.1435795742332315</c:v>
                </c:pt>
                <c:pt idx="816">
                  <c:v>-2.1164579778588801</c:v>
                </c:pt>
                <c:pt idx="817">
                  <c:v>-2.0881604633345336</c:v>
                </c:pt>
                <c:pt idx="818">
                  <c:v>-2.0587160869605086</c:v>
                </c:pt>
                <c:pt idx="819">
                  <c:v>-2.0281544177904181</c:v>
                </c:pt>
                <c:pt idx="820">
                  <c:v>-1.9965055134746079</c:v>
                </c:pt>
                <c:pt idx="821">
                  <c:v>-1.9637998959872185</c:v>
                </c:pt>
                <c:pt idx="822">
                  <c:v>-1.9300685272540616</c:v>
                </c:pt>
                <c:pt idx="823">
                  <c:v>-1.8953427846984228</c:v>
                </c:pt>
                <c:pt idx="824">
                  <c:v>-1.8596544367218004</c:v>
                </c:pt>
                <c:pt idx="825">
                  <c:v>-1.8230356181364944</c:v>
                </c:pt>
                <c:pt idx="826">
                  <c:v>-1.7855188055668365</c:v>
                </c:pt>
                <c:pt idx="827">
                  <c:v>-1.7471367928357378</c:v>
                </c:pt>
                <c:pt idx="828">
                  <c:v>-1.7079226663530849</c:v>
                </c:pt>
                <c:pt idx="829">
                  <c:v>-1.6679097805223795</c:v>
                </c:pt>
                <c:pt idx="830">
                  <c:v>-1.6271317331818587</c:v>
                </c:pt>
                <c:pt idx="831">
                  <c:v>-1.5856223410961678</c:v>
                </c:pt>
                <c:pt idx="832">
                  <c:v>-1.5434156155144889</c:v>
                </c:pt>
                <c:pt idx="833">
                  <c:v>-1.5005457378108416</c:v>
                </c:pt>
                <c:pt idx="834">
                  <c:v>-1.4570470352220852</c:v>
                </c:pt>
                <c:pt idx="835">
                  <c:v>-1.41295395669895</c:v>
                </c:pt>
                <c:pt idx="836">
                  <c:v>-1.3683010488852159</c:v>
                </c:pt>
                <c:pt idx="837">
                  <c:v>-1.323122932239944</c:v>
                </c:pt>
                <c:pt idx="838">
                  <c:v>-1.277454277317438</c:v>
                </c:pt>
                <c:pt idx="839">
                  <c:v>-1.231329781219382</c:v>
                </c:pt>
                <c:pt idx="840">
                  <c:v>-1.1847841442333629</c:v>
                </c:pt>
                <c:pt idx="841">
                  <c:v>-1.1378520466717337</c:v>
                </c:pt>
                <c:pt idx="842">
                  <c:v>-1.0905681259245241</c:v>
                </c:pt>
                <c:pt idx="843">
                  <c:v>-1.0429669537398407</c:v>
                </c:pt>
                <c:pt idx="844">
                  <c:v>-0.99508301374493136</c:v>
                </c:pt>
                <c:pt idx="845">
                  <c:v>-0.94695067922081455</c:v>
                </c:pt>
                <c:pt idx="846">
                  <c:v>-0.89860419114309287</c:v>
                </c:pt>
                <c:pt idx="847">
                  <c:v>-0.85007763650128276</c:v>
                </c:pt>
                <c:pt idx="848">
                  <c:v>-0.8014049269087008</c:v>
                </c:pt>
                <c:pt idx="849">
                  <c:v>-0.75261977751464881</c:v>
                </c:pt>
                <c:pt idx="850">
                  <c:v>-0.70375568623033546</c:v>
                </c:pt>
                <c:pt idx="851">
                  <c:v>-0.6548459132796659</c:v>
                </c:pt>
                <c:pt idx="852">
                  <c:v>-0.60592346108571571</c:v>
                </c:pt>
                <c:pt idx="853">
                  <c:v>-0.55702105450338935</c:v>
                </c:pt>
                <c:pt idx="854">
                  <c:v>-0.5081711214084409</c:v>
                </c:pt>
                <c:pt idx="855">
                  <c:v>-0.45940577365270968</c:v>
                </c:pt>
                <c:pt idx="856">
                  <c:v>-0.410756788395093</c:v>
                </c:pt>
                <c:pt idx="857">
                  <c:v>-0.36225558981744554</c:v>
                </c:pt>
                <c:pt idx="858">
                  <c:v>-0.31393323123425942</c:v>
                </c:pt>
                <c:pt idx="859">
                  <c:v>-0.26582037760463806</c:v>
                </c:pt>
                <c:pt idx="860">
                  <c:v>-0.21794728845473701</c:v>
                </c:pt>
                <c:pt idx="861">
                  <c:v>-0.17034380121849862</c:v>
                </c:pt>
                <c:pt idx="862">
                  <c:v>-0.12303931500416197</c:v>
                </c:pt>
                <c:pt idx="863">
                  <c:v>-7.6062774793680135E-2</c:v>
                </c:pt>
                <c:pt idx="864">
                  <c:v>-2.9442656081826682E-2</c:v>
                </c:pt>
                <c:pt idx="865">
                  <c:v>1.6793050038578589E-2</c:v>
                </c:pt>
                <c:pt idx="866">
                  <c:v>6.2616851339247964E-2</c:v>
                </c:pt>
                <c:pt idx="867">
                  <c:v>0.10800176846108536</c:v>
                </c:pt>
                <c:pt idx="868">
                  <c:v>0.15292134845555946</c:v>
                </c:pt>
                <c:pt idx="869">
                  <c:v>0.19734967785777774</c:v>
                </c:pt>
                <c:pt idx="870">
                  <c:v>0.24126139528660495</c:v>
                </c:pt>
                <c:pt idx="871">
                  <c:v>0.2846317035675246</c:v>
                </c:pt>
                <c:pt idx="872">
                  <c:v>0.32743638137429787</c:v>
                </c:pt>
                <c:pt idx="873">
                  <c:v>0.36965179438582962</c:v>
                </c:pt>
                <c:pt idx="874">
                  <c:v>0.41125490595500419</c:v>
                </c:pt>
                <c:pt idx="875">
                  <c:v>0.45222328728660927</c:v>
                </c:pt>
                <c:pt idx="876">
                  <c:v>0.49253512712181602</c:v>
                </c:pt>
                <c:pt idx="877">
                  <c:v>0.53216924092703644</c:v>
                </c:pt>
                <c:pt idx="878">
                  <c:v>0.57110507958532697</c:v>
                </c:pt>
                <c:pt idx="879">
                  <c:v>0.60932273758885536</c:v>
                </c:pt>
                <c:pt idx="880">
                  <c:v>0.64680296073129395</c:v>
                </c:pt>
                <c:pt idx="881">
                  <c:v>0.68352715329934388</c:v>
                </c:pt>
                <c:pt idx="882">
                  <c:v>0.71947738476293777</c:v>
                </c:pt>
                <c:pt idx="883">
                  <c:v>0.75463639596400522</c:v>
                </c:pt>
                <c:pt idx="884">
                  <c:v>0.78898760480402075</c:v>
                </c:pt>
                <c:pt idx="885">
                  <c:v>0.82251511143088685</c:v>
                </c:pt>
                <c:pt idx="886">
                  <c:v>0.85520370292603287</c:v>
                </c:pt>
                <c:pt idx="887">
                  <c:v>0.88703885749293687</c:v>
                </c:pt>
                <c:pt idx="888">
                  <c:v>0.91800674814859917</c:v>
                </c:pt>
                <c:pt idx="889">
                  <c:v>0.94809424591981328</c:v>
                </c:pt>
                <c:pt idx="890">
                  <c:v>0.97728892254639699</c:v>
                </c:pt>
                <c:pt idx="891">
                  <c:v>1.0055790526938526</c:v>
                </c:pt>
                <c:pt idx="892">
                  <c:v>1.0329536156782344</c:v>
                </c:pt>
                <c:pt idx="893">
                  <c:v>1.0594022967062995</c:v>
                </c:pt>
                <c:pt idx="894">
                  <c:v>1.0849154876343172</c:v>
                </c:pt>
                <c:pt idx="895">
                  <c:v>1.1094842872492026</c:v>
                </c:pt>
                <c:pt idx="896">
                  <c:v>1.1331005010759261</c:v>
                </c:pt>
                <c:pt idx="897">
                  <c:v>1.155756640715434</c:v>
                </c:pt>
                <c:pt idx="898">
                  <c:v>1.1774459227175893</c:v>
                </c:pt>
                <c:pt idx="899">
                  <c:v>1.198162266993914</c:v>
                </c:pt>
                <c:pt idx="900">
                  <c:v>1.2179002947751814</c:v>
                </c:pt>
                <c:pt idx="901">
                  <c:v>1.2366553261191611</c:v>
                </c:pt>
                <c:pt idx="902">
                  <c:v>1.25442337697408</c:v>
                </c:pt>
                <c:pt idx="903">
                  <c:v>1.2712011558036069</c:v>
                </c:pt>
                <c:pt idx="904">
                  <c:v>1.2869860597794089</c:v>
                </c:pt>
                <c:pt idx="905">
                  <c:v>1.3017761705475677</c:v>
                </c:pt>
                <c:pt idx="906">
                  <c:v>1.3155702495753707</c:v>
                </c:pt>
                <c:pt idx="907">
                  <c:v>1.3283677330852159</c:v>
                </c:pt>
                <c:pt idx="908">
                  <c:v>1.3401687265825857</c:v>
                </c:pt>
                <c:pt idx="909">
                  <c:v>1.3509739989852565</c:v>
                </c:pt>
                <c:pt idx="910">
                  <c:v>1.360784976361114</c:v>
                </c:pt>
                <c:pt idx="911">
                  <c:v>1.36960373528214</c:v>
                </c:pt>
                <c:pt idx="912">
                  <c:v>1.377432995802329</c:v>
                </c:pt>
                <c:pt idx="913">
                  <c:v>1.3842761140674749</c:v>
                </c:pt>
                <c:pt idx="914">
                  <c:v>1.3901370745649444</c:v>
                </c:pt>
                <c:pt idx="915">
                  <c:v>1.3950204820217258</c:v>
                </c:pt>
                <c:pt idx="916">
                  <c:v>1.3989315529592008</c:v>
                </c:pt>
                <c:pt idx="917">
                  <c:v>1.4018761069132448</c:v>
                </c:pt>
                <c:pt idx="918">
                  <c:v>1.4038605573284115</c:v>
                </c:pt>
                <c:pt idx="919">
                  <c:v>1.4048919021350945</c:v>
                </c:pt>
                <c:pt idx="920">
                  <c:v>1.4049777140186963</c:v>
                </c:pt>
                <c:pt idx="921">
                  <c:v>1.404126130389961</c:v>
                </c:pt>
                <c:pt idx="922">
                  <c:v>1.4023458430657483</c:v>
                </c:pt>
                <c:pt idx="923">
                  <c:v>1.3996460876696348</c:v>
                </c:pt>
                <c:pt idx="924">
                  <c:v>1.3960366327618412</c:v>
                </c:pt>
                <c:pt idx="925">
                  <c:v>1.3915277687080738</c:v>
                </c:pt>
                <c:pt idx="926">
                  <c:v>1.386130296296967</c:v>
                </c:pt>
                <c:pt idx="927">
                  <c:v>1.379855515115892</c:v>
                </c:pt>
                <c:pt idx="928">
                  <c:v>1.3727152116949757</c:v>
                </c:pt>
                <c:pt idx="929">
                  <c:v>1.3647216474292438</c:v>
                </c:pt>
                <c:pt idx="930">
                  <c:v>1.3558875462888622</c:v>
                </c:pt>
                <c:pt idx="931">
                  <c:v>1.3462260823275047</c:v>
                </c:pt>
                <c:pt idx="932">
                  <c:v>1.3357508669989273</c:v>
                </c:pt>
                <c:pt idx="933">
                  <c:v>1.324475936291865</c:v>
                </c:pt>
                <c:pt idx="934">
                  <c:v>1.3124157376934027</c:v>
                </c:pt>
                <c:pt idx="935">
                  <c:v>1.299585116990998</c:v>
                </c:pt>
                <c:pt idx="936">
                  <c:v>1.2859993049233536</c:v>
                </c:pt>
                <c:pt idx="937">
                  <c:v>1.2716739036903464</c:v>
                </c:pt>
                <c:pt idx="938">
                  <c:v>1.2566248733322318</c:v>
                </c:pt>
                <c:pt idx="939">
                  <c:v>1.2408685179883328</c:v>
                </c:pt>
                <c:pt idx="940">
                  <c:v>1.2244214720454218</c:v>
                </c:pt>
                <c:pt idx="941">
                  <c:v>1.2073006861859858</c:v>
                </c:pt>
                <c:pt idx="942">
                  <c:v>1.1895234133465411</c:v>
                </c:pt>
                <c:pt idx="943">
                  <c:v>1.1711071945961404</c:v>
                </c:pt>
                <c:pt idx="944">
                  <c:v>1.1520698449451792</c:v>
                </c:pt>
                <c:pt idx="945">
                  <c:v>1.1324294390945628</c:v>
                </c:pt>
                <c:pt idx="946">
                  <c:v>1.1122042971352555</c:v>
                </c:pt>
                <c:pt idx="947">
                  <c:v>1.0914129702081719</c:v>
                </c:pt>
                <c:pt idx="948">
                  <c:v>1.0700742261343175</c:v>
                </c:pt>
                <c:pt idx="949">
                  <c:v>1.0482070350250137</c:v>
                </c:pt>
                <c:pt idx="950">
                  <c:v>1.0258305548819737</c:v>
                </c:pt>
                <c:pt idx="951">
                  <c:v>1.0029641171969188</c:v>
                </c:pt>
                <c:pt idx="952">
                  <c:v>0.97962721256033647</c:v>
                </c:pt>
                <c:pt idx="953">
                  <c:v>0.95583947628889765</c:v>
                </c:pt>
                <c:pt idx="954">
                  <c:v>0.93162067408095206</c:v>
                </c:pt>
                <c:pt idx="955">
                  <c:v>0.90699068770942137</c:v>
                </c:pt>
                <c:pt idx="956">
                  <c:v>0.88196950076130431</c:v>
                </c:pt>
                <c:pt idx="957">
                  <c:v>0.85657718443289677</c:v>
                </c:pt>
                <c:pt idx="958">
                  <c:v>0.83083388338971342</c:v>
                </c:pt>
                <c:pt idx="959">
                  <c:v>0.80475980169997796</c:v>
                </c:pt>
                <c:pt idx="960">
                  <c:v>0.77837518885042012</c:v>
                </c:pt>
                <c:pt idx="961">
                  <c:v>0.75170032585299151</c:v>
                </c:pt>
                <c:pt idx="962">
                  <c:v>0.72475551145097195</c:v>
                </c:pt>
                <c:pt idx="963">
                  <c:v>0.69756104843280264</c:v>
                </c:pt>
                <c:pt idx="964">
                  <c:v>0.67013723006183556</c:v>
                </c:pt>
                <c:pt idx="965">
                  <c:v>0.64250432663004231</c:v>
                </c:pt>
                <c:pt idx="966">
                  <c:v>0.61468257214357125</c:v>
                </c:pt>
                <c:pt idx="967">
                  <c:v>0.5866921511478872</c:v>
                </c:pt>
                <c:pt idx="968">
                  <c:v>0.55855318570006718</c:v>
                </c:pt>
                <c:pt idx="969">
                  <c:v>0.53028572249566153</c:v>
                </c:pt>
                <c:pt idx="970">
                  <c:v>0.50190972015736368</c:v>
                </c:pt>
                <c:pt idx="971">
                  <c:v>0.47344503669255944</c:v>
                </c:pt>
                <c:pt idx="972">
                  <c:v>0.44491141712665516</c:v>
                </c:pt>
                <c:pt idx="973">
                  <c:v>0.41632848131890426</c:v>
                </c:pt>
                <c:pt idx="974">
                  <c:v>0.38771571196727461</c:v>
                </c:pt>
                <c:pt idx="975">
                  <c:v>0.35909244280871422</c:v>
                </c:pt>
                <c:pt idx="976">
                  <c:v>0.33047784702098892</c:v>
                </c:pt>
                <c:pt idx="977">
                  <c:v>0.30189092583207655</c:v>
                </c:pt>
                <c:pt idx="978">
                  <c:v>0.27335049734291339</c:v>
                </c:pt>
                <c:pt idx="979">
                  <c:v>0.24487518556909435</c:v>
                </c:pt>
                <c:pt idx="980">
                  <c:v>0.21648340970693569</c:v>
                </c:pt>
                <c:pt idx="981">
                  <c:v>0.18819337362911112</c:v>
                </c:pt>
                <c:pt idx="982">
                  <c:v>0.16002305561487495</c:v>
                </c:pt>
                <c:pt idx="983">
                  <c:v>0.13199019831968559</c:v>
                </c:pt>
                <c:pt idx="984">
                  <c:v>0.10411229898884139</c:v>
                </c:pt>
                <c:pt idx="985">
                  <c:v>7.6406599919538618E-2</c:v>
                </c:pt>
                <c:pt idx="986">
                  <c:v>4.889007917555678E-2</c:v>
                </c:pt>
                <c:pt idx="987">
                  <c:v>2.1579441558572412E-2</c:v>
                </c:pt>
                <c:pt idx="988">
                  <c:v>-5.5088901601038076E-3</c:v>
                </c:pt>
                <c:pt idx="989">
                  <c:v>-3.2358783743778097E-2</c:v>
                </c:pt>
                <c:pt idx="990">
                  <c:v>-5.895440572723136E-2</c:v>
                </c:pt>
                <c:pt idx="991">
                  <c:v>-8.5280229383009873E-2</c:v>
                </c:pt>
                <c:pt idx="992">
                  <c:v>-0.11132104241418297</c:v>
                </c:pt>
                <c:pt idx="993">
                  <c:v>-0.13706195437080979</c:v>
                </c:pt>
                <c:pt idx="994">
                  <c:v>-0.16248840378756529</c:v>
                </c:pt>
                <c:pt idx="995">
                  <c:v>-0.18758616504018388</c:v>
                </c:pt>
                <c:pt idx="996">
                  <c:v>-0.2123413549185863</c:v>
                </c:pt>
                <c:pt idx="997">
                  <c:v>-0.23674043891476351</c:v>
                </c:pt>
                <c:pt idx="998">
                  <c:v>-0.26077023722369735</c:v>
                </c:pt>
                <c:pt idx="999">
                  <c:v>-0.28441793045580466</c:v>
                </c:pt>
                <c:pt idx="1000">
                  <c:v>-0.30767106505959646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8D-4DD7-B142-54F5D7A050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438224"/>
        <c:axId val="1"/>
      </c:scatterChart>
      <c:valAx>
        <c:axId val="434438224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0"/>
        <c:majorTickMark val="out"/>
        <c:minorTickMark val="none"/>
        <c:tickLblPos val="nextTo"/>
        <c:crossAx val="434438224"/>
        <c:crosses val="autoZero"/>
        <c:crossBetween val="midCat"/>
      </c:valAx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Plan2!$C$9</c:f>
              <c:strCache>
                <c:ptCount val="1"/>
                <c:pt idx="0">
                  <c:v>x(t)</c:v>
                </c:pt>
              </c:strCache>
            </c:strRef>
          </c:tx>
          <c:marker>
            <c:symbol val="none"/>
          </c:marker>
          <c:xVal>
            <c:numRef>
              <c:f>Plan2!$B$10:$B$1010</c:f>
              <c:numCache>
                <c:formatCode>0.000</c:formatCode>
                <c:ptCount val="10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  <c:pt idx="887">
                  <c:v>88.699999999999235</c:v>
                </c:pt>
                <c:pt idx="888">
                  <c:v>88.79999999999923</c:v>
                </c:pt>
                <c:pt idx="889">
                  <c:v>88.899999999999224</c:v>
                </c:pt>
                <c:pt idx="890">
                  <c:v>88.999999999999218</c:v>
                </c:pt>
                <c:pt idx="891">
                  <c:v>89.099999999999213</c:v>
                </c:pt>
                <c:pt idx="892">
                  <c:v>89.199999999999207</c:v>
                </c:pt>
                <c:pt idx="893">
                  <c:v>89.299999999999201</c:v>
                </c:pt>
                <c:pt idx="894">
                  <c:v>89.399999999999196</c:v>
                </c:pt>
                <c:pt idx="895">
                  <c:v>89.49999999999919</c:v>
                </c:pt>
                <c:pt idx="896">
                  <c:v>89.599999999999184</c:v>
                </c:pt>
                <c:pt idx="897">
                  <c:v>89.699999999999179</c:v>
                </c:pt>
                <c:pt idx="898">
                  <c:v>89.799999999999173</c:v>
                </c:pt>
                <c:pt idx="899">
                  <c:v>89.899999999999167</c:v>
                </c:pt>
                <c:pt idx="900">
                  <c:v>89.999999999999162</c:v>
                </c:pt>
                <c:pt idx="901">
                  <c:v>90.099999999999156</c:v>
                </c:pt>
                <c:pt idx="902">
                  <c:v>90.19999999999915</c:v>
                </c:pt>
                <c:pt idx="903">
                  <c:v>90.299999999999145</c:v>
                </c:pt>
                <c:pt idx="904">
                  <c:v>90.399999999999139</c:v>
                </c:pt>
                <c:pt idx="905">
                  <c:v>90.499999999999133</c:v>
                </c:pt>
                <c:pt idx="906">
                  <c:v>90.599999999999127</c:v>
                </c:pt>
                <c:pt idx="907">
                  <c:v>90.699999999999122</c:v>
                </c:pt>
                <c:pt idx="908">
                  <c:v>90.799999999999116</c:v>
                </c:pt>
                <c:pt idx="909">
                  <c:v>90.89999999999911</c:v>
                </c:pt>
                <c:pt idx="910">
                  <c:v>90.999999999999105</c:v>
                </c:pt>
                <c:pt idx="911">
                  <c:v>91.099999999999099</c:v>
                </c:pt>
                <c:pt idx="912">
                  <c:v>91.199999999999093</c:v>
                </c:pt>
                <c:pt idx="913">
                  <c:v>91.299999999999088</c:v>
                </c:pt>
                <c:pt idx="914">
                  <c:v>91.399999999999082</c:v>
                </c:pt>
                <c:pt idx="915">
                  <c:v>91.499999999999076</c:v>
                </c:pt>
                <c:pt idx="916">
                  <c:v>91.599999999999071</c:v>
                </c:pt>
                <c:pt idx="917">
                  <c:v>91.699999999999065</c:v>
                </c:pt>
                <c:pt idx="918">
                  <c:v>91.799999999999059</c:v>
                </c:pt>
                <c:pt idx="919">
                  <c:v>91.899999999999054</c:v>
                </c:pt>
                <c:pt idx="920">
                  <c:v>91.999999999999048</c:v>
                </c:pt>
                <c:pt idx="921">
                  <c:v>92.099999999999042</c:v>
                </c:pt>
                <c:pt idx="922">
                  <c:v>92.199999999999037</c:v>
                </c:pt>
                <c:pt idx="923">
                  <c:v>92.299999999999031</c:v>
                </c:pt>
                <c:pt idx="924">
                  <c:v>92.399999999999025</c:v>
                </c:pt>
                <c:pt idx="925">
                  <c:v>92.499999999999019</c:v>
                </c:pt>
                <c:pt idx="926">
                  <c:v>92.599999999999014</c:v>
                </c:pt>
                <c:pt idx="927">
                  <c:v>92.699999999999008</c:v>
                </c:pt>
                <c:pt idx="928">
                  <c:v>92.799999999999002</c:v>
                </c:pt>
                <c:pt idx="929">
                  <c:v>92.899999999998997</c:v>
                </c:pt>
                <c:pt idx="930">
                  <c:v>92.999999999998991</c:v>
                </c:pt>
                <c:pt idx="931">
                  <c:v>93.099999999998985</c:v>
                </c:pt>
                <c:pt idx="932">
                  <c:v>93.19999999999898</c:v>
                </c:pt>
                <c:pt idx="933">
                  <c:v>93.299999999998974</c:v>
                </c:pt>
                <c:pt idx="934">
                  <c:v>93.399999999998968</c:v>
                </c:pt>
                <c:pt idx="935">
                  <c:v>93.499999999998963</c:v>
                </c:pt>
                <c:pt idx="936">
                  <c:v>93.599999999998957</c:v>
                </c:pt>
                <c:pt idx="937">
                  <c:v>93.699999999998951</c:v>
                </c:pt>
                <c:pt idx="938">
                  <c:v>93.799999999998946</c:v>
                </c:pt>
                <c:pt idx="939">
                  <c:v>93.89999999999894</c:v>
                </c:pt>
                <c:pt idx="940">
                  <c:v>93.999999999998934</c:v>
                </c:pt>
                <c:pt idx="941">
                  <c:v>94.099999999998929</c:v>
                </c:pt>
                <c:pt idx="942">
                  <c:v>94.199999999998923</c:v>
                </c:pt>
                <c:pt idx="943">
                  <c:v>94.299999999998917</c:v>
                </c:pt>
                <c:pt idx="944">
                  <c:v>94.399999999998911</c:v>
                </c:pt>
                <c:pt idx="945">
                  <c:v>94.499999999998906</c:v>
                </c:pt>
                <c:pt idx="946">
                  <c:v>94.5999999999989</c:v>
                </c:pt>
                <c:pt idx="947">
                  <c:v>94.699999999998894</c:v>
                </c:pt>
                <c:pt idx="948">
                  <c:v>94.799999999998889</c:v>
                </c:pt>
                <c:pt idx="949">
                  <c:v>94.899999999998883</c:v>
                </c:pt>
                <c:pt idx="950">
                  <c:v>94.999999999998877</c:v>
                </c:pt>
                <c:pt idx="951">
                  <c:v>95.099999999998872</c:v>
                </c:pt>
                <c:pt idx="952">
                  <c:v>95.199999999998866</c:v>
                </c:pt>
                <c:pt idx="953">
                  <c:v>95.29999999999886</c:v>
                </c:pt>
                <c:pt idx="954">
                  <c:v>95.399999999998855</c:v>
                </c:pt>
                <c:pt idx="955">
                  <c:v>95.499999999998849</c:v>
                </c:pt>
                <c:pt idx="956">
                  <c:v>95.599999999998843</c:v>
                </c:pt>
                <c:pt idx="957">
                  <c:v>95.699999999998838</c:v>
                </c:pt>
                <c:pt idx="958">
                  <c:v>95.799999999998832</c:v>
                </c:pt>
                <c:pt idx="959">
                  <c:v>95.899999999998826</c:v>
                </c:pt>
                <c:pt idx="960">
                  <c:v>95.99999999999882</c:v>
                </c:pt>
                <c:pt idx="961">
                  <c:v>96.099999999998815</c:v>
                </c:pt>
                <c:pt idx="962">
                  <c:v>96.199999999998809</c:v>
                </c:pt>
                <c:pt idx="963">
                  <c:v>96.299999999998803</c:v>
                </c:pt>
                <c:pt idx="964">
                  <c:v>96.399999999998798</c:v>
                </c:pt>
                <c:pt idx="965">
                  <c:v>96.499999999998792</c:v>
                </c:pt>
                <c:pt idx="966">
                  <c:v>96.599999999998786</c:v>
                </c:pt>
                <c:pt idx="967">
                  <c:v>96.699999999998781</c:v>
                </c:pt>
                <c:pt idx="968">
                  <c:v>96.799999999998775</c:v>
                </c:pt>
                <c:pt idx="969">
                  <c:v>96.899999999998769</c:v>
                </c:pt>
                <c:pt idx="970">
                  <c:v>96.999999999998764</c:v>
                </c:pt>
                <c:pt idx="971">
                  <c:v>97.099999999998758</c:v>
                </c:pt>
                <c:pt idx="972">
                  <c:v>97.199999999998752</c:v>
                </c:pt>
                <c:pt idx="973">
                  <c:v>97.299999999998747</c:v>
                </c:pt>
                <c:pt idx="974">
                  <c:v>97.399999999998741</c:v>
                </c:pt>
                <c:pt idx="975">
                  <c:v>97.499999999998735</c:v>
                </c:pt>
                <c:pt idx="976">
                  <c:v>97.59999999999873</c:v>
                </c:pt>
                <c:pt idx="977">
                  <c:v>97.699999999998724</c:v>
                </c:pt>
                <c:pt idx="978">
                  <c:v>97.799999999998718</c:v>
                </c:pt>
                <c:pt idx="979">
                  <c:v>97.899999999998712</c:v>
                </c:pt>
                <c:pt idx="980">
                  <c:v>97.999999999998707</c:v>
                </c:pt>
                <c:pt idx="981">
                  <c:v>98.099999999998701</c:v>
                </c:pt>
                <c:pt idx="982">
                  <c:v>98.199999999998695</c:v>
                </c:pt>
                <c:pt idx="983">
                  <c:v>98.29999999999869</c:v>
                </c:pt>
                <c:pt idx="984">
                  <c:v>98.399999999998684</c:v>
                </c:pt>
                <c:pt idx="985">
                  <c:v>98.499999999998678</c:v>
                </c:pt>
                <c:pt idx="986">
                  <c:v>98.599999999998673</c:v>
                </c:pt>
                <c:pt idx="987">
                  <c:v>98.699999999998667</c:v>
                </c:pt>
                <c:pt idx="988">
                  <c:v>98.799999999998661</c:v>
                </c:pt>
                <c:pt idx="989">
                  <c:v>98.899999999998656</c:v>
                </c:pt>
                <c:pt idx="990">
                  <c:v>98.99999999999865</c:v>
                </c:pt>
                <c:pt idx="991">
                  <c:v>99.099999999998644</c:v>
                </c:pt>
                <c:pt idx="992">
                  <c:v>99.199999999998639</c:v>
                </c:pt>
                <c:pt idx="993">
                  <c:v>99.299999999998633</c:v>
                </c:pt>
                <c:pt idx="994">
                  <c:v>99.399999999998627</c:v>
                </c:pt>
                <c:pt idx="995">
                  <c:v>99.499999999998622</c:v>
                </c:pt>
                <c:pt idx="996">
                  <c:v>99.599999999998616</c:v>
                </c:pt>
                <c:pt idx="997">
                  <c:v>99.69999999999861</c:v>
                </c:pt>
                <c:pt idx="998">
                  <c:v>99.799999999998604</c:v>
                </c:pt>
                <c:pt idx="999">
                  <c:v>99.899999999998599</c:v>
                </c:pt>
                <c:pt idx="1000">
                  <c:v>99.999999999998593</c:v>
                </c:pt>
              </c:numCache>
            </c:numRef>
          </c:xVal>
          <c:yVal>
            <c:numRef>
              <c:f>Plan2!$C$10:$C$1010</c:f>
              <c:numCache>
                <c:formatCode>0.000</c:formatCode>
                <c:ptCount val="1001"/>
                <c:pt idx="0">
                  <c:v>50</c:v>
                </c:pt>
                <c:pt idx="1">
                  <c:v>55</c:v>
                </c:pt>
                <c:pt idx="2">
                  <c:v>59.987499999999997</c:v>
                </c:pt>
                <c:pt idx="3">
                  <c:v>64.961249999999993</c:v>
                </c:pt>
                <c:pt idx="4">
                  <c:v>69.920003124999994</c:v>
                </c:pt>
                <c:pt idx="5">
                  <c:v>74.862515937499992</c:v>
                </c:pt>
                <c:pt idx="6">
                  <c:v>79.787548749218743</c:v>
                </c:pt>
                <c:pt idx="7">
                  <c:v>84.693865931953113</c:v>
                </c:pt>
                <c:pt idx="8">
                  <c:v>89.58023622750018</c:v>
                </c:pt>
                <c:pt idx="9">
                  <c:v>94.445433056564269</c:v>
                </c:pt>
                <c:pt idx="10">
                  <c:v>99.288234826571482</c:v>
                </c:pt>
                <c:pt idx="11">
                  <c:v>104.10742523831455</c:v>
                </c:pt>
                <c:pt idx="12">
                  <c:v>108.90179359135097</c:v>
                </c:pt>
                <c:pt idx="13">
                  <c:v>113.67013508807781</c:v>
                </c:pt>
                <c:pt idx="14">
                  <c:v>118.41125113640682</c:v>
                </c:pt>
                <c:pt idx="15">
                  <c:v>123.12394965096381</c:v>
                </c:pt>
                <c:pt idx="16">
                  <c:v>127.80704535273669</c:v>
                </c:pt>
                <c:pt idx="17">
                  <c:v>132.45936006709684</c:v>
                </c:pt>
                <c:pt idx="18">
                  <c:v>137.07972302011879</c:v>
                </c:pt>
                <c:pt idx="19">
                  <c:v>141.66697113312398</c:v>
                </c:pt>
                <c:pt idx="20">
                  <c:v>146.21994931537415</c:v>
                </c:pt>
                <c:pt idx="21">
                  <c:v>150.73751075484103</c:v>
                </c:pt>
                <c:pt idx="22">
                  <c:v>155.21851720697907</c:v>
                </c:pt>
                <c:pt idx="23">
                  <c:v>159.6618392814284</c:v>
                </c:pt>
                <c:pt idx="24">
                  <c:v>164.06635672657598</c:v>
                </c:pt>
                <c:pt idx="25">
                  <c:v>168.4309587119032</c:v>
                </c:pt>
                <c:pt idx="26">
                  <c:v>172.75454410804878</c:v>
                </c:pt>
                <c:pt idx="27">
                  <c:v>177.03602176451636</c:v>
                </c:pt>
                <c:pt idx="28">
                  <c:v>181.27431078495695</c:v>
                </c:pt>
                <c:pt idx="29">
                  <c:v>185.46834079995642</c:v>
                </c:pt>
                <c:pt idx="30">
                  <c:v>189.61705223725966</c:v>
                </c:pt>
                <c:pt idx="31">
                  <c:v>193.7193965893629</c:v>
                </c:pt>
                <c:pt idx="32">
                  <c:v>197.77433667840683</c:v>
                </c:pt>
                <c:pt idx="33">
                  <c:v>201.78084691830341</c:v>
                </c:pt>
                <c:pt idx="34">
                  <c:v>205.73791357403039</c:v>
                </c:pt>
                <c:pt idx="35">
                  <c:v>209.6445350180278</c:v>
                </c:pt>
                <c:pt idx="36">
                  <c:v>213.49972198363167</c:v>
                </c:pt>
                <c:pt idx="37">
                  <c:v>217.30249781548105</c:v>
                </c:pt>
                <c:pt idx="38">
                  <c:v>221.05189871683453</c:v>
                </c:pt>
                <c:pt idx="39">
                  <c:v>224.74697399373414</c:v>
                </c:pt>
                <c:pt idx="40">
                  <c:v>228.38678629595455</c:v>
                </c:pt>
                <c:pt idx="41">
                  <c:v>231.97041185467651</c:v>
                </c:pt>
                <c:pt idx="42">
                  <c:v>235.4969407168245</c:v>
                </c:pt>
                <c:pt idx="43">
                  <c:v>238.9654769760088</c:v>
                </c:pt>
                <c:pt idx="44">
                  <c:v>242.37513900001389</c:v>
                </c:pt>
                <c:pt idx="45">
                  <c:v>245.72505965477498</c:v>
                </c:pt>
                <c:pt idx="46">
                  <c:v>249.01438652478606</c:v>
                </c:pt>
                <c:pt idx="47">
                  <c:v>252.24228212988345</c:v>
                </c:pt>
                <c:pt idx="48">
                  <c:v>255.40792413834964</c:v>
                </c:pt>
                <c:pt idx="49">
                  <c:v>258.51050557628338</c:v>
                </c:pt>
                <c:pt idx="50">
                  <c:v>261.54923503318253</c:v>
                </c:pt>
                <c:pt idx="51">
                  <c:v>264.52333686368758</c:v>
                </c:pt>
                <c:pt idx="52">
                  <c:v>267.43205138543436</c:v>
                </c:pt>
                <c:pt idx="53">
                  <c:v>270.27463507296522</c:v>
                </c:pt>
                <c:pt idx="54">
                  <c:v>273.05036074764973</c:v>
                </c:pt>
                <c:pt idx="55">
                  <c:v>275.75851776356598</c:v>
                </c:pt>
                <c:pt idx="56">
                  <c:v>278.3984121892953</c:v>
                </c:pt>
                <c:pt idx="57">
                  <c:v>280.96936698558375</c:v>
                </c:pt>
                <c:pt idx="58">
                  <c:v>283.47072217882487</c:v>
                </c:pt>
                <c:pt idx="59">
                  <c:v>285.9018350303196</c:v>
                </c:pt>
                <c:pt idx="60">
                  <c:v>288.26208020126961</c:v>
                </c:pt>
                <c:pt idx="61">
                  <c:v>290.55084991346206</c:v>
                </c:pt>
                <c:pt idx="62">
                  <c:v>292.76755410560418</c:v>
                </c:pt>
                <c:pt idx="63">
                  <c:v>294.91162058526794</c:v>
                </c:pt>
                <c:pt idx="64">
                  <c:v>296.98249517640528</c:v>
                </c:pt>
                <c:pt idx="65">
                  <c:v>298.97964186239631</c:v>
                </c:pt>
                <c:pt idx="66">
                  <c:v>300.90254292459326</c:v>
                </c:pt>
                <c:pt idx="67">
                  <c:v>302.75069907632462</c:v>
                </c:pt>
                <c:pt idx="68">
                  <c:v>304.52362959232482</c:v>
                </c:pt>
                <c:pt idx="69">
                  <c:v>306.22087243355594</c:v>
                </c:pt>
                <c:pt idx="70">
                  <c:v>307.84198436738899</c:v>
                </c:pt>
                <c:pt idx="71">
                  <c:v>309.38654108311363</c:v>
                </c:pt>
                <c:pt idx="72">
                  <c:v>310.85413730274644</c:v>
                </c:pt>
                <c:pt idx="73">
                  <c:v>312.24438688710848</c:v>
                </c:pt>
                <c:pt idx="74">
                  <c:v>313.5569229371448</c:v>
                </c:pt>
                <c:pt idx="75">
                  <c:v>314.79139789045934</c:v>
                </c:pt>
                <c:pt idx="76">
                  <c:v>315.94748361303959</c:v>
                </c:pt>
                <c:pt idx="77">
                  <c:v>317.02487148614728</c:v>
                </c:pt>
                <c:pt idx="78">
                  <c:v>318.02327248835167</c:v>
                </c:pt>
                <c:pt idx="79">
                  <c:v>318.94241727268451</c:v>
                </c:pt>
                <c:pt idx="80">
                  <c:v>319.78205623889528</c:v>
                </c:pt>
                <c:pt idx="81">
                  <c:v>320.54195960078789</c:v>
                </c:pt>
                <c:pt idx="82">
                  <c:v>321.22191744862079</c:v>
                </c:pt>
                <c:pt idx="83">
                  <c:v>321.82173980655347</c:v>
                </c:pt>
                <c:pt idx="84">
                  <c:v>322.34125668512399</c:v>
                </c:pt>
                <c:pt idx="85">
                  <c:v>322.78031812874286</c:v>
                </c:pt>
                <c:pt idx="86">
                  <c:v>323.13879425819044</c:v>
                </c:pt>
                <c:pt idx="87">
                  <c:v>323.41657530810585</c:v>
                </c:pt>
                <c:pt idx="88">
                  <c:v>323.61357165945674</c:v>
                </c:pt>
                <c:pt idx="89">
                  <c:v>323.7297138669806</c:v>
                </c:pt>
                <c:pt idx="90">
                  <c:v>323.76495268158959</c:v>
                </c:pt>
                <c:pt idx="91">
                  <c:v>323.7192590677318</c:v>
                </c:pt>
                <c:pt idx="92">
                  <c:v>323.59262421570361</c:v>
                </c:pt>
                <c:pt idx="93">
                  <c:v>323.38505954890849</c:v>
                </c:pt>
                <c:pt idx="94">
                  <c:v>323.09659672605949</c:v>
                </c:pt>
                <c:pt idx="95">
                  <c:v>322.72728763832322</c:v>
                </c:pt>
                <c:pt idx="96">
                  <c:v>322.27720440140547</c:v>
                </c:pt>
                <c:pt idx="97">
                  <c:v>321.74643934257813</c:v>
                </c:pt>
                <c:pt idx="98">
                  <c:v>321.13510498265043</c:v>
                </c:pt>
                <c:pt idx="99">
                  <c:v>320.44333401288708</c:v>
                </c:pt>
                <c:pt idx="100">
                  <c:v>319.67127926687806</c:v>
                </c:pt>
                <c:pt idx="101">
                  <c:v>318.81911368736581</c:v>
                </c:pt>
                <c:pt idx="102">
                  <c:v>317.8870302880369</c:v>
                </c:pt>
                <c:pt idx="103">
                  <c:v>316.87524211028614</c:v>
                </c:pt>
                <c:pt idx="104">
                  <c:v>315.78398217496334</c:v>
                </c:pt>
                <c:pt idx="105">
                  <c:v>314.613503429113</c:v>
                </c:pt>
                <c:pt idx="106">
                  <c:v>313.36407868771892</c:v>
                </c:pt>
                <c:pt idx="107">
                  <c:v>312.03600057046754</c:v>
                </c:pt>
                <c:pt idx="108">
                  <c:v>310.62958143354422</c:v>
                </c:pt>
                <c:pt idx="109">
                  <c:v>309.14515329647827</c:v>
                </c:pt>
                <c:pt idx="110">
                  <c:v>307.58306776405396</c:v>
                </c:pt>
                <c:pt idx="111">
                  <c:v>305.94369594330556</c:v>
                </c:pt>
                <c:pt idx="112">
                  <c:v>304.2274283556161</c:v>
                </c:pt>
                <c:pt idx="113">
                  <c:v>302.4346748439408</c:v>
                </c:pt>
                <c:pt idx="114">
                  <c:v>300.56586447517662</c:v>
                </c:pt>
                <c:pt idx="115">
                  <c:v>298.62144543770148</c:v>
                </c:pt>
                <c:pt idx="116">
                  <c:v>296.60188493410755</c:v>
                </c:pt>
                <c:pt idx="117">
                  <c:v>294.50766906915413</c:v>
                </c:pt>
                <c:pt idx="118">
                  <c:v>292.33930273296721</c:v>
                </c:pt>
                <c:pt idx="119">
                  <c:v>290.097309479513</c:v>
                </c:pt>
                <c:pt idx="120">
                  <c:v>287.78223140037557</c:v>
                </c:pt>
                <c:pt idx="121">
                  <c:v>285.39462899386825</c:v>
                </c:pt>
                <c:pt idx="122">
                  <c:v>282.93508102951085</c:v>
                </c:pt>
                <c:pt idx="123">
                  <c:v>280.40418440790495</c:v>
                </c:pt>
                <c:pt idx="124">
                  <c:v>277.80255401604171</c:v>
                </c:pt>
                <c:pt idx="125">
                  <c:v>275.13082257807645</c:v>
                </c:pt>
                <c:pt idx="126">
                  <c:v>272.38964050160718</c:v>
                </c:pt>
                <c:pt idx="127">
                  <c:v>269.57967571949342</c:v>
                </c:pt>
                <c:pt idx="128">
                  <c:v>266.70161352725427</c:v>
                </c:pt>
                <c:pt idx="129">
                  <c:v>263.75615641608522</c:v>
                </c:pt>
                <c:pt idx="130">
                  <c:v>260.74402390153438</c:v>
                </c:pt>
                <c:pt idx="131">
                  <c:v>257.66595234787951</c:v>
                </c:pt>
                <c:pt idx="132">
                  <c:v>254.52269478824925</c:v>
                </c:pt>
                <c:pt idx="133">
                  <c:v>251.31502074053202</c:v>
                </c:pt>
                <c:pt idx="134">
                  <c:v>248.04371601911774</c:v>
                </c:pt>
                <c:pt idx="135">
                  <c:v>244.70958254251832</c:v>
                </c:pt>
                <c:pt idx="136">
                  <c:v>241.3134381369141</c:v>
                </c:pt>
                <c:pt idx="137">
                  <c:v>237.85611633567427</c:v>
                </c:pt>
                <c:pt idx="138">
                  <c:v>234.33846617490022</c:v>
                </c:pt>
                <c:pt idx="139">
                  <c:v>230.76135198504224</c:v>
                </c:pt>
                <c:pt idx="140">
                  <c:v>227.12565317864053</c:v>
                </c:pt>
                <c:pt idx="141">
                  <c:v>223.43226403424256</c:v>
                </c:pt>
                <c:pt idx="142">
                  <c:v>219.68209347654994</c:v>
                </c:pt>
                <c:pt idx="143">
                  <c:v>215.87606485284874</c:v>
                </c:pt>
                <c:pt idx="144">
                  <c:v>212.01511570577841</c:v>
                </c:pt>
                <c:pt idx="145">
                  <c:v>208.10019754249487</c:v>
                </c:pt>
                <c:pt idx="146">
                  <c:v>204.13227560028488</c:v>
                </c:pt>
                <c:pt idx="147">
                  <c:v>200.11232860868927</c:v>
                </c:pt>
                <c:pt idx="148">
                  <c:v>196.04134854819358</c:v>
                </c:pt>
                <c:pt idx="149">
                  <c:v>191.92034040554574</c:v>
                </c:pt>
                <c:pt idx="150">
                  <c:v>187.75032192576086</c:v>
                </c:pt>
                <c:pt idx="151">
                  <c:v>183.53232336087459</c:v>
                </c:pt>
                <c:pt idx="152">
                  <c:v>179.26738721550686</c:v>
                </c:pt>
                <c:pt idx="153">
                  <c:v>174.95656798929892</c:v>
                </c:pt>
                <c:pt idx="154">
                  <c:v>170.6009319162871</c:v>
                </c:pt>
                <c:pt idx="155">
                  <c:v>166.20155670127795</c:v>
                </c:pt>
                <c:pt idx="156">
                  <c:v>161.75953125328974</c:v>
                </c:pt>
                <c:pt idx="157">
                  <c:v>157.27595541612621</c:v>
                </c:pt>
                <c:pt idx="158">
                  <c:v>152.75193969614935</c:v>
                </c:pt>
                <c:pt idx="159">
                  <c:v>148.18860498731846</c:v>
                </c:pt>
                <c:pt idx="160">
                  <c:v>143.58708229356353</c:v>
                </c:pt>
                <c:pt idx="161">
                  <c:v>138.94851244856176</c:v>
                </c:pt>
                <c:pt idx="162">
                  <c:v>134.27404583298662</c:v>
                </c:pt>
                <c:pt idx="163">
                  <c:v>129.56484208929933</c:v>
                </c:pt>
                <c:pt idx="164">
                  <c:v>124.82206983415379</c:v>
                </c:pt>
                <c:pt idx="165">
                  <c:v>120.04690636848593</c:v>
                </c:pt>
                <c:pt idx="166">
                  <c:v>115.24053738535954</c:v>
                </c:pt>
                <c:pt idx="167">
                  <c:v>110.40415667564102</c:v>
                </c:pt>
                <c:pt idx="168">
                  <c:v>105.53896583157616</c:v>
                </c:pt>
                <c:pt idx="169">
                  <c:v>100.64617394834239</c:v>
                </c:pt>
                <c:pt idx="170">
                  <c:v>95.726997323650735</c:v>
                </c:pt>
                <c:pt idx="171">
                  <c:v>90.78265915547199</c:v>
                </c:pt>
                <c:pt idx="172">
                  <c:v>85.814389237962331</c:v>
                </c:pt>
                <c:pt idx="173">
                  <c:v>80.823423655663802</c:v>
                </c:pt>
                <c:pt idx="174">
                  <c:v>75.811004476055786</c:v>
                </c:pt>
                <c:pt idx="175">
                  <c:v>70.778379440533854</c:v>
                </c:pt>
                <c:pt idx="176">
                  <c:v>65.726801653892906</c:v>
                </c:pt>
                <c:pt idx="177">
                  <c:v>60.657529272391827</c:v>
                </c:pt>
                <c:pt idx="178">
                  <c:v>55.57182519047727</c:v>
                </c:pt>
                <c:pt idx="179">
                  <c:v>50.470956726244616</c:v>
                </c:pt>
                <c:pt idx="180">
                  <c:v>45.356195305714344</c:v>
                </c:pt>
                <c:pt idx="181">
                  <c:v>40.228816146002508</c:v>
                </c:pt>
                <c:pt idx="182">
                  <c:v>35.090097937464243</c:v>
                </c:pt>
                <c:pt idx="183">
                  <c:v>29.941322524889479</c:v>
                </c:pt>
                <c:pt idx="184">
                  <c:v>24.783774587830347</c:v>
                </c:pt>
                <c:pt idx="185">
                  <c:v>19.618741320139996</c:v>
                </c:pt>
                <c:pt idx="186">
                  <c:v>14.447512108802686</c:v>
                </c:pt>
                <c:pt idx="187">
                  <c:v>9.2713782121353407</c:v>
                </c:pt>
                <c:pt idx="188">
                  <c:v>4.0916324374407953</c:v>
                </c:pt>
                <c:pt idx="189">
                  <c:v>-1.0904311818067844</c:v>
                </c:pt>
                <c:pt idx="190">
                  <c:v>-6.2735177091637251</c:v>
                </c:pt>
                <c:pt idx="191">
                  <c:v>-11.456331628725213</c:v>
                </c:pt>
                <c:pt idx="192">
                  <c:v>-16.637577168859409</c:v>
                </c:pt>
                <c:pt idx="193">
                  <c:v>-21.815958626086424</c:v>
                </c:pt>
                <c:pt idx="194">
                  <c:v>-26.990180689021226</c:v>
                </c:pt>
                <c:pt idx="195">
                  <c:v>-32.158948762299502</c:v>
                </c:pt>
                <c:pt idx="196">
                  <c:v>-37.320969290405529</c:v>
                </c:pt>
                <c:pt idx="197">
                  <c:v>-42.474950081320976</c:v>
                </c:pt>
                <c:pt idx="198">
                  <c:v>-47.619600629913826</c:v>
                </c:pt>
                <c:pt idx="199">
                  <c:v>-52.753632440986344</c:v>
                </c:pt>
                <c:pt idx="200">
                  <c:v>-57.87575935190138</c:v>
                </c:pt>
                <c:pt idx="201">
                  <c:v>-62.98469785470617</c:v>
                </c:pt>
                <c:pt idx="202">
                  <c:v>-68.079167417672991</c:v>
                </c:pt>
                <c:pt idx="203">
                  <c:v>-73.157890806176127</c:v>
                </c:pt>
                <c:pt idx="204">
                  <c:v>-78.219594402824853</c:v>
                </c:pt>
                <c:pt idx="205">
                  <c:v>-83.26300852677204</c:v>
                </c:pt>
                <c:pt idx="206">
                  <c:v>-88.286867752118511</c:v>
                </c:pt>
                <c:pt idx="207">
                  <c:v>-93.289911225333299</c:v>
                </c:pt>
                <c:pt idx="208">
                  <c:v>-98.270882981610043</c:v>
                </c:pt>
                <c:pt idx="209">
                  <c:v>-103.22853226008046</c:v>
                </c:pt>
                <c:pt idx="210">
                  <c:v>-108.16161381780547</c:v>
                </c:pt>
                <c:pt idx="211">
                  <c:v>-113.06888824246548</c:v>
                </c:pt>
                <c:pt idx="212">
                  <c:v>-117.94912226367101</c:v>
                </c:pt>
                <c:pt idx="213">
                  <c:v>-122.80108906281595</c:v>
                </c:pt>
                <c:pt idx="214">
                  <c:v>-127.62356858139496</c:v>
                </c:pt>
                <c:pt idx="215">
                  <c:v>-132.41534782770827</c:v>
                </c:pt>
                <c:pt idx="216">
                  <c:v>-137.17522118187622</c:v>
                </c:pt>
                <c:pt idx="217">
                  <c:v>-141.90199069908726</c:v>
                </c:pt>
                <c:pt idx="218">
                  <c:v>-146.59446641100283</c:v>
                </c:pt>
                <c:pt idx="219">
                  <c:v>-151.25146662524361</c:v>
                </c:pt>
                <c:pt idx="220">
                  <c:v>-155.87181822288164</c:v>
                </c:pt>
                <c:pt idx="221">
                  <c:v>-160.45435695386337</c:v>
                </c:pt>
                <c:pt idx="222">
                  <c:v>-164.99792773028938</c:v>
                </c:pt>
                <c:pt idx="223">
                  <c:v>-169.50138491747691</c:v>
                </c:pt>
                <c:pt idx="224">
                  <c:v>-173.96359262273188</c:v>
                </c:pt>
                <c:pt idx="225">
                  <c:v>-178.38342498175749</c:v>
                </c:pt>
                <c:pt idx="226">
                  <c:v>-182.75976644262741</c:v>
                </c:pt>
                <c:pt idx="227">
                  <c:v>-187.09151204725188</c:v>
                </c:pt>
                <c:pt idx="228">
                  <c:v>-191.37756771026571</c:v>
                </c:pt>
                <c:pt idx="229">
                  <c:v>-195.61685049526773</c:v>
                </c:pt>
                <c:pt idx="230">
                  <c:v>-199.80828888834216</c:v>
                </c:pt>
                <c:pt idx="231">
                  <c:v>-203.95082306879277</c:v>
                </c:pt>
                <c:pt idx="232">
                  <c:v>-208.0434051770213</c:v>
                </c:pt>
                <c:pt idx="233">
                  <c:v>-212.08499957948263</c:v>
                </c:pt>
                <c:pt idx="234">
                  <c:v>-216.0745831306497</c:v>
                </c:pt>
                <c:pt idx="235">
                  <c:v>-220.0111454319219</c:v>
                </c:pt>
                <c:pt idx="236">
                  <c:v>-223.89368908741145</c:v>
                </c:pt>
                <c:pt idx="237">
                  <c:v>-227.72122995654303</c:v>
                </c:pt>
                <c:pt idx="238">
                  <c:v>-231.49279740340273</c:v>
                </c:pt>
                <c:pt idx="239">
                  <c:v>-235.20743454277331</c:v>
                </c:pt>
                <c:pt idx="240">
                  <c:v>-238.86419848279306</c:v>
                </c:pt>
                <c:pt idx="241">
                  <c:v>-242.46216056417708</c:v>
                </c:pt>
                <c:pt idx="242">
                  <c:v>-246.00040659594043</c:v>
                </c:pt>
                <c:pt idx="243">
                  <c:v>-249.47803708756274</c:v>
                </c:pt>
                <c:pt idx="244">
                  <c:v>-252.89416747753606</c:v>
                </c:pt>
                <c:pt idx="245">
                  <c:v>-256.24792835823746</c:v>
                </c:pt>
                <c:pt idx="246">
                  <c:v>-259.53846569706951</c:v>
                </c:pt>
                <c:pt idx="247">
                  <c:v>-262.76494105381198</c:v>
                </c:pt>
                <c:pt idx="248">
                  <c:v>-265.9265317941302</c:v>
                </c:pt>
                <c:pt idx="249">
                  <c:v>-269.02243129918497</c:v>
                </c:pt>
                <c:pt idx="250">
                  <c:v>-272.05184917129122</c:v>
                </c:pt>
                <c:pt idx="251">
                  <c:v>-275.01401143557263</c:v>
                </c:pt>
                <c:pt idx="252">
                  <c:v>-277.90816073756122</c:v>
                </c:pt>
                <c:pt idx="253">
                  <c:v>-280.73355653669091</c:v>
                </c:pt>
                <c:pt idx="254">
                  <c:v>-283.48947529563623</c:v>
                </c:pt>
                <c:pt idx="255">
                  <c:v>-286.17521066544737</c:v>
                </c:pt>
                <c:pt idx="256">
                  <c:v>-288.79007366643458</c:v>
                </c:pt>
                <c:pt idx="257">
                  <c:v>-291.33339286475547</c:v>
                </c:pt>
                <c:pt idx="258">
                  <c:v>-293.80451454465975</c:v>
                </c:pt>
                <c:pt idx="259">
                  <c:v>-296.20280287634785</c:v>
                </c:pt>
                <c:pt idx="260">
                  <c:v>-298.52764007939976</c:v>
                </c:pt>
                <c:pt idx="261">
                  <c:v>-300.77842658173256</c:v>
                </c:pt>
                <c:pt idx="262">
                  <c:v>-302.95458117404553</c:v>
                </c:pt>
                <c:pt idx="263">
                  <c:v>-305.05554115971307</c:v>
                </c:pt>
                <c:pt idx="264">
                  <c:v>-307.08076250008713</c:v>
                </c:pt>
                <c:pt idx="265">
                  <c:v>-309.02971995517123</c:v>
                </c:pt>
                <c:pt idx="266">
                  <c:v>-310.90190721963029</c:v>
                </c:pt>
                <c:pt idx="267">
                  <c:v>-312.69683705410057</c:v>
                </c:pt>
                <c:pt idx="268">
                  <c:v>-314.41404141176594</c:v>
                </c:pt>
                <c:pt idx="269">
                  <c:v>-316.05307156016778</c:v>
                </c:pt>
                <c:pt idx="270">
                  <c:v>-317.61349819821669</c:v>
                </c:pt>
                <c:pt idx="271">
                  <c:v>-319.09491156837555</c:v>
                </c:pt>
                <c:pt idx="272">
                  <c:v>-320.49692156398487</c:v>
                </c:pt>
                <c:pt idx="273">
                  <c:v>-321.81915783170211</c:v>
                </c:pt>
                <c:pt idx="274">
                  <c:v>-323.06126986902837</c:v>
                </c:pt>
                <c:pt idx="275">
                  <c:v>-324.2229271168967</c:v>
                </c:pt>
                <c:pt idx="276">
                  <c:v>-325.30381904729774</c:v>
                </c:pt>
                <c:pt idx="277">
                  <c:v>-326.30365524591957</c:v>
                </c:pt>
                <c:pt idx="278">
                  <c:v>-327.22216548977957</c:v>
                </c:pt>
                <c:pt idx="279">
                  <c:v>-328.05909981982808</c:v>
                </c:pt>
                <c:pt idx="280">
                  <c:v>-328.81422860850415</c:v>
                </c:pt>
                <c:pt idx="281">
                  <c:v>-329.48734262222524</c:v>
                </c:pt>
                <c:pt idx="282">
                  <c:v>-330.07825307879426</c:v>
                </c:pt>
                <c:pt idx="283">
                  <c:v>-330.5867916997077</c:v>
                </c:pt>
                <c:pt idx="284">
                  <c:v>-331.01281075735142</c:v>
                </c:pt>
                <c:pt idx="285">
                  <c:v>-331.3561831170702</c:v>
                </c:pt>
                <c:pt idx="286">
                  <c:v>-331.61680227409965</c:v>
                </c:pt>
                <c:pt idx="287">
                  <c:v>-331.79458238534988</c:v>
                </c:pt>
                <c:pt idx="288">
                  <c:v>-331.88945829603159</c:v>
                </c:pt>
                <c:pt idx="289">
                  <c:v>-331.90138556111691</c:v>
                </c:pt>
                <c:pt idx="290">
                  <c:v>-331.83034046162823</c:v>
                </c:pt>
                <c:pt idx="291">
                  <c:v>-331.6763200157493</c:v>
                </c:pt>
                <c:pt idx="292">
                  <c:v>-331.43934198475495</c:v>
                </c:pt>
                <c:pt idx="293">
                  <c:v>-331.11944487375666</c:v>
                </c:pt>
                <c:pt idx="294">
                  <c:v>-330.71668792726217</c:v>
                </c:pt>
                <c:pt idx="295">
                  <c:v>-330.23115111954928</c:v>
                </c:pt>
                <c:pt idx="296">
                  <c:v>-329.66293513985454</c:v>
                </c:pt>
                <c:pt idx="297">
                  <c:v>-329.01216137237992</c:v>
                </c:pt>
                <c:pt idx="298">
                  <c:v>-328.27897187112035</c:v>
                </c:pt>
                <c:pt idx="299">
                  <c:v>-327.46352932951766</c:v>
                </c:pt>
                <c:pt idx="300">
                  <c:v>-326.56601704494722</c:v>
                </c:pt>
                <c:pt idx="301">
                  <c:v>-325.58663887804437</c:v>
                </c:pt>
                <c:pt idx="302">
                  <c:v>-324.52561920688032</c:v>
                </c:pt>
                <c:pt idx="303">
                  <c:v>-323.38320287599674</c:v>
                </c:pt>
                <c:pt idx="304">
                  <c:v>-322.15965514031143</c:v>
                </c:pt>
                <c:pt idx="305">
                  <c:v>-320.85526160390714</c:v>
                </c:pt>
                <c:pt idx="306">
                  <c:v>-319.47032815371773</c:v>
                </c:pt>
                <c:pt idx="307">
                  <c:v>-318.00518088812737</c:v>
                </c:pt>
                <c:pt idx="308">
                  <c:v>-316.46016604049856</c:v>
                </c:pt>
                <c:pt idx="309">
                  <c:v>-314.83564989764773</c:v>
                </c:pt>
                <c:pt idx="310">
                  <c:v>-313.13201871328675</c:v>
                </c:pt>
                <c:pt idx="311">
                  <c:v>-311.3496786164514</c:v>
                </c:pt>
                <c:pt idx="312">
                  <c:v>-309.48905551493772</c:v>
                </c:pt>
                <c:pt idx="313">
                  <c:v>-307.55059499376995</c:v>
                </c:pt>
                <c:pt idx="314">
                  <c:v>-305.53476220872341</c:v>
                </c:pt>
                <c:pt idx="315">
                  <c:v>-303.44204177492844</c:v>
                </c:pt>
                <c:pt idx="316">
                  <c:v>-301.2729376505813</c:v>
                </c:pt>
                <c:pt idx="317">
                  <c:v>-299.02797301579039</c:v>
                </c:pt>
                <c:pt idx="318">
                  <c:v>-296.70769014658686</c:v>
                </c:pt>
                <c:pt idx="319">
                  <c:v>-294.3126502841294</c:v>
                </c:pt>
                <c:pt idx="320">
                  <c:v>-291.8434334991353</c:v>
                </c:pt>
                <c:pt idx="321">
                  <c:v>-289.30063855157016</c:v>
                </c:pt>
                <c:pt idx="322">
                  <c:v>-286.6848827456302</c:v>
                </c:pt>
                <c:pt idx="323">
                  <c:v>-283.99680178005235</c:v>
                </c:pt>
                <c:pt idx="324">
                  <c:v>-281.23704959378813</c:v>
                </c:pt>
                <c:pt idx="325">
                  <c:v>-278.40629820707886</c:v>
                </c:pt>
                <c:pt idx="326">
                  <c:v>-275.50523755797116</c:v>
                </c:pt>
                <c:pt idx="327">
                  <c:v>-272.53457533431168</c:v>
                </c:pt>
                <c:pt idx="328">
                  <c:v>-269.4950368012627</c:v>
                </c:pt>
                <c:pt idx="329">
                  <c:v>-266.38736462438015</c:v>
                </c:pt>
                <c:pt idx="330">
                  <c:v>-263.21231868829727</c:v>
                </c:pt>
                <c:pt idx="331">
                  <c:v>-259.97067591105832</c:v>
                </c:pt>
                <c:pt idx="332">
                  <c:v>-256.66323005414728</c:v>
                </c:pt>
                <c:pt idx="333">
                  <c:v>-253.2907915282585</c:v>
                </c:pt>
                <c:pt idx="334">
                  <c:v>-249.85418719485617</c:v>
                </c:pt>
                <c:pt idx="335">
                  <c:v>-246.35426016357178</c:v>
                </c:pt>
                <c:pt idx="336">
                  <c:v>-242.79186958548868</c:v>
                </c:pt>
                <c:pt idx="337">
                  <c:v>-239.16789044236469</c:v>
                </c:pt>
                <c:pt idx="338">
                  <c:v>-235.48321333184433</c:v>
                </c:pt>
                <c:pt idx="339">
                  <c:v>-231.73874424871337</c:v>
                </c:pt>
                <c:pt idx="340">
                  <c:v>-227.93540436224944</c:v>
                </c:pt>
                <c:pt idx="341">
                  <c:v>-224.07412978972334</c:v>
                </c:pt>
                <c:pt idx="342">
                  <c:v>-220.15587136610668</c:v>
                </c:pt>
                <c:pt idx="343">
                  <c:v>-216.18159441004258</c:v>
                </c:pt>
                <c:pt idx="344">
                  <c:v>-212.15227848613696</c:v>
                </c:pt>
                <c:pt idx="345">
                  <c:v>-208.06891716362884</c:v>
                </c:pt>
                <c:pt idx="346">
                  <c:v>-203.93251777149916</c:v>
                </c:pt>
                <c:pt idx="347">
                  <c:v>-199.74410115007859</c:v>
                </c:pt>
                <c:pt idx="348">
                  <c:v>-195.50470139921515</c:v>
                </c:pt>
                <c:pt idx="349">
                  <c:v>-191.21536562306417</c:v>
                </c:pt>
                <c:pt idx="350">
                  <c:v>-186.87715367156341</c:v>
                </c:pt>
                <c:pt idx="351">
                  <c:v>-182.49113787865687</c:v>
                </c:pt>
                <c:pt idx="352">
                  <c:v>-178.05840279733243</c:v>
                </c:pt>
                <c:pt idx="353">
                  <c:v>-173.58004493153834</c:v>
                </c:pt>
                <c:pt idx="354">
                  <c:v>-169.05717246504491</c:v>
                </c:pt>
                <c:pt idx="355">
                  <c:v>-164.4909049873186</c:v>
                </c:pt>
                <c:pt idx="356">
                  <c:v>-159.88237321647603</c:v>
                </c:pt>
                <c:pt idx="357">
                  <c:v>-155.23271871938661</c:v>
                </c:pt>
                <c:pt idx="358">
                  <c:v>-150.54309362899309</c:v>
                </c:pt>
                <c:pt idx="359">
                  <c:v>-145.81466035891972</c:v>
                </c:pt>
                <c:pt idx="360">
                  <c:v>-141.0485913154391</c:v>
                </c:pt>
                <c:pt idx="361">
                  <c:v>-136.24606860686876</c:v>
                </c:pt>
                <c:pt idx="362">
                  <c:v>-131.40828375046956</c:v>
                </c:pt>
                <c:pt idx="363">
                  <c:v>-126.53643737691864</c:v>
                </c:pt>
                <c:pt idx="364">
                  <c:v>-121.6317389324301</c:v>
                </c:pt>
                <c:pt idx="365">
                  <c:v>-116.69540637859733</c:v>
                </c:pt>
                <c:pt idx="366">
                  <c:v>-111.72866589003145</c:v>
                </c:pt>
                <c:pt idx="367">
                  <c:v>-106.73275154987093</c:v>
                </c:pt>
                <c:pt idx="368">
                  <c:v>-101.70890504323789</c:v>
                </c:pt>
                <c:pt idx="369">
                  <c:v>-96.658375348717385</c:v>
                </c:pt>
                <c:pt idx="370">
                  <c:v>-91.582418427936076</c:v>
                </c:pt>
                <c:pt idx="371">
                  <c:v>-86.482296913317583</c:v>
                </c:pt>
                <c:pt idx="372">
                  <c:v>-81.359279794092103</c:v>
                </c:pt>
                <c:pt idx="373">
                  <c:v>-76.214642100638301</c:v>
                </c:pt>
                <c:pt idx="374">
                  <c:v>-71.049664587235981</c:v>
                </c:pt>
                <c:pt idx="375">
                  <c:v>-65.865633413308501</c:v>
                </c:pt>
                <c:pt idx="376">
                  <c:v>-60.663839823234206</c:v>
                </c:pt>
                <c:pt idx="377">
                  <c:v>-55.445579824806586</c:v>
                </c:pt>
                <c:pt idx="378">
                  <c:v>-50.212153866423151</c:v>
                </c:pt>
                <c:pt idx="379">
                  <c:v>-44.964866513083521</c:v>
                </c:pt>
                <c:pt idx="380">
                  <c:v>-39.705026121277285</c:v>
                </c:pt>
                <c:pt idx="381">
                  <c:v>-34.433944512842771</c:v>
                </c:pt>
                <c:pt idx="382">
                  <c:v>-29.152936647877944</c:v>
                </c:pt>
                <c:pt idx="383">
                  <c:v>-23.863320296784902</c:v>
                </c:pt>
                <c:pt idx="384">
                  <c:v>-18.566415711529892</c:v>
                </c:pt>
                <c:pt idx="385">
                  <c:v>-13.263545296200686</c:v>
                </c:pt>
                <c:pt idx="386">
                  <c:v>-7.9560332769435966</c:v>
                </c:pt>
                <c:pt idx="387">
                  <c:v>-2.6452053713624579</c:v>
                </c:pt>
                <c:pt idx="388">
                  <c:v>2.6676115425379168</c:v>
                </c:pt>
                <c:pt idx="389">
                  <c:v>7.9810897577811319</c:v>
                </c:pt>
                <c:pt idx="390">
                  <c:v>13.293901070138713</c:v>
                </c:pt>
                <c:pt idx="391">
                  <c:v>18.60471711005685</c:v>
                </c:pt>
                <c:pt idx="392">
                  <c:v>23.912209674707452</c:v>
                </c:pt>
                <c:pt idx="393">
                  <c:v>29.21505106008054</c:v>
                </c:pt>
                <c:pt idx="394">
                  <c:v>34.511914393034949</c:v>
                </c:pt>
                <c:pt idx="395">
                  <c:v>39.801473963224339</c:v>
                </c:pt>
                <c:pt idx="396">
                  <c:v>45.082405554815466</c:v>
                </c:pt>
                <c:pt idx="397">
                  <c:v>50.353386777915787</c:v>
                </c:pt>
                <c:pt idx="398">
                  <c:v>55.613097399627407</c:v>
                </c:pt>
                <c:pt idx="399">
                  <c:v>60.860219674644547</c:v>
                </c:pt>
                <c:pt idx="400">
                  <c:v>66.093438675311788</c:v>
                </c:pt>
                <c:pt idx="401">
                  <c:v>71.311442621060365</c:v>
                </c:pt>
                <c:pt idx="402">
                  <c:v>76.512923207140119</c:v>
                </c:pt>
                <c:pt idx="403">
                  <c:v>81.696575932564599</c:v>
                </c:pt>
                <c:pt idx="404">
                  <c:v>86.861100427187296</c:v>
                </c:pt>
                <c:pt idx="405">
                  <c:v>92.005200777826843</c:v>
                </c:pt>
                <c:pt idx="406">
                  <c:v>97.127585853359605</c:v>
                </c:pt>
                <c:pt idx="407">
                  <c:v>102.2269696286979</c:v>
                </c:pt>
                <c:pt idx="408">
                  <c:v>107.30207150757286</c:v>
                </c:pt>
                <c:pt idx="409">
                  <c:v>112.35161664404065</c:v>
                </c:pt>
                <c:pt idx="410">
                  <c:v>117.37433626263154</c:v>
                </c:pt>
                <c:pt idx="411">
                  <c:v>122.36896797706143</c:v>
                </c:pt>
                <c:pt idx="412">
                  <c:v>127.33425610742566</c:v>
                </c:pt>
                <c:pt idx="413">
                  <c:v>132.26895199579562</c:v>
                </c:pt>
                <c:pt idx="414">
                  <c:v>137.17181432013871</c:v>
                </c:pt>
                <c:pt idx="415">
                  <c:v>142.04160940648285</c:v>
                </c:pt>
                <c:pt idx="416">
                  <c:v>146.87711153924698</c:v>
                </c:pt>
                <c:pt idx="417">
                  <c:v>151.67710326965948</c:v>
                </c:pt>
                <c:pt idx="418">
                  <c:v>156.44037572218718</c:v>
                </c:pt>
                <c:pt idx="419">
                  <c:v>161.16572889889747</c:v>
                </c:pt>
                <c:pt idx="420">
                  <c:v>165.8519719816772</c:v>
                </c:pt>
                <c:pt idx="421">
                  <c:v>170.49792363223219</c:v>
                </c:pt>
                <c:pt idx="422">
                  <c:v>175.10241228979177</c:v>
                </c:pt>
                <c:pt idx="423">
                  <c:v>179.66427646644331</c:v>
                </c:pt>
                <c:pt idx="424">
                  <c:v>184.18236504002238</c:v>
                </c:pt>
                <c:pt idx="425">
                  <c:v>188.65553754448484</c:v>
                </c:pt>
                <c:pt idx="426">
                  <c:v>193.08266445768732</c:v>
                </c:pt>
                <c:pt idx="427">
                  <c:v>197.46262748650366</c:v>
                </c:pt>
                <c:pt idx="428">
                  <c:v>201.79431984920558</c:v>
                </c:pt>
                <c:pt idx="429">
                  <c:v>206.07664655503586</c:v>
                </c:pt>
                <c:pt idx="430">
                  <c:v>210.30852468090384</c:v>
                </c:pt>
                <c:pt idx="431">
                  <c:v>214.48888364513309</c:v>
                </c:pt>
                <c:pt idx="432">
                  <c:v>218.61666547819209</c:v>
                </c:pt>
                <c:pt idx="433">
                  <c:v>222.69082509033981</c:v>
                </c:pt>
                <c:pt idx="434">
                  <c:v>226.71033053611799</c:v>
                </c:pt>
                <c:pt idx="435">
                  <c:v>230.67416327562358</c:v>
                </c:pt>
                <c:pt idx="436">
                  <c:v>234.58131843249515</c:v>
                </c:pt>
                <c:pt idx="437">
                  <c:v>238.4308050485478</c:v>
                </c:pt>
                <c:pt idx="438">
                  <c:v>242.22164633499233</c:v>
                </c:pt>
                <c:pt idx="439">
                  <c:v>245.95287992017472</c:v>
                </c:pt>
                <c:pt idx="440">
                  <c:v>249.62355809377337</c:v>
                </c:pt>
                <c:pt idx="441">
                  <c:v>253.23274804739196</c:v>
                </c:pt>
                <c:pt idx="442">
                  <c:v>256.77953211148713</c:v>
                </c:pt>
                <c:pt idx="443">
                  <c:v>260.26300798857045</c:v>
                </c:pt>
                <c:pt idx="444">
                  <c:v>263.68228898262589</c:v>
                </c:pt>
                <c:pt idx="445">
                  <c:v>267.03650422468417</c:v>
                </c:pt>
                <c:pt idx="446">
                  <c:v>270.32479889449678</c:v>
                </c:pt>
                <c:pt idx="447">
                  <c:v>273.54633443825327</c:v>
                </c:pt>
                <c:pt idx="448">
                  <c:v>276.70028878228612</c:v>
                </c:pt>
                <c:pt idx="449">
                  <c:v>279.78585654270938</c:v>
                </c:pt>
                <c:pt idx="450">
                  <c:v>282.80224923093709</c:v>
                </c:pt>
                <c:pt idx="451">
                  <c:v>285.74869545502912</c:v>
                </c:pt>
                <c:pt idx="452">
                  <c:v>288.62444111681344</c:v>
                </c:pt>
                <c:pt idx="453">
                  <c:v>291.42874960473398</c:v>
                </c:pt>
                <c:pt idx="454">
                  <c:v>294.16090198237532</c:v>
                </c:pt>
                <c:pt idx="455">
                  <c:v>296.82019717261545</c:v>
                </c:pt>
                <c:pt idx="456">
                  <c:v>299.40595213736003</c:v>
                </c:pt>
                <c:pt idx="457">
                  <c:v>301.91750205281141</c:v>
                </c:pt>
                <c:pt idx="458">
                  <c:v>304.35420048022849</c:v>
                </c:pt>
                <c:pt idx="459">
                  <c:v>306.71541953213233</c:v>
                </c:pt>
                <c:pt idx="460">
                  <c:v>309.00055003391611</c:v>
                </c:pt>
                <c:pt idx="461">
                  <c:v>311.20900168081687</c:v>
                </c:pt>
                <c:pt idx="462">
                  <c:v>313.34020319020914</c:v>
                </c:pt>
                <c:pt idx="463">
                  <c:v>315.39360244918123</c:v>
                </c:pt>
                <c:pt idx="464">
                  <c:v>317.36866665735579</c:v>
                </c:pt>
                <c:pt idx="465">
                  <c:v>319.264882464918</c:v>
                </c:pt>
                <c:pt idx="466">
                  <c:v>321.08175610581588</c:v>
                </c:pt>
                <c:pt idx="467">
                  <c:v>322.81881352609759</c:v>
                </c:pt>
                <c:pt idx="468">
                  <c:v>324.47560050735279</c:v>
                </c:pt>
                <c:pt idx="469">
                  <c:v>326.05168278522649</c:v>
                </c:pt>
                <c:pt idx="470">
                  <c:v>327.54664616297333</c:v>
                </c:pt>
                <c:pt idx="471">
                  <c:v>328.96009662002388</c:v>
                </c:pt>
                <c:pt idx="472">
                  <c:v>330.29166041553367</c:v>
                </c:pt>
                <c:pt idx="473">
                  <c:v>331.54098418688847</c:v>
                </c:pt>
                <c:pt idx="474">
                  <c:v>332.70773504313939</c:v>
                </c:pt>
                <c:pt idx="475">
                  <c:v>333.79160065334361</c:v>
                </c:pt>
                <c:pt idx="476">
                  <c:v>334.79228932978702</c:v>
                </c:pt>
                <c:pt idx="477">
                  <c:v>335.70953010606712</c:v>
                </c:pt>
                <c:pt idx="478">
                  <c:v>336.54307281001473</c:v>
                </c:pt>
                <c:pt idx="479">
                  <c:v>337.29268813143585</c:v>
                </c:pt>
                <c:pt idx="480">
                  <c:v>337.95816768465448</c:v>
                </c:pt>
                <c:pt idx="481">
                  <c:v>338.53932406584022</c:v>
                </c:pt>
                <c:pt idx="482">
                  <c:v>339.03599090510482</c:v>
                </c:pt>
                <c:pt idx="483">
                  <c:v>339.44802291335293</c:v>
                </c:pt>
                <c:pt idx="484">
                  <c:v>339.77529592387475</c:v>
                </c:pt>
                <c:pt idx="485">
                  <c:v>340.01770692866825</c:v>
                </c:pt>
                <c:pt idx="486">
                  <c:v>340.17517410948079</c:v>
                </c:pt>
                <c:pt idx="487">
                  <c:v>340.24763686356118</c:v>
                </c:pt>
                <c:pt idx="488">
                  <c:v>340.23505582411417</c:v>
                </c:pt>
                <c:pt idx="489">
                  <c:v>340.13741287545128</c:v>
                </c:pt>
                <c:pt idx="490">
                  <c:v>339.95471116283238</c:v>
                </c:pt>
                <c:pt idx="491">
                  <c:v>339.68697509699462</c:v>
                </c:pt>
                <c:pt idx="492">
                  <c:v>339.33425035336614</c:v>
                </c:pt>
                <c:pt idx="493">
                  <c:v>338.89660386596341</c:v>
                </c:pt>
                <c:pt idx="494">
                  <c:v>338.37412381597233</c:v>
                </c:pt>
                <c:pt idx="495">
                  <c:v>337.76691961501479</c:v>
                </c:pt>
                <c:pt idx="496">
                  <c:v>337.07512188310324</c:v>
                </c:pt>
                <c:pt idx="497">
                  <c:v>336.29888242128794</c:v>
                </c:pt>
                <c:pt idx="498">
                  <c:v>335.43837417900187</c:v>
                </c:pt>
                <c:pt idx="499">
                  <c:v>334.49379121611048</c:v>
                </c:pt>
                <c:pt idx="500">
                  <c:v>333.46534865967431</c:v>
                </c:pt>
                <c:pt idx="501">
                  <c:v>332.3532826554341</c:v>
                </c:pt>
                <c:pt idx="502">
                  <c:v>331.15785031402902</c:v>
                </c:pt>
                <c:pt idx="503">
                  <c:v>329.87932965196006</c:v>
                </c:pt>
                <c:pt idx="504">
                  <c:v>328.51801952731262</c:v>
                </c:pt>
                <c:pt idx="505">
                  <c:v>327.07423957025213</c:v>
                </c:pt>
                <c:pt idx="506">
                  <c:v>325.54833010830981</c:v>
                </c:pt>
                <c:pt idx="507">
                  <c:v>323.94065208647498</c:v>
                </c:pt>
                <c:pt idx="508">
                  <c:v>322.25158698211305</c:v>
                </c:pt>
                <c:pt idx="509">
                  <c:v>320.48153671472949</c:v>
                </c:pt>
                <c:pt idx="510">
                  <c:v>318.63092355060041</c:v>
                </c:pt>
                <c:pt idx="511">
                  <c:v>316.70019000229263</c:v>
                </c:pt>
                <c:pt idx="512">
                  <c:v>314.68979872309723</c:v>
                </c:pt>
                <c:pt idx="513">
                  <c:v>312.60023239640122</c:v>
                </c:pt>
                <c:pt idx="514">
                  <c:v>310.43199362002446</c:v>
                </c:pt>
                <c:pt idx="515">
                  <c:v>308.18560478554861</c:v>
                </c:pt>
                <c:pt idx="516">
                  <c:v>305.86160795266773</c:v>
                </c:pt>
                <c:pt idx="517">
                  <c:v>303.46056471859049</c:v>
                </c:pt>
                <c:pt idx="518">
                  <c:v>300.98305608252508</c:v>
                </c:pt>
                <c:pt idx="519">
                  <c:v>298.42968230528004</c:v>
                </c:pt>
                <c:pt idx="520">
                  <c:v>295.80106276401432</c:v>
                </c:pt>
                <c:pt idx="521">
                  <c:v>293.09783580217231</c:v>
                </c:pt>
                <c:pt idx="522">
                  <c:v>290.32065857463931</c:v>
                </c:pt>
                <c:pt idx="523">
                  <c:v>287.47020688815576</c:v>
                </c:pt>
                <c:pt idx="524">
                  <c:v>284.54717503702852</c:v>
                </c:pt>
                <c:pt idx="525">
                  <c:v>281.55227563417924</c:v>
                </c:pt>
                <c:pt idx="526">
                  <c:v>278.4862394375707</c:v>
                </c:pt>
                <c:pt idx="527">
                  <c:v>275.34981517205364</c:v>
                </c:pt>
                <c:pt idx="528">
                  <c:v>272.14376934667717</c:v>
                </c:pt>
                <c:pt idx="529">
                  <c:v>268.86888606750773</c:v>
                </c:pt>
                <c:pt idx="530">
                  <c:v>265.52596684600161</c:v>
                </c:pt>
                <c:pt idx="531">
                  <c:v>262.11583040297859</c:v>
                </c:pt>
                <c:pt idx="532">
                  <c:v>258.63931246824404</c:v>
                </c:pt>
                <c:pt idx="533">
                  <c:v>255.09726557590878</c:v>
                </c:pt>
                <c:pt idx="534">
                  <c:v>251.49055885545644</c:v>
                </c:pt>
                <c:pt idx="535">
                  <c:v>247.82007781861014</c:v>
                </c:pt>
                <c:pt idx="536">
                  <c:v>244.08672414204997</c:v>
                </c:pt>
                <c:pt idx="537">
                  <c:v>240.29141544603516</c:v>
                </c:pt>
                <c:pt idx="538">
                  <c:v>236.43508506898482</c:v>
                </c:pt>
                <c:pt idx="539">
                  <c:v>232.51868183807298</c:v>
                </c:pt>
                <c:pt idx="540">
                  <c:v>228.54316983589391</c:v>
                </c:pt>
                <c:pt idx="541">
                  <c:v>224.50952816325531</c:v>
                </c:pt>
                <c:pt idx="542">
                  <c:v>220.41875069815774</c:v>
                </c:pt>
                <c:pt idx="543">
                  <c:v>216.27184585101935</c:v>
                </c:pt>
                <c:pt idx="544">
                  <c:v>212.06983631620642</c:v>
                </c:pt>
                <c:pt idx="545">
                  <c:v>207.81375881993074</c:v>
                </c:pt>
                <c:pt idx="546">
                  <c:v>203.504663864576</c:v>
                </c:pt>
                <c:pt idx="547">
                  <c:v>199.14361546951628</c:v>
                </c:pt>
                <c:pt idx="548">
                  <c:v>194.73169090849041</c:v>
                </c:pt>
                <c:pt idx="549">
                  <c:v>190.26998044359718</c:v>
                </c:pt>
                <c:pt idx="550">
                  <c:v>185.75958705597682</c:v>
                </c:pt>
                <c:pt idx="551">
                  <c:v>181.20162617324556</c:v>
                </c:pt>
                <c:pt idx="552">
                  <c:v>176.59722539375031</c:v>
                </c:pt>
                <c:pt idx="553">
                  <c:v>171.94752420771172</c:v>
                </c:pt>
                <c:pt idx="554">
                  <c:v>167.25367371532471</c:v>
                </c:pt>
                <c:pt idx="555">
                  <c:v>162.51683634188578</c:v>
                </c:pt>
                <c:pt idx="556">
                  <c:v>157.73818555001802</c:v>
                </c:pt>
                <c:pt idx="557">
                  <c:v>152.91890554906479</c:v>
                </c:pt>
                <c:pt idx="558">
                  <c:v>148.06019100172404</c:v>
                </c:pt>
                <c:pt idx="559">
                  <c:v>143.16324672799601</c:v>
                </c:pt>
                <c:pt idx="560">
                  <c:v>138.22928740651756</c:v>
                </c:pt>
                <c:pt idx="561">
                  <c:v>133.25953727335713</c:v>
                </c:pt>
                <c:pt idx="562">
                  <c:v>128.25522981834504</c:v>
                </c:pt>
                <c:pt idx="563">
                  <c:v>123.21760747901463</c:v>
                </c:pt>
                <c:pt idx="564">
                  <c:v>118.14792133222963</c:v>
                </c:pt>
                <c:pt idx="565">
                  <c:v>113.04743078357488</c:v>
                </c:pt>
                <c:pt idx="566">
                  <c:v>107.91740325458707</c:v>
                </c:pt>
                <c:pt idx="567">
                  <c:v>102.75911386790337</c:v>
                </c:pt>
                <c:pt idx="568">
                  <c:v>97.573845130406013</c:v>
                </c:pt>
                <c:pt idx="569">
                  <c:v>92.362886614441692</c:v>
                </c:pt>
                <c:pt idx="570">
                  <c:v>87.127534637194771</c:v>
                </c:pt>
                <c:pt idx="571">
                  <c:v>81.869091938294233</c:v>
                </c:pt>
                <c:pt idx="572">
                  <c:v>76.588867355734394</c:v>
                </c:pt>
                <c:pt idx="573">
                  <c:v>71.288175500189993</c:v>
                </c:pt>
                <c:pt idx="574">
                  <c:v>65.968336427806648</c:v>
                </c:pt>
                <c:pt idx="575">
                  <c:v>60.630675311548259</c:v>
                </c:pt>
                <c:pt idx="576">
                  <c:v>55.276522111182921</c:v>
                </c:pt>
                <c:pt idx="577">
                  <c:v>49.907211241989692</c:v>
                </c:pt>
                <c:pt idx="578">
                  <c:v>44.524081242268672</c:v>
                </c:pt>
                <c:pt idx="579">
                  <c:v>39.128474439737154</c:v>
                </c:pt>
                <c:pt idx="580">
                  <c:v>33.721736616895065</c:v>
                </c:pt>
                <c:pt idx="581">
                  <c:v>28.305216675443042</c:v>
                </c:pt>
                <c:pt idx="582">
                  <c:v>22.880266299836798</c:v>
                </c:pt>
                <c:pt idx="583">
                  <c:v>17.448239620061692</c:v>
                </c:pt>
                <c:pt idx="584">
                  <c:v>12.010492873711627</c:v>
                </c:pt>
                <c:pt idx="585">
                  <c:v>6.5683840674565452</c:v>
                </c:pt>
                <c:pt idx="586">
                  <c:v>1.1232726379830362</c:v>
                </c:pt>
                <c:pt idx="587">
                  <c:v>-4.3234808875073361</c:v>
                </c:pt>
                <c:pt idx="588">
                  <c:v>-9.770515231157205</c:v>
                </c:pt>
                <c:pt idx="589">
                  <c:v>-15.216468704585196</c:v>
                </c:pt>
                <c:pt idx="590">
                  <c:v>-20.659979549205399</c:v>
                </c:pt>
                <c:pt idx="591">
                  <c:v>-26.099686276649457</c:v>
                </c:pt>
                <c:pt idx="592">
                  <c:v>-31.534228009206213</c:v>
                </c:pt>
                <c:pt idx="593">
                  <c:v>-36.962244820193803</c:v>
                </c:pt>
                <c:pt idx="594">
                  <c:v>-42.382378074179094</c:v>
                </c:pt>
                <c:pt idx="595">
                  <c:v>-47.793270766959338</c:v>
                </c:pt>
                <c:pt idx="596">
                  <c:v>-53.193567865221034</c:v>
                </c:pt>
                <c:pt idx="597">
                  <c:v>-58.58191664579099</c:v>
                </c:pt>
                <c:pt idx="598">
                  <c:v>-63.956967034394644</c:v>
                </c:pt>
                <c:pt idx="599">
                  <c:v>-69.317371943836847</c:v>
                </c:pt>
                <c:pt idx="600">
                  <c:v>-74.661787611520452</c:v>
                </c:pt>
                <c:pt idx="601">
                  <c:v>-79.988873936218098</c:v>
                </c:pt>
                <c:pt idx="602">
                  <c:v>-85.297294814012872</c:v>
                </c:pt>
                <c:pt idx="603">
                  <c:v>-90.585718473323581</c:v>
                </c:pt>
                <c:pt idx="604">
                  <c:v>-95.852817808930794</c:v>
                </c:pt>
                <c:pt idx="605">
                  <c:v>-101.09727071491967</c:v>
                </c:pt>
                <c:pt idx="606">
                  <c:v>-106.31776041645632</c:v>
                </c:pt>
                <c:pt idx="607">
                  <c:v>-111.51297580031424</c:v>
                </c:pt>
                <c:pt idx="608">
                  <c:v>-116.68161174406804</c:v>
                </c:pt>
                <c:pt idx="609">
                  <c:v>-121.82236944387176</c:v>
                </c:pt>
                <c:pt idx="610">
                  <c:v>-126.93395674073948</c:v>
                </c:pt>
                <c:pt idx="611">
                  <c:v>-132.01508844524622</c:v>
                </c:pt>
                <c:pt idx="612">
                  <c:v>-137.06448666056778</c:v>
                </c:pt>
                <c:pt idx="613">
                  <c:v>-142.08088110377801</c:v>
                </c:pt>
                <c:pt idx="614">
                  <c:v>-147.06300942532312</c:v>
                </c:pt>
                <c:pt idx="615">
                  <c:v>-152.00961752659228</c:v>
                </c:pt>
                <c:pt idx="616">
                  <c:v>-156.91945987550511</c:v>
                </c:pt>
                <c:pt idx="617">
                  <c:v>-161.7912998200363</c:v>
                </c:pt>
                <c:pt idx="618">
                  <c:v>-166.6239098995986</c:v>
                </c:pt>
                <c:pt idx="619">
                  <c:v>-171.41607215420589</c:v>
                </c:pt>
                <c:pt idx="620">
                  <c:v>-176.16657843133828</c:v>
                </c:pt>
                <c:pt idx="621">
                  <c:v>-180.87423069043211</c:v>
                </c:pt>
                <c:pt idx="622">
                  <c:v>-185.53784130491812</c:v>
                </c:pt>
                <c:pt idx="623">
                  <c:v>-190.15623336173152</c:v>
                </c:pt>
                <c:pt idx="624">
                  <c:v>-194.72824095821869</c:v>
                </c:pt>
                <c:pt idx="625">
                  <c:v>-199.25270949636541</c:v>
                </c:pt>
                <c:pt idx="626">
                  <c:v>-203.72849597427259</c:v>
                </c:pt>
                <c:pt idx="627">
                  <c:v>-208.15446927480568</c:v>
                </c:pt>
                <c:pt idx="628">
                  <c:v>-212.5295104513452</c:v>
                </c:pt>
                <c:pt idx="629">
                  <c:v>-216.85251301056601</c:v>
                </c:pt>
                <c:pt idx="630">
                  <c:v>-221.122383192174</c:v>
                </c:pt>
                <c:pt idx="631">
                  <c:v>-225.33804024552933</c:v>
                </c:pt>
                <c:pt idx="632">
                  <c:v>-229.49841670308663</c:v>
                </c:pt>
                <c:pt idx="633">
                  <c:v>-233.60245865058255</c:v>
                </c:pt>
                <c:pt idx="634">
                  <c:v>-237.64912599390269</c:v>
                </c:pt>
                <c:pt idx="635">
                  <c:v>-241.63739272256018</c:v>
                </c:pt>
                <c:pt idx="636">
                  <c:v>-245.56624716971919</c:v>
                </c:pt>
                <c:pt idx="637">
                  <c:v>-249.43469226869757</c:v>
                </c:pt>
                <c:pt idx="638">
                  <c:v>-253.24174580588354</c:v>
                </c:pt>
                <c:pt idx="639">
                  <c:v>-256.98644067000231</c:v>
                </c:pt>
                <c:pt idx="640">
                  <c:v>-260.66782509766961</c:v>
                </c:pt>
                <c:pt idx="641">
                  <c:v>-264.28496291516939</c:v>
                </c:pt>
                <c:pt idx="642">
                  <c:v>-267.8369337763948</c:v>
                </c:pt>
                <c:pt idx="643">
                  <c:v>-271.32283339689138</c:v>
                </c:pt>
                <c:pt idx="644">
                  <c:v>-274.74177378394387</c:v>
                </c:pt>
                <c:pt idx="645">
                  <c:v>-278.09288346264714</c:v>
                </c:pt>
                <c:pt idx="646">
                  <c:v>-281.37530769790442</c:v>
                </c:pt>
                <c:pt idx="647">
                  <c:v>-284.58820871229602</c:v>
                </c:pt>
                <c:pt idx="648">
                  <c:v>-287.73076589976318</c:v>
                </c:pt>
                <c:pt idx="649">
                  <c:v>-290.80217603505224</c:v>
                </c:pt>
                <c:pt idx="650">
                  <c:v>-293.8016534788664</c:v>
                </c:pt>
                <c:pt idx="651">
                  <c:v>-296.72843037867176</c:v>
                </c:pt>
                <c:pt idx="652">
                  <c:v>-299.58175686510742</c:v>
                </c:pt>
                <c:pt idx="653">
                  <c:v>-302.36090124394843</c:v>
                </c:pt>
                <c:pt idx="654">
                  <c:v>-305.06515018357317</c:v>
                </c:pt>
                <c:pt idx="655">
                  <c:v>-307.69380889788687</c:v>
                </c:pt>
                <c:pt idx="656">
                  <c:v>-310.24620132465469</c:v>
                </c:pt>
                <c:pt idx="657">
                  <c:v>-312.72167029919808</c:v>
                </c:pt>
                <c:pt idx="658">
                  <c:v>-315.11957772341026</c:v>
                </c:pt>
                <c:pt idx="659">
                  <c:v>-317.43930473004764</c:v>
                </c:pt>
                <c:pt idx="660">
                  <c:v>-319.68025184225417</c:v>
                </c:pt>
                <c:pt idx="661">
                  <c:v>-321.8418391282782</c:v>
                </c:pt>
                <c:pt idx="662">
                  <c:v>-323.92350635134164</c:v>
                </c:pt>
                <c:pt idx="663">
                  <c:v>-325.92471311462305</c:v>
                </c:pt>
                <c:pt idx="664">
                  <c:v>-327.84493900131662</c:v>
                </c:pt>
                <c:pt idx="665">
                  <c:v>-329.68368370973155</c:v>
                </c:pt>
                <c:pt idx="666">
                  <c:v>-331.44046718339615</c:v>
                </c:pt>
                <c:pt idx="667">
                  <c:v>-333.11482973613329</c:v>
                </c:pt>
                <c:pt idx="668">
                  <c:v>-334.70633217207461</c:v>
                </c:pt>
                <c:pt idx="669">
                  <c:v>-336.2145559005819</c:v>
                </c:pt>
                <c:pt idx="670">
                  <c:v>-337.63910304604616</c:v>
                </c:pt>
                <c:pt idx="671">
                  <c:v>-338.97959655253527</c:v>
                </c:pt>
                <c:pt idx="672">
                  <c:v>-340.23568028326287</c:v>
                </c:pt>
                <c:pt idx="673">
                  <c:v>-341.40701911485235</c:v>
                </c:pt>
                <c:pt idx="674">
                  <c:v>-342.49329902637101</c:v>
                </c:pt>
                <c:pt idx="675">
                  <c:v>-343.49422718311092</c:v>
                </c:pt>
                <c:pt idx="676">
                  <c:v>-344.40953201509427</c:v>
                </c:pt>
                <c:pt idx="677">
                  <c:v>-345.23896329028184</c:v>
                </c:pt>
                <c:pt idx="678">
                  <c:v>-345.98229218246564</c:v>
                </c:pt>
                <c:pt idx="679">
                  <c:v>-346.63931133382687</c:v>
                </c:pt>
                <c:pt idx="680">
                  <c:v>-347.20983491214247</c:v>
                </c:pt>
                <c:pt idx="681">
                  <c:v>-347.69369866262463</c:v>
                </c:pt>
                <c:pt idx="682">
                  <c:v>-348.09075995437871</c:v>
                </c:pt>
                <c:pt idx="683">
                  <c:v>-348.40089782146714</c:v>
                </c:pt>
                <c:pt idx="684">
                  <c:v>-348.62401299856697</c:v>
                </c:pt>
                <c:pt idx="685">
                  <c:v>-348.76002795121144</c:v>
                </c:pt>
                <c:pt idx="686">
                  <c:v>-348.8088869006063</c:v>
                </c:pt>
                <c:pt idx="687">
                  <c:v>-348.77055584301331</c:v>
                </c:pt>
                <c:pt idx="688">
                  <c:v>-348.64502256369519</c:v>
                </c:pt>
                <c:pt idx="689">
                  <c:v>-348.43229664541633</c:v>
                </c:pt>
                <c:pt idx="690">
                  <c:v>-348.13240947149654</c:v>
                </c:pt>
                <c:pt idx="691">
                  <c:v>-347.74541422341542</c:v>
                </c:pt>
                <c:pt idx="692">
                  <c:v>-347.27138587296639</c:v>
                </c:pt>
                <c:pt idx="693">
                  <c:v>-346.71042116896155</c:v>
                </c:pt>
                <c:pt idx="694">
                  <c:v>-346.06263861848845</c:v>
                </c:pt>
                <c:pt idx="695">
                  <c:v>-345.32817846272309</c:v>
                </c:pt>
                <c:pt idx="696">
                  <c:v>-344.50720264730313</c:v>
                </c:pt>
                <c:pt idx="697">
                  <c:v>-343.59989478726749</c:v>
                </c:pt>
                <c:pt idx="698">
                  <c:v>-342.60646012657003</c:v>
                </c:pt>
                <c:pt idx="699">
                  <c:v>-341.52712549217574</c:v>
                </c:pt>
                <c:pt idx="700">
                  <c:v>-340.36213924274978</c:v>
                </c:pt>
                <c:pt idx="701">
                  <c:v>-339.11177121195078</c:v>
                </c:pt>
                <c:pt idx="702">
                  <c:v>-337.77631264634113</c:v>
                </c:pt>
                <c:pt idx="703">
                  <c:v>-336.35607613792848</c:v>
                </c:pt>
                <c:pt idx="704">
                  <c:v>-334.85139555135424</c:v>
                </c:pt>
                <c:pt idx="705">
                  <c:v>-333.26262594574553</c:v>
                </c:pt>
                <c:pt idx="706">
                  <c:v>-331.59014349124897</c:v>
                </c:pt>
                <c:pt idx="707">
                  <c:v>-329.83434538026597</c:v>
                </c:pt>
                <c:pt idx="708">
                  <c:v>-327.99564973341018</c:v>
                </c:pt>
                <c:pt idx="709">
                  <c:v>-326.07449550020931</c:v>
                </c:pt>
                <c:pt idx="710">
                  <c:v>-324.07134235457505</c:v>
                </c:pt>
                <c:pt idx="711">
                  <c:v>-321.98667058506578</c:v>
                </c:pt>
                <c:pt idx="712">
                  <c:v>-319.82098097996783</c:v>
                </c:pt>
                <c:pt idx="713">
                  <c:v>-317.57479470722365</c:v>
                </c:pt>
                <c:pt idx="714">
                  <c:v>-315.24865318923446</c:v>
                </c:pt>
                <c:pt idx="715">
                  <c:v>-312.84311797256845</c:v>
                </c:pt>
                <c:pt idx="716">
                  <c:v>-310.35877059260514</c:v>
                </c:pt>
                <c:pt idx="717">
                  <c:v>-307.7962124331487</c:v>
                </c:pt>
                <c:pt idx="718">
                  <c:v>-305.15606458104412</c:v>
                </c:pt>
                <c:pt idx="719">
                  <c:v>-302.43896767583124</c:v>
                </c:pt>
                <c:pt idx="720">
                  <c:v>-299.64558175447308</c:v>
                </c:pt>
                <c:pt idx="721">
                  <c:v>-296.77658609119601</c:v>
                </c:pt>
                <c:pt idx="722">
                  <c:v>-293.83267903248031</c:v>
                </c:pt>
                <c:pt idx="723">
                  <c:v>-290.81457782724181</c:v>
                </c:pt>
                <c:pt idx="724">
                  <c:v>-287.72301845224519</c:v>
                </c:pt>
                <c:pt idx="725">
                  <c:v>-284.55875543279171</c:v>
                </c:pt>
                <c:pt idx="726">
                  <c:v>-281.32256165872519</c:v>
                </c:pt>
                <c:pt idx="727">
                  <c:v>-278.01522819580049</c:v>
                </c:pt>
                <c:pt idx="728">
                  <c:v>-274.6375640924611</c:v>
                </c:pt>
                <c:pt idx="729">
                  <c:v>-271.19039618207279</c:v>
                </c:pt>
                <c:pt idx="730">
                  <c:v>-267.67456888066135</c:v>
                </c:pt>
                <c:pt idx="731">
                  <c:v>-264.09094398020437</c:v>
                </c:pt>
                <c:pt idx="732">
                  <c:v>-260.44040043752722</c:v>
                </c:pt>
                <c:pt idx="733">
                  <c:v>-256.72383415885503</c:v>
                </c:pt>
                <c:pt idx="734">
                  <c:v>-252.94215778007344</c:v>
                </c:pt>
                <c:pt idx="735">
                  <c:v>-249.09630044275215</c:v>
                </c:pt>
                <c:pt idx="736">
                  <c:v>-245.18720756598586</c:v>
                </c:pt>
                <c:pt idx="737">
                  <c:v>-241.21584061410886</c:v>
                </c:pt>
                <c:pt idx="738">
                  <c:v>-237.18317686034035</c:v>
                </c:pt>
                <c:pt idx="739">
                  <c:v>-233.09020914641835</c:v>
                </c:pt>
                <c:pt idx="740">
                  <c:v>-228.93794563828124</c:v>
                </c:pt>
                <c:pt idx="741">
                  <c:v>-224.72740957785751</c:v>
                </c:pt>
                <c:pt idx="742">
                  <c:v>-220.45963903102424</c:v>
                </c:pt>
                <c:pt idx="743">
                  <c:v>-216.13568663179649</c:v>
                </c:pt>
                <c:pt idx="744">
                  <c:v>-211.75661932281099</c:v>
                </c:pt>
                <c:pt idx="745">
                  <c:v>-207.32351809216755</c:v>
                </c:pt>
                <c:pt idx="746">
                  <c:v>-202.83747770669339</c:v>
                </c:pt>
                <c:pt idx="747">
                  <c:v>-198.2996064416962</c:v>
                </c:pt>
                <c:pt idx="748">
                  <c:v>-193.71102580727234</c:v>
                </c:pt>
                <c:pt idx="749">
                  <c:v>-189.07287027123806</c:v>
                </c:pt>
                <c:pt idx="750">
                  <c:v>-184.38628697875194</c:v>
                </c:pt>
                <c:pt idx="751">
                  <c:v>-179.65243546869803</c:v>
                </c:pt>
                <c:pt idx="752">
                  <c:v>-174.87248738689942</c:v>
                </c:pt>
                <c:pt idx="753">
                  <c:v>-170.04762619623364</c:v>
                </c:pt>
                <c:pt idx="754">
                  <c:v>-165.17904688372113</c:v>
                </c:pt>
                <c:pt idx="755">
                  <c:v>-160.26795566465955</c:v>
                </c:pt>
                <c:pt idx="756">
                  <c:v>-155.31556968387707</c:v>
                </c:pt>
                <c:pt idx="757">
                  <c:v>-150.32311671417841</c:v>
                </c:pt>
                <c:pt idx="758">
                  <c:v>-145.29183485205877</c:v>
                </c:pt>
                <c:pt idx="759">
                  <c:v>-140.22297221076059</c:v>
                </c:pt>
                <c:pt idx="760">
                  <c:v>-135.11778661074939</c:v>
                </c:pt>
                <c:pt idx="761">
                  <c:v>-129.97754526768551</c:v>
                </c:pt>
                <c:pt idx="762">
                  <c:v>-124.80352447796895</c:v>
                </c:pt>
                <c:pt idx="763">
                  <c:v>-119.59700930193546</c:v>
                </c:pt>
                <c:pt idx="764">
                  <c:v>-114.35929324478248</c:v>
                </c:pt>
                <c:pt idx="765">
                  <c:v>-109.09167793530402</c:v>
                </c:pt>
                <c:pt idx="766">
                  <c:v>-103.79547280251435</c:v>
                </c:pt>
                <c:pt idx="767">
                  <c:v>-98.471994750240867</c:v>
                </c:pt>
                <c:pt idx="768">
                  <c:v>-93.122567829766751</c:v>
                </c:pt>
                <c:pt idx="769">
                  <c:v>-87.748522910605075</c:v>
                </c:pt>
                <c:pt idx="770">
                  <c:v>-82.351197349485957</c:v>
                </c:pt>
                <c:pt idx="771">
                  <c:v>-76.931934657639189</c:v>
                </c:pt>
                <c:pt idx="772">
                  <c:v>-71.492084166455044</c:v>
                </c:pt>
                <c:pt idx="773">
                  <c:v>-66.033000691606489</c:v>
                </c:pt>
                <c:pt idx="774">
                  <c:v>-60.556044195716325</c:v>
                </c:pt>
                <c:pt idx="775">
                  <c:v>-55.062579449653263</c:v>
                </c:pt>
                <c:pt idx="776">
                  <c:v>-49.553975692541272</c:v>
                </c:pt>
                <c:pt idx="777">
                  <c:v>-44.031606290566863</c:v>
                </c:pt>
                <c:pt idx="778">
                  <c:v>-38.496848394669321</c:v>
                </c:pt>
                <c:pt idx="779">
                  <c:v>-32.951082597199139</c:v>
                </c:pt>
                <c:pt idx="780">
                  <c:v>-27.39569258763029</c:v>
                </c:pt>
                <c:pt idx="781">
                  <c:v>-21.832064807412138</c:v>
                </c:pt>
                <c:pt idx="782">
                  <c:v>-16.261588104047078</c:v>
                </c:pt>
                <c:pt idx="783">
                  <c:v>-10.685653384480167</c:v>
                </c:pt>
                <c:pt idx="784">
                  <c:v>-5.1056532678872442</c:v>
                </c:pt>
                <c:pt idx="785">
                  <c:v>0.4770182620517982</c:v>
                </c:pt>
                <c:pt idx="786">
                  <c:v>6.0609662053078122</c:v>
                </c:pt>
                <c:pt idx="787">
                  <c:v>11.644794893998313</c:v>
                </c:pt>
                <c:pt idx="788">
                  <c:v>17.227108341137487</c:v>
                </c:pt>
                <c:pt idx="789">
                  <c:v>22.806510589553163</c:v>
                </c:pt>
                <c:pt idx="790">
                  <c:v>28.381606060883552</c:v>
                </c:pt>
                <c:pt idx="791">
                  <c:v>33.950999904566558</c:v>
                </c:pt>
                <c:pt idx="792">
                  <c:v>39.513298346734338</c:v>
                </c:pt>
                <c:pt idx="793">
                  <c:v>45.067109038925977</c:v>
                </c:pt>
                <c:pt idx="794">
                  <c:v>50.61104140653093</c:v>
                </c:pt>
                <c:pt idx="795">
                  <c:v>56.143706996876155</c:v>
                </c:pt>
                <c:pt idx="796">
                  <c:v>61.663719826869745</c:v>
                </c:pt>
                <c:pt idx="797">
                  <c:v>67.169696730114111</c:v>
                </c:pt>
                <c:pt idx="798">
                  <c:v>72.660257703401768</c:v>
                </c:pt>
                <c:pt idx="799">
                  <c:v>78.134026252506899</c:v>
                </c:pt>
                <c:pt idx="800">
                  <c:v>83.589629737186172</c:v>
                </c:pt>
                <c:pt idx="801">
                  <c:v>89.025699715302324</c:v>
                </c:pt>
                <c:pt idx="802">
                  <c:v>94.44087228598417</c:v>
                </c:pt>
                <c:pt idx="803">
                  <c:v>99.83378843173719</c:v>
                </c:pt>
                <c:pt idx="804">
                  <c:v>105.20309435941871</c:v>
                </c:pt>
                <c:pt idx="805">
                  <c:v>110.5474418399923</c:v>
                </c:pt>
                <c:pt idx="806">
                  <c:v>115.86548854697604</c:v>
                </c:pt>
                <c:pt idx="807">
                  <c:v>121.15589839349978</c:v>
                </c:pt>
                <c:pt idx="808">
                  <c:v>126.41734186788678</c:v>
                </c:pt>
                <c:pt idx="809">
                  <c:v>131.64849636767539</c:v>
                </c:pt>
                <c:pt idx="810">
                  <c:v>136.84804653199706</c:v>
                </c:pt>
                <c:pt idx="811">
                  <c:v>142.0146845722268</c:v>
                </c:pt>
                <c:pt idx="812">
                  <c:v>147.14711060082354</c:v>
                </c:pt>
                <c:pt idx="813">
                  <c:v>152.24403295827722</c:v>
                </c:pt>
                <c:pt idx="814">
                  <c:v>157.30416853808069</c:v>
                </c:pt>
                <c:pt idx="815">
                  <c:v>162.32624310964459</c:v>
                </c:pt>
                <c:pt idx="816">
                  <c:v>167.30899163907398</c:v>
                </c:pt>
                <c:pt idx="817">
                  <c:v>172.25115860772596</c:v>
                </c:pt>
                <c:pt idx="818">
                  <c:v>177.15149832846816</c:v>
                </c:pt>
                <c:pt idx="819">
                  <c:v>182.00877525955843</c:v>
                </c:pt>
                <c:pt idx="820">
                  <c:v>186.82176431606658</c:v>
                </c:pt>
                <c:pt idx="821">
                  <c:v>191.58925117875984</c:v>
                </c:pt>
                <c:pt idx="822">
                  <c:v>196.31003260037409</c:v>
                </c:pt>
                <c:pt idx="823">
                  <c:v>200.98291670919363</c:v>
                </c:pt>
                <c:pt idx="824">
                  <c:v>205.6067233098631</c:v>
                </c:pt>
                <c:pt idx="825">
                  <c:v>210.18028418135526</c:v>
                </c:pt>
                <c:pt idx="826">
                  <c:v>214.70244337201996</c:v>
                </c:pt>
                <c:pt idx="827">
                  <c:v>219.17205749163932</c:v>
                </c:pt>
                <c:pt idx="828">
                  <c:v>223.58799600041567</c:v>
                </c:pt>
                <c:pt idx="829">
                  <c:v>227.94914149481912</c:v>
                </c:pt>
                <c:pt idx="830">
                  <c:v>232.25438999022245</c:v>
                </c:pt>
                <c:pt idx="831">
                  <c:v>236.50265120025207</c:v>
                </c:pt>
                <c:pt idx="832">
                  <c:v>240.69284881278415</c:v>
                </c:pt>
                <c:pt idx="833">
                  <c:v>244.82392076251617</c:v>
                </c:pt>
                <c:pt idx="834">
                  <c:v>248.894819500045</c:v>
                </c:pt>
                <c:pt idx="835">
                  <c:v>252.9045122573832</c:v>
                </c:pt>
                <c:pt idx="836">
                  <c:v>256.85198130984639</c:v>
                </c:pt>
                <c:pt idx="837">
                  <c:v>260.73622423424524</c:v>
                </c:pt>
                <c:pt idx="838">
                  <c:v>264.55625416331662</c:v>
                </c:pt>
                <c:pt idx="839">
                  <c:v>268.31110003632944</c:v>
                </c:pt>
                <c:pt idx="840">
                  <c:v>271.9998068458014</c:v>
                </c:pt>
                <c:pt idx="841">
                  <c:v>275.6214358802643</c:v>
                </c:pt>
                <c:pt idx="842">
                  <c:v>279.17506496301576</c:v>
                </c:pt>
                <c:pt idx="843">
                  <c:v>282.65978868679713</c:v>
                </c:pt>
                <c:pt idx="844">
                  <c:v>286.07471864433774</c:v>
                </c:pt>
                <c:pt idx="845">
                  <c:v>289.41898365470666</c:v>
                </c:pt>
                <c:pt idx="846">
                  <c:v>292.6917299854145</c:v>
                </c:pt>
                <c:pt idx="847">
                  <c:v>295.89212157020864</c:v>
                </c:pt>
                <c:pt idx="848">
                  <c:v>299.01934022250646</c:v>
                </c:pt>
                <c:pt idx="849">
                  <c:v>302.07258584441172</c:v>
                </c:pt>
                <c:pt idx="850">
                  <c:v>305.05107663126137</c:v>
                </c:pt>
                <c:pt idx="851">
                  <c:v>307.95404927164992</c:v>
                </c:pt>
                <c:pt idx="852">
                  <c:v>310.78075914288064</c:v>
                </c:pt>
                <c:pt idx="853">
                  <c:v>313.53048050179348</c:v>
                </c:pt>
                <c:pt idx="854">
                  <c:v>316.20250667092057</c:v>
                </c:pt>
                <c:pt idx="855">
                  <c:v>318.7961502199222</c:v>
                </c:pt>
                <c:pt idx="856">
                  <c:v>321.31074314225611</c:v>
                </c:pt>
                <c:pt idx="857">
                  <c:v>323.74563702703506</c:v>
                </c:pt>
                <c:pt idx="858">
                  <c:v>326.10020322602844</c:v>
                </c:pt>
                <c:pt idx="859">
                  <c:v>328.37383301576506</c:v>
                </c:pt>
                <c:pt idx="860">
                  <c:v>330.56593775469514</c:v>
                </c:pt>
                <c:pt idx="861">
                  <c:v>332.67594903537127</c:v>
                </c:pt>
                <c:pt idx="862">
                  <c:v>334.70331883160878</c:v>
                </c:pt>
                <c:pt idx="863">
                  <c:v>336.6475196405874</c:v>
                </c:pt>
                <c:pt idx="864">
                  <c:v>338.50804461985814</c:v>
                </c:pt>
                <c:pt idx="865">
                  <c:v>340.28440771921873</c:v>
                </c:pt>
                <c:pt idx="866">
                  <c:v>341.97614380742436</c:v>
                </c:pt>
                <c:pt idx="867">
                  <c:v>343.58280879370017</c:v>
                </c:pt>
                <c:pt idx="868">
                  <c:v>345.10397974402412</c:v>
                </c:pt>
                <c:pt idx="869">
                  <c:v>346.53925499214967</c:v>
                </c:pt>
                <c:pt idx="870">
                  <c:v>347.88825424533923</c:v>
                </c:pt>
                <c:pt idx="871">
                  <c:v>349.15061868478074</c:v>
                </c:pt>
                <c:pt idx="872">
                  <c:v>350.3260110606609</c:v>
                </c:pt>
                <c:pt idx="873">
                  <c:v>351.4141157818699</c:v>
                </c:pt>
                <c:pt idx="874">
                  <c:v>352.41463900031368</c:v>
                </c:pt>
                <c:pt idx="875">
                  <c:v>353.32730868981201</c:v>
                </c:pt>
                <c:pt idx="876">
                  <c:v>354.15187471956028</c:v>
                </c:pt>
                <c:pt idx="877">
                  <c:v>354.8881089221361</c:v>
                </c:pt>
                <c:pt idx="878">
                  <c:v>355.53580515603204</c:v>
                </c:pt>
                <c:pt idx="879">
                  <c:v>356.09477936269741</c:v>
                </c:pt>
                <c:pt idx="880">
                  <c:v>356.56486961807377</c:v>
                </c:pt>
                <c:pt idx="881">
                  <c:v>356.94593617860949</c:v>
                </c:pt>
                <c:pt idx="882">
                  <c:v>357.23786152174068</c:v>
                </c:pt>
                <c:pt idx="883">
                  <c:v>357.44055038082723</c:v>
                </c:pt>
                <c:pt idx="884">
                  <c:v>357.55392977453334</c:v>
                </c:pt>
                <c:pt idx="885">
                  <c:v>357.57794903064422</c:v>
                </c:pt>
                <c:pt idx="886">
                  <c:v>357.51257980431149</c:v>
                </c:pt>
                <c:pt idx="887">
                  <c:v>357.35781609072109</c:v>
                </c:pt>
                <c:pt idx="888">
                  <c:v>357.11367423217962</c:v>
                </c:pt>
                <c:pt idx="889">
                  <c:v>356.78019291961544</c:v>
                </c:pt>
                <c:pt idx="890">
                  <c:v>356.35743318849325</c:v>
                </c:pt>
                <c:pt idx="891">
                  <c:v>355.84547840914115</c:v>
                </c:pt>
                <c:pt idx="892">
                  <c:v>355.24443427149191</c:v>
                </c:pt>
                <c:pt idx="893">
                  <c:v>354.55442876424041</c:v>
                </c:pt>
                <c:pt idx="894">
                  <c:v>353.77561214842103</c:v>
                </c:pt>
                <c:pt idx="895">
                  <c:v>352.90815692541059</c:v>
                </c:pt>
                <c:pt idx="896">
                  <c:v>351.95225779936305</c:v>
                </c:pt>
                <c:pt idx="897">
                  <c:v>350.90813163408416</c:v>
                </c:pt>
                <c:pt idx="898">
                  <c:v>349.7760174043554</c:v>
                </c:pt>
                <c:pt idx="899">
                  <c:v>348.55617614171814</c:v>
                </c:pt>
                <c:pt idx="900">
                  <c:v>347.2488908747298</c:v>
                </c:pt>
                <c:pt idx="901">
                  <c:v>345.85446656370601</c:v>
                </c:pt>
                <c:pt idx="902">
                  <c:v>344.37323002996351</c:v>
                </c:pt>
                <c:pt idx="903">
                  <c:v>342.80552987958009</c:v>
                </c:pt>
                <c:pt idx="904">
                  <c:v>341.15173642168918</c:v>
                </c:pt>
                <c:pt idx="905">
                  <c:v>339.41224158132837</c:v>
                </c:pt>
                <c:pt idx="906">
                  <c:v>337.58745880686217</c:v>
                </c:pt>
                <c:pt idx="907">
                  <c:v>335.67782297200063</c:v>
                </c:pt>
                <c:pt idx="908">
                  <c:v>333.68379027243736</c:v>
                </c:pt>
                <c:pt idx="909">
                  <c:v>331.6058381171311</c:v>
                </c:pt>
                <c:pt idx="910">
                  <c:v>329.44446501425671</c:v>
                </c:pt>
                <c:pt idx="911">
                  <c:v>327.20019045185308</c:v>
                </c:pt>
                <c:pt idx="912">
                  <c:v>324.87355477319585</c:v>
                </c:pt>
                <c:pt idx="913">
                  <c:v>322.46511904692568</c:v>
                </c:pt>
                <c:pt idx="914">
                  <c:v>319.97546493196222</c:v>
                </c:pt>
                <c:pt idx="915">
                  <c:v>317.40519453723704</c:v>
                </c:pt>
                <c:pt idx="916">
                  <c:v>314.75493027627886</c:v>
                </c:pt>
                <c:pt idx="917">
                  <c:v>312.02531471668635</c:v>
                </c:pt>
                <c:pt idx="918">
                  <c:v>309.2170104245248</c:v>
                </c:pt>
                <c:pt idx="919">
                  <c:v>306.33069980368407</c:v>
                </c:pt>
                <c:pt idx="920">
                  <c:v>303.36708493023718</c:v>
                </c:pt>
                <c:pt idx="921">
                  <c:v>300.32688738183936</c:v>
                </c:pt>
                <c:pt idx="922">
                  <c:v>297.21084806220898</c:v>
                </c:pt>
                <c:pt idx="923">
                  <c:v>294.01972702073317</c:v>
                </c:pt>
                <c:pt idx="924">
                  <c:v>290.75430326724182</c:v>
                </c:pt>
                <c:pt idx="925">
                  <c:v>287.41537458199525</c:v>
                </c:pt>
                <c:pt idx="926">
                  <c:v>284.00375732093187</c:v>
                </c:pt>
                <c:pt idx="927">
                  <c:v>280.52028621622298</c:v>
                </c:pt>
                <c:pt idx="928">
                  <c:v>276.96581417218391</c:v>
                </c:pt>
                <c:pt idx="929">
                  <c:v>273.34121205659073</c:v>
                </c:pt>
                <c:pt idx="930">
                  <c:v>269.64736848745451</c:v>
                </c:pt>
                <c:pt idx="931">
                  <c:v>265.88518961530417</c:v>
                </c:pt>
                <c:pt idx="932">
                  <c:v>262.05559890103194</c:v>
                </c:pt>
                <c:pt idx="933">
                  <c:v>258.15953688935588</c:v>
                </c:pt>
                <c:pt idx="934">
                  <c:v>254.19796097795458</c:v>
                </c:pt>
                <c:pt idx="935">
                  <c:v>250.17184518233094</c:v>
                </c:pt>
                <c:pt idx="936">
                  <c:v>246.0821798964628</c:v>
                </c:pt>
                <c:pt idx="937">
                  <c:v>241.92997164929909</c:v>
                </c:pt>
                <c:pt idx="938">
                  <c:v>237.71624285716126</c:v>
                </c:pt>
                <c:pt idx="939">
                  <c:v>233.44203157211112</c:v>
                </c:pt>
                <c:pt idx="940">
                  <c:v>229.10839122634667</c:v>
                </c:pt>
                <c:pt idx="941">
                  <c:v>224.7163903726892</c:v>
                </c:pt>
                <c:pt idx="942">
                  <c:v>220.26711242122516</c:v>
                </c:pt>
                <c:pt idx="943">
                  <c:v>215.76165537216795</c:v>
                </c:pt>
                <c:pt idx="944">
                  <c:v>211.20113154500541</c:v>
                </c:pt>
                <c:pt idx="945">
                  <c:v>206.58666730399983</c:v>
                </c:pt>
                <c:pt idx="946">
                  <c:v>201.91940278010802</c:v>
                </c:pt>
                <c:pt idx="947">
                  <c:v>197.2004915893902</c:v>
                </c:pt>
                <c:pt idx="948">
                  <c:v>192.43110054797734</c:v>
                </c:pt>
                <c:pt idx="949">
                  <c:v>187.61240938366714</c:v>
                </c:pt>
                <c:pt idx="950">
                  <c:v>182.74561044421995</c:v>
                </c:pt>
                <c:pt idx="951">
                  <c:v>177.83190840242685</c:v>
                </c:pt>
                <c:pt idx="952">
                  <c:v>172.87251995802268</c:v>
                </c:pt>
                <c:pt idx="953">
                  <c:v>167.86867353651792</c:v>
                </c:pt>
                <c:pt idx="954">
                  <c:v>162.82160898502363</c:v>
                </c:pt>
                <c:pt idx="955">
                  <c:v>157.73257726514521</c:v>
                </c:pt>
                <c:pt idx="956">
                  <c:v>152.60284014302056</c:v>
                </c:pt>
                <c:pt idx="957">
                  <c:v>147.43366987657961</c:v>
                </c:pt>
                <c:pt idx="958">
                  <c:v>142.22634890010292</c:v>
                </c:pt>
                <c:pt idx="959">
                  <c:v>136.98216950615708</c:v>
                </c:pt>
                <c:pt idx="960">
                  <c:v>131.70243352498619</c:v>
                </c:pt>
                <c:pt idx="961">
                  <c:v>126.38845200143878</c:v>
                </c:pt>
                <c:pt idx="962">
                  <c:v>121.04154486951012</c:v>
                </c:pt>
                <c:pt idx="963">
                  <c:v>115.6630406245811</c:v>
                </c:pt>
                <c:pt idx="964">
                  <c:v>110.2542759934347</c:v>
                </c:pt>
                <c:pt idx="965">
                  <c:v>104.81659560213215</c:v>
                </c:pt>
                <c:pt idx="966">
                  <c:v>99.351351641831258</c:v>
                </c:pt>
                <c:pt idx="967">
                  <c:v>93.859903532629829</c:v>
                </c:pt>
                <c:pt idx="968">
                  <c:v>88.343617585517933</c:v>
                </c:pt>
                <c:pt idx="969">
                  <c:v>82.803866662522879</c:v>
                </c:pt>
                <c:pt idx="970">
                  <c:v>77.242029835131447</c:v>
                </c:pt>
                <c:pt idx="971">
                  <c:v>71.659492041074387</c:v>
                </c:pt>
                <c:pt idx="972">
                  <c:v>66.057643739558543</c:v>
                </c:pt>
                <c:pt idx="973">
                  <c:v>60.43788056503243</c:v>
                </c:pt>
                <c:pt idx="974">
                  <c:v>54.801602979571427</c:v>
                </c:pt>
                <c:pt idx="975">
                  <c:v>49.150215923969171</c:v>
                </c:pt>
                <c:pt idx="976">
                  <c:v>43.485128467622019</c:v>
                </c:pt>
                <c:pt idx="977">
                  <c:v>37.80775345729387</c:v>
                </c:pt>
                <c:pt idx="978">
                  <c:v>32.11950716484882</c:v>
                </c:pt>
                <c:pt idx="979">
                  <c:v>26.421808934039444</c:v>
                </c:pt>
                <c:pt idx="980">
                  <c:v>20.716080826438855</c:v>
                </c:pt>
                <c:pt idx="981">
                  <c:v>15.003747266604758</c:v>
                </c:pt>
                <c:pt idx="982">
                  <c:v>9.2862346865640522</c:v>
                </c:pt>
                <c:pt idx="983">
                  <c:v>3.5649711697066948</c:v>
                </c:pt>
                <c:pt idx="984">
                  <c:v>-2.1586139058223033</c:v>
                </c:pt>
                <c:pt idx="985">
                  <c:v>-7.8830902241437286</c:v>
                </c:pt>
                <c:pt idx="986">
                  <c:v>-13.607026888988699</c:v>
                </c:pt>
                <c:pt idx="987">
                  <c:v>-19.328992781277634</c:v>
                </c:pt>
                <c:pt idx="988">
                  <c:v>-25.047556916844322</c:v>
                </c:pt>
                <c:pt idx="989">
                  <c:v>-30.761288804215688</c:v>
                </c:pt>
                <c:pt idx="990">
                  <c:v>-36.468758802357847</c:v>
                </c:pt>
                <c:pt idx="991">
                  <c:v>-42.168538478298949</c:v>
                </c:pt>
                <c:pt idx="992">
                  <c:v>-47.859200964539461</c:v>
                </c:pt>
                <c:pt idx="993">
                  <c:v>-53.539321316160397</c:v>
                </c:pt>
                <c:pt idx="994">
                  <c:v>-59.207476867540201</c:v>
                </c:pt>
                <c:pt idx="995">
                  <c:v>-64.862247588590961</c:v>
                </c:pt>
                <c:pt idx="996">
                  <c:v>-70.502216440424846</c:v>
                </c:pt>
                <c:pt idx="997">
                  <c:v>-76.125969730361575</c:v>
                </c:pt>
                <c:pt idx="998">
                  <c:v>-81.732097466188208</c:v>
                </c:pt>
                <c:pt idx="999">
                  <c:v>-87.319193709582237</c:v>
                </c:pt>
                <c:pt idx="1000">
                  <c:v>-92.885856928609726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D-4C88-A417-4FA5F2E6FB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438552"/>
        <c:axId val="1"/>
      </c:scatterChart>
      <c:valAx>
        <c:axId val="434438552"/>
        <c:scaling>
          <c:orientation val="minMax"/>
          <c:max val="10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0"/>
        <c:majorTickMark val="out"/>
        <c:minorTickMark val="none"/>
        <c:tickLblPos val="nextTo"/>
        <c:crossAx val="434438552"/>
        <c:crosses val="autoZero"/>
        <c:crossBetween val="midCat"/>
      </c:valAx>
    </c:plotArea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Plan3!$B$7</c:f>
              <c:strCache>
                <c:ptCount val="1"/>
                <c:pt idx="0">
                  <c:v>x</c:v>
                </c:pt>
              </c:strCache>
            </c:strRef>
          </c:tx>
          <c:marker>
            <c:symbol val="none"/>
          </c:marker>
          <c:xVal>
            <c:numRef>
              <c:f>Plan3!$A$8:$A$1008</c:f>
              <c:numCache>
                <c:formatCode>0.000</c:formatCode>
                <c:ptCount val="10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  <c:pt idx="887">
                  <c:v>88.699999999999235</c:v>
                </c:pt>
                <c:pt idx="888">
                  <c:v>88.79999999999923</c:v>
                </c:pt>
                <c:pt idx="889">
                  <c:v>88.899999999999224</c:v>
                </c:pt>
                <c:pt idx="890">
                  <c:v>88.999999999999218</c:v>
                </c:pt>
                <c:pt idx="891">
                  <c:v>89.099999999999213</c:v>
                </c:pt>
                <c:pt idx="892">
                  <c:v>89.199999999999207</c:v>
                </c:pt>
                <c:pt idx="893">
                  <c:v>89.299999999999201</c:v>
                </c:pt>
                <c:pt idx="894">
                  <c:v>89.399999999999196</c:v>
                </c:pt>
                <c:pt idx="895">
                  <c:v>89.49999999999919</c:v>
                </c:pt>
                <c:pt idx="896">
                  <c:v>89.599999999999184</c:v>
                </c:pt>
                <c:pt idx="897">
                  <c:v>89.699999999999179</c:v>
                </c:pt>
                <c:pt idx="898">
                  <c:v>89.799999999999173</c:v>
                </c:pt>
                <c:pt idx="899">
                  <c:v>89.899999999999167</c:v>
                </c:pt>
                <c:pt idx="900">
                  <c:v>89.999999999999162</c:v>
                </c:pt>
                <c:pt idx="901">
                  <c:v>90.099999999999156</c:v>
                </c:pt>
                <c:pt idx="902">
                  <c:v>90.19999999999915</c:v>
                </c:pt>
                <c:pt idx="903">
                  <c:v>90.299999999999145</c:v>
                </c:pt>
                <c:pt idx="904">
                  <c:v>90.399999999999139</c:v>
                </c:pt>
                <c:pt idx="905">
                  <c:v>90.499999999999133</c:v>
                </c:pt>
                <c:pt idx="906">
                  <c:v>90.599999999999127</c:v>
                </c:pt>
                <c:pt idx="907">
                  <c:v>90.699999999999122</c:v>
                </c:pt>
                <c:pt idx="908">
                  <c:v>90.799999999999116</c:v>
                </c:pt>
                <c:pt idx="909">
                  <c:v>90.89999999999911</c:v>
                </c:pt>
                <c:pt idx="910">
                  <c:v>90.999999999999105</c:v>
                </c:pt>
                <c:pt idx="911">
                  <c:v>91.099999999999099</c:v>
                </c:pt>
                <c:pt idx="912">
                  <c:v>91.199999999999093</c:v>
                </c:pt>
                <c:pt idx="913">
                  <c:v>91.299999999999088</c:v>
                </c:pt>
                <c:pt idx="914">
                  <c:v>91.399999999999082</c:v>
                </c:pt>
                <c:pt idx="915">
                  <c:v>91.499999999999076</c:v>
                </c:pt>
                <c:pt idx="916">
                  <c:v>91.599999999999071</c:v>
                </c:pt>
                <c:pt idx="917">
                  <c:v>91.699999999999065</c:v>
                </c:pt>
                <c:pt idx="918">
                  <c:v>91.799999999999059</c:v>
                </c:pt>
                <c:pt idx="919">
                  <c:v>91.899999999999054</c:v>
                </c:pt>
                <c:pt idx="920">
                  <c:v>91.999999999999048</c:v>
                </c:pt>
                <c:pt idx="921">
                  <c:v>92.099999999999042</c:v>
                </c:pt>
                <c:pt idx="922">
                  <c:v>92.199999999999037</c:v>
                </c:pt>
                <c:pt idx="923">
                  <c:v>92.299999999999031</c:v>
                </c:pt>
                <c:pt idx="924">
                  <c:v>92.399999999999025</c:v>
                </c:pt>
                <c:pt idx="925">
                  <c:v>92.499999999999019</c:v>
                </c:pt>
                <c:pt idx="926">
                  <c:v>92.599999999999014</c:v>
                </c:pt>
                <c:pt idx="927">
                  <c:v>92.699999999999008</c:v>
                </c:pt>
                <c:pt idx="928">
                  <c:v>92.799999999999002</c:v>
                </c:pt>
                <c:pt idx="929">
                  <c:v>92.899999999998997</c:v>
                </c:pt>
                <c:pt idx="930">
                  <c:v>92.999999999998991</c:v>
                </c:pt>
                <c:pt idx="931">
                  <c:v>93.099999999998985</c:v>
                </c:pt>
                <c:pt idx="932">
                  <c:v>93.19999999999898</c:v>
                </c:pt>
                <c:pt idx="933">
                  <c:v>93.299999999998974</c:v>
                </c:pt>
                <c:pt idx="934">
                  <c:v>93.399999999998968</c:v>
                </c:pt>
                <c:pt idx="935">
                  <c:v>93.499999999998963</c:v>
                </c:pt>
                <c:pt idx="936">
                  <c:v>93.599999999998957</c:v>
                </c:pt>
                <c:pt idx="937">
                  <c:v>93.699999999998951</c:v>
                </c:pt>
                <c:pt idx="938">
                  <c:v>93.799999999998946</c:v>
                </c:pt>
                <c:pt idx="939">
                  <c:v>93.89999999999894</c:v>
                </c:pt>
                <c:pt idx="940">
                  <c:v>93.999999999998934</c:v>
                </c:pt>
                <c:pt idx="941">
                  <c:v>94.099999999998929</c:v>
                </c:pt>
                <c:pt idx="942">
                  <c:v>94.199999999998923</c:v>
                </c:pt>
                <c:pt idx="943">
                  <c:v>94.299999999998917</c:v>
                </c:pt>
                <c:pt idx="944">
                  <c:v>94.399999999998911</c:v>
                </c:pt>
                <c:pt idx="945">
                  <c:v>94.499999999998906</c:v>
                </c:pt>
                <c:pt idx="946">
                  <c:v>94.5999999999989</c:v>
                </c:pt>
                <c:pt idx="947">
                  <c:v>94.699999999998894</c:v>
                </c:pt>
                <c:pt idx="948">
                  <c:v>94.799999999998889</c:v>
                </c:pt>
                <c:pt idx="949">
                  <c:v>94.899999999998883</c:v>
                </c:pt>
                <c:pt idx="950">
                  <c:v>94.999999999998877</c:v>
                </c:pt>
                <c:pt idx="951">
                  <c:v>95.099999999998872</c:v>
                </c:pt>
                <c:pt idx="952">
                  <c:v>95.199999999998866</c:v>
                </c:pt>
                <c:pt idx="953">
                  <c:v>95.29999999999886</c:v>
                </c:pt>
                <c:pt idx="954">
                  <c:v>95.399999999998855</c:v>
                </c:pt>
                <c:pt idx="955">
                  <c:v>95.499999999998849</c:v>
                </c:pt>
                <c:pt idx="956">
                  <c:v>95.599999999998843</c:v>
                </c:pt>
                <c:pt idx="957">
                  <c:v>95.699999999998838</c:v>
                </c:pt>
                <c:pt idx="958">
                  <c:v>95.799999999998832</c:v>
                </c:pt>
                <c:pt idx="959">
                  <c:v>95.899999999998826</c:v>
                </c:pt>
                <c:pt idx="960">
                  <c:v>95.99999999999882</c:v>
                </c:pt>
                <c:pt idx="961">
                  <c:v>96.099999999998815</c:v>
                </c:pt>
                <c:pt idx="962">
                  <c:v>96.199999999998809</c:v>
                </c:pt>
                <c:pt idx="963">
                  <c:v>96.299999999998803</c:v>
                </c:pt>
                <c:pt idx="964">
                  <c:v>96.399999999998798</c:v>
                </c:pt>
                <c:pt idx="965">
                  <c:v>96.499999999998792</c:v>
                </c:pt>
                <c:pt idx="966">
                  <c:v>96.599999999998786</c:v>
                </c:pt>
                <c:pt idx="967">
                  <c:v>96.699999999998781</c:v>
                </c:pt>
                <c:pt idx="968">
                  <c:v>96.799999999998775</c:v>
                </c:pt>
                <c:pt idx="969">
                  <c:v>96.899999999998769</c:v>
                </c:pt>
                <c:pt idx="970">
                  <c:v>96.999999999998764</c:v>
                </c:pt>
                <c:pt idx="971">
                  <c:v>97.099999999998758</c:v>
                </c:pt>
                <c:pt idx="972">
                  <c:v>97.199999999998752</c:v>
                </c:pt>
                <c:pt idx="973">
                  <c:v>97.299999999998747</c:v>
                </c:pt>
                <c:pt idx="974">
                  <c:v>97.399999999998741</c:v>
                </c:pt>
                <c:pt idx="975">
                  <c:v>97.499999999998735</c:v>
                </c:pt>
                <c:pt idx="976">
                  <c:v>97.59999999999873</c:v>
                </c:pt>
                <c:pt idx="977">
                  <c:v>97.699999999998724</c:v>
                </c:pt>
                <c:pt idx="978">
                  <c:v>97.799999999998718</c:v>
                </c:pt>
                <c:pt idx="979">
                  <c:v>97.899999999998712</c:v>
                </c:pt>
                <c:pt idx="980">
                  <c:v>97.999999999998707</c:v>
                </c:pt>
                <c:pt idx="981">
                  <c:v>98.099999999998701</c:v>
                </c:pt>
                <c:pt idx="982">
                  <c:v>98.199999999998695</c:v>
                </c:pt>
                <c:pt idx="983">
                  <c:v>98.29999999999869</c:v>
                </c:pt>
                <c:pt idx="984">
                  <c:v>98.399999999998684</c:v>
                </c:pt>
                <c:pt idx="985">
                  <c:v>98.499999999998678</c:v>
                </c:pt>
                <c:pt idx="986">
                  <c:v>98.599999999998673</c:v>
                </c:pt>
                <c:pt idx="987">
                  <c:v>98.699999999998667</c:v>
                </c:pt>
                <c:pt idx="988">
                  <c:v>98.799999999998661</c:v>
                </c:pt>
                <c:pt idx="989">
                  <c:v>98.899999999998656</c:v>
                </c:pt>
                <c:pt idx="990">
                  <c:v>98.99999999999865</c:v>
                </c:pt>
                <c:pt idx="991">
                  <c:v>99.099999999998644</c:v>
                </c:pt>
                <c:pt idx="992">
                  <c:v>99.199999999998639</c:v>
                </c:pt>
                <c:pt idx="993">
                  <c:v>99.299999999998633</c:v>
                </c:pt>
                <c:pt idx="994">
                  <c:v>99.399999999998627</c:v>
                </c:pt>
                <c:pt idx="995">
                  <c:v>99.499999999998622</c:v>
                </c:pt>
                <c:pt idx="996">
                  <c:v>99.599999999998616</c:v>
                </c:pt>
                <c:pt idx="997">
                  <c:v>99.69999999999861</c:v>
                </c:pt>
                <c:pt idx="998">
                  <c:v>99.799999999998604</c:v>
                </c:pt>
                <c:pt idx="999">
                  <c:v>99.899999999998599</c:v>
                </c:pt>
                <c:pt idx="1000">
                  <c:v>99.999999999998593</c:v>
                </c:pt>
              </c:numCache>
            </c:numRef>
          </c:xVal>
          <c:yVal>
            <c:numRef>
              <c:f>Plan3!$B$8:$B$1008</c:f>
              <c:numCache>
                <c:formatCode>0.000</c:formatCode>
                <c:ptCount val="1001"/>
                <c:pt idx="0">
                  <c:v>50</c:v>
                </c:pt>
                <c:pt idx="1">
                  <c:v>54.994635481770835</c:v>
                </c:pt>
                <c:pt idx="2">
                  <c:v>59.975730666206466</c:v>
                </c:pt>
                <c:pt idx="3">
                  <c:v>64.942039739142515</c:v>
                </c:pt>
                <c:pt idx="4">
                  <c:v>69.892320530965677</c:v>
                </c:pt>
                <c:pt idx="5">
                  <c:v>74.825334827302015</c:v>
                </c:pt>
                <c:pt idx="6">
                  <c:v>79.739848678729444</c:v>
                </c:pt>
                <c:pt idx="7">
                  <c:v>84.634632709436929</c:v>
                </c:pt>
                <c:pt idx="8">
                  <c:v>89.508462424753063</c:v>
                </c:pt>
                <c:pt idx="9">
                  <c:v>94.360118517467313</c:v>
                </c:pt>
                <c:pt idx="10">
                  <c:v>99.188387172867081</c:v>
                </c:pt>
                <c:pt idx="11">
                  <c:v>103.9920603724145</c:v>
                </c:pt>
                <c:pt idx="12">
                  <c:v>108.76993619598672</c:v>
                </c:pt>
                <c:pt idx="13">
                  <c:v>113.52081912260432</c:v>
                </c:pt>
                <c:pt idx="14">
                  <c:v>118.2435203295725</c:v>
                </c:pt>
                <c:pt idx="15">
                  <c:v>122.93685798996012</c:v>
                </c:pt>
                <c:pt idx="16">
                  <c:v>127.59965756834222</c:v>
                </c:pt>
                <c:pt idx="17">
                  <c:v>132.23075211473218</c:v>
                </c:pt>
                <c:pt idx="18">
                  <c:v>136.82898255662957</c:v>
                </c:pt>
                <c:pt idx="19">
                  <c:v>141.39319798911103</c:v>
                </c:pt>
                <c:pt idx="20">
                  <c:v>145.92225596289131</c:v>
                </c:pt>
                <c:pt idx="21">
                  <c:v>150.41502277028235</c:v>
                </c:pt>
                <c:pt idx="22">
                  <c:v>154.8703737289791</c:v>
                </c:pt>
                <c:pt idx="23">
                  <c:v>159.28719346360074</c:v>
                </c:pt>
                <c:pt idx="24">
                  <c:v>163.6643761849169</c:v>
                </c:pt>
                <c:pt idx="25">
                  <c:v>168.00082596668918</c:v>
                </c:pt>
                <c:pt idx="26">
                  <c:v>172.29545702005839</c:v>
                </c:pt>
                <c:pt idx="27">
                  <c:v>176.54719396540889</c:v>
                </c:pt>
                <c:pt idx="28">
                  <c:v>180.75497210164218</c:v>
                </c:pt>
                <c:pt idx="29">
                  <c:v>184.91773767279184</c:v>
                </c:pt>
                <c:pt idx="30">
                  <c:v>189.03444813191368</c:v>
                </c:pt>
                <c:pt idx="31">
                  <c:v>193.10407240218441</c:v>
                </c:pt>
                <c:pt idx="32">
                  <c:v>197.12559113514385</c:v>
                </c:pt>
                <c:pt idx="33">
                  <c:v>201.09799696601584</c:v>
                </c:pt>
                <c:pt idx="34">
                  <c:v>205.02029476604389</c:v>
                </c:pt>
                <c:pt idx="35">
                  <c:v>208.89150189177849</c:v>
                </c:pt>
                <c:pt idx="36">
                  <c:v>212.71064843125342</c:v>
                </c:pt>
                <c:pt idx="37">
                  <c:v>216.47677744698956</c:v>
                </c:pt>
                <c:pt idx="38">
                  <c:v>220.1889452157653</c:v>
                </c:pt>
                <c:pt idx="39">
                  <c:v>223.84622146509338</c:v>
                </c:pt>
                <c:pt idx="40">
                  <c:v>227.44768960634502</c:v>
                </c:pt>
                <c:pt idx="41">
                  <c:v>230.99244696446277</c:v>
                </c:pt>
                <c:pt idx="42">
                  <c:v>234.47960500420476</c:v>
                </c:pt>
                <c:pt idx="43">
                  <c:v>237.90828955286327</c:v>
                </c:pt>
                <c:pt idx="44">
                  <c:v>241.27764101940227</c:v>
                </c:pt>
                <c:pt idx="45">
                  <c:v>244.58681460995854</c:v>
                </c:pt>
                <c:pt idx="46">
                  <c:v>247.83498053965261</c:v>
                </c:pt>
                <c:pt idx="47">
                  <c:v>251.02132424065641</c:v>
                </c:pt>
                <c:pt idx="48">
                  <c:v>254.14504656646537</c:v>
                </c:pt>
                <c:pt idx="49">
                  <c:v>257.20536399232361</c:v>
                </c:pt>
                <c:pt idx="50">
                  <c:v>260.20150881175243</c:v>
                </c:pt>
                <c:pt idx="51">
                  <c:v>263.13272932913225</c:v>
                </c:pt>
                <c:pt idx="52">
                  <c:v>265.99829004828996</c:v>
                </c:pt>
                <c:pt idx="53">
                  <c:v>268.79747185704446</c:v>
                </c:pt>
                <c:pt idx="54">
                  <c:v>271.52957220766393</c:v>
                </c:pt>
                <c:pt idx="55">
                  <c:v>274.19390529318952</c:v>
                </c:pt>
                <c:pt idx="56">
                  <c:v>276.78980221958125</c:v>
                </c:pt>
                <c:pt idx="57">
                  <c:v>279.31661117364308</c:v>
                </c:pt>
                <c:pt idx="58">
                  <c:v>281.77369758668476</c:v>
                </c:pt>
                <c:pt idx="59">
                  <c:v>284.16044429387938</c:v>
                </c:pt>
                <c:pt idx="60">
                  <c:v>286.47625168927686</c:v>
                </c:pt>
                <c:pt idx="61">
                  <c:v>288.72053787643404</c:v>
                </c:pt>
                <c:pt idx="62">
                  <c:v>290.89273881462401</c:v>
                </c:pt>
                <c:pt idx="63">
                  <c:v>292.99230846058742</c:v>
                </c:pt>
                <c:pt idx="64">
                  <c:v>295.01871890579065</c:v>
                </c:pt>
                <c:pt idx="65">
                  <c:v>296.9714605091558</c:v>
                </c:pt>
                <c:pt idx="66">
                  <c:v>298.85004202522993</c:v>
                </c:pt>
                <c:pt idx="67">
                  <c:v>300.65399072776029</c:v>
                </c:pt>
                <c:pt idx="68">
                  <c:v>302.38285252864529</c:v>
                </c:pt>
                <c:pt idx="69">
                  <c:v>304.03619209223092</c:v>
                </c:pt>
                <c:pt idx="70">
                  <c:v>305.61359294492388</c:v>
                </c:pt>
                <c:pt idx="71">
                  <c:v>307.11465758009388</c:v>
                </c:pt>
                <c:pt idx="72">
                  <c:v>308.53900755823861</c:v>
                </c:pt>
                <c:pt idx="73">
                  <c:v>309.88628360238636</c:v>
                </c:pt>
                <c:pt idx="74">
                  <c:v>311.15614568871172</c:v>
                </c:pt>
                <c:pt idx="75">
                  <c:v>312.34827313234234</c:v>
                </c:pt>
                <c:pt idx="76">
                  <c:v>313.46236466833415</c:v>
                </c:pt>
                <c:pt idx="77">
                  <c:v>314.49813852779533</c:v>
                </c:pt>
                <c:pt idx="78">
                  <c:v>315.45533250913968</c:v>
                </c:pt>
                <c:pt idx="79">
                  <c:v>316.33370404445071</c:v>
                </c:pt>
                <c:pt idx="80">
                  <c:v>317.13303026094076</c:v>
                </c:pt>
                <c:pt idx="81">
                  <c:v>317.85310803748848</c:v>
                </c:pt>
                <c:pt idx="82">
                  <c:v>318.49375405624136</c:v>
                </c:pt>
                <c:pt idx="83">
                  <c:v>319.05480484926909</c:v>
                </c:pt>
                <c:pt idx="84">
                  <c:v>319.53611684025708</c:v>
                </c:pt>
                <c:pt idx="85">
                  <c:v>319.93756638122852</c:v>
                </c:pt>
                <c:pt idx="86">
                  <c:v>320.25904978428605</c:v>
                </c:pt>
                <c:pt idx="87">
                  <c:v>320.50048334836487</c:v>
                </c:pt>
                <c:pt idx="88">
                  <c:v>320.66180338099042</c:v>
                </c:pt>
                <c:pt idx="89">
                  <c:v>320.74296621503476</c:v>
                </c:pt>
                <c:pt idx="90">
                  <c:v>320.74394822046759</c:v>
                </c:pt>
                <c:pt idx="91">
                  <c:v>320.66474581109838</c:v>
                </c:pt>
                <c:pt idx="92">
                  <c:v>320.50537544630805</c:v>
                </c:pt>
                <c:pt idx="93">
                  <c:v>320.26587362776945</c:v>
                </c:pt>
                <c:pt idx="94">
                  <c:v>319.94629689115703</c:v>
                </c:pt>
                <c:pt idx="95">
                  <c:v>319.54672179284807</c:v>
                </c:pt>
                <c:pt idx="96">
                  <c:v>319.06724489161797</c:v>
                </c:pt>
                <c:pt idx="97">
                  <c:v>318.50798272533444</c:v>
                </c:pt>
                <c:pt idx="98">
                  <c:v>317.86907178265608</c:v>
                </c:pt>
                <c:pt idx="99">
                  <c:v>317.15066846974202</c:v>
                </c:pt>
                <c:pt idx="100">
                  <c:v>316.35294907198102</c:v>
                </c:pt>
                <c:pt idx="101">
                  <c:v>315.4761097107492</c:v>
                </c:pt>
                <c:pt idx="102">
                  <c:v>314.52036629520711</c:v>
                </c:pt>
                <c:pt idx="103">
                  <c:v>313.48595446914788</c:v>
                </c:pt>
                <c:pt idx="104">
                  <c:v>312.37312955290969</c:v>
                </c:pt>
                <c:pt idx="105">
                  <c:v>311.18216648036667</c:v>
                </c:pt>
                <c:pt idx="106">
                  <c:v>309.913359731014</c:v>
                </c:pt>
                <c:pt idx="107">
                  <c:v>308.56702325716367</c:v>
                </c:pt>
                <c:pt idx="108">
                  <c:v>307.14349040626939</c:v>
                </c:pt>
                <c:pt idx="109">
                  <c:v>305.64311383839924</c:v>
                </c:pt>
                <c:pt idx="110">
                  <c:v>304.06626543887717</c:v>
                </c:pt>
                <c:pt idx="111">
                  <c:v>302.41333622611421</c:v>
                </c:pt>
                <c:pt idx="112">
                  <c:v>300.68473625465322</c:v>
                </c:pt>
                <c:pt idx="113">
                  <c:v>298.88089451345007</c:v>
                </c:pt>
                <c:pt idx="114">
                  <c:v>297.00225881941748</c:v>
                </c:pt>
                <c:pt idx="115">
                  <c:v>295.04929570625728</c:v>
                </c:pt>
                <c:pt idx="116">
                  <c:v>293.02249030860924</c:v>
                </c:pt>
                <c:pt idx="117">
                  <c:v>290.92234624154452</c:v>
                </c:pt>
                <c:pt idx="118">
                  <c:v>288.74938547543434</c:v>
                </c:pt>
                <c:pt idx="119">
                  <c:v>286.50414820622467</c:v>
                </c:pt>
                <c:pt idx="120">
                  <c:v>284.18719272114924</c:v>
                </c:pt>
                <c:pt idx="121">
                  <c:v>281.799095259914</c:v>
                </c:pt>
                <c:pt idx="122">
                  <c:v>279.3404498713881</c:v>
                </c:pt>
                <c:pt idx="123">
                  <c:v>276.81186826583644</c:v>
                </c:pt>
                <c:pt idx="124">
                  <c:v>274.21397966273076</c:v>
                </c:pt>
                <c:pt idx="125">
                  <c:v>271.5474306341776</c:v>
                </c:pt>
                <c:pt idx="126">
                  <c:v>268.81288494400098</c:v>
                </c:pt>
                <c:pt idx="127">
                  <c:v>266.01102338252116</c:v>
                </c:pt>
                <c:pt idx="128">
                  <c:v>263.14254359706962</c:v>
                </c:pt>
                <c:pt idx="129">
                  <c:v>260.20815991828289</c:v>
                </c:pt>
                <c:pt idx="130">
                  <c:v>257.20860318221838</c:v>
                </c:pt>
                <c:pt idx="131">
                  <c:v>254.1446205483366</c:v>
                </c:pt>
                <c:pt idx="132">
                  <c:v>251.01697531339499</c:v>
                </c:pt>
                <c:pt idx="133">
                  <c:v>247.82644672129962</c:v>
                </c:pt>
                <c:pt idx="134">
                  <c:v>244.57382976896247</c:v>
                </c:pt>
                <c:pt idx="135">
                  <c:v>241.2599350082123</c:v>
                </c:pt>
                <c:pt idx="136">
                  <c:v>237.88558834380859</c:v>
                </c:pt>
                <c:pt idx="137">
                  <c:v>234.45163082760908</c:v>
                </c:pt>
                <c:pt idx="138">
                  <c:v>230.95891844894183</c:v>
                </c:pt>
                <c:pt idx="139">
                  <c:v>227.40832192123437</c:v>
                </c:pt>
                <c:pt idx="140">
                  <c:v>223.80072646495299</c:v>
                </c:pt>
                <c:pt idx="141">
                  <c:v>220.13703158690623</c:v>
                </c:pt>
                <c:pt idx="142">
                  <c:v>216.41815085596775</c:v>
                </c:pt>
                <c:pt idx="143">
                  <c:v>212.64501167527433</c:v>
                </c:pt>
                <c:pt idx="144">
                  <c:v>208.81855505095592</c:v>
                </c:pt>
                <c:pt idx="145">
                  <c:v>204.93973535745539</c:v>
                </c:pt>
                <c:pt idx="146">
                  <c:v>201.00952009949643</c:v>
                </c:pt>
                <c:pt idx="147">
                  <c:v>197.02888967075904</c:v>
                </c:pt>
                <c:pt idx="148">
                  <c:v>192.99883710932286</c:v>
                </c:pt>
                <c:pt idx="149">
                  <c:v>188.92036784993917</c:v>
                </c:pt>
                <c:pt idx="150">
                  <c:v>184.7944994731935</c:v>
                </c:pt>
                <c:pt idx="151">
                  <c:v>180.6222614516214</c:v>
                </c:pt>
                <c:pt idx="152">
                  <c:v>176.40469489284069</c:v>
                </c:pt>
                <c:pt idx="153">
                  <c:v>172.14285227976436</c:v>
                </c:pt>
                <c:pt idx="154">
                  <c:v>167.83779720795869</c:v>
                </c:pt>
                <c:pt idx="155">
                  <c:v>163.49060412021254</c:v>
                </c:pt>
                <c:pt idx="156">
                  <c:v>159.10235803838367</c:v>
                </c:pt>
                <c:pt idx="157">
                  <c:v>154.67415429258929</c:v>
                </c:pt>
                <c:pt idx="158">
                  <c:v>150.20709824780815</c:v>
                </c:pt>
                <c:pt idx="159">
                  <c:v>145.70230502796278</c:v>
                </c:pt>
                <c:pt idx="160">
                  <c:v>141.16089923755035</c:v>
                </c:pt>
                <c:pt idx="161">
                  <c:v>136.58401468089195</c:v>
                </c:pt>
                <c:pt idx="162">
                  <c:v>131.97279407907027</c:v>
                </c:pt>
                <c:pt idx="163">
                  <c:v>127.32838878462621</c:v>
                </c:pt>
                <c:pt idx="164">
                  <c:v>122.65195849408595</c:v>
                </c:pt>
                <c:pt idx="165">
                  <c:v>117.94467095838993</c:v>
                </c:pt>
                <c:pt idx="166">
                  <c:v>113.20770169129636</c:v>
                </c:pt>
                <c:pt idx="167">
                  <c:v>108.44223367583174</c:v>
                </c:pt>
                <c:pt idx="168">
                  <c:v>103.64945706886202</c:v>
                </c:pt>
                <c:pt idx="169">
                  <c:v>98.830568903857895</c:v>
                </c:pt>
                <c:pt idx="170">
                  <c:v>93.986772791928743</c:v>
                </c:pt>
                <c:pt idx="171">
                  <c:v>89.11927862119957</c:v>
                </c:pt>
                <c:pt idx="172">
                  <c:v>84.229302254606338</c:v>
                </c:pt>
                <c:pt idx="173">
                  <c:v>79.318065226184956</c:v>
                </c:pt>
                <c:pt idx="174">
                  <c:v>74.386794435929872</c:v>
                </c:pt>
                <c:pt idx="175">
                  <c:v>69.436721843298514</c:v>
                </c:pt>
                <c:pt idx="176">
                  <c:v>64.46908415943814</c:v>
                </c:pt>
                <c:pt idx="177">
                  <c:v>59.485122538211861</c:v>
                </c:pt>
                <c:pt idx="178">
                  <c:v>54.486082266101263</c:v>
                </c:pt>
                <c:pt idx="179">
                  <c:v>49.473212451062899</c:v>
                </c:pt>
                <c:pt idx="180">
                  <c:v>44.447765710416476</c:v>
                </c:pt>
                <c:pt idx="181">
                  <c:v>39.41099785784273</c:v>
                </c:pt>
                <c:pt idx="182">
                  <c:v>34.364167589569178</c:v>
                </c:pt>
                <c:pt idx="183">
                  <c:v>29.308536169822148</c:v>
                </c:pt>
                <c:pt idx="184">
                  <c:v>24.245367115623765</c:v>
                </c:pt>
                <c:pt idx="185">
                  <c:v>19.175925881012585</c:v>
                </c:pt>
                <c:pt idx="186">
                  <c:v>14.101479540766821</c:v>
                </c:pt>
                <c:pt idx="187">
                  <c:v>9.0232964737092338</c:v>
                </c:pt>
                <c:pt idx="188">
                  <c:v>3.9426460456728121</c:v>
                </c:pt>
                <c:pt idx="189">
                  <c:v>-1.1392017077935046</c:v>
                </c:pt>
                <c:pt idx="190">
                  <c:v>-6.220976398899742</c:v>
                </c:pt>
                <c:pt idx="191">
                  <c:v>-11.301407605191098</c:v>
                </c:pt>
                <c:pt idx="192">
                  <c:v>-16.379225187146055</c:v>
                </c:pt>
                <c:pt idx="193">
                  <c:v>-21.453159605716969</c:v>
                </c:pt>
                <c:pt idx="194">
                  <c:v>-26.521942239733804</c:v>
                </c:pt>
                <c:pt idx="195">
                  <c:v>-31.584305703091594</c:v>
                </c:pt>
                <c:pt idx="196">
                  <c:v>-36.638984161642405</c:v>
                </c:pt>
                <c:pt idx="197">
                  <c:v>-41.68471364971245</c:v>
                </c:pt>
                <c:pt idx="198">
                  <c:v>-46.720232386165357</c:v>
                </c:pt>
                <c:pt idx="199">
                  <c:v>-51.744281089932429</c:v>
                </c:pt>
                <c:pt idx="200">
                  <c:v>-56.755603294931063</c:v>
                </c:pt>
                <c:pt idx="201">
                  <c:v>-61.752945664292575</c:v>
                </c:pt>
                <c:pt idx="202">
                  <c:v>-66.735058303820779</c:v>
                </c:pt>
                <c:pt idx="203">
                  <c:v>-71.700695074603033</c:v>
                </c:pt>
                <c:pt idx="204">
                  <c:v>-76.648613904695466</c:v>
                </c:pt>
                <c:pt idx="205">
                  <c:v>-81.577577099804486</c:v>
                </c:pt>
                <c:pt idx="206">
                  <c:v>-86.486351652886839</c:v>
                </c:pt>
                <c:pt idx="207">
                  <c:v>-91.373709552590782</c:v>
                </c:pt>
                <c:pt idx="208">
                  <c:v>-96.23842809046117</c:v>
                </c:pt>
                <c:pt idx="209">
                  <c:v>-101.07929016683171</c:v>
                </c:pt>
                <c:pt idx="210">
                  <c:v>-105.89508459532775</c:v>
                </c:pt>
                <c:pt idx="211">
                  <c:v>-110.68460640590342</c:v>
                </c:pt>
                <c:pt idx="212">
                  <c:v>-115.44665714633749</c:v>
                </c:pt>
                <c:pt idx="213">
                  <c:v>-120.18004518211212</c:v>
                </c:pt>
                <c:pt idx="214">
                  <c:v>-124.8835859946</c:v>
                </c:pt>
                <c:pt idx="215">
                  <c:v>-129.55610247748473</c:v>
                </c:pt>
                <c:pt idx="216">
                  <c:v>-134.19642523134067</c:v>
                </c:pt>
                <c:pt idx="217">
                  <c:v>-138.8033928562983</c:v>
                </c:pt>
                <c:pt idx="218">
                  <c:v>-143.37585224272192</c:v>
                </c:pt>
                <c:pt idx="219">
                  <c:v>-147.91265885982699</c:v>
                </c:pt>
                <c:pt idx="220">
                  <c:v>-152.41267704216474</c:v>
                </c:pt>
                <c:pt idx="221">
                  <c:v>-156.87478027390262</c:v>
                </c:pt>
                <c:pt idx="222">
                  <c:v>-161.29785147082887</c:v>
                </c:pt>
                <c:pt idx="223">
                  <c:v>-165.68078326001142</c:v>
                </c:pt>
                <c:pt idx="224">
                  <c:v>-170.02247825704035</c:v>
                </c:pt>
                <c:pt idx="225">
                  <c:v>-174.32184934078489</c:v>
                </c:pt>
                <c:pt idx="226">
                  <c:v>-178.57781992559623</c:v>
                </c:pt>
                <c:pt idx="227">
                  <c:v>-182.78932423088762</c:v>
                </c:pt>
                <c:pt idx="228">
                  <c:v>-186.95530754802473</c:v>
                </c:pt>
                <c:pt idx="229">
                  <c:v>-191.07472650445902</c:v>
                </c:pt>
                <c:pt idx="230">
                  <c:v>-195.14654932503819</c:v>
                </c:pt>
                <c:pt idx="231">
                  <c:v>-199.16975609042831</c:v>
                </c:pt>
                <c:pt idx="232">
                  <c:v>-203.1433389925827</c:v>
                </c:pt>
                <c:pt idx="233">
                  <c:v>-207.06630258719375</c:v>
                </c:pt>
                <c:pt idx="234">
                  <c:v>-210.93766404306436</c:v>
                </c:pt>
                <c:pt idx="235">
                  <c:v>-214.75645338833664</c:v>
                </c:pt>
                <c:pt idx="236">
                  <c:v>-218.52171375351588</c:v>
                </c:pt>
                <c:pt idx="237">
                  <c:v>-222.23250161122942</c:v>
                </c:pt>
                <c:pt idx="238">
                  <c:v>-225.88788701265977</c:v>
                </c:pt>
                <c:pt idx="239">
                  <c:v>-229.48695382059313</c:v>
                </c:pt>
                <c:pt idx="240">
                  <c:v>-233.02879993902482</c:v>
                </c:pt>
                <c:pt idx="241">
                  <c:v>-236.51253753926397</c:v>
                </c:pt>
                <c:pt idx="242">
                  <c:v>-239.93729328248091</c:v>
                </c:pt>
                <c:pt idx="243">
                  <c:v>-243.30220853864137</c:v>
                </c:pt>
                <c:pt idx="244">
                  <c:v>-246.60643960177276</c:v>
                </c:pt>
                <c:pt idx="245">
                  <c:v>-249.84915790150848</c:v>
                </c:pt>
                <c:pt idx="246">
                  <c:v>-253.02955021085705</c:v>
                </c:pt>
                <c:pt idx="247">
                  <c:v>-256.14681885014443</c:v>
                </c:pt>
                <c:pt idx="248">
                  <c:v>-259.20018188707769</c:v>
                </c:pt>
                <c:pt idx="249">
                  <c:v>-262.18887333288063</c:v>
                </c:pt>
                <c:pt idx="250">
                  <c:v>-265.11214333445156</c:v>
                </c:pt>
                <c:pt idx="251">
                  <c:v>-267.96925836249522</c:v>
                </c:pt>
                <c:pt idx="252">
                  <c:v>-270.75950139558171</c:v>
                </c:pt>
                <c:pt idx="253">
                  <c:v>-273.48217210008636</c:v>
                </c:pt>
                <c:pt idx="254">
                  <c:v>-276.13658700596488</c:v>
                </c:pt>
                <c:pt idx="255">
                  <c:v>-278.72207967832043</c:v>
                </c:pt>
                <c:pt idx="256">
                  <c:v>-281.2380008847187</c:v>
                </c:pt>
                <c:pt idx="257">
                  <c:v>-283.68371875820986</c:v>
                </c:pt>
                <c:pt idx="258">
                  <c:v>-286.05861895601572</c:v>
                </c:pt>
                <c:pt idx="259">
                  <c:v>-288.36210481384256</c:v>
                </c:pt>
                <c:pt idx="260">
                  <c:v>-290.59359749578101</c:v>
                </c:pt>
                <c:pt idx="261">
                  <c:v>-292.75253613975508</c:v>
                </c:pt>
                <c:pt idx="262">
                  <c:v>-294.83837799848379</c:v>
                </c:pt>
                <c:pt idx="263">
                  <c:v>-296.85059857592017</c:v>
                </c:pt>
                <c:pt idx="264">
                  <c:v>-298.78869175913331</c:v>
                </c:pt>
                <c:pt idx="265">
                  <c:v>-300.65216994559995</c:v>
                </c:pt>
                <c:pt idx="266">
                  <c:v>-302.44056416587404</c:v>
                </c:pt>
                <c:pt idx="267">
                  <c:v>-304.15342420160329</c:v>
                </c:pt>
                <c:pt idx="268">
                  <c:v>-305.79031869886273</c:v>
                </c:pt>
                <c:pt idx="269">
                  <c:v>-307.35083527677722</c:v>
                </c:pt>
                <c:pt idx="270">
                  <c:v>-308.83458063140512</c:v>
                </c:pt>
                <c:pt idx="271">
                  <c:v>-310.24118063485736</c:v>
                </c:pt>
                <c:pt idx="272">
                  <c:v>-311.57028042962639</c:v>
                </c:pt>
                <c:pt idx="273">
                  <c:v>-312.82154451810197</c:v>
                </c:pt>
                <c:pt idx="274">
                  <c:v>-313.99465684725038</c:v>
                </c:pt>
                <c:pt idx="275">
                  <c:v>-315.08932088843642</c:v>
                </c:pt>
                <c:pt idx="276">
                  <c:v>-316.10525971236774</c:v>
                </c:pt>
                <c:pt idx="277">
                  <c:v>-317.04221605914222</c:v>
                </c:pt>
                <c:pt idx="278">
                  <c:v>-317.89995240338135</c:v>
                </c:pt>
                <c:pt idx="279">
                  <c:v>-318.67825101443265</c:v>
                </c:pt>
                <c:pt idx="280">
                  <c:v>-319.37691401162613</c:v>
                </c:pt>
                <c:pt idx="281">
                  <c:v>-319.99576341457032</c:v>
                </c:pt>
                <c:pt idx="282">
                  <c:v>-320.53464118847586</c:v>
                </c:pt>
                <c:pt idx="283">
                  <c:v>-320.99340928449442</c:v>
                </c:pt>
                <c:pt idx="284">
                  <c:v>-321.37194967506292</c:v>
                </c:pt>
                <c:pt idx="285">
                  <c:v>-321.67016438424406</c:v>
                </c:pt>
                <c:pt idx="286">
                  <c:v>-321.88797551305521</c:v>
                </c:pt>
                <c:pt idx="287">
                  <c:v>-322.02532525977938</c:v>
                </c:pt>
                <c:pt idx="288">
                  <c:v>-322.08217593525268</c:v>
                </c:pt>
                <c:pt idx="289">
                  <c:v>-322.05850997312439</c:v>
                </c:pt>
                <c:pt idx="290">
                  <c:v>-321.95432993508689</c:v>
                </c:pt>
                <c:pt idx="291">
                  <c:v>-321.76965851107389</c:v>
                </c:pt>
                <c:pt idx="292">
                  <c:v>-321.5045385144266</c:v>
                </c:pt>
                <c:pt idx="293">
                  <c:v>-321.15903287202917</c:v>
                </c:pt>
                <c:pt idx="294">
                  <c:v>-320.73322460941517</c:v>
                </c:pt>
                <c:pt idx="295">
                  <c:v>-320.22721683084904</c:v>
                </c:pt>
                <c:pt idx="296">
                  <c:v>-319.64113269438718</c:v>
                </c:pt>
                <c:pt idx="297">
                  <c:v>-318.97511538192435</c:v>
                </c:pt>
                <c:pt idx="298">
                  <c:v>-318.22932806423341</c:v>
                </c:pt>
                <c:pt idx="299">
                  <c:v>-317.40395386100602</c:v>
                </c:pt>
                <c:pt idx="300">
                  <c:v>-316.49919579590482</c:v>
                </c:pt>
                <c:pt idx="301">
                  <c:v>-315.51527674663788</c:v>
                </c:pt>
                <c:pt idx="302">
                  <c:v>-314.45243939006735</c:v>
                </c:pt>
                <c:pt idx="303">
                  <c:v>-313.31094614236656</c:v>
                </c:pt>
                <c:pt idx="304">
                  <c:v>-312.09107909423943</c:v>
                </c:pt>
                <c:pt idx="305">
                  <c:v>-310.79313994121901</c:v>
                </c:pt>
                <c:pt idx="306">
                  <c:v>-309.41744990906187</c:v>
                </c:pt>
                <c:pt idx="307">
                  <c:v>-307.96434967425677</c:v>
                </c:pt>
                <c:pt idx="308">
                  <c:v>-306.43419927966772</c:v>
                </c:pt>
                <c:pt idx="309">
                  <c:v>-304.82737804533178</c:v>
                </c:pt>
                <c:pt idx="310">
                  <c:v>-303.14428447443413</c:v>
                </c:pt>
                <c:pt idx="311">
                  <c:v>-301.38533615448335</c:v>
                </c:pt>
                <c:pt idx="312">
                  <c:v>-299.55096965371166</c:v>
                </c:pt>
                <c:pt idx="313">
                  <c:v>-297.64164041272591</c:v>
                </c:pt>
                <c:pt idx="314">
                  <c:v>-295.65782263143569</c:v>
                </c:pt>
                <c:pt idx="315">
                  <c:v>-293.6000091512874</c:v>
                </c:pt>
                <c:pt idx="316">
                  <c:v>-291.46871133283287</c:v>
                </c:pt>
                <c:pt idx="317">
                  <c:v>-289.2644589286632</c:v>
                </c:pt>
                <c:pt idx="318">
                  <c:v>-286.98779995173959</c:v>
                </c:pt>
                <c:pt idx="319">
                  <c:v>-284.63930053915328</c:v>
                </c:pt>
                <c:pt idx="320">
                  <c:v>-282.21954481134935</c:v>
                </c:pt>
                <c:pt idx="321">
                  <c:v>-279.72913472684854</c:v>
                </c:pt>
                <c:pt idx="322">
                  <c:v>-277.1686899325037</c:v>
                </c:pt>
                <c:pt idx="323">
                  <c:v>-274.53884760932806</c:v>
                </c:pt>
                <c:pt idx="324">
                  <c:v>-271.84026231393364</c:v>
                </c:pt>
                <c:pt idx="325">
                  <c:v>-269.07360581561898</c:v>
                </c:pt>
                <c:pt idx="326">
                  <c:v>-266.23956692914732</c:v>
                </c:pt>
                <c:pt idx="327">
                  <c:v>-263.33885134325641</c:v>
                </c:pt>
                <c:pt idx="328">
                  <c:v>-260.37218144494256</c:v>
                </c:pt>
                <c:pt idx="329">
                  <c:v>-257.34029613956329</c:v>
                </c:pt>
                <c:pt idx="330">
                  <c:v>-254.24395066680265</c:v>
                </c:pt>
                <c:pt idx="331">
                  <c:v>-251.08391641254539</c:v>
                </c:pt>
                <c:pt idx="332">
                  <c:v>-247.86098071670702</c:v>
                </c:pt>
                <c:pt idx="333">
                  <c:v>-244.57594667706721</c:v>
                </c:pt>
                <c:pt idx="334">
                  <c:v>-241.22963294915581</c:v>
                </c:pt>
                <c:pt idx="335">
                  <c:v>-237.82287354224104</c:v>
                </c:pt>
                <c:pt idx="336">
                  <c:v>-234.35651761147085</c:v>
                </c:pt>
                <c:pt idx="337">
                  <c:v>-230.83142924621922</c:v>
                </c:pt>
                <c:pt idx="338">
                  <c:v>-227.24848725469022</c:v>
                </c:pt>
                <c:pt idx="339">
                  <c:v>-223.60858494483335</c:v>
                </c:pt>
                <c:pt idx="340">
                  <c:v>-219.912629901625</c:v>
                </c:pt>
                <c:pt idx="341">
                  <c:v>-216.16154376077134</c:v>
                </c:pt>
                <c:pt idx="342">
                  <c:v>-212.35626197888922</c:v>
                </c:pt>
                <c:pt idx="343">
                  <c:v>-208.49773360022232</c:v>
                </c:pt>
                <c:pt idx="344">
                  <c:v>-204.58692101995078</c:v>
                </c:pt>
                <c:pt idx="345">
                  <c:v>-200.62479974415322</c:v>
                </c:pt>
                <c:pt idx="346">
                  <c:v>-196.61235814648114</c:v>
                </c:pt>
                <c:pt idx="347">
                  <c:v>-192.55059722160632</c:v>
                </c:pt>
                <c:pt idx="348">
                  <c:v>-188.44053033550287</c:v>
                </c:pt>
                <c:pt idx="349">
                  <c:v>-184.28318297262595</c:v>
                </c:pt>
                <c:pt idx="350">
                  <c:v>-180.07959248005042</c:v>
                </c:pt>
                <c:pt idx="351">
                  <c:v>-175.83080780863341</c:v>
                </c:pt>
                <c:pt idx="352">
                  <c:v>-171.53788925126494</c:v>
                </c:pt>
                <c:pt idx="353">
                  <c:v>-167.20190817827239</c:v>
                </c:pt>
                <c:pt idx="354">
                  <c:v>-162.82394677004456</c:v>
                </c:pt>
                <c:pt idx="355">
                  <c:v>-158.40509774694215</c:v>
                </c:pt>
                <c:pt idx="356">
                  <c:v>-153.94646409656195</c:v>
                </c:pt>
                <c:pt idx="357">
                  <c:v>-149.44915879842313</c:v>
                </c:pt>
                <c:pt idx="358">
                  <c:v>-144.91430454614385</c:v>
                </c:pt>
                <c:pt idx="359">
                  <c:v>-140.34303346717803</c:v>
                </c:pt>
                <c:pt idx="360">
                  <c:v>-135.73648684018187</c:v>
                </c:pt>
                <c:pt idx="361">
                  <c:v>-131.09581481008098</c:v>
                </c:pt>
                <c:pt idx="362">
                  <c:v>-126.42217610090904</c:v>
                </c:pt>
                <c:pt idx="363">
                  <c:v>-121.71673772648975</c:v>
                </c:pt>
                <c:pt idx="364">
                  <c:v>-116.98067469903437</c:v>
                </c:pt>
                <c:pt idx="365">
                  <c:v>-112.21516973572744</c:v>
                </c:pt>
                <c:pt idx="366">
                  <c:v>-107.42141296337427</c:v>
                </c:pt>
                <c:pt idx="367">
                  <c:v>-102.60060162118354</c:v>
                </c:pt>
                <c:pt idx="368">
                  <c:v>-97.753939761759639</c:v>
                </c:pt>
                <c:pt idx="369">
                  <c:v>-92.882637950379035</c:v>
                </c:pt>
                <c:pt idx="370">
                  <c:v>-87.987912962626183</c:v>
                </c:pt>
                <c:pt idx="371">
                  <c:v>-83.070987480464112</c:v>
                </c:pt>
                <c:pt idx="372">
                  <c:v>-78.133089786815916</c:v>
                </c:pt>
                <c:pt idx="373">
                  <c:v>-73.175453458733202</c:v>
                </c:pt>
                <c:pt idx="374">
                  <c:v>-68.199317059228321</c:v>
                </c:pt>
                <c:pt idx="375">
                  <c:v>-63.205923827847251</c:v>
                </c:pt>
                <c:pt idx="376">
                  <c:v>-58.196521370060516</c:v>
                </c:pt>
                <c:pt idx="377">
                  <c:v>-53.172361345549646</c:v>
                </c:pt>
                <c:pt idx="378">
                  <c:v>-48.134699155467167</c:v>
                </c:pt>
                <c:pt idx="379">
                  <c:v>-43.084793628748201</c:v>
                </c:pt>
                <c:pt idx="380">
                  <c:v>-38.023906707552044</c:v>
                </c:pt>
                <c:pt idx="381">
                  <c:v>-32.953303131912357</c:v>
                </c:pt>
                <c:pt idx="382">
                  <c:v>-27.874250123674791</c:v>
                </c:pt>
                <c:pt idx="383">
                  <c:v>-22.788017069800961</c:v>
                </c:pt>
                <c:pt idx="384">
                  <c:v>-17.695875205117982</c:v>
                </c:pt>
                <c:pt idx="385">
                  <c:v>-12.599097294592816</c:v>
                </c:pt>
                <c:pt idx="386">
                  <c:v>-7.4989573152108662</c:v>
                </c:pt>
                <c:pt idx="387">
                  <c:v>-2.3967301375383059</c:v>
                </c:pt>
                <c:pt idx="388">
                  <c:v>2.7063087929522407</c:v>
                </c:pt>
                <c:pt idx="389">
                  <c:v>7.8088837747130295</c:v>
                </c:pt>
                <c:pt idx="390">
                  <c:v>12.90971916902982</c:v>
                </c:pt>
                <c:pt idx="391">
                  <c:v>18.007539718928086</c:v>
                </c:pt>
                <c:pt idx="392">
                  <c:v>23.101070867997066</c:v>
                </c:pt>
                <c:pt idx="393">
                  <c:v>28.18903907905198</c:v>
                </c:pt>
                <c:pt idx="394">
                  <c:v>33.270172152554707</c:v>
                </c:pt>
                <c:pt idx="395">
                  <c:v>38.343199544713329</c:v>
                </c:pt>
                <c:pt idx="396">
                  <c:v>43.406852685180993</c:v>
                </c:pt>
                <c:pt idx="397">
                  <c:v>48.459865294274664</c:v>
                </c:pt>
                <c:pt idx="398">
                  <c:v>53.500973699634457</c:v>
                </c:pt>
                <c:pt idx="399">
                  <c:v>58.528917152244304</c:v>
                </c:pt>
                <c:pt idx="400">
                  <c:v>63.542438141734998</c:v>
                </c:pt>
                <c:pt idx="401">
                  <c:v>68.540282710890722</c:v>
                </c:pt>
                <c:pt idx="402">
                  <c:v>73.521200769280398</c:v>
                </c:pt>
                <c:pt idx="403">
                  <c:v>78.483946405935441</c:v>
                </c:pt>
                <c:pt idx="404">
                  <c:v>83.427278200995673</c:v>
                </c:pt>
                <c:pt idx="405">
                  <c:v>88.349959536245521</c:v>
                </c:pt>
                <c:pt idx="406">
                  <c:v>93.250758904462671</c:v>
                </c:pt>
                <c:pt idx="407">
                  <c:v>98.128450217501978</c:v>
                </c:pt>
                <c:pt idx="408">
                  <c:v>102.98181311303742</c:v>
                </c:pt>
                <c:pt idx="409">
                  <c:v>107.80963325988542</c:v>
                </c:pt>
                <c:pt idx="410">
                  <c:v>112.6107026618331</c:v>
                </c:pt>
                <c:pt idx="411">
                  <c:v>117.38381995989559</c:v>
                </c:pt>
                <c:pt idx="412">
                  <c:v>122.12779073292647</c:v>
                </c:pt>
                <c:pt idx="413">
                  <c:v>126.84142779650649</c:v>
                </c:pt>
                <c:pt idx="414">
                  <c:v>131.52355150003552</c:v>
                </c:pt>
                <c:pt idx="415">
                  <c:v>136.17299002195338</c:v>
                </c:pt>
                <c:pt idx="416">
                  <c:v>140.78857966301592</c:v>
                </c:pt>
                <c:pt idx="417">
                  <c:v>145.3691651375527</c:v>
                </c:pt>
                <c:pt idx="418">
                  <c:v>149.9135998626333</c:v>
                </c:pt>
                <c:pt idx="419">
                  <c:v>154.42074624507035</c:v>
                </c:pt>
                <c:pt idx="420">
                  <c:v>158.88947596618681</c:v>
                </c:pt>
                <c:pt idx="421">
                  <c:v>163.31867026427679</c:v>
                </c:pt>
                <c:pt idx="422">
                  <c:v>167.7072202146887</c:v>
                </c:pt>
                <c:pt idx="423">
                  <c:v>172.05402700746106</c:v>
                </c:pt>
                <c:pt idx="424">
                  <c:v>176.35800222244112</c:v>
                </c:pt>
                <c:pt idx="425">
                  <c:v>180.61806810181761</c:v>
                </c:pt>
                <c:pt idx="426">
                  <c:v>184.83315781999931</c:v>
                </c:pt>
                <c:pt idx="427">
                  <c:v>189.00221575077182</c:v>
                </c:pt>
                <c:pt idx="428">
                  <c:v>193.12419773166567</c:v>
                </c:pt>
                <c:pt idx="429">
                  <c:v>197.19807132546958</c:v>
                </c:pt>
                <c:pt idx="430">
                  <c:v>201.22281607882343</c:v>
                </c:pt>
                <c:pt idx="431">
                  <c:v>205.19742377782592</c:v>
                </c:pt>
                <c:pt idx="432">
                  <c:v>209.12089870059327</c:v>
                </c:pt>
                <c:pt idx="433">
                  <c:v>212.99225786670542</c:v>
                </c:pt>
                <c:pt idx="434">
                  <c:v>216.81053128347722</c:v>
                </c:pt>
                <c:pt idx="435">
                  <c:v>220.57476218899316</c:v>
                </c:pt>
                <c:pt idx="436">
                  <c:v>224.28400729184455</c:v>
                </c:pt>
                <c:pt idx="437">
                  <c:v>227.93733700750903</c:v>
                </c:pt>
                <c:pt idx="438">
                  <c:v>231.53383569131347</c:v>
                </c:pt>
                <c:pt idx="439">
                  <c:v>235.07260186792146</c:v>
                </c:pt>
                <c:pt idx="440">
                  <c:v>238.55274845728829</c:v>
                </c:pt>
                <c:pt idx="441">
                  <c:v>241.97340299702637</c:v>
                </c:pt>
                <c:pt idx="442">
                  <c:v>245.33370786112582</c:v>
                </c:pt>
                <c:pt idx="443">
                  <c:v>248.63282047497495</c:v>
                </c:pt>
                <c:pt idx="444">
                  <c:v>251.8699135266271</c:v>
                </c:pt>
                <c:pt idx="445">
                  <c:v>255.04417517426049</c:v>
                </c:pt>
                <c:pt idx="446">
                  <c:v>258.15480924977936</c:v>
                </c:pt>
                <c:pt idx="447">
                  <c:v>261.20103545850526</c:v>
                </c:pt>
                <c:pt idx="448">
                  <c:v>264.18208957490839</c:v>
                </c:pt>
                <c:pt idx="449">
                  <c:v>267.09722363432979</c:v>
                </c:pt>
                <c:pt idx="450">
                  <c:v>269.94570612064643</c:v>
                </c:pt>
                <c:pt idx="451">
                  <c:v>272.72682214983212</c:v>
                </c:pt>
                <c:pt idx="452">
                  <c:v>275.439873649368</c:v>
                </c:pt>
                <c:pt idx="453">
                  <c:v>278.08417953345781</c:v>
                </c:pt>
                <c:pt idx="454">
                  <c:v>280.65907587400392</c:v>
                </c:pt>
                <c:pt idx="455">
                  <c:v>283.16391606730087</c:v>
                </c:pt>
                <c:pt idx="456">
                  <c:v>285.59807099640523</c:v>
                </c:pt>
                <c:pt idx="457">
                  <c:v>287.96092918914019</c:v>
                </c:pt>
                <c:pt idx="458">
                  <c:v>290.25189697169606</c:v>
                </c:pt>
                <c:pt idx="459">
                  <c:v>292.47039861778728</c:v>
                </c:pt>
                <c:pt idx="460">
                  <c:v>294.6158764933291</c:v>
                </c:pt>
                <c:pt idx="461">
                  <c:v>296.68779119659723</c:v>
                </c:pt>
                <c:pt idx="462">
                  <c:v>298.68562169383534</c:v>
                </c:pt>
                <c:pt idx="463">
                  <c:v>300.60886545027626</c:v>
                </c:pt>
                <c:pt idx="464">
                  <c:v>302.45703855654409</c:v>
                </c:pt>
                <c:pt idx="465">
                  <c:v>304.22967585040527</c:v>
                </c:pt>
                <c:pt idx="466">
                  <c:v>305.92633103383787</c:v>
                </c:pt>
                <c:pt idx="467">
                  <c:v>307.54657678539002</c:v>
                </c:pt>
                <c:pt idx="468">
                  <c:v>309.09000486779894</c:v>
                </c:pt>
                <c:pt idx="469">
                  <c:v>310.55622623084338</c:v>
                </c:pt>
                <c:pt idx="470">
                  <c:v>311.94487110940366</c:v>
                </c:pt>
                <c:pt idx="471">
                  <c:v>313.25558911670487</c:v>
                </c:pt>
                <c:pt idx="472">
                  <c:v>314.48804933271913</c:v>
                </c:pt>
                <c:pt idx="473">
                  <c:v>315.64194038770512</c:v>
                </c:pt>
                <c:pt idx="474">
                  <c:v>316.71697054086366</c:v>
                </c:pt>
                <c:pt idx="475">
                  <c:v>317.71286775408925</c:v>
                </c:pt>
                <c:pt idx="476">
                  <c:v>318.62937976079917</c:v>
                </c:pt>
                <c:pt idx="477">
                  <c:v>319.46627412982286</c:v>
                </c:pt>
                <c:pt idx="478">
                  <c:v>320.22333832433486</c:v>
                </c:pt>
                <c:pt idx="479">
                  <c:v>320.90037975581703</c:v>
                </c:pt>
                <c:pt idx="480">
                  <c:v>321.49722583303577</c:v>
                </c:pt>
                <c:pt idx="481">
                  <c:v>322.01372400602224</c:v>
                </c:pt>
                <c:pt idx="482">
                  <c:v>322.4497418050442</c:v>
                </c:pt>
                <c:pt idx="483">
                  <c:v>322.80516687455929</c:v>
                </c:pt>
                <c:pt idx="484">
                  <c:v>323.07990700214157</c:v>
                </c:pt>
                <c:pt idx="485">
                  <c:v>323.27389014237332</c:v>
                </c:pt>
                <c:pt idx="486">
                  <c:v>323.38706443569646</c:v>
                </c:pt>
                <c:pt idx="487">
                  <c:v>323.41939822221804</c:v>
                </c:pt>
                <c:pt idx="488">
                  <c:v>323.37088005046684</c:v>
                </c:pt>
                <c:pt idx="489">
                  <c:v>323.24151868109794</c:v>
                </c:pt>
                <c:pt idx="490">
                  <c:v>323.03134308554502</c:v>
                </c:pt>
                <c:pt idx="491">
                  <c:v>322.74040243961946</c:v>
                </c:pt>
                <c:pt idx="492">
                  <c:v>322.36876611205849</c:v>
                </c:pt>
                <c:pt idx="493">
                  <c:v>321.91652364802479</c:v>
                </c:pt>
                <c:pt idx="494">
                  <c:v>321.38378474756109</c:v>
                </c:pt>
                <c:pt idx="495">
                  <c:v>320.77067923900557</c:v>
                </c:pt>
                <c:pt idx="496">
                  <c:v>320.07735704737394</c:v>
                </c:pt>
                <c:pt idx="497">
                  <c:v>319.30398815771622</c:v>
                </c:pt>
                <c:pt idx="498">
                  <c:v>318.4507625734571</c:v>
                </c:pt>
                <c:pt idx="499">
                  <c:v>317.51789026973012</c:v>
                </c:pt>
                <c:pt idx="500">
                  <c:v>316.50560114171691</c:v>
                </c:pt>
                <c:pt idx="501">
                  <c:v>315.41414494800449</c:v>
                </c:pt>
                <c:pt idx="502">
                  <c:v>314.24379124897439</c:v>
                </c:pt>
                <c:pt idx="503">
                  <c:v>312.99482934023882</c:v>
                </c:pt>
                <c:pt idx="504">
                  <c:v>311.66756818114055</c:v>
                </c:pt>
                <c:pt idx="505">
                  <c:v>310.26233631833378</c:v>
                </c:pt>
                <c:pt idx="506">
                  <c:v>308.77948180446498</c:v>
                </c:pt>
                <c:pt idx="507">
                  <c:v>307.21937211197434</c:v>
                </c:pt>
                <c:pt idx="508">
                  <c:v>305.58239404203835</c:v>
                </c:pt>
                <c:pt idx="509">
                  <c:v>303.86895362867682</c:v>
                </c:pt>
                <c:pt idx="510">
                  <c:v>302.07947603804746</c:v>
                </c:pt>
                <c:pt idx="511">
                  <c:v>300.21440546295372</c:v>
                </c:pt>
                <c:pt idx="512">
                  <c:v>298.27420501259121</c:v>
                </c:pt>
                <c:pt idx="513">
                  <c:v>296.25935659756101</c:v>
                </c:pt>
                <c:pt idx="514">
                  <c:v>294.17036081017739</c:v>
                </c:pt>
                <c:pt idx="515">
                  <c:v>292.0077368001007</c:v>
                </c:pt>
                <c:pt idx="516">
                  <c:v>289.77202214532559</c:v>
                </c:pt>
                <c:pt idx="517">
                  <c:v>287.46377271855675</c:v>
                </c:pt>
                <c:pt idx="518">
                  <c:v>285.08356254900582</c:v>
                </c:pt>
                <c:pt idx="519">
                  <c:v>282.6319836796431</c:v>
                </c:pt>
                <c:pt idx="520">
                  <c:v>280.10964601994039</c:v>
                </c:pt>
                <c:pt idx="521">
                  <c:v>277.51717719414074</c:v>
                </c:pt>
                <c:pt idx="522">
                  <c:v>274.85522238509355</c:v>
                </c:pt>
                <c:pt idx="523">
                  <c:v>272.12444417369352</c:v>
                </c:pt>
                <c:pt idx="524">
                  <c:v>269.32552237396345</c:v>
                </c:pt>
                <c:pt idx="525">
                  <c:v>266.459153863822</c:v>
                </c:pt>
                <c:pt idx="526">
                  <c:v>263.52605241157852</c:v>
                </c:pt>
                <c:pt idx="527">
                  <c:v>260.52694849819795</c:v>
                </c:pt>
                <c:pt idx="528">
                  <c:v>257.46258913538065</c:v>
                </c:pt>
                <c:pt idx="529">
                  <c:v>254.33373767950164</c:v>
                </c:pt>
                <c:pt idx="530">
                  <c:v>251.14117364145608</c:v>
                </c:pt>
                <c:pt idx="531">
                  <c:v>247.88569249245847</c:v>
                </c:pt>
                <c:pt idx="532">
                  <c:v>244.56810546584359</c:v>
                </c:pt>
                <c:pt idx="533">
                  <c:v>241.18923935491867</c:v>
                </c:pt>
                <c:pt idx="534">
                  <c:v>237.74993630691745</c:v>
                </c:pt>
                <c:pt idx="535">
                  <c:v>234.25105361310696</c:v>
                </c:pt>
                <c:pt idx="536">
                  <c:v>230.69346349509993</c:v>
                </c:pt>
                <c:pt idx="537">
                  <c:v>227.07805288742543</c:v>
                </c:pt>
                <c:pt idx="538">
                  <c:v>223.40572321641264</c:v>
                </c:pt>
                <c:pt idx="539">
                  <c:v>219.67739017544227</c:v>
                </c:pt>
                <c:pt idx="540">
                  <c:v>215.89398349662204</c:v>
                </c:pt>
                <c:pt idx="541">
                  <c:v>212.05644671894302</c:v>
                </c:pt>
                <c:pt idx="542">
                  <c:v>208.16573695297464</c:v>
                </c:pt>
                <c:pt idx="543">
                  <c:v>204.22282464215706</c:v>
                </c:pt>
                <c:pt idx="544">
                  <c:v>200.22869332075049</c:v>
                </c:pt>
                <c:pt idx="545">
                  <c:v>196.18433936850167</c:v>
                </c:pt>
                <c:pt idx="546">
                  <c:v>192.09077176208891</c:v>
                </c:pt>
                <c:pt idx="547">
                  <c:v>187.94901182340766</c:v>
                </c:pt>
                <c:pt idx="548">
                  <c:v>183.7600929647592</c:v>
                </c:pt>
                <c:pt idx="549">
                  <c:v>179.52506043100624</c:v>
                </c:pt>
                <c:pt idx="550">
                  <c:v>175.24497103875973</c:v>
                </c:pt>
                <c:pt idx="551">
                  <c:v>170.9208929126618</c:v>
                </c:pt>
                <c:pt idx="552">
                  <c:v>166.55390521883095</c:v>
                </c:pt>
                <c:pt idx="553">
                  <c:v>162.14509789553566</c:v>
                </c:pt>
                <c:pt idx="554">
                  <c:v>157.69557138116383</c:v>
                </c:pt>
                <c:pt idx="555">
                  <c:v>153.20643633955595</c:v>
                </c:pt>
                <c:pt idx="556">
                  <c:v>148.67881338277044</c:v>
                </c:pt>
                <c:pt idx="557">
                  <c:v>144.11383279135052</c:v>
                </c:pt>
                <c:pt idx="558">
                  <c:v>139.51263423216227</c:v>
                </c:pt>
                <c:pt idx="559">
                  <c:v>134.87636647387444</c:v>
                </c:pt>
                <c:pt idx="560">
                  <c:v>130.206187100151</c:v>
                </c:pt>
                <c:pt idx="561">
                  <c:v>125.50326222062799</c:v>
                </c:pt>
                <c:pt idx="562">
                  <c:v>120.76876617974696</c:v>
                </c:pt>
                <c:pt idx="563">
                  <c:v>116.00388126351754</c:v>
                </c:pt>
                <c:pt idx="564">
                  <c:v>111.20979740428245</c:v>
                </c:pt>
                <c:pt idx="565">
                  <c:v>106.38771188355868</c:v>
                </c:pt>
                <c:pt idx="566">
                  <c:v>101.53882903302905</c:v>
                </c:pt>
                <c:pt idx="567">
                  <c:v>96.664359933758746</c:v>
                </c:pt>
                <c:pt idx="568">
                  <c:v>91.765522113712095</c:v>
                </c:pt>
                <c:pt idx="569">
                  <c:v>86.843539243644926</c:v>
                </c:pt>
                <c:pt idx="570">
                  <c:v>81.899640831448735</c:v>
                </c:pt>
                <c:pt idx="571">
                  <c:v>76.935061915022715</c:v>
                </c:pt>
                <c:pt idx="572">
                  <c:v>71.951042753750627</c:v>
                </c:pt>
                <c:pt idx="573">
                  <c:v>66.948828518659411</c:v>
                </c:pt>
                <c:pt idx="574">
                  <c:v>61.929668981337024</c:v>
                </c:pt>
                <c:pt idx="575">
                  <c:v>56.894818201687166</c:v>
                </c:pt>
                <c:pt idx="576">
                  <c:v>51.845534214598985</c:v>
                </c:pt>
                <c:pt idx="577">
                  <c:v>46.783078715609967</c:v>
                </c:pt>
                <c:pt idx="578">
                  <c:v>41.708716745640608</c:v>
                </c:pt>
                <c:pt idx="579">
                  <c:v>36.623716374879585</c:v>
                </c:pt>
                <c:pt idx="580">
                  <c:v>31.529348385898498</c:v>
                </c:pt>
                <c:pt idx="581">
                  <c:v>26.426885956075285</c:v>
                </c:pt>
                <c:pt idx="582">
                  <c:v>21.317604339405747</c:v>
                </c:pt>
                <c:pt idx="583">
                  <c:v>16.202780547782652</c:v>
                </c:pt>
                <c:pt idx="584">
                  <c:v>11.08369303182211</c:v>
                </c:pt>
                <c:pt idx="585">
                  <c:v>5.9616213613169542</c:v>
                </c:pt>
                <c:pt idx="586">
                  <c:v>0.83784590539704151</c:v>
                </c:pt>
                <c:pt idx="587">
                  <c:v>-4.2863524875236196</c:v>
                </c:pt>
                <c:pt idx="588">
                  <c:v>-9.4096928099328814</c:v>
                </c:pt>
                <c:pt idx="589">
                  <c:v>-14.5308942154596</c:v>
                </c:pt>
                <c:pt idx="590">
                  <c:v>-19.648676339085817</c:v>
                </c:pt>
                <c:pt idx="591">
                  <c:v>-24.761759617251961</c:v>
                </c:pt>
                <c:pt idx="592">
                  <c:v>-29.868865607775021</c:v>
                </c:pt>
                <c:pt idx="593">
                  <c:v>-34.968717309499709</c:v>
                </c:pt>
                <c:pt idx="594">
                  <c:v>-40.060039481602693</c:v>
                </c:pt>
                <c:pt idx="595">
                  <c:v>-45.14155896247005</c:v>
                </c:pt>
                <c:pt idx="596">
                  <c:v>-50.212004988068244</c:v>
                </c:pt>
                <c:pt idx="597">
                  <c:v>-55.270109509728925</c:v>
                </c:pt>
                <c:pt idx="598">
                  <c:v>-60.314607511268207</c:v>
                </c:pt>
                <c:pt idx="599">
                  <c:v>-65.344237325361007</c:v>
                </c:pt>
                <c:pt idx="600">
                  <c:v>-70.357740949091379</c:v>
                </c:pt>
                <c:pt idx="601">
                  <c:v>-75.353864358599935</c:v>
                </c:pt>
                <c:pt idx="602">
                  <c:v>-80.331357822749567</c:v>
                </c:pt>
                <c:pt idx="603">
                  <c:v>-85.288976215731154</c:v>
                </c:pt>
                <c:pt idx="604">
                  <c:v>-90.225479328530938</c:v>
                </c:pt>
                <c:pt idx="605">
                  <c:v>-95.139632179181717</c:v>
                </c:pt>
                <c:pt idx="606">
                  <c:v>-100.0302053217202</c:v>
                </c:pt>
                <c:pt idx="607">
                  <c:v>-104.89597515377332</c:v>
                </c:pt>
                <c:pt idx="608">
                  <c:v>-109.73572422269642</c:v>
                </c:pt>
                <c:pt idx="609">
                  <c:v>-114.54824153018684</c:v>
                </c:pt>
                <c:pt idx="610">
                  <c:v>-119.33232283529665</c:v>
                </c:pt>
                <c:pt idx="611">
                  <c:v>-124.08677095576864</c:v>
                </c:pt>
                <c:pt idx="612">
                  <c:v>-128.8103960676203</c:v>
                </c:pt>
                <c:pt idx="613">
                  <c:v>-133.50201600290069</c:v>
                </c:pt>
                <c:pt idx="614">
                  <c:v>-138.16045654554574</c:v>
                </c:pt>
                <c:pt idx="615">
                  <c:v>-142.7845517252581</c:v>
                </c:pt>
                <c:pt idx="616">
                  <c:v>-147.37314410933752</c:v>
                </c:pt>
                <c:pt idx="617">
                  <c:v>-151.92508509238934</c:v>
                </c:pt>
                <c:pt idx="618">
                  <c:v>-156.43923518383812</c:v>
                </c:pt>
                <c:pt idx="619">
                  <c:v>-160.9144642931746</c:v>
                </c:pt>
                <c:pt idx="620">
                  <c:v>-165.34965201286454</c:v>
                </c:pt>
                <c:pt idx="621">
                  <c:v>-169.74368789884872</c:v>
                </c:pt>
                <c:pt idx="622">
                  <c:v>-174.09547174856382</c:v>
                </c:pt>
                <c:pt idx="623">
                  <c:v>-178.40391387641446</c:v>
                </c:pt>
                <c:pt idx="624">
                  <c:v>-182.66793538662759</c:v>
                </c:pt>
                <c:pt idx="625">
                  <c:v>-186.88646844342085</c:v>
                </c:pt>
                <c:pt idx="626">
                  <c:v>-191.05845653841723</c:v>
                </c:pt>
                <c:pt idx="627">
                  <c:v>-195.18285475523902</c:v>
                </c:pt>
                <c:pt idx="628">
                  <c:v>-199.25863003121495</c:v>
                </c:pt>
                <c:pt idx="629">
                  <c:v>-203.28476141613478</c:v>
                </c:pt>
                <c:pt idx="630">
                  <c:v>-207.26024032798665</c:v>
                </c:pt>
                <c:pt idx="631">
                  <c:v>-211.18407080561309</c:v>
                </c:pt>
                <c:pt idx="632">
                  <c:v>-215.05526975822232</c:v>
                </c:pt>
                <c:pt idx="633">
                  <c:v>-218.87286721169264</c:v>
                </c:pt>
                <c:pt idx="634">
                  <c:v>-222.63590655160763</c:v>
                </c:pt>
                <c:pt idx="635">
                  <c:v>-226.34344476296204</c:v>
                </c:pt>
                <c:pt idx="636">
                  <c:v>-229.99455266647743</c:v>
                </c:pt>
                <c:pt idx="637">
                  <c:v>-233.58831515146917</c:v>
                </c:pt>
                <c:pt idx="638">
                  <c:v>-237.12383140520586</c:v>
                </c:pt>
                <c:pt idx="639">
                  <c:v>-240.6002151387039</c:v>
                </c:pt>
                <c:pt idx="640">
                  <c:v>-244.01659480890063</c:v>
                </c:pt>
                <c:pt idx="641">
                  <c:v>-247.37211383715035</c:v>
                </c:pt>
                <c:pt idx="642">
                  <c:v>-250.66593082398836</c:v>
                </c:pt>
                <c:pt idx="643">
                  <c:v>-253.89721976010924</c:v>
                </c:pt>
                <c:pt idx="644">
                  <c:v>-257.06517023350648</c:v>
                </c:pt>
                <c:pt idx="645">
                  <c:v>-260.16898763272138</c:v>
                </c:pt>
                <c:pt idx="646">
                  <c:v>-263.20789334615057</c:v>
                </c:pt>
                <c:pt idx="647">
                  <c:v>-266.1811249573617</c:v>
                </c:pt>
                <c:pt idx="648">
                  <c:v>-269.08793643636881</c:v>
                </c:pt>
                <c:pt idx="649">
                  <c:v>-271.92759832681884</c:v>
                </c:pt>
                <c:pt idx="650">
                  <c:v>-274.6993979290429</c:v>
                </c:pt>
                <c:pt idx="651">
                  <c:v>-277.40263947892583</c:v>
                </c:pt>
                <c:pt idx="652">
                  <c:v>-280.03664432254965</c:v>
                </c:pt>
                <c:pt idx="653">
                  <c:v>-282.6007510865665</c:v>
                </c:pt>
                <c:pt idx="654">
                  <c:v>-285.09431584425903</c:v>
                </c:pt>
                <c:pt idx="655">
                  <c:v>-287.51671227724569</c:v>
                </c:pt>
                <c:pt idx="656">
                  <c:v>-289.86733183279119</c:v>
                </c:pt>
                <c:pt idx="657">
                  <c:v>-292.14558387668183</c:v>
                </c:pt>
                <c:pt idx="658">
                  <c:v>-294.35089584162779</c:v>
                </c:pt>
                <c:pt idx="659">
                  <c:v>-296.48271337115511</c:v>
                </c:pt>
                <c:pt idx="660">
                  <c:v>-298.54050045895076</c:v>
                </c:pt>
                <c:pt idx="661">
                  <c:v>-300.52373958362625</c:v>
                </c:pt>
                <c:pt idx="662">
                  <c:v>-302.43193183886569</c:v>
                </c:pt>
                <c:pt idx="663">
                  <c:v>-304.26459705892563</c:v>
                </c:pt>
                <c:pt idx="664">
                  <c:v>-306.02127393945489</c:v>
                </c:pt>
                <c:pt idx="665">
                  <c:v>-307.70152015360441</c:v>
                </c:pt>
                <c:pt idx="666">
                  <c:v>-309.30491246339744</c:v>
                </c:pt>
                <c:pt idx="667">
                  <c:v>-310.83104682633245</c:v>
                </c:pt>
                <c:pt idx="668">
                  <c:v>-312.27953849719154</c:v>
                </c:pt>
                <c:pt idx="669">
                  <c:v>-313.6500221250289</c:v>
                </c:pt>
                <c:pt idx="670">
                  <c:v>-314.94215184531487</c:v>
                </c:pt>
                <c:pt idx="671">
                  <c:v>-316.15560136721234</c:v>
                </c:pt>
                <c:pt idx="672">
                  <c:v>-317.29006405596334</c:v>
                </c:pt>
                <c:pt idx="673">
                  <c:v>-318.34525301036541</c:v>
                </c:pt>
                <c:pt idx="674">
                  <c:v>-319.32090113531757</c:v>
                </c:pt>
                <c:pt idx="675">
                  <c:v>-320.216761209418</c:v>
                </c:pt>
                <c:pt idx="676">
                  <c:v>-321.03260594759632</c:v>
                </c:pt>
                <c:pt idx="677">
                  <c:v>-321.76822805876446</c:v>
                </c:pt>
                <c:pt idx="678">
                  <c:v>-322.42344029847135</c:v>
                </c:pt>
                <c:pt idx="679">
                  <c:v>-322.99807551654845</c:v>
                </c:pt>
                <c:pt idx="680">
                  <c:v>-323.49198669973373</c:v>
                </c:pt>
                <c:pt idx="681">
                  <c:v>-323.90504700926317</c:v>
                </c:pt>
                <c:pt idx="682">
                  <c:v>-324.23714981342056</c:v>
                </c:pt>
                <c:pt idx="683">
                  <c:v>-324.48820871503676</c:v>
                </c:pt>
                <c:pt idx="684">
                  <c:v>-324.65815757393159</c:v>
                </c:pt>
                <c:pt idx="685">
                  <c:v>-324.74695052429263</c:v>
                </c:pt>
                <c:pt idx="686">
                  <c:v>-324.75456198698612</c:v>
                </c:pt>
                <c:pt idx="687">
                  <c:v>-324.68098667679698</c:v>
                </c:pt>
                <c:pt idx="688">
                  <c:v>-324.52623960459539</c:v>
                </c:pt>
                <c:pt idx="689">
                  <c:v>-324.29035607443006</c:v>
                </c:pt>
                <c:pt idx="690">
                  <c:v>-323.97339167554765</c:v>
                </c:pt>
                <c:pt idx="691">
                  <c:v>-323.575422269341</c:v>
                </c:pt>
                <c:pt idx="692">
                  <c:v>-323.09654397122881</c:v>
                </c:pt>
                <c:pt idx="693">
                  <c:v>-322.53687312747104</c:v>
                </c:pt>
                <c:pt idx="694">
                  <c:v>-321.8965462869258</c:v>
                </c:pt>
                <c:pt idx="695">
                  <c:v>-321.1757201677546</c:v>
                </c:pt>
                <c:pt idx="696">
                  <c:v>-320.37457161908389</c:v>
                </c:pt>
                <c:pt idx="697">
                  <c:v>-319.49329757763229</c:v>
                </c:pt>
                <c:pt idx="698">
                  <c:v>-318.5321150193144</c:v>
                </c:pt>
                <c:pt idx="699">
                  <c:v>-317.49126090583263</c:v>
                </c:pt>
                <c:pt idx="700">
                  <c:v>-316.37099212627072</c:v>
                </c:pt>
                <c:pt idx="701">
                  <c:v>-315.17158543370294</c:v>
                </c:pt>
                <c:pt idx="702">
                  <c:v>-313.89333737683484</c:v>
                </c:pt>
                <c:pt idx="703">
                  <c:v>-312.53656422669201</c:v>
                </c:pt>
                <c:pt idx="704">
                  <c:v>-311.10160189837586</c:v>
                </c:pt>
                <c:pt idx="705">
                  <c:v>-309.5888058679048</c:v>
                </c:pt>
                <c:pt idx="706">
                  <c:v>-307.99855108416176</c:v>
                </c:pt>
                <c:pt idx="707">
                  <c:v>-306.33123187597039</c:v>
                </c:pt>
                <c:pt idx="708">
                  <c:v>-304.58726185432192</c:v>
                </c:pt>
                <c:pt idx="709">
                  <c:v>-302.76707380977791</c:v>
                </c:pt>
                <c:pt idx="710">
                  <c:v>-300.87111960507377</c:v>
                </c:pt>
                <c:pt idx="711">
                  <c:v>-298.89987006294984</c:v>
                </c:pt>
                <c:pt idx="712">
                  <c:v>-296.85381484923795</c:v>
                </c:pt>
                <c:pt idx="713">
                  <c:v>-294.73346235123233</c:v>
                </c:pt>
                <c:pt idx="714">
                  <c:v>-292.53933955137529</c:v>
                </c:pt>
                <c:pt idx="715">
                  <c:v>-290.2719918962888</c:v>
                </c:pt>
                <c:pt idx="716">
                  <c:v>-287.93198316118486</c:v>
                </c:pt>
                <c:pt idx="717">
                  <c:v>-285.51989530968797</c:v>
                </c:pt>
                <c:pt idx="718">
                  <c:v>-283.03632834910474</c:v>
                </c:pt>
                <c:pt idx="719">
                  <c:v>-280.48190018117691</c:v>
                </c:pt>
                <c:pt idx="720">
                  <c:v>-277.8572464483542</c:v>
                </c:pt>
                <c:pt idx="721">
                  <c:v>-275.1630203756261</c:v>
                </c:pt>
                <c:pt idx="722">
                  <c:v>-272.39989260795113</c:v>
                </c:pt>
                <c:pt idx="723">
                  <c:v>-269.56855104332465</c:v>
                </c:pt>
                <c:pt idx="724">
                  <c:v>-266.66970066152658</c:v>
                </c:pt>
                <c:pt idx="725">
                  <c:v>-263.70406334859138</c:v>
                </c:pt>
                <c:pt idx="726">
                  <c:v>-260.67237771704453</c:v>
                </c:pt>
                <c:pt idx="727">
                  <c:v>-257.57539892194967</c:v>
                </c:pt>
                <c:pt idx="728">
                  <c:v>-254.4138984728128</c:v>
                </c:pt>
                <c:pt idx="729">
                  <c:v>-251.18866404138993</c:v>
                </c:pt>
                <c:pt idx="730">
                  <c:v>-247.90049926544629</c:v>
                </c:pt>
                <c:pt idx="731">
                  <c:v>-244.55022354851593</c:v>
                </c:pt>
                <c:pt idx="732">
                  <c:v>-241.13867185571169</c:v>
                </c:pt>
                <c:pt idx="733">
                  <c:v>-237.6666945056362</c:v>
                </c:pt>
                <c:pt idx="734">
                  <c:v>-234.135156958446</c:v>
                </c:pt>
                <c:pt idx="735">
                  <c:v>-230.54493960012155</c:v>
                </c:pt>
                <c:pt idx="736">
                  <c:v>-226.89693752299675</c:v>
                </c:pt>
                <c:pt idx="737">
                  <c:v>-223.19206030260287</c:v>
                </c:pt>
                <c:pt idx="738">
                  <c:v>-219.4312317708825</c:v>
                </c:pt>
                <c:pt idx="739">
                  <c:v>-215.61538978582993</c:v>
                </c:pt>
                <c:pt idx="740">
                  <c:v>-211.74548599761548</c:v>
                </c:pt>
                <c:pt idx="741">
                  <c:v>-207.82248561125215</c:v>
                </c:pt>
                <c:pt idx="742">
                  <c:v>-203.84736714586384</c:v>
                </c:pt>
                <c:pt idx="743">
                  <c:v>-199.82112219061483</c:v>
                </c:pt>
                <c:pt idx="744">
                  <c:v>-195.74475515736182</c:v>
                </c:pt>
                <c:pt idx="745">
                  <c:v>-191.61928303009006</c:v>
                </c:pt>
                <c:pt idx="746">
                  <c:v>-187.44573511119597</c:v>
                </c:pt>
                <c:pt idx="747">
                  <c:v>-183.22515276467971</c:v>
                </c:pt>
                <c:pt idx="748">
                  <c:v>-178.95858915631172</c:v>
                </c:pt>
                <c:pt idx="749">
                  <c:v>-174.64710899083795</c:v>
                </c:pt>
                <c:pt idx="750">
                  <c:v>-170.2917882462896</c:v>
                </c:pt>
                <c:pt idx="751">
                  <c:v>-165.89371390546341</c:v>
                </c:pt>
                <c:pt idx="752">
                  <c:v>-161.45398368463967</c:v>
                </c:pt>
                <c:pt idx="753">
                  <c:v>-156.97370575960554</c:v>
                </c:pt>
                <c:pt idx="754">
                  <c:v>-152.45399848905225</c:v>
                </c:pt>
                <c:pt idx="755">
                  <c:v>-147.89599013541508</c:v>
                </c:pt>
                <c:pt idx="756">
                  <c:v>-143.30081858322561</c:v>
                </c:pt>
                <c:pt idx="757">
                  <c:v>-138.66963105504703</c:v>
                </c:pt>
                <c:pt idx="758">
                  <c:v>-134.00358382506309</c:v>
                </c:pt>
                <c:pt idx="759">
                  <c:v>-129.30384193039208</c:v>
                </c:pt>
                <c:pt idx="760">
                  <c:v>-124.57157888019833</c:v>
                </c:pt>
                <c:pt idx="761">
                  <c:v>-119.80797636267339</c:v>
                </c:pt>
                <c:pt idx="762">
                  <c:v>-115.0142239499605</c:v>
                </c:pt>
                <c:pt idx="763">
                  <c:v>-110.19151880109565</c:v>
                </c:pt>
                <c:pt idx="764">
                  <c:v>-105.3410653630397</c:v>
                </c:pt>
                <c:pt idx="765">
                  <c:v>-100.46407506987599</c:v>
                </c:pt>
                <c:pt idx="766">
                  <c:v>-95.561766040248727</c:v>
                </c:pt>
                <c:pt idx="767">
                  <c:v>-90.635362773117649</c:v>
                </c:pt>
                <c:pt idx="768">
                  <c:v>-85.686095841904987</c:v>
                </c:pt>
                <c:pt idx="769">
                  <c:v>-80.715201587111039</c:v>
                </c:pt>
                <c:pt idx="770">
                  <c:v>-75.72392180747525</c:v>
                </c:pt>
                <c:pt idx="771">
                  <c:v>-70.71350344975987</c:v>
                </c:pt>
                <c:pt idx="772">
                  <c:v>-65.685198297233711</c:v>
                </c:pt>
                <c:pt idx="773">
                  <c:v>-60.6402626569338</c:v>
                </c:pt>
                <c:pt idx="774">
                  <c:v>-55.579957045783118</c:v>
                </c:pt>
                <c:pt idx="775">
                  <c:v>-50.505545875642767</c:v>
                </c:pt>
                <c:pt idx="776">
                  <c:v>-45.418297137377337</c:v>
                </c:pt>
                <c:pt idx="777">
                  <c:v>-40.319482084012371</c:v>
                </c:pt>
                <c:pt idx="778">
                  <c:v>-35.210374913063077</c:v>
                </c:pt>
                <c:pt idx="779">
                  <c:v>-30.092252448113715</c:v>
                </c:pt>
                <c:pt idx="780">
                  <c:v>-24.966393819727219</c:v>
                </c:pt>
                <c:pt idx="781">
                  <c:v>-19.834080145764776</c:v>
                </c:pt>
                <c:pt idx="782">
                  <c:v>-14.696594211195279</c:v>
                </c:pt>
                <c:pt idx="783">
                  <c:v>-9.555220147474671</c:v>
                </c:pt>
                <c:pt idx="784">
                  <c:v>-4.4112431115753061</c:v>
                </c:pt>
                <c:pt idx="785">
                  <c:v>0.73405103525442161</c:v>
                </c:pt>
                <c:pt idx="786">
                  <c:v>5.8793760489199149</c:v>
                </c:pt>
                <c:pt idx="787">
                  <c:v>11.023445624019303</c:v>
                </c:pt>
                <c:pt idx="788">
                  <c:v>16.164973715411094</c:v>
                </c:pt>
                <c:pt idx="789">
                  <c:v>21.302674859730164</c:v>
                </c:pt>
                <c:pt idx="790">
                  <c:v>26.435264496771708</c:v>
                </c:pt>
                <c:pt idx="791">
                  <c:v>31.561459290662778</c:v>
                </c:pt>
                <c:pt idx="792">
                  <c:v>36.679977450741141</c:v>
                </c:pt>
                <c:pt idx="793">
                  <c:v>41.789539052061201</c:v>
                </c:pt>
                <c:pt idx="794">
                  <c:v>46.888866355446865</c:v>
                </c:pt>
                <c:pt idx="795">
                  <c:v>51.976684127011303</c:v>
                </c:pt>
                <c:pt idx="796">
                  <c:v>57.05171995706371</c:v>
                </c:pt>
                <c:pt idx="797">
                  <c:v>62.112704578323324</c:v>
                </c:pt>
                <c:pt idx="798">
                  <c:v>67.158372183361109</c:v>
                </c:pt>
                <c:pt idx="799">
                  <c:v>72.187460741189739</c:v>
                </c:pt>
                <c:pt idx="800">
                  <c:v>77.198712312922652</c:v>
                </c:pt>
                <c:pt idx="801">
                  <c:v>82.190873366423233</c:v>
                </c:pt>
                <c:pt idx="802">
                  <c:v>87.162695089865537</c:v>
                </c:pt>
                <c:pt idx="803">
                  <c:v>92.112933704127869</c:v>
                </c:pt>
                <c:pt idx="804">
                  <c:v>97.040350773941384</c:v>
                </c:pt>
                <c:pt idx="805">
                  <c:v>101.94371351771559</c:v>
                </c:pt>
                <c:pt idx="806">
                  <c:v>106.82179511596345</c:v>
                </c:pt>
                <c:pt idx="807">
                  <c:v>111.67337501824879</c:v>
                </c:pt>
                <c:pt idx="808">
                  <c:v>116.49723924857928</c:v>
                </c:pt>
                <c:pt idx="809">
                  <c:v>121.29218070916853</c:v>
                </c:pt>
                <c:pt idx="810">
                  <c:v>126.05699948249142</c:v>
                </c:pt>
                <c:pt idx="811">
                  <c:v>130.79050313155685</c:v>
                </c:pt>
                <c:pt idx="812">
                  <c:v>135.49150699832299</c:v>
                </c:pt>
                <c:pt idx="813">
                  <c:v>140.15883450018023</c:v>
                </c:pt>
                <c:pt idx="814">
                  <c:v>144.79131742442772</c:v>
                </c:pt>
                <c:pt idx="815">
                  <c:v>149.3877962206696</c:v>
                </c:pt>
                <c:pt idx="816">
                  <c:v>153.94712029105807</c:v>
                </c:pt>
                <c:pt idx="817">
                  <c:v>158.46814827831031</c:v>
                </c:pt>
                <c:pt idx="818">
                  <c:v>162.94974835142739</c:v>
                </c:pt>
                <c:pt idx="819">
                  <c:v>167.39079848904348</c:v>
                </c:pt>
                <c:pt idx="820">
                  <c:v>171.79018676033459</c:v>
                </c:pt>
                <c:pt idx="821">
                  <c:v>176.14681160341635</c:v>
                </c:pt>
                <c:pt idx="822">
                  <c:v>180.45958210116126</c:v>
                </c:pt>
                <c:pt idx="823">
                  <c:v>184.72741825436628</c:v>
                </c:pt>
                <c:pt idx="824">
                  <c:v>188.94925125220234</c:v>
                </c:pt>
                <c:pt idx="825">
                  <c:v>193.12402373987808</c:v>
                </c:pt>
                <c:pt idx="826">
                  <c:v>197.25069008345091</c:v>
                </c:pt>
                <c:pt idx="827">
                  <c:v>201.3282166317187</c:v>
                </c:pt>
                <c:pt idx="828">
                  <c:v>205.35558197512705</c:v>
                </c:pt>
                <c:pt idx="829">
                  <c:v>209.33177720162675</c:v>
                </c:pt>
                <c:pt idx="830">
                  <c:v>213.25580614941768</c:v>
                </c:pt>
                <c:pt idx="831">
                  <c:v>217.1266856565158</c:v>
                </c:pt>
                <c:pt idx="832">
                  <c:v>220.94344580708051</c:v>
                </c:pt>
                <c:pt idx="833">
                  <c:v>224.70513017444088</c:v>
                </c:pt>
                <c:pt idx="834">
                  <c:v>228.41079606075985</c:v>
                </c:pt>
                <c:pt idx="835">
                  <c:v>232.0595147332761</c:v>
                </c:pt>
                <c:pt idx="836">
                  <c:v>235.65037165706474</c:v>
                </c:pt>
                <c:pt idx="837">
                  <c:v>239.18246672425812</c:v>
                </c:pt>
                <c:pt idx="838">
                  <c:v>242.65491447966966</c:v>
                </c:pt>
                <c:pt idx="839">
                  <c:v>246.06684434276391</c:v>
                </c:pt>
                <c:pt idx="840">
                  <c:v>249.4174008259173</c:v>
                </c:pt>
                <c:pt idx="841">
                  <c:v>252.70574374891473</c:v>
                </c:pt>
                <c:pt idx="842">
                  <c:v>255.93104844962843</c:v>
                </c:pt>
                <c:pt idx="843">
                  <c:v>259.09250599082611</c:v>
                </c:pt>
                <c:pt idx="844">
                  <c:v>262.18932336305659</c:v>
                </c:pt>
                <c:pt idx="845">
                  <c:v>265.22072368356191</c:v>
                </c:pt>
                <c:pt idx="846">
                  <c:v>268.18594639116634</c:v>
                </c:pt>
                <c:pt idx="847">
                  <c:v>271.08424743709304</c:v>
                </c:pt>
                <c:pt idx="848">
                  <c:v>273.91489947166065</c:v>
                </c:pt>
                <c:pt idx="849">
                  <c:v>276.67719202681297</c:v>
                </c:pt>
                <c:pt idx="850">
                  <c:v>279.37043169443604</c:v>
                </c:pt>
                <c:pt idx="851">
                  <c:v>281.99394230041759</c:v>
                </c:pt>
                <c:pt idx="852">
                  <c:v>284.5470650744054</c:v>
                </c:pt>
                <c:pt idx="853">
                  <c:v>287.02915881522182</c:v>
                </c:pt>
                <c:pt idx="854">
                  <c:v>289.43960005189314</c:v>
                </c:pt>
                <c:pt idx="855">
                  <c:v>291.77778320025288</c:v>
                </c:pt>
                <c:pt idx="856">
                  <c:v>294.04312071508036</c:v>
                </c:pt>
                <c:pt idx="857">
                  <c:v>296.23504323773574</c:v>
                </c:pt>
                <c:pt idx="858">
                  <c:v>298.35299973925459</c:v>
                </c:pt>
                <c:pt idx="859">
                  <c:v>300.39645765886632</c:v>
                </c:pt>
                <c:pt idx="860">
                  <c:v>302.36490303790134</c:v>
                </c:pt>
                <c:pt idx="861">
                  <c:v>304.25784064905309</c:v>
                </c:pt>
                <c:pt idx="862">
                  <c:v>306.07479412096325</c:v>
                </c:pt>
                <c:pt idx="863">
                  <c:v>307.81530605809763</c:v>
                </c:pt>
                <c:pt idx="864">
                  <c:v>309.47893815588367</c:v>
                </c:pt>
                <c:pt idx="865">
                  <c:v>311.06527131107987</c:v>
                </c:pt>
                <c:pt idx="866">
                  <c:v>312.57390572734954</c:v>
                </c:pt>
                <c:pt idx="867">
                  <c:v>314.00446101601256</c:v>
                </c:pt>
                <c:pt idx="868">
                  <c:v>315.35657629194918</c:v>
                </c:pt>
                <c:pt idx="869">
                  <c:v>316.6299102646322</c:v>
                </c:pt>
                <c:pt idx="870">
                  <c:v>317.82414132426442</c:v>
                </c:pt>
                <c:pt idx="871">
                  <c:v>318.9389676229996</c:v>
                </c:pt>
                <c:pt idx="872">
                  <c:v>319.97410715122618</c:v>
                </c:pt>
                <c:pt idx="873">
                  <c:v>320.929297808895</c:v>
                </c:pt>
                <c:pt idx="874">
                  <c:v>321.80429747187264</c:v>
                </c:pt>
                <c:pt idx="875">
                  <c:v>322.59888405330349</c:v>
                </c:pt>
                <c:pt idx="876">
                  <c:v>323.31285555996527</c:v>
                </c:pt>
                <c:pt idx="877">
                  <c:v>323.94603014360354</c:v>
                </c:pt>
                <c:pt idx="878">
                  <c:v>324.49824614723224</c:v>
                </c:pt>
                <c:pt idx="879">
                  <c:v>324.96936214638845</c:v>
                </c:pt>
                <c:pt idx="880">
                  <c:v>325.35925698533083</c:v>
                </c:pt>
                <c:pt idx="881">
                  <c:v>325.66782980817237</c:v>
                </c:pt>
                <c:pt idx="882">
                  <c:v>325.89500008493974</c:v>
                </c:pt>
                <c:pt idx="883">
                  <c:v>326.0407076325522</c:v>
                </c:pt>
                <c:pt idx="884">
                  <c:v>326.10491263071492</c:v>
                </c:pt>
                <c:pt idx="885">
                  <c:v>326.08759563272224</c:v>
                </c:pt>
                <c:pt idx="886">
                  <c:v>325.98875757116804</c:v>
                </c:pt>
                <c:pt idx="887">
                  <c:v>325.80841975856174</c:v>
                </c:pt>
                <c:pt idx="888">
                  <c:v>325.54662388284947</c:v>
                </c:pt>
                <c:pt idx="889">
                  <c:v>325.20343199784099</c:v>
                </c:pt>
                <c:pt idx="890">
                  <c:v>324.77892650854534</c:v>
                </c:pt>
                <c:pt idx="891">
                  <c:v>324.27321015141774</c:v>
                </c:pt>
                <c:pt idx="892">
                  <c:v>323.68640596952309</c:v>
                </c:pt>
                <c:pt idx="893">
                  <c:v>323.01865728262186</c:v>
                </c:pt>
                <c:pt idx="894">
                  <c:v>322.27012765218564</c:v>
                </c:pt>
                <c:pt idx="895">
                  <c:v>321.44100084135101</c:v>
                </c:pt>
                <c:pt idx="896">
                  <c:v>320.5314807698212</c:v>
                </c:pt>
                <c:pt idx="897">
                  <c:v>319.54179146372707</c:v>
                </c:pt>
                <c:pt idx="898">
                  <c:v>318.47217700045917</c:v>
                </c:pt>
                <c:pt idx="899">
                  <c:v>317.3229014484852</c:v>
                </c:pt>
                <c:pt idx="900">
                  <c:v>316.09424880216699</c:v>
                </c:pt>
                <c:pt idx="901">
                  <c:v>314.78652291159347</c:v>
                </c:pt>
                <c:pt idx="902">
                  <c:v>313.40004740744683</c:v>
                </c:pt>
                <c:pt idx="903">
                  <c:v>311.93516562092066</c:v>
                </c:pt>
                <c:pt idx="904">
                  <c:v>310.39224049870944</c:v>
                </c:pt>
                <c:pt idx="905">
                  <c:v>308.77165451309099</c:v>
                </c:pt>
                <c:pt idx="906">
                  <c:v>307.07380956712376</c:v>
                </c:pt>
                <c:pt idx="907">
                  <c:v>305.29912689498246</c:v>
                </c:pt>
                <c:pt idx="908">
                  <c:v>303.44804695745705</c:v>
                </c:pt>
                <c:pt idx="909">
                  <c:v>301.52102933264058</c:v>
                </c:pt>
                <c:pt idx="910">
                  <c:v>299.51855260183356</c:v>
                </c:pt>
                <c:pt idx="911">
                  <c:v>297.44111423069256</c:v>
                </c:pt>
                <c:pt idx="912">
                  <c:v>295.289230445653</c:v>
                </c:pt>
                <c:pt idx="913">
                  <c:v>293.06343610565659</c:v>
                </c:pt>
                <c:pt idx="914">
                  <c:v>290.76428456921565</c:v>
                </c:pt>
                <c:pt idx="915">
                  <c:v>288.39234755684669</c:v>
                </c:pt>
                <c:pt idx="916">
                  <c:v>285.94821500890816</c:v>
                </c:pt>
                <c:pt idx="917">
                  <c:v>283.43249493887731</c:v>
                </c:pt>
                <c:pt idx="918">
                  <c:v>280.84581328210271</c:v>
                </c:pt>
                <c:pt idx="919">
                  <c:v>278.18881374007009</c:v>
                </c:pt>
                <c:pt idx="920">
                  <c:v>275.4621576202203</c:v>
                </c:pt>
                <c:pt idx="921">
                  <c:v>272.66652367135907</c:v>
                </c:pt>
                <c:pt idx="922">
                  <c:v>269.80260791469982</c:v>
                </c:pt>
                <c:pt idx="923">
                  <c:v>266.87112347058127</c:v>
                </c:pt>
                <c:pt idx="924">
                  <c:v>263.87280038090324</c:v>
                </c:pt>
                <c:pt idx="925">
                  <c:v>260.80838542732465</c:v>
                </c:pt>
                <c:pt idx="926">
                  <c:v>257.67864194526908</c:v>
                </c:pt>
                <c:pt idx="927">
                  <c:v>254.4843496337844</c:v>
                </c:pt>
                <c:pt idx="928">
                  <c:v>251.22630436130342</c:v>
                </c:pt>
                <c:pt idx="929">
                  <c:v>247.90531796735419</c:v>
                </c:pt>
                <c:pt idx="930">
                  <c:v>244.52221806026961</c:v>
                </c:pt>
                <c:pt idx="931">
                  <c:v>241.07784781094614</c:v>
                </c:pt>
                <c:pt idx="932">
                  <c:v>237.57306574270356</c:v>
                </c:pt>
                <c:pt idx="933">
                  <c:v>234.00874551729797</c:v>
                </c:pt>
                <c:pt idx="934">
                  <c:v>230.38577571714109</c:v>
                </c:pt>
                <c:pt idx="935">
                  <c:v>226.7050596237807</c:v>
                </c:pt>
                <c:pt idx="936">
                  <c:v>222.96751499269695</c:v>
                </c:pt>
                <c:pt idx="937">
                  <c:v>219.1740738244709</c:v>
                </c:pt>
                <c:pt idx="938">
                  <c:v>215.32568213238241</c:v>
                </c:pt>
                <c:pt idx="939">
                  <c:v>211.42329970649507</c:v>
                </c:pt>
                <c:pt idx="940">
                  <c:v>207.46789987428735</c:v>
                </c:pt>
                <c:pt idx="941">
                  <c:v>203.46046925788937</c:v>
                </c:pt>
                <c:pt idx="942">
                  <c:v>199.402007527986</c:v>
                </c:pt>
                <c:pt idx="943">
                  <c:v>195.29352715444759</c:v>
                </c:pt>
                <c:pt idx="944">
                  <c:v>191.13605315375071</c:v>
                </c:pt>
                <c:pt idx="945">
                  <c:v>186.93062283325153</c:v>
                </c:pt>
                <c:pt idx="946">
                  <c:v>182.67828553237615</c:v>
                </c:pt>
                <c:pt idx="947">
                  <c:v>178.38010236079199</c:v>
                </c:pt>
                <c:pt idx="948">
                  <c:v>174.03714593362588</c:v>
                </c:pt>
                <c:pt idx="949">
                  <c:v>169.65050010379474</c:v>
                </c:pt>
                <c:pt idx="950">
                  <c:v>165.22125969151574</c:v>
                </c:pt>
                <c:pt idx="951">
                  <c:v>160.75053021106348</c:v>
                </c:pt>
                <c:pt idx="952">
                  <c:v>156.23942759484214</c:v>
                </c:pt>
                <c:pt idx="953">
                  <c:v>151.68907791484193</c:v>
                </c:pt>
                <c:pt idx="954">
                  <c:v>147.10061710154883</c:v>
                </c:pt>
                <c:pt idx="955">
                  <c:v>142.47519066037813</c:v>
                </c:pt>
                <c:pt idx="956">
                  <c:v>137.81395338570252</c:v>
                </c:pt>
                <c:pt idx="957">
                  <c:v>133.11806907254601</c:v>
                </c:pt>
                <c:pt idx="958">
                  <c:v>128.38871022601577</c:v>
                </c:pt>
                <c:pt idx="959">
                  <c:v>123.62705776854435</c:v>
                </c:pt>
                <c:pt idx="960">
                  <c:v>118.83430074501534</c:v>
                </c:pt>
                <c:pt idx="961">
                  <c:v>114.01163602584633</c:v>
                </c:pt>
                <c:pt idx="962">
                  <c:v>109.16026800810302</c:v>
                </c:pt>
                <c:pt idx="963">
                  <c:v>104.28140831471931</c:v>
                </c:pt>
                <c:pt idx="964">
                  <c:v>99.376275491898454</c:v>
                </c:pt>
                <c:pt idx="965">
                  <c:v>94.446094704770687</c:v>
                </c:pt>
                <c:pt idx="966">
                  <c:v>89.492097431383641</c:v>
                </c:pt>
                <c:pt idx="967">
                  <c:v>84.515521155101737</c:v>
                </c:pt>
                <c:pt idx="968">
                  <c:v>79.51760905549142</c:v>
                </c:pt>
                <c:pt idx="969">
                  <c:v>74.499609697769571</c:v>
                </c:pt>
                <c:pt idx="970">
                  <c:v>69.462776720892521</c:v>
                </c:pt>
                <c:pt idx="971">
                  <c:v>64.408368524363709</c:v>
                </c:pt>
                <c:pt idx="972">
                  <c:v>59.337647953838172</c:v>
                </c:pt>
                <c:pt idx="973">
                  <c:v>54.251881985602381</c:v>
                </c:pt>
                <c:pt idx="974">
                  <c:v>49.152341410008333</c:v>
                </c:pt>
                <c:pt idx="975">
                  <c:v>44.040300513940949</c:v>
                </c:pt>
                <c:pt idx="976">
                  <c:v>38.917036762398098</c:v>
                </c:pt>
                <c:pt idx="977">
                  <c:v>33.783830479262882</c:v>
                </c:pt>
                <c:pt idx="978">
                  <c:v>28.641964527347874</c:v>
                </c:pt>
                <c:pt idx="979">
                  <c:v>23.492723987791337</c:v>
                </c:pt>
                <c:pt idx="980">
                  <c:v>18.337395838885488</c:v>
                </c:pt>
                <c:pt idx="981">
                  <c:v>13.177268634417128</c:v>
                </c:pt>
                <c:pt idx="982">
                  <c:v>8.0136321816009755</c:v>
                </c:pt>
                <c:pt idx="983">
                  <c:v>2.8477772186862502</c:v>
                </c:pt>
                <c:pt idx="984">
                  <c:v>-2.3190049076829373</c:v>
                </c:pt>
                <c:pt idx="985">
                  <c:v>-7.4854225652727289</c:v>
                </c:pt>
                <c:pt idx="986">
                  <c:v>-12.650184159149514</c:v>
                </c:pt>
                <c:pt idx="987">
                  <c:v>-17.811998454574056</c:v>
                </c:pt>
                <c:pt idx="988">
                  <c:v>-22.969574899819008</c:v>
                </c:pt>
                <c:pt idx="989">
                  <c:v>-28.121623948829154</c:v>
                </c:pt>
                <c:pt idx="990">
                  <c:v>-33.266857383643654</c:v>
                </c:pt>
                <c:pt idx="991">
                  <c:v>-38.403988636499726</c:v>
                </c:pt>
                <c:pt idx="992">
                  <c:v>-43.5317331115372</c:v>
                </c:pt>
                <c:pt idx="993">
                  <c:v>-48.648808506023499</c:v>
                </c:pt>
                <c:pt idx="994">
                  <c:v>-53.753935131018757</c:v>
                </c:pt>
                <c:pt idx="995">
                  <c:v>-58.845836231400831</c:v>
                </c:pt>
                <c:pt idx="996">
                  <c:v>-63.923238305170237</c:v>
                </c:pt>
                <c:pt idx="997">
                  <c:v>-68.984871421955091</c:v>
                </c:pt>
                <c:pt idx="998">
                  <c:v>-74.02946954063647</c:v>
                </c:pt>
                <c:pt idx="999">
                  <c:v>-79.055770826014665</c:v>
                </c:pt>
                <c:pt idx="1000">
                  <c:v>-84.06251796443722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59-47D3-A282-DB969E2CA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438880"/>
        <c:axId val="1"/>
      </c:scatterChart>
      <c:valAx>
        <c:axId val="434438880"/>
        <c:scaling>
          <c:orientation val="minMax"/>
          <c:max val="100"/>
        </c:scaling>
        <c:delete val="0"/>
        <c:axPos val="b"/>
        <c:numFmt formatCode="0.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434438880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ico2"/>
  <sheetViews>
    <sheetView workbookViewId="0"/>
  </sheetViews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ico4"/>
  <sheetViews>
    <sheetView workbookViewId="0"/>
  </sheetViews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ico5"/>
  <sheetViews>
    <sheetView zoomScale="101" workbookViewId="0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Scroll" dx="16" fmlaLink="$D$2" horiz="1" max="100" page="10" val="28"/>
</file>

<file path=xl/ctrlProps/ctrlProp2.xml><?xml version="1.0" encoding="utf-8"?>
<formControlPr xmlns="http://schemas.microsoft.com/office/spreadsheetml/2009/9/main" objectType="Scroll" dx="16" fmlaLink="$D$2" max="1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152400</xdr:colOff>
      <xdr:row>7</xdr:row>
      <xdr:rowOff>171450</xdr:rowOff>
    </xdr:from>
    <xdr:to>
      <xdr:col>11</xdr:col>
      <xdr:colOff>9525</xdr:colOff>
      <xdr:row>17</xdr:row>
      <xdr:rowOff>171450</xdr:rowOff>
    </xdr:to>
    <xdr:graphicFrame macro="">
      <xdr:nvGraphicFramePr>
        <xdr:cNvPr id="4098" name="Gráfico 2">
          <a:extLst>
            <a:ext uri="{FF2B5EF4-FFF2-40B4-BE49-F238E27FC236}">
              <a16:creationId xmlns:a16="http://schemas.microsoft.com/office/drawing/2014/main" id="{BDDEDEA0-F2C8-4FEC-B126-AA06AE98A2F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7</xdr:row>
          <xdr:rowOff>0</xdr:rowOff>
        </xdr:from>
        <xdr:to>
          <xdr:col>11</xdr:col>
          <xdr:colOff>0</xdr:colOff>
          <xdr:row>7</xdr:row>
          <xdr:rowOff>161925</xdr:rowOff>
        </xdr:to>
        <xdr:sp macro="" textlink="">
          <xdr:nvSpPr>
            <xdr:cNvPr id="4097" name="Scroll Bar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CBA58499-6F64-46F5-A842-99A2BC27A1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648825" cy="601027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FC89104-6715-4D9E-A7A1-EE46AC41E5C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0</xdr:row>
          <xdr:rowOff>95250</xdr:rowOff>
        </xdr:from>
        <xdr:to>
          <xdr:col>16</xdr:col>
          <xdr:colOff>228600</xdr:colOff>
          <xdr:row>10</xdr:row>
          <xdr:rowOff>114300</xdr:rowOff>
        </xdr:to>
        <xdr:sp macro="" textlink="">
          <xdr:nvSpPr>
            <xdr:cNvPr id="5127" name="Scroll Bar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48002FA8-773F-4AC9-8177-54F1EF4CA5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648825" cy="601027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5F64476-0438-4830-8347-680C49A1923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7599" cy="6016782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F0ED666-AB3C-4F23-AECE-B6800F739BE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F1010"/>
  <sheetViews>
    <sheetView zoomScale="170" zoomScaleNormal="170" workbookViewId="0">
      <selection activeCell="H7" sqref="H7"/>
    </sheetView>
  </sheetViews>
  <sheetFormatPr defaultRowHeight="15" x14ac:dyDescent="0.25"/>
  <sheetData>
    <row r="1" spans="1:6" x14ac:dyDescent="0.25">
      <c r="A1" s="5" t="s">
        <v>32</v>
      </c>
    </row>
    <row r="2" spans="1:6" x14ac:dyDescent="0.25">
      <c r="B2" s="3" t="s">
        <v>31</v>
      </c>
      <c r="C2">
        <f>D2/100</f>
        <v>0.28000000000000003</v>
      </c>
      <c r="D2">
        <v>28</v>
      </c>
    </row>
    <row r="3" spans="1:6" x14ac:dyDescent="0.25">
      <c r="B3" s="3" t="s">
        <v>30</v>
      </c>
      <c r="C3">
        <v>0.1</v>
      </c>
      <c r="E3" t="s">
        <v>29</v>
      </c>
    </row>
    <row r="4" spans="1:6" x14ac:dyDescent="0.25">
      <c r="B4" s="3" t="s">
        <v>28</v>
      </c>
      <c r="C4">
        <v>6</v>
      </c>
      <c r="D4" t="s">
        <v>27</v>
      </c>
    </row>
    <row r="5" spans="1:6" x14ac:dyDescent="0.25">
      <c r="B5" s="3" t="s">
        <v>26</v>
      </c>
      <c r="C5">
        <v>5</v>
      </c>
      <c r="D5" s="2" t="s">
        <v>15</v>
      </c>
      <c r="E5" t="s">
        <v>25</v>
      </c>
    </row>
    <row r="6" spans="1:6" x14ac:dyDescent="0.25">
      <c r="B6" s="3" t="s">
        <v>24</v>
      </c>
      <c r="C6">
        <v>-10</v>
      </c>
      <c r="D6" t="s">
        <v>23</v>
      </c>
      <c r="E6" t="s">
        <v>22</v>
      </c>
    </row>
    <row r="7" spans="1:6" x14ac:dyDescent="0.25">
      <c r="B7" s="3" t="s">
        <v>7</v>
      </c>
      <c r="C7">
        <v>0.2</v>
      </c>
    </row>
    <row r="9" spans="1:6" x14ac:dyDescent="0.25">
      <c r="B9" t="s">
        <v>4</v>
      </c>
      <c r="C9" t="s">
        <v>21</v>
      </c>
      <c r="D9" t="s">
        <v>20</v>
      </c>
      <c r="E9" t="s">
        <v>19</v>
      </c>
      <c r="F9" t="s">
        <v>18</v>
      </c>
    </row>
    <row r="10" spans="1:6" x14ac:dyDescent="0.25">
      <c r="B10" s="1">
        <v>0</v>
      </c>
      <c r="C10" s="1">
        <f>C5</f>
        <v>5</v>
      </c>
      <c r="D10" s="1">
        <f t="shared" ref="D10:D73" si="0">E10</f>
        <v>-10</v>
      </c>
      <c r="E10" s="1">
        <f>C6</f>
        <v>-10</v>
      </c>
      <c r="F10" s="1">
        <f t="shared" ref="F10:F73" si="1">-$C$3*C10/$C$4-$C$2/$C$4*E10</f>
        <v>0.38333333333333336</v>
      </c>
    </row>
    <row r="11" spans="1:6" x14ac:dyDescent="0.25">
      <c r="B11" s="1">
        <f t="shared" ref="B11:B74" si="2">B10+$C$7</f>
        <v>0.2</v>
      </c>
      <c r="C11" s="1">
        <f t="shared" ref="C11:C74" si="3">C10+D10*$C$7</f>
        <v>3</v>
      </c>
      <c r="D11" s="1">
        <f t="shared" si="0"/>
        <v>-9.9233333333333338</v>
      </c>
      <c r="E11" s="1">
        <f t="shared" ref="E11:E74" si="4">E10+F10*$C$7</f>
        <v>-9.9233333333333338</v>
      </c>
      <c r="F11" s="1">
        <f t="shared" si="1"/>
        <v>0.41308888888888895</v>
      </c>
    </row>
    <row r="12" spans="1:6" x14ac:dyDescent="0.25">
      <c r="B12" s="1">
        <f t="shared" si="2"/>
        <v>0.4</v>
      </c>
      <c r="C12" s="1">
        <f t="shared" si="3"/>
        <v>1.0153333333333332</v>
      </c>
      <c r="D12" s="1">
        <f t="shared" si="0"/>
        <v>-9.8407155555555565</v>
      </c>
      <c r="E12" s="1">
        <f t="shared" si="4"/>
        <v>-9.8407155555555565</v>
      </c>
      <c r="F12" s="1">
        <f t="shared" si="1"/>
        <v>0.44231117037037043</v>
      </c>
    </row>
    <row r="13" spans="1:6" x14ac:dyDescent="0.25">
      <c r="B13" s="1">
        <f t="shared" si="2"/>
        <v>0.60000000000000009</v>
      </c>
      <c r="C13" s="1">
        <f t="shared" si="3"/>
        <v>-0.9528097777777782</v>
      </c>
      <c r="D13" s="1">
        <f t="shared" si="0"/>
        <v>-9.7522533214814828</v>
      </c>
      <c r="E13" s="1">
        <f t="shared" si="4"/>
        <v>-9.7522533214814828</v>
      </c>
      <c r="F13" s="1">
        <f t="shared" si="1"/>
        <v>0.47098531796543219</v>
      </c>
    </row>
    <row r="14" spans="1:6" x14ac:dyDescent="0.25">
      <c r="B14" s="1">
        <f t="shared" si="2"/>
        <v>0.8</v>
      </c>
      <c r="C14" s="1">
        <f t="shared" si="3"/>
        <v>-2.9032604420740746</v>
      </c>
      <c r="D14" s="1">
        <f t="shared" si="0"/>
        <v>-9.6580562578883971</v>
      </c>
      <c r="E14" s="1">
        <f t="shared" si="4"/>
        <v>-9.6580562578883971</v>
      </c>
      <c r="F14" s="1">
        <f t="shared" si="1"/>
        <v>0.49909696606935977</v>
      </c>
    </row>
    <row r="15" spans="1:6" x14ac:dyDescent="0.25">
      <c r="B15" s="1">
        <f t="shared" si="2"/>
        <v>1</v>
      </c>
      <c r="C15" s="1">
        <f t="shared" si="3"/>
        <v>-4.8348716936517544</v>
      </c>
      <c r="D15" s="1">
        <f t="shared" si="0"/>
        <v>-9.5582368646745248</v>
      </c>
      <c r="E15" s="1">
        <f t="shared" si="4"/>
        <v>-9.5582368646745248</v>
      </c>
      <c r="F15" s="1">
        <f t="shared" si="1"/>
        <v>0.52663224857900715</v>
      </c>
    </row>
    <row r="16" spans="1:6" x14ac:dyDescent="0.25">
      <c r="B16" s="1">
        <f t="shared" si="2"/>
        <v>1.2</v>
      </c>
      <c r="C16" s="1">
        <f t="shared" si="3"/>
        <v>-6.746519066586659</v>
      </c>
      <c r="D16" s="1">
        <f t="shared" si="0"/>
        <v>-9.4529104149587226</v>
      </c>
      <c r="E16" s="1">
        <f t="shared" si="4"/>
        <v>-9.4529104149587226</v>
      </c>
      <c r="F16" s="1">
        <f t="shared" si="1"/>
        <v>0.55357780380785138</v>
      </c>
    </row>
    <row r="17" spans="2:6" x14ac:dyDescent="0.25">
      <c r="B17" s="1">
        <f t="shared" si="2"/>
        <v>1.4</v>
      </c>
      <c r="C17" s="1">
        <f t="shared" si="3"/>
        <v>-8.6371011495784042</v>
      </c>
      <c r="D17" s="1">
        <f t="shared" si="0"/>
        <v>-9.3421948541971531</v>
      </c>
      <c r="E17" s="1">
        <f t="shared" si="4"/>
        <v>-9.3421948541971531</v>
      </c>
      <c r="F17" s="1">
        <f t="shared" si="1"/>
        <v>0.57992077902217387</v>
      </c>
    </row>
    <row r="18" spans="2:6" x14ac:dyDescent="0.25">
      <c r="B18" s="1">
        <f t="shared" si="2"/>
        <v>1.5999999999999999</v>
      </c>
      <c r="C18" s="1">
        <f t="shared" si="3"/>
        <v>-10.505540120417836</v>
      </c>
      <c r="D18" s="1">
        <f t="shared" si="0"/>
        <v>-9.2262106983927179</v>
      </c>
      <c r="E18" s="1">
        <f t="shared" si="4"/>
        <v>-9.2262106983927179</v>
      </c>
      <c r="F18" s="1">
        <f t="shared" si="1"/>
        <v>0.60564883459862406</v>
      </c>
    </row>
    <row r="19" spans="2:6" x14ac:dyDescent="0.25">
      <c r="B19" s="1">
        <f t="shared" si="2"/>
        <v>1.7999999999999998</v>
      </c>
      <c r="C19" s="1">
        <f t="shared" si="3"/>
        <v>-12.350782260096379</v>
      </c>
      <c r="D19" s="1">
        <f t="shared" si="0"/>
        <v>-9.1050809314729939</v>
      </c>
      <c r="E19" s="1">
        <f t="shared" si="4"/>
        <v>-9.1050809314729939</v>
      </c>
      <c r="F19" s="1">
        <f t="shared" si="1"/>
        <v>0.63075014780367944</v>
      </c>
    </row>
    <row r="20" spans="2:6" x14ac:dyDescent="0.25">
      <c r="B20" s="1">
        <f t="shared" si="2"/>
        <v>1.9999999999999998</v>
      </c>
      <c r="C20" s="1">
        <f t="shared" si="3"/>
        <v>-14.171798446390978</v>
      </c>
      <c r="D20" s="1">
        <f t="shared" si="0"/>
        <v>-8.9789309019122587</v>
      </c>
      <c r="E20" s="1">
        <f t="shared" si="4"/>
        <v>-8.9789309019122587</v>
      </c>
      <c r="F20" s="1">
        <f t="shared" si="1"/>
        <v>0.65521341619575513</v>
      </c>
    </row>
    <row r="21" spans="2:6" x14ac:dyDescent="0.25">
      <c r="B21" s="1">
        <f t="shared" si="2"/>
        <v>2.1999999999999997</v>
      </c>
      <c r="C21" s="1">
        <f t="shared" si="3"/>
        <v>-15.96758462677343</v>
      </c>
      <c r="D21" s="1">
        <f t="shared" si="0"/>
        <v>-8.8478882186731074</v>
      </c>
      <c r="E21" s="1">
        <f t="shared" si="4"/>
        <v>-8.8478882186731074</v>
      </c>
      <c r="F21" s="1">
        <f t="shared" si="1"/>
        <v>0.67902786065096876</v>
      </c>
    </row>
    <row r="22" spans="2:6" x14ac:dyDescent="0.25">
      <c r="B22" s="1">
        <f t="shared" si="2"/>
        <v>2.4</v>
      </c>
      <c r="C22" s="1">
        <f t="shared" si="3"/>
        <v>-17.737162270508051</v>
      </c>
      <c r="D22" s="1">
        <f t="shared" si="0"/>
        <v>-8.712082646542914</v>
      </c>
      <c r="E22" s="1">
        <f t="shared" si="4"/>
        <v>-8.712082646542914</v>
      </c>
      <c r="F22" s="1">
        <f t="shared" si="1"/>
        <v>0.70218322801380362</v>
      </c>
    </row>
    <row r="23" spans="2:6" x14ac:dyDescent="0.25">
      <c r="B23" s="1">
        <f t="shared" si="2"/>
        <v>2.6</v>
      </c>
      <c r="C23" s="1">
        <f t="shared" si="3"/>
        <v>-19.479578799816633</v>
      </c>
      <c r="D23" s="1">
        <f t="shared" si="0"/>
        <v>-8.5716460009401541</v>
      </c>
      <c r="E23" s="1">
        <f t="shared" si="4"/>
        <v>-8.5716460009401541</v>
      </c>
      <c r="F23" s="1">
        <f t="shared" si="1"/>
        <v>0.72466979337415105</v>
      </c>
    </row>
    <row r="24" spans="2:6" x14ac:dyDescent="0.25">
      <c r="B24" s="1">
        <f t="shared" si="2"/>
        <v>2.8000000000000003</v>
      </c>
      <c r="C24" s="1">
        <f t="shared" si="3"/>
        <v>-21.193908000004662</v>
      </c>
      <c r="D24" s="1">
        <f t="shared" si="0"/>
        <v>-8.4267120422653239</v>
      </c>
      <c r="E24" s="1">
        <f t="shared" si="4"/>
        <v>-8.4267120422653239</v>
      </c>
      <c r="F24" s="1">
        <f t="shared" si="1"/>
        <v>0.74647836197245954</v>
      </c>
    </row>
    <row r="25" spans="2:6" x14ac:dyDescent="0.25">
      <c r="B25" s="1">
        <f t="shared" si="2"/>
        <v>3.0000000000000004</v>
      </c>
      <c r="C25" s="1">
        <f t="shared" si="3"/>
        <v>-22.879250408457725</v>
      </c>
      <c r="D25" s="1">
        <f t="shared" si="0"/>
        <v>-8.2774163698708314</v>
      </c>
      <c r="E25" s="1">
        <f t="shared" si="4"/>
        <v>-8.2774163698708314</v>
      </c>
      <c r="F25" s="1">
        <f t="shared" si="1"/>
        <v>0.7676002707349342</v>
      </c>
    </row>
    <row r="26" spans="2:6" x14ac:dyDescent="0.25">
      <c r="B26" s="1">
        <f t="shared" si="2"/>
        <v>3.2000000000000006</v>
      </c>
      <c r="C26" s="1">
        <f t="shared" si="3"/>
        <v>-24.534733682431892</v>
      </c>
      <c r="D26" s="1">
        <f t="shared" si="0"/>
        <v>-8.1238963157238437</v>
      </c>
      <c r="E26" s="1">
        <f t="shared" si="4"/>
        <v>-8.1238963157238437</v>
      </c>
      <c r="F26" s="1">
        <f t="shared" si="1"/>
        <v>0.78802738944097761</v>
      </c>
    </row>
    <row r="27" spans="2:6" x14ac:dyDescent="0.25">
      <c r="B27" s="1">
        <f t="shared" si="2"/>
        <v>3.4000000000000008</v>
      </c>
      <c r="C27" s="1">
        <f t="shared" si="3"/>
        <v>-26.159512945576662</v>
      </c>
      <c r="D27" s="1">
        <f t="shared" si="0"/>
        <v>-7.9662908378356478</v>
      </c>
      <c r="E27" s="1">
        <f t="shared" si="4"/>
        <v>-7.9662908378356478</v>
      </c>
      <c r="F27" s="1">
        <f t="shared" si="1"/>
        <v>0.80775212152527454</v>
      </c>
    </row>
    <row r="28" spans="2:6" x14ac:dyDescent="0.25">
      <c r="B28" s="1">
        <f t="shared" si="2"/>
        <v>3.600000000000001</v>
      </c>
      <c r="C28" s="1">
        <f t="shared" si="3"/>
        <v>-27.75277111314379</v>
      </c>
      <c r="D28" s="1">
        <f t="shared" si="0"/>
        <v>-7.8047404135305927</v>
      </c>
      <c r="E28" s="1">
        <f t="shared" si="4"/>
        <v>-7.8047404135305927</v>
      </c>
      <c r="F28" s="1">
        <f t="shared" si="1"/>
        <v>0.82676740451715758</v>
      </c>
    </row>
    <row r="29" spans="2:6" x14ac:dyDescent="0.25">
      <c r="B29" s="1">
        <f t="shared" si="2"/>
        <v>3.8000000000000012</v>
      </c>
      <c r="C29" s="1">
        <f t="shared" si="3"/>
        <v>-29.313719195849909</v>
      </c>
      <c r="D29" s="1">
        <f t="shared" si="0"/>
        <v>-7.6393869326271613</v>
      </c>
      <c r="E29" s="1">
        <f t="shared" si="4"/>
        <v>-7.6393869326271613</v>
      </c>
      <c r="F29" s="1">
        <f t="shared" si="1"/>
        <v>0.84506671012009948</v>
      </c>
    </row>
    <row r="30" spans="2:6" x14ac:dyDescent="0.25">
      <c r="B30" s="1">
        <f t="shared" si="2"/>
        <v>4.0000000000000009</v>
      </c>
      <c r="C30" s="1">
        <f t="shared" si="3"/>
        <v>-30.841596582375342</v>
      </c>
      <c r="D30" s="1">
        <f t="shared" si="0"/>
        <v>-7.470373590603141</v>
      </c>
      <c r="E30" s="1">
        <f t="shared" si="4"/>
        <v>-7.470373590603141</v>
      </c>
      <c r="F30" s="1">
        <f t="shared" si="1"/>
        <v>0.8626440439344023</v>
      </c>
    </row>
    <row r="31" spans="2:6" x14ac:dyDescent="0.25">
      <c r="B31" s="1">
        <f t="shared" si="2"/>
        <v>4.2000000000000011</v>
      </c>
      <c r="C31" s="1">
        <f t="shared" si="3"/>
        <v>-32.335671300495967</v>
      </c>
      <c r="D31" s="1">
        <f t="shared" si="0"/>
        <v>-7.2978447818162602</v>
      </c>
      <c r="E31" s="1">
        <f t="shared" si="4"/>
        <v>-7.2978447818162602</v>
      </c>
      <c r="F31" s="1">
        <f t="shared" si="1"/>
        <v>0.87949394482635834</v>
      </c>
    </row>
    <row r="32" spans="2:6" x14ac:dyDescent="0.25">
      <c r="B32" s="1">
        <f t="shared" si="2"/>
        <v>4.4000000000000012</v>
      </c>
      <c r="C32" s="1">
        <f t="shared" si="3"/>
        <v>-33.795240256859216</v>
      </c>
      <c r="D32" s="1">
        <f t="shared" si="0"/>
        <v>-7.1219459928509883</v>
      </c>
      <c r="E32" s="1">
        <f t="shared" si="4"/>
        <v>-7.1219459928509883</v>
      </c>
      <c r="F32" s="1">
        <f t="shared" si="1"/>
        <v>0.89561148394736634</v>
      </c>
    </row>
    <row r="33" spans="2:6" x14ac:dyDescent="0.25">
      <c r="B33" s="1">
        <f t="shared" si="2"/>
        <v>4.6000000000000014</v>
      </c>
      <c r="C33" s="1">
        <f t="shared" si="3"/>
        <v>-35.219629455429413</v>
      </c>
      <c r="D33" s="1">
        <f t="shared" si="0"/>
        <v>-6.9428236960615148</v>
      </c>
      <c r="E33" s="1">
        <f t="shared" si="4"/>
        <v>-6.9428236960615148</v>
      </c>
      <c r="F33" s="1">
        <f t="shared" si="1"/>
        <v>0.91099226340669426</v>
      </c>
    </row>
    <row r="34" spans="2:6" x14ac:dyDescent="0.25">
      <c r="B34" s="1">
        <f t="shared" si="2"/>
        <v>4.8000000000000016</v>
      </c>
      <c r="C34" s="1">
        <f t="shared" si="3"/>
        <v>-36.608194194641719</v>
      </c>
      <c r="D34" s="1">
        <f t="shared" si="0"/>
        <v>-6.7606252433801757</v>
      </c>
      <c r="E34" s="1">
        <f t="shared" si="4"/>
        <v>-6.7606252433801757</v>
      </c>
      <c r="F34" s="1">
        <f t="shared" si="1"/>
        <v>0.92563241460177026</v>
      </c>
    </row>
    <row r="35" spans="2:6" x14ac:dyDescent="0.25">
      <c r="B35" s="1">
        <f t="shared" si="2"/>
        <v>5.0000000000000018</v>
      </c>
      <c r="C35" s="1">
        <f t="shared" si="3"/>
        <v>-37.960319243317755</v>
      </c>
      <c r="D35" s="1">
        <f t="shared" si="0"/>
        <v>-6.5754987604598218</v>
      </c>
      <c r="E35" s="1">
        <f t="shared" si="4"/>
        <v>-6.5754987604598218</v>
      </c>
      <c r="F35" s="1">
        <f t="shared" si="1"/>
        <v>0.93952859621008766</v>
      </c>
    </row>
    <row r="36" spans="2:6" x14ac:dyDescent="0.25">
      <c r="B36" s="1">
        <f t="shared" si="2"/>
        <v>5.200000000000002</v>
      </c>
      <c r="C36" s="1">
        <f t="shared" si="3"/>
        <v>-39.275418995409723</v>
      </c>
      <c r="D36" s="1">
        <f t="shared" si="0"/>
        <v>-6.3875930412178041</v>
      </c>
      <c r="E36" s="1">
        <f t="shared" si="4"/>
        <v>-6.3875930412178041</v>
      </c>
      <c r="F36" s="1">
        <f t="shared" si="1"/>
        <v>0.95267799184699298</v>
      </c>
    </row>
    <row r="37" spans="2:6" x14ac:dyDescent="0.25">
      <c r="B37" s="1">
        <f t="shared" si="2"/>
        <v>5.4000000000000021</v>
      </c>
      <c r="C37" s="1">
        <f t="shared" si="3"/>
        <v>-40.552937603653284</v>
      </c>
      <c r="D37" s="1">
        <f t="shared" si="0"/>
        <v>-6.197057442848406</v>
      </c>
      <c r="E37" s="1">
        <f t="shared" si="4"/>
        <v>-6.197057442848406</v>
      </c>
      <c r="F37" s="1">
        <f t="shared" si="1"/>
        <v>0.96507830739381373</v>
      </c>
    </row>
    <row r="38" spans="2:6" x14ac:dyDescent="0.25">
      <c r="B38" s="1">
        <f t="shared" si="2"/>
        <v>5.6000000000000023</v>
      </c>
      <c r="C38" s="1">
        <f t="shared" si="3"/>
        <v>-41.792349092222963</v>
      </c>
      <c r="D38" s="1">
        <f t="shared" si="0"/>
        <v>-6.0040417813696436</v>
      </c>
      <c r="E38" s="1">
        <f t="shared" si="4"/>
        <v>-6.0040417813696436</v>
      </c>
      <c r="F38" s="1">
        <f t="shared" si="1"/>
        <v>0.97672776800096628</v>
      </c>
    </row>
    <row r="39" spans="2:6" x14ac:dyDescent="0.25">
      <c r="B39" s="1">
        <f t="shared" si="2"/>
        <v>5.8000000000000025</v>
      </c>
      <c r="C39" s="1">
        <f t="shared" si="3"/>
        <v>-42.993157448496895</v>
      </c>
      <c r="D39" s="1">
        <f t="shared" si="0"/>
        <v>-5.8086962277694507</v>
      </c>
      <c r="E39" s="1">
        <f t="shared" si="4"/>
        <v>-5.8086962277694507</v>
      </c>
      <c r="F39" s="1">
        <f t="shared" si="1"/>
        <v>0.98762511477085591</v>
      </c>
    </row>
    <row r="40" spans="2:6" x14ac:dyDescent="0.25">
      <c r="B40" s="1">
        <f t="shared" si="2"/>
        <v>6.0000000000000027</v>
      </c>
      <c r="C40" s="1">
        <f t="shared" si="3"/>
        <v>-44.154896694050784</v>
      </c>
      <c r="D40" s="1">
        <f t="shared" si="0"/>
        <v>-5.61117120481528</v>
      </c>
      <c r="E40" s="1">
        <f t="shared" si="4"/>
        <v>-5.61117120481528</v>
      </c>
      <c r="F40" s="1">
        <f t="shared" si="1"/>
        <v>0.99776960112555968</v>
      </c>
    </row>
    <row r="41" spans="2:6" x14ac:dyDescent="0.25">
      <c r="B41" s="1">
        <f t="shared" si="2"/>
        <v>6.2000000000000028</v>
      </c>
      <c r="C41" s="1">
        <f t="shared" si="3"/>
        <v>-45.277130935013837</v>
      </c>
      <c r="D41" s="1">
        <f t="shared" si="0"/>
        <v>-5.411617284590168</v>
      </c>
      <c r="E41" s="1">
        <f t="shared" si="4"/>
        <v>-5.411617284590168</v>
      </c>
      <c r="F41" s="1">
        <f t="shared" si="1"/>
        <v>1.0071609888644386</v>
      </c>
    </row>
    <row r="42" spans="2:6" x14ac:dyDescent="0.25">
      <c r="B42" s="1">
        <f t="shared" si="2"/>
        <v>6.400000000000003</v>
      </c>
      <c r="C42" s="1">
        <f t="shared" si="3"/>
        <v>-46.35945439193187</v>
      </c>
      <c r="D42" s="1">
        <f t="shared" si="0"/>
        <v>-5.2101850868172805</v>
      </c>
      <c r="E42" s="1">
        <f t="shared" si="4"/>
        <v>-5.2101850868172805</v>
      </c>
      <c r="F42" s="1">
        <f t="shared" si="1"/>
        <v>1.0157995439170042</v>
      </c>
    </row>
    <row r="43" spans="2:6" x14ac:dyDescent="0.25">
      <c r="B43" s="1">
        <f t="shared" si="2"/>
        <v>6.6000000000000032</v>
      </c>
      <c r="C43" s="1">
        <f t="shared" si="3"/>
        <v>-47.401491409295325</v>
      </c>
      <c r="D43" s="1">
        <f t="shared" si="0"/>
        <v>-5.0070251780338797</v>
      </c>
      <c r="E43" s="1">
        <f t="shared" si="4"/>
        <v>-5.0070251780338797</v>
      </c>
      <c r="F43" s="1">
        <f t="shared" si="1"/>
        <v>1.0236860317965031</v>
      </c>
    </row>
    <row r="44" spans="2:6" x14ac:dyDescent="0.25">
      <c r="B44" s="1">
        <f t="shared" si="2"/>
        <v>6.8000000000000034</v>
      </c>
      <c r="C44" s="1">
        <f t="shared" si="3"/>
        <v>-48.402896444902098</v>
      </c>
      <c r="D44" s="1">
        <f t="shared" si="0"/>
        <v>-4.8022879716745788</v>
      </c>
      <c r="E44" s="1">
        <f t="shared" si="4"/>
        <v>-4.8022879716745788</v>
      </c>
      <c r="F44" s="1">
        <f t="shared" si="1"/>
        <v>1.0308217127598487</v>
      </c>
    </row>
    <row r="45" spans="2:6" x14ac:dyDescent="0.25">
      <c r="B45" s="1">
        <f t="shared" si="2"/>
        <v>7.0000000000000036</v>
      </c>
      <c r="C45" s="1">
        <f t="shared" si="3"/>
        <v>-49.363354039237016</v>
      </c>
      <c r="D45" s="1">
        <f t="shared" si="0"/>
        <v>-4.5961236291226086</v>
      </c>
      <c r="E45" s="1">
        <f t="shared" si="4"/>
        <v>-4.5961236291226086</v>
      </c>
      <c r="F45" s="1">
        <f t="shared" si="1"/>
        <v>1.037208336679672</v>
      </c>
    </row>
    <row r="46" spans="2:6" x14ac:dyDescent="0.25">
      <c r="B46" s="1">
        <f t="shared" si="2"/>
        <v>7.2000000000000037</v>
      </c>
      <c r="C46" s="1">
        <f t="shared" si="3"/>
        <v>-50.282578765061537</v>
      </c>
      <c r="D46" s="1">
        <f t="shared" si="0"/>
        <v>-4.3886819617866744</v>
      </c>
      <c r="E46" s="1">
        <f t="shared" si="4"/>
        <v>-4.3886819617866744</v>
      </c>
      <c r="F46" s="1">
        <f t="shared" si="1"/>
        <v>1.0428481376344039</v>
      </c>
    </row>
    <row r="47" spans="2:6" x14ac:dyDescent="0.25">
      <c r="B47" s="1">
        <f t="shared" si="2"/>
        <v>7.4000000000000039</v>
      </c>
      <c r="C47" s="1">
        <f t="shared" si="3"/>
        <v>-51.160315157418871</v>
      </c>
      <c r="D47" s="1">
        <f t="shared" si="0"/>
        <v>-4.1801123342597934</v>
      </c>
      <c r="E47" s="1">
        <f t="shared" si="4"/>
        <v>-4.1801123342597934</v>
      </c>
      <c r="F47" s="1">
        <f t="shared" si="1"/>
        <v>1.0477438282224383</v>
      </c>
    </row>
    <row r="48" spans="2:6" x14ac:dyDescent="0.25">
      <c r="B48" s="1">
        <f t="shared" si="2"/>
        <v>7.6000000000000041</v>
      </c>
      <c r="C48" s="1">
        <f t="shared" si="3"/>
        <v>-51.996337624270829</v>
      </c>
      <c r="D48" s="1">
        <f t="shared" si="0"/>
        <v>-3.9705635686153058</v>
      </c>
      <c r="E48" s="1">
        <f t="shared" si="4"/>
        <v>-3.9705635686153058</v>
      </c>
      <c r="F48" s="1">
        <f t="shared" si="1"/>
        <v>1.0518985936065615</v>
      </c>
    </row>
    <row r="49" spans="2:6" x14ac:dyDescent="0.25">
      <c r="B49" s="1">
        <f t="shared" si="2"/>
        <v>7.8000000000000043</v>
      </c>
      <c r="C49" s="1">
        <f t="shared" si="3"/>
        <v>-52.790450337993889</v>
      </c>
      <c r="D49" s="1">
        <f t="shared" si="0"/>
        <v>-3.7601838498939935</v>
      </c>
      <c r="E49" s="1">
        <f t="shared" si="4"/>
        <v>-3.7601838498939935</v>
      </c>
      <c r="F49" s="1">
        <f t="shared" si="1"/>
        <v>1.0553160852949512</v>
      </c>
    </row>
    <row r="50" spans="2:6" x14ac:dyDescent="0.25">
      <c r="B50" s="1">
        <f t="shared" si="2"/>
        <v>8.0000000000000036</v>
      </c>
      <c r="C50" s="1">
        <f t="shared" si="3"/>
        <v>-53.54248710797269</v>
      </c>
      <c r="D50" s="1">
        <f t="shared" si="0"/>
        <v>-3.5491206328350033</v>
      </c>
      <c r="E50" s="1">
        <f t="shared" si="4"/>
        <v>-3.5491206328350033</v>
      </c>
      <c r="F50" s="1">
        <f t="shared" si="1"/>
        <v>1.0580004146651782</v>
      </c>
    </row>
    <row r="51" spans="2:6" x14ac:dyDescent="0.25">
      <c r="B51" s="1">
        <f t="shared" si="2"/>
        <v>8.2000000000000028</v>
      </c>
      <c r="C51" s="1">
        <f t="shared" si="3"/>
        <v>-54.25231123453969</v>
      </c>
      <c r="D51" s="1">
        <f t="shared" si="0"/>
        <v>-3.3375205499019676</v>
      </c>
      <c r="E51" s="1">
        <f t="shared" si="4"/>
        <v>-3.3375205499019676</v>
      </c>
      <c r="F51" s="1">
        <f t="shared" si="1"/>
        <v>1.0599561462377534</v>
      </c>
    </row>
    <row r="52" spans="2:6" x14ac:dyDescent="0.25">
      <c r="B52" s="1">
        <f t="shared" si="2"/>
        <v>8.4000000000000021</v>
      </c>
      <c r="C52" s="1">
        <f t="shared" si="3"/>
        <v>-54.919815344520082</v>
      </c>
      <c r="D52" s="1">
        <f t="shared" si="0"/>
        <v>-3.125529320654417</v>
      </c>
      <c r="E52" s="1">
        <f t="shared" si="4"/>
        <v>-3.125529320654417</v>
      </c>
      <c r="F52" s="1">
        <f t="shared" si="1"/>
        <v>1.0611882907058743</v>
      </c>
    </row>
    <row r="53" spans="2:6" x14ac:dyDescent="0.25">
      <c r="B53" s="1">
        <f t="shared" si="2"/>
        <v>8.6000000000000014</v>
      </c>
      <c r="C53" s="1">
        <f t="shared" si="3"/>
        <v>-55.544921208650962</v>
      </c>
      <c r="D53" s="1">
        <f t="shared" si="0"/>
        <v>-2.9132916625132421</v>
      </c>
      <c r="E53" s="1">
        <f t="shared" si="4"/>
        <v>-2.9132916625132421</v>
      </c>
      <c r="F53" s="1">
        <f t="shared" si="1"/>
        <v>1.0617022977281341</v>
      </c>
    </row>
    <row r="54" spans="2:6" x14ac:dyDescent="0.25">
      <c r="B54" s="1">
        <f t="shared" si="2"/>
        <v>8.8000000000000007</v>
      </c>
      <c r="C54" s="1">
        <f t="shared" si="3"/>
        <v>-56.127579541153608</v>
      </c>
      <c r="D54" s="1">
        <f t="shared" si="0"/>
        <v>-2.7009512029676155</v>
      </c>
      <c r="E54" s="1">
        <f t="shared" si="4"/>
        <v>-2.7009512029676155</v>
      </c>
      <c r="F54" s="1">
        <f t="shared" si="1"/>
        <v>1.061504048491049</v>
      </c>
    </row>
    <row r="55" spans="2:6" x14ac:dyDescent="0.25">
      <c r="B55" s="1">
        <f t="shared" si="2"/>
        <v>9</v>
      </c>
      <c r="C55" s="1">
        <f t="shared" si="3"/>
        <v>-56.667769781747133</v>
      </c>
      <c r="D55" s="1">
        <f t="shared" si="0"/>
        <v>-2.4886503932694057</v>
      </c>
      <c r="E55" s="1">
        <f t="shared" si="4"/>
        <v>-2.4886503932694057</v>
      </c>
      <c r="F55" s="1">
        <f t="shared" si="1"/>
        <v>1.0605998480483578</v>
      </c>
    </row>
    <row r="56" spans="2:6" x14ac:dyDescent="0.25">
      <c r="B56" s="1">
        <f t="shared" si="2"/>
        <v>9.1999999999999993</v>
      </c>
      <c r="C56" s="1">
        <f t="shared" si="3"/>
        <v>-57.165499860401013</v>
      </c>
      <c r="D56" s="1">
        <f t="shared" si="0"/>
        <v>-2.2765304236597341</v>
      </c>
      <c r="E56" s="1">
        <f t="shared" si="4"/>
        <v>-2.2765304236597341</v>
      </c>
      <c r="F56" s="1">
        <f t="shared" si="1"/>
        <v>1.058996417444138</v>
      </c>
    </row>
    <row r="57" spans="2:6" x14ac:dyDescent="0.25">
      <c r="B57" s="1">
        <f t="shared" si="2"/>
        <v>9.3999999999999986</v>
      </c>
      <c r="C57" s="1">
        <f t="shared" si="3"/>
        <v>-57.620805945132958</v>
      </c>
      <c r="D57" s="1">
        <f t="shared" si="0"/>
        <v>-2.0647311401709065</v>
      </c>
      <c r="E57" s="1">
        <f t="shared" si="4"/>
        <v>-2.0647311401709065</v>
      </c>
      <c r="F57" s="1">
        <f t="shared" si="1"/>
        <v>1.0567008856268585</v>
      </c>
    </row>
    <row r="58" spans="2:6" x14ac:dyDescent="0.25">
      <c r="B58" s="1">
        <f t="shared" si="2"/>
        <v>9.5999999999999979</v>
      </c>
      <c r="C58" s="1">
        <f t="shared" si="3"/>
        <v>-58.033752173167137</v>
      </c>
      <c r="D58" s="1">
        <f t="shared" si="0"/>
        <v>-1.8533909630455347</v>
      </c>
      <c r="E58" s="1">
        <f t="shared" si="4"/>
        <v>-1.8533909630455347</v>
      </c>
      <c r="F58" s="1">
        <f t="shared" si="1"/>
        <v>1.0537207811615774</v>
      </c>
    </row>
    <row r="59" spans="2:6" x14ac:dyDescent="0.25">
      <c r="B59" s="1">
        <f t="shared" si="2"/>
        <v>9.7999999999999972</v>
      </c>
      <c r="C59" s="1">
        <f t="shared" si="3"/>
        <v>-58.404430365776243</v>
      </c>
      <c r="D59" s="1">
        <f t="shared" si="0"/>
        <v>-1.6426468068132192</v>
      </c>
      <c r="E59" s="1">
        <f t="shared" si="4"/>
        <v>-1.6426468068132192</v>
      </c>
      <c r="F59" s="1">
        <f t="shared" si="1"/>
        <v>1.0500640237475545</v>
      </c>
    </row>
    <row r="60" spans="2:6" x14ac:dyDescent="0.25">
      <c r="B60" s="1">
        <f t="shared" si="2"/>
        <v>9.9999999999999964</v>
      </c>
      <c r="C60" s="1">
        <f t="shared" si="3"/>
        <v>-58.732959727138883</v>
      </c>
      <c r="D60" s="1">
        <f t="shared" si="0"/>
        <v>-1.4326340020637083</v>
      </c>
      <c r="E60" s="1">
        <f t="shared" si="4"/>
        <v>-1.4326340020637083</v>
      </c>
      <c r="F60" s="1">
        <f t="shared" si="1"/>
        <v>1.0457389155486212</v>
      </c>
    </row>
    <row r="61" spans="2:6" x14ac:dyDescent="0.25">
      <c r="B61" s="1">
        <f t="shared" si="2"/>
        <v>10.199999999999996</v>
      </c>
      <c r="C61" s="1">
        <f t="shared" si="3"/>
        <v>-59.019486527551628</v>
      </c>
      <c r="D61" s="1">
        <f t="shared" si="0"/>
        <v>-1.2234862189539841</v>
      </c>
      <c r="E61" s="1">
        <f t="shared" si="4"/>
        <v>-1.2234862189539841</v>
      </c>
      <c r="F61" s="1">
        <f t="shared" si="1"/>
        <v>1.0407541323437131</v>
      </c>
    </row>
    <row r="62" spans="2:6" x14ac:dyDescent="0.25">
      <c r="B62" s="1">
        <f t="shared" si="2"/>
        <v>10.399999999999995</v>
      </c>
      <c r="C62" s="1">
        <f t="shared" si="3"/>
        <v>-59.264183771342424</v>
      </c>
      <c r="D62" s="1">
        <f t="shared" si="0"/>
        <v>-1.0153353924852415</v>
      </c>
      <c r="E62" s="1">
        <f t="shared" si="4"/>
        <v>-1.0153353924852415</v>
      </c>
      <c r="F62" s="1">
        <f t="shared" si="1"/>
        <v>1.0351187145050185</v>
      </c>
    </row>
    <row r="63" spans="2:6" x14ac:dyDescent="0.25">
      <c r="B63" s="1">
        <f t="shared" si="2"/>
        <v>10.599999999999994</v>
      </c>
      <c r="C63" s="1">
        <f t="shared" si="3"/>
        <v>-59.467250849839473</v>
      </c>
      <c r="D63" s="1">
        <f t="shared" si="0"/>
        <v>-0.80831164958423785</v>
      </c>
      <c r="E63" s="1">
        <f t="shared" si="4"/>
        <v>-0.80831164958423785</v>
      </c>
      <c r="F63" s="1">
        <f t="shared" si="1"/>
        <v>1.0288420578112558</v>
      </c>
    </row>
    <row r="64" spans="2:6" x14ac:dyDescent="0.25">
      <c r="B64" s="1">
        <f t="shared" si="2"/>
        <v>10.799999999999994</v>
      </c>
      <c r="C64" s="1">
        <f t="shared" si="3"/>
        <v>-59.628913179756324</v>
      </c>
      <c r="D64" s="1">
        <f t="shared" si="0"/>
        <v>-0.60254323802198662</v>
      </c>
      <c r="E64" s="1">
        <f t="shared" si="4"/>
        <v>-0.60254323802198662</v>
      </c>
      <c r="F64" s="1">
        <f t="shared" si="1"/>
        <v>1.0219339041036315</v>
      </c>
    </row>
    <row r="65" spans="2:6" x14ac:dyDescent="0.25">
      <c r="B65" s="1">
        <f t="shared" si="2"/>
        <v>10.999999999999993</v>
      </c>
      <c r="C65" s="1">
        <f t="shared" si="3"/>
        <v>-59.74942182736072</v>
      </c>
      <c r="D65" s="1">
        <f t="shared" si="0"/>
        <v>-0.39815645720126031</v>
      </c>
      <c r="E65" s="1">
        <f t="shared" si="4"/>
        <v>-0.39815645720126031</v>
      </c>
      <c r="F65" s="1">
        <f t="shared" si="1"/>
        <v>1.0144043317920708</v>
      </c>
    </row>
    <row r="66" spans="2:6" x14ac:dyDescent="0.25">
      <c r="B66" s="1">
        <f t="shared" si="2"/>
        <v>11.199999999999992</v>
      </c>
      <c r="C66" s="1">
        <f t="shared" si="3"/>
        <v>-59.829053118800971</v>
      </c>
      <c r="D66" s="1">
        <f t="shared" si="0"/>
        <v>-0.19527559084284613</v>
      </c>
      <c r="E66" s="1">
        <f t="shared" si="4"/>
        <v>-0.19527559084284613</v>
      </c>
      <c r="F66" s="1">
        <f t="shared" si="1"/>
        <v>1.0062637462193491</v>
      </c>
    </row>
    <row r="67" spans="2:6" x14ac:dyDescent="0.25">
      <c r="B67" s="1">
        <f t="shared" si="2"/>
        <v>11.399999999999991</v>
      </c>
      <c r="C67" s="1">
        <f t="shared" si="3"/>
        <v>-59.86810823696954</v>
      </c>
      <c r="D67" s="1">
        <f t="shared" si="0"/>
        <v>5.9771584010236967E-3</v>
      </c>
      <c r="E67" s="1">
        <f t="shared" si="4"/>
        <v>5.9771584010236967E-3</v>
      </c>
      <c r="F67" s="1">
        <f t="shared" si="1"/>
        <v>0.99752286989077787</v>
      </c>
    </row>
    <row r="68" spans="2:6" x14ac:dyDescent="0.25">
      <c r="B68" s="1">
        <f t="shared" si="2"/>
        <v>11.599999999999991</v>
      </c>
      <c r="C68" s="1">
        <f t="shared" si="3"/>
        <v>-59.866912805289338</v>
      </c>
      <c r="D68" s="1">
        <f t="shared" si="0"/>
        <v>0.20548173237917927</v>
      </c>
      <c r="E68" s="1">
        <f t="shared" si="4"/>
        <v>0.20548173237917927</v>
      </c>
      <c r="F68" s="1">
        <f t="shared" si="1"/>
        <v>0.98819273257712725</v>
      </c>
    </row>
    <row r="69" spans="2:6" x14ac:dyDescent="0.25">
      <c r="B69" s="1">
        <f t="shared" si="2"/>
        <v>11.79999999999999</v>
      </c>
      <c r="C69" s="1">
        <f t="shared" si="3"/>
        <v>-59.825816458813506</v>
      </c>
      <c r="D69" s="1">
        <f t="shared" si="0"/>
        <v>0.40312027889460472</v>
      </c>
      <c r="E69" s="1">
        <f t="shared" si="4"/>
        <v>0.40312027889460472</v>
      </c>
      <c r="F69" s="1">
        <f t="shared" si="1"/>
        <v>0.97828466129847691</v>
      </c>
    </row>
    <row r="70" spans="2:6" x14ac:dyDescent="0.25">
      <c r="B70" s="1">
        <f t="shared" si="2"/>
        <v>11.999999999999989</v>
      </c>
      <c r="C70" s="1">
        <f t="shared" si="3"/>
        <v>-59.745192403034586</v>
      </c>
      <c r="D70" s="1">
        <f t="shared" si="0"/>
        <v>0.59877721115430016</v>
      </c>
      <c r="E70" s="1">
        <f t="shared" si="4"/>
        <v>0.59877721115430016</v>
      </c>
      <c r="F70" s="1">
        <f t="shared" si="1"/>
        <v>0.96781027019670907</v>
      </c>
    </row>
    <row r="71" spans="2:6" x14ac:dyDescent="0.25">
      <c r="B71" s="1">
        <f t="shared" si="2"/>
        <v>12.199999999999989</v>
      </c>
      <c r="C71" s="1">
        <f t="shared" si="3"/>
        <v>-59.625436960803725</v>
      </c>
      <c r="D71" s="1">
        <f t="shared" si="0"/>
        <v>0.79233926519364195</v>
      </c>
      <c r="E71" s="1">
        <f t="shared" si="4"/>
        <v>0.79233926519364195</v>
      </c>
      <c r="F71" s="1">
        <f t="shared" si="1"/>
        <v>0.95678145030435879</v>
      </c>
    </row>
    <row r="72" spans="2:6" x14ac:dyDescent="0.25">
      <c r="B72" s="1">
        <f t="shared" si="2"/>
        <v>12.399999999999988</v>
      </c>
      <c r="C72" s="1">
        <f t="shared" si="3"/>
        <v>-59.466969107764996</v>
      </c>
      <c r="D72" s="1">
        <f t="shared" si="0"/>
        <v>0.98369555525451369</v>
      </c>
      <c r="E72" s="1">
        <f t="shared" si="4"/>
        <v>0.98369555525451369</v>
      </c>
      <c r="F72" s="1">
        <f t="shared" si="1"/>
        <v>0.94521035921753926</v>
      </c>
    </row>
    <row r="73" spans="2:6" x14ac:dyDescent="0.25">
      <c r="B73" s="1">
        <f t="shared" si="2"/>
        <v>12.599999999999987</v>
      </c>
      <c r="C73" s="1">
        <f t="shared" si="3"/>
        <v>-59.270229996714093</v>
      </c>
      <c r="D73" s="1">
        <f t="shared" si="0"/>
        <v>1.1727376270980217</v>
      </c>
      <c r="E73" s="1">
        <f t="shared" si="4"/>
        <v>1.1727376270980217</v>
      </c>
      <c r="F73" s="1">
        <f t="shared" si="1"/>
        <v>0.93310941068066056</v>
      </c>
    </row>
    <row r="74" spans="2:6" x14ac:dyDescent="0.25">
      <c r="B74" s="1">
        <f t="shared" si="2"/>
        <v>12.799999999999986</v>
      </c>
      <c r="C74" s="1">
        <f t="shared" si="3"/>
        <v>-59.035682471294486</v>
      </c>
      <c r="D74" s="1">
        <f t="shared" ref="D74:D137" si="5">E74</f>
        <v>1.3593595092341537</v>
      </c>
      <c r="E74" s="1">
        <f t="shared" si="4"/>
        <v>1.3593595092341537</v>
      </c>
      <c r="F74" s="1">
        <f t="shared" ref="F74:F137" si="6">-$C$3*C74/$C$4-$C$2/$C$4*E74</f>
        <v>0.92049126409064763</v>
      </c>
    </row>
    <row r="75" spans="2:6" x14ac:dyDescent="0.25">
      <c r="B75" s="1">
        <f t="shared" ref="B75:B138" si="7">B74+$C$7</f>
        <v>12.999999999999986</v>
      </c>
      <c r="C75" s="1">
        <f t="shared" ref="C75:C138" si="8">C74+D74*$C$7</f>
        <v>-58.763810569447656</v>
      </c>
      <c r="D75" s="1">
        <f t="shared" si="5"/>
        <v>1.5434577620522831</v>
      </c>
      <c r="E75" s="1">
        <f t="shared" ref="E75:E138" si="9">E74+F74*$C$7</f>
        <v>1.5434577620522831</v>
      </c>
      <c r="F75" s="1">
        <f t="shared" si="6"/>
        <v>0.90736881392835445</v>
      </c>
    </row>
    <row r="76" spans="2:6" x14ac:dyDescent="0.25">
      <c r="B76" s="1">
        <f t="shared" si="7"/>
        <v>13.199999999999985</v>
      </c>
      <c r="C76" s="1">
        <f t="shared" si="8"/>
        <v>-58.455119017037198</v>
      </c>
      <c r="D76" s="1">
        <f t="shared" si="5"/>
        <v>1.724931524837954</v>
      </c>
      <c r="E76" s="1">
        <f t="shared" si="9"/>
        <v>1.724931524837954</v>
      </c>
      <c r="F76" s="1">
        <f t="shared" si="6"/>
        <v>0.8937551791248487</v>
      </c>
    </row>
    <row r="77" spans="2:6" x14ac:dyDescent="0.25">
      <c r="B77" s="1">
        <f t="shared" si="7"/>
        <v>13.399999999999984</v>
      </c>
      <c r="C77" s="1">
        <f t="shared" si="8"/>
        <v>-58.110132712069607</v>
      </c>
      <c r="D77" s="1">
        <f t="shared" si="5"/>
        <v>1.9036825606629237</v>
      </c>
      <c r="E77" s="1">
        <f t="shared" si="9"/>
        <v>1.9036825606629237</v>
      </c>
      <c r="F77" s="1">
        <f t="shared" si="6"/>
        <v>0.87966369237022368</v>
      </c>
    </row>
    <row r="78" spans="2:6" x14ac:dyDescent="0.25">
      <c r="B78" s="1">
        <f t="shared" si="7"/>
        <v>13.599999999999984</v>
      </c>
      <c r="C78" s="1">
        <f t="shared" si="8"/>
        <v>-57.729396199937021</v>
      </c>
      <c r="D78" s="1">
        <f t="shared" si="5"/>
        <v>2.0796152991369685</v>
      </c>
      <c r="E78" s="1">
        <f t="shared" si="9"/>
        <v>2.0796152991369685</v>
      </c>
      <c r="F78" s="1">
        <f t="shared" si="6"/>
        <v>0.86510788937255856</v>
      </c>
    </row>
    <row r="79" spans="2:6" x14ac:dyDescent="0.25">
      <c r="B79" s="1">
        <f t="shared" si="7"/>
        <v>13.799999999999983</v>
      </c>
      <c r="C79" s="1">
        <f t="shared" si="8"/>
        <v>-57.313473140109629</v>
      </c>
      <c r="D79" s="1">
        <f t="shared" si="5"/>
        <v>2.2526368770114802</v>
      </c>
      <c r="E79" s="1">
        <f t="shared" si="9"/>
        <v>2.2526368770114802</v>
      </c>
      <c r="F79" s="1">
        <f t="shared" si="6"/>
        <v>0.85010149807462487</v>
      </c>
    </row>
    <row r="80" spans="2:6" x14ac:dyDescent="0.25">
      <c r="B80" s="1">
        <f t="shared" si="7"/>
        <v>13.999999999999982</v>
      </c>
      <c r="C80" s="1">
        <f t="shared" si="8"/>
        <v>-56.862945764707334</v>
      </c>
      <c r="D80" s="1">
        <f t="shared" si="5"/>
        <v>2.4226571766264051</v>
      </c>
      <c r="E80" s="1">
        <f t="shared" si="9"/>
        <v>2.4226571766264051</v>
      </c>
      <c r="F80" s="1">
        <f t="shared" si="6"/>
        <v>0.83465842783589006</v>
      </c>
    </row>
    <row r="81" spans="2:6" x14ac:dyDescent="0.25">
      <c r="B81" s="1">
        <f t="shared" si="7"/>
        <v>14.199999999999982</v>
      </c>
      <c r="C81" s="1">
        <f t="shared" si="8"/>
        <v>-56.378414329382053</v>
      </c>
      <c r="D81" s="1">
        <f t="shared" si="5"/>
        <v>2.5895888621935832</v>
      </c>
      <c r="E81" s="1">
        <f t="shared" si="9"/>
        <v>2.5895888621935832</v>
      </c>
      <c r="F81" s="1">
        <f t="shared" si="6"/>
        <v>0.8187927585873338</v>
      </c>
    </row>
    <row r="82" spans="2:6" x14ac:dyDescent="0.25">
      <c r="B82" s="1">
        <f t="shared" si="7"/>
        <v>14.399999999999981</v>
      </c>
      <c r="C82" s="1">
        <f t="shared" si="8"/>
        <v>-55.860496556943339</v>
      </c>
      <c r="D82" s="1">
        <f t="shared" si="5"/>
        <v>2.7533474139110501</v>
      </c>
      <c r="E82" s="1">
        <f t="shared" si="9"/>
        <v>2.7533474139110501</v>
      </c>
      <c r="F82" s="1">
        <f t="shared" si="6"/>
        <v>0.80251872996654006</v>
      </c>
    </row>
    <row r="83" spans="2:6" x14ac:dyDescent="0.25">
      <c r="B83" s="1">
        <f t="shared" si="7"/>
        <v>14.59999999999998</v>
      </c>
      <c r="C83" s="1">
        <f t="shared" si="8"/>
        <v>-55.309827074161127</v>
      </c>
      <c r="D83" s="1">
        <f t="shared" si="5"/>
        <v>2.9138511599043579</v>
      </c>
      <c r="E83" s="1">
        <f t="shared" si="9"/>
        <v>2.9138511599043579</v>
      </c>
      <c r="F83" s="1">
        <f t="shared" si="6"/>
        <v>0.78585073044048204</v>
      </c>
    </row>
    <row r="84" spans="2:6" x14ac:dyDescent="0.25">
      <c r="B84" s="1">
        <f t="shared" si="7"/>
        <v>14.799999999999979</v>
      </c>
      <c r="C84" s="1">
        <f t="shared" si="8"/>
        <v>-54.727056842180254</v>
      </c>
      <c r="D84" s="1">
        <f t="shared" si="5"/>
        <v>3.0710213059924545</v>
      </c>
      <c r="E84" s="1">
        <f t="shared" si="9"/>
        <v>3.0710213059924545</v>
      </c>
      <c r="F84" s="1">
        <f t="shared" si="6"/>
        <v>0.76880328642335638</v>
      </c>
    </row>
    <row r="85" spans="2:6" x14ac:dyDescent="0.25">
      <c r="B85" s="1">
        <f t="shared" si="7"/>
        <v>14.999999999999979</v>
      </c>
      <c r="C85" s="1">
        <f t="shared" si="8"/>
        <v>-54.112852580981766</v>
      </c>
      <c r="D85" s="1">
        <f t="shared" si="5"/>
        <v>3.2247819632771257</v>
      </c>
      <c r="E85" s="1">
        <f t="shared" si="9"/>
        <v>3.2247819632771257</v>
      </c>
      <c r="F85" s="1">
        <f t="shared" si="6"/>
        <v>0.75139105139676365</v>
      </c>
    </row>
    <row r="86" spans="2:6" x14ac:dyDescent="0.25">
      <c r="B86" s="1">
        <f t="shared" si="7"/>
        <v>15.199999999999978</v>
      </c>
      <c r="C86" s="1">
        <f t="shared" si="8"/>
        <v>-53.467896188326343</v>
      </c>
      <c r="D86" s="1">
        <f t="shared" si="5"/>
        <v>3.3750601735564785</v>
      </c>
      <c r="E86" s="1">
        <f t="shared" si="9"/>
        <v>3.3750601735564785</v>
      </c>
      <c r="F86" s="1">
        <f t="shared" si="6"/>
        <v>0.73362879503946998</v>
      </c>
    </row>
    <row r="87" spans="2:6" x14ac:dyDescent="0.25">
      <c r="B87" s="1">
        <f t="shared" si="7"/>
        <v>15.399999999999977</v>
      </c>
      <c r="C87" s="1">
        <f t="shared" si="8"/>
        <v>-52.792884153615049</v>
      </c>
      <c r="D87" s="1">
        <f t="shared" si="5"/>
        <v>3.5217859325643723</v>
      </c>
      <c r="E87" s="1">
        <f t="shared" si="9"/>
        <v>3.5217859325643723</v>
      </c>
      <c r="F87" s="1">
        <f t="shared" si="6"/>
        <v>0.7155313923739135</v>
      </c>
    </row>
    <row r="88" spans="2:6" x14ac:dyDescent="0.25">
      <c r="B88" s="1">
        <f t="shared" si="7"/>
        <v>15.599999999999977</v>
      </c>
      <c r="C88" s="1">
        <f t="shared" si="8"/>
        <v>-52.088526967102176</v>
      </c>
      <c r="D88" s="1">
        <f t="shared" si="5"/>
        <v>3.6648922110391551</v>
      </c>
      <c r="E88" s="1">
        <f t="shared" si="9"/>
        <v>3.6648922110391551</v>
      </c>
      <c r="F88" s="1">
        <f t="shared" si="6"/>
        <v>0.6971138129365424</v>
      </c>
    </row>
    <row r="89" spans="2:6" x14ac:dyDescent="0.25">
      <c r="B89" s="1">
        <f t="shared" si="7"/>
        <v>15.799999999999976</v>
      </c>
      <c r="C89" s="1">
        <f t="shared" si="8"/>
        <v>-51.355548524894346</v>
      </c>
      <c r="D89" s="1">
        <f t="shared" si="5"/>
        <v>3.8043149736264636</v>
      </c>
      <c r="E89" s="1">
        <f t="shared" si="9"/>
        <v>3.8043149736264636</v>
      </c>
      <c r="F89" s="1">
        <f t="shared" si="6"/>
        <v>0.67839110997900409</v>
      </c>
    </row>
    <row r="90" spans="2:6" x14ac:dyDescent="0.25">
      <c r="B90" s="1">
        <f t="shared" si="7"/>
        <v>15.999999999999975</v>
      </c>
      <c r="C90" s="1">
        <f t="shared" si="8"/>
        <v>-50.594685530169052</v>
      </c>
      <c r="D90" s="1">
        <f t="shared" si="5"/>
        <v>3.9399931956222645</v>
      </c>
      <c r="E90" s="1">
        <f t="shared" si="9"/>
        <v>3.9399931956222645</v>
      </c>
      <c r="F90" s="1">
        <f t="shared" si="6"/>
        <v>0.65937840970711203</v>
      </c>
    </row>
    <row r="91" spans="2:6" x14ac:dyDescent="0.25">
      <c r="B91" s="1">
        <f t="shared" si="7"/>
        <v>16.199999999999974</v>
      </c>
      <c r="C91" s="1">
        <f t="shared" si="8"/>
        <v>-49.806686891044599</v>
      </c>
      <c r="D91" s="1">
        <f t="shared" si="5"/>
        <v>4.0718688775636869</v>
      </c>
      <c r="E91" s="1">
        <f t="shared" si="9"/>
        <v>4.0718688775636869</v>
      </c>
      <c r="F91" s="1">
        <f t="shared" si="6"/>
        <v>0.64009090056443796</v>
      </c>
    </row>
    <row r="92" spans="2:6" x14ac:dyDescent="0.25">
      <c r="B92" s="1">
        <f t="shared" si="7"/>
        <v>16.399999999999974</v>
      </c>
      <c r="C92" s="1">
        <f t="shared" si="8"/>
        <v>-48.992313115531864</v>
      </c>
      <c r="D92" s="1">
        <f t="shared" si="5"/>
        <v>4.1998870576765741</v>
      </c>
      <c r="E92" s="1">
        <f t="shared" si="9"/>
        <v>4.1998870576765741</v>
      </c>
      <c r="F92" s="1">
        <f t="shared" si="6"/>
        <v>0.62054382256729101</v>
      </c>
    </row>
    <row r="93" spans="2:6" x14ac:dyDescent="0.25">
      <c r="B93" s="1">
        <f t="shared" si="7"/>
        <v>16.599999999999973</v>
      </c>
      <c r="C93" s="1">
        <f t="shared" si="8"/>
        <v>-48.152335703996549</v>
      </c>
      <c r="D93" s="1">
        <f t="shared" si="5"/>
        <v>4.3239958221900325</v>
      </c>
      <c r="E93" s="1">
        <f t="shared" si="9"/>
        <v>4.3239958221900325</v>
      </c>
      <c r="F93" s="1">
        <f t="shared" si="6"/>
        <v>0.60075245669774102</v>
      </c>
    </row>
    <row r="94" spans="2:6" x14ac:dyDescent="0.25">
      <c r="B94" s="1">
        <f t="shared" si="7"/>
        <v>16.799999999999972</v>
      </c>
      <c r="C94" s="1">
        <f t="shared" si="8"/>
        <v>-47.287536539558545</v>
      </c>
      <c r="D94" s="1">
        <f t="shared" si="5"/>
        <v>4.4441463135295809</v>
      </c>
      <c r="E94" s="1">
        <f t="shared" si="9"/>
        <v>4.4441463135295809</v>
      </c>
      <c r="F94" s="1">
        <f t="shared" si="6"/>
        <v>0.58073211436126204</v>
      </c>
    </row>
    <row r="95" spans="2:6" x14ac:dyDescent="0.25">
      <c r="B95" s="1">
        <f t="shared" si="7"/>
        <v>16.999999999999972</v>
      </c>
      <c r="C95" s="1">
        <f t="shared" si="8"/>
        <v>-46.398707276852626</v>
      </c>
      <c r="D95" s="1">
        <f t="shared" si="5"/>
        <v>4.5602927364018333</v>
      </c>
      <c r="E95" s="1">
        <f t="shared" si="9"/>
        <v>4.5602927364018333</v>
      </c>
      <c r="F95" s="1">
        <f t="shared" si="6"/>
        <v>0.56049812691545819</v>
      </c>
    </row>
    <row r="96" spans="2:6" x14ac:dyDescent="0.25">
      <c r="B96" s="1">
        <f t="shared" si="7"/>
        <v>17.199999999999971</v>
      </c>
      <c r="C96" s="1">
        <f t="shared" si="8"/>
        <v>-45.486648729572259</v>
      </c>
      <c r="D96" s="1">
        <f t="shared" si="5"/>
        <v>4.672392361784925</v>
      </c>
      <c r="E96" s="1">
        <f t="shared" si="9"/>
        <v>4.672392361784925</v>
      </c>
      <c r="F96" s="1">
        <f t="shared" si="6"/>
        <v>0.54006583527624119</v>
      </c>
    </row>
    <row r="97" spans="2:6" x14ac:dyDescent="0.25">
      <c r="B97" s="1">
        <f t="shared" si="7"/>
        <v>17.39999999999997</v>
      </c>
      <c r="C97" s="1">
        <f t="shared" si="8"/>
        <v>-44.552170257215273</v>
      </c>
      <c r="D97" s="1">
        <f t="shared" si="5"/>
        <v>4.7804055288401734</v>
      </c>
      <c r="E97" s="1">
        <f t="shared" si="9"/>
        <v>4.7804055288401734</v>
      </c>
      <c r="F97" s="1">
        <f t="shared" si="6"/>
        <v>0.51945057960771313</v>
      </c>
    </row>
    <row r="98" spans="2:6" x14ac:dyDescent="0.25">
      <c r="B98" s="1">
        <f t="shared" si="7"/>
        <v>17.599999999999969</v>
      </c>
      <c r="C98" s="1">
        <f t="shared" si="8"/>
        <v>-43.596089151447238</v>
      </c>
      <c r="D98" s="1">
        <f t="shared" si="5"/>
        <v>4.8842956447617158</v>
      </c>
      <c r="E98" s="1">
        <f t="shared" si="9"/>
        <v>4.8842956447617158</v>
      </c>
      <c r="F98" s="1">
        <f t="shared" si="6"/>
        <v>0.49866768910190723</v>
      </c>
    </row>
    <row r="99" spans="2:6" x14ac:dyDescent="0.25">
      <c r="B99" s="1">
        <f t="shared" si="7"/>
        <v>17.799999999999969</v>
      </c>
      <c r="C99" s="1">
        <f t="shared" si="8"/>
        <v>-42.619230022494897</v>
      </c>
      <c r="D99" s="1">
        <f t="shared" si="5"/>
        <v>4.9840291825820975</v>
      </c>
      <c r="E99" s="1">
        <f t="shared" si="9"/>
        <v>4.9840291825820975</v>
      </c>
      <c r="F99" s="1">
        <f t="shared" si="6"/>
        <v>0.47773247185441714</v>
      </c>
    </row>
    <row r="100" spans="2:6" x14ac:dyDescent="0.25">
      <c r="B100" s="1">
        <f t="shared" si="7"/>
        <v>17.999999999999968</v>
      </c>
      <c r="C100" s="1">
        <f t="shared" si="8"/>
        <v>-41.622424185978474</v>
      </c>
      <c r="D100" s="1">
        <f t="shared" si="5"/>
        <v>5.079575676952981</v>
      </c>
      <c r="E100" s="1">
        <f t="shared" si="9"/>
        <v>5.079575676952981</v>
      </c>
      <c r="F100" s="1">
        <f t="shared" si="6"/>
        <v>0.45666020484183556</v>
      </c>
    </row>
    <row r="101" spans="2:6" x14ac:dyDescent="0.25">
      <c r="B101" s="1">
        <f t="shared" si="7"/>
        <v>18.199999999999967</v>
      </c>
      <c r="C101" s="1">
        <f t="shared" si="8"/>
        <v>-40.606509050587874</v>
      </c>
      <c r="D101" s="1">
        <f t="shared" si="5"/>
        <v>5.1709077179213478</v>
      </c>
      <c r="E101" s="1">
        <f t="shared" si="9"/>
        <v>5.1709077179213478</v>
      </c>
      <c r="F101" s="1">
        <f t="shared" si="6"/>
        <v>0.43546612400680174</v>
      </c>
    </row>
    <row r="102" spans="2:6" x14ac:dyDescent="0.25">
      <c r="B102" s="1">
        <f t="shared" si="7"/>
        <v>18.399999999999967</v>
      </c>
      <c r="C102" s="1">
        <f t="shared" si="8"/>
        <v>-39.572327507003607</v>
      </c>
      <c r="D102" s="1">
        <f t="shared" si="5"/>
        <v>5.2580009427227079</v>
      </c>
      <c r="E102" s="1">
        <f t="shared" si="9"/>
        <v>5.2580009427227079</v>
      </c>
      <c r="F102" s="1">
        <f t="shared" si="6"/>
        <v>0.41416541445633376</v>
      </c>
    </row>
    <row r="103" spans="2:6" x14ac:dyDescent="0.25">
      <c r="B103" s="1">
        <f t="shared" si="7"/>
        <v>18.599999999999966</v>
      </c>
      <c r="C103" s="1">
        <f t="shared" si="8"/>
        <v>-38.520727318459066</v>
      </c>
      <c r="D103" s="1">
        <f t="shared" si="5"/>
        <v>5.340834025613975</v>
      </c>
      <c r="E103" s="1">
        <f t="shared" si="9"/>
        <v>5.340834025613975</v>
      </c>
      <c r="F103" s="1">
        <f t="shared" si="6"/>
        <v>0.39277320077899891</v>
      </c>
    </row>
    <row r="104" spans="2:6" x14ac:dyDescent="0.25">
      <c r="B104" s="1">
        <f t="shared" si="7"/>
        <v>18.799999999999965</v>
      </c>
      <c r="C104" s="1">
        <f t="shared" si="8"/>
        <v>-37.452560513336273</v>
      </c>
      <c r="D104" s="1">
        <f t="shared" si="5"/>
        <v>5.419388665769775</v>
      </c>
      <c r="E104" s="1">
        <f t="shared" si="9"/>
        <v>5.419388665769775</v>
      </c>
      <c r="F104" s="1">
        <f t="shared" si="6"/>
        <v>0.37130453748634845</v>
      </c>
    </row>
    <row r="105" spans="2:6" x14ac:dyDescent="0.25">
      <c r="B105" s="1">
        <f t="shared" si="7"/>
        <v>18.999999999999964</v>
      </c>
      <c r="C105" s="1">
        <f t="shared" si="8"/>
        <v>-36.368682780182318</v>
      </c>
      <c r="D105" s="1">
        <f t="shared" si="5"/>
        <v>5.4936495732670449</v>
      </c>
      <c r="E105" s="1">
        <f t="shared" si="9"/>
        <v>5.4936495732670449</v>
      </c>
      <c r="F105" s="1">
        <f t="shared" si="6"/>
        <v>0.34977439958390993</v>
      </c>
    </row>
    <row r="106" spans="2:6" x14ac:dyDescent="0.25">
      <c r="B106" s="1">
        <f t="shared" si="7"/>
        <v>19.199999999999964</v>
      </c>
      <c r="C106" s="1">
        <f t="shared" si="8"/>
        <v>-35.269952865528907</v>
      </c>
      <c r="D106" s="1">
        <f t="shared" si="5"/>
        <v>5.5636044531838271</v>
      </c>
      <c r="E106" s="1">
        <f t="shared" si="9"/>
        <v>5.5636044531838271</v>
      </c>
      <c r="F106" s="1">
        <f t="shared" si="6"/>
        <v>0.32819767327690325</v>
      </c>
    </row>
    <row r="107" spans="2:6" x14ac:dyDescent="0.25">
      <c r="B107" s="1">
        <f t="shared" si="7"/>
        <v>19.399999999999963</v>
      </c>
      <c r="C107" s="1">
        <f t="shared" si="8"/>
        <v>-34.157231974892142</v>
      </c>
      <c r="D107" s="1">
        <f t="shared" si="5"/>
        <v>5.6292439878392075</v>
      </c>
      <c r="E107" s="1">
        <f t="shared" si="9"/>
        <v>5.6292439878392075</v>
      </c>
      <c r="F107" s="1">
        <f t="shared" si="6"/>
        <v>0.30658914681570604</v>
      </c>
    </row>
    <row r="108" spans="2:6" x14ac:dyDescent="0.25">
      <c r="B108" s="1">
        <f t="shared" si="7"/>
        <v>19.599999999999962</v>
      </c>
      <c r="C108" s="1">
        <f t="shared" si="8"/>
        <v>-33.031383177324301</v>
      </c>
      <c r="D108" s="1">
        <f t="shared" si="5"/>
        <v>5.6905618172023491</v>
      </c>
      <c r="E108" s="1">
        <f t="shared" si="9"/>
        <v>5.6905618172023491</v>
      </c>
      <c r="F108" s="1">
        <f t="shared" si="6"/>
        <v>0.28496350148596206</v>
      </c>
    </row>
    <row r="109" spans="2:6" x14ac:dyDescent="0.25">
      <c r="B109" s="1">
        <f t="shared" si="7"/>
        <v>19.799999999999962</v>
      </c>
      <c r="C109" s="1">
        <f t="shared" si="8"/>
        <v>-31.893270813883831</v>
      </c>
      <c r="D109" s="1">
        <f t="shared" si="5"/>
        <v>5.7475545174995419</v>
      </c>
      <c r="E109" s="1">
        <f t="shared" si="9"/>
        <v>5.7475545174995419</v>
      </c>
      <c r="F109" s="1">
        <f t="shared" si="6"/>
        <v>0.2633353027480852</v>
      </c>
    </row>
    <row r="110" spans="2:6" x14ac:dyDescent="0.25">
      <c r="B110" s="1">
        <f t="shared" si="7"/>
        <v>19.999999999999961</v>
      </c>
      <c r="C110" s="1">
        <f t="shared" si="8"/>
        <v>-30.743759910383922</v>
      </c>
      <c r="D110" s="1">
        <f t="shared" si="5"/>
        <v>5.8002215780491593</v>
      </c>
      <c r="E110" s="1">
        <f t="shared" si="9"/>
        <v>5.8002215780491593</v>
      </c>
      <c r="F110" s="1">
        <f t="shared" si="6"/>
        <v>0.24171899153077125</v>
      </c>
    </row>
    <row r="111" spans="2:6" x14ac:dyDescent="0.25">
      <c r="B111" s="1">
        <f t="shared" si="7"/>
        <v>20.19999999999996</v>
      </c>
      <c r="C111" s="1">
        <f t="shared" si="8"/>
        <v>-29.583715594774091</v>
      </c>
      <c r="D111" s="1">
        <f t="shared" si="5"/>
        <v>5.8485653763553138</v>
      </c>
      <c r="E111" s="1">
        <f t="shared" si="9"/>
        <v>5.8485653763553138</v>
      </c>
      <c r="F111" s="1">
        <f t="shared" si="6"/>
        <v>0.22012887568298689</v>
      </c>
    </row>
    <row r="112" spans="2:6" x14ac:dyDescent="0.25">
      <c r="B112" s="1">
        <f t="shared" si="7"/>
        <v>20.399999999999959</v>
      </c>
      <c r="C112" s="1">
        <f t="shared" si="8"/>
        <v>-28.414002519503029</v>
      </c>
      <c r="D112" s="1">
        <f t="shared" si="5"/>
        <v>5.8925911514919109</v>
      </c>
      <c r="E112" s="1">
        <f t="shared" si="9"/>
        <v>5.8925911514919109</v>
      </c>
      <c r="F112" s="1">
        <f t="shared" si="6"/>
        <v>0.19857912158876134</v>
      </c>
    </row>
    <row r="113" spans="2:6" x14ac:dyDescent="0.25">
      <c r="B113" s="1">
        <f t="shared" si="7"/>
        <v>20.599999999999959</v>
      </c>
      <c r="C113" s="1">
        <f t="shared" si="8"/>
        <v>-27.235484289204646</v>
      </c>
      <c r="D113" s="1">
        <f t="shared" si="5"/>
        <v>5.9323069758096629</v>
      </c>
      <c r="E113" s="1">
        <f t="shared" si="9"/>
        <v>5.9323069758096629</v>
      </c>
      <c r="F113" s="1">
        <f t="shared" si="6"/>
        <v>0.17708374594895981</v>
      </c>
    </row>
    <row r="114" spans="2:6" x14ac:dyDescent="0.25">
      <c r="B114" s="1">
        <f t="shared" si="7"/>
        <v>20.799999999999958</v>
      </c>
      <c r="C114" s="1">
        <f t="shared" si="8"/>
        <v>-26.049022894042714</v>
      </c>
      <c r="D114" s="1">
        <f t="shared" si="5"/>
        <v>5.9677237249994546</v>
      </c>
      <c r="E114" s="1">
        <f t="shared" si="9"/>
        <v>5.9677237249994546</v>
      </c>
      <c r="F114" s="1">
        <f t="shared" si="6"/>
        <v>0.15565660773407075</v>
      </c>
    </row>
    <row r="115" spans="2:6" x14ac:dyDescent="0.25">
      <c r="B115" s="1">
        <f t="shared" si="7"/>
        <v>20.999999999999957</v>
      </c>
      <c r="C115" s="1">
        <f t="shared" si="8"/>
        <v>-24.855478149042824</v>
      </c>
      <c r="D115" s="1">
        <f t="shared" si="5"/>
        <v>5.9988550465462689</v>
      </c>
      <c r="E115" s="1">
        <f t="shared" si="9"/>
        <v>5.9988550465462689</v>
      </c>
      <c r="F115" s="1">
        <f t="shared" si="6"/>
        <v>0.13431140031188787</v>
      </c>
    </row>
    <row r="116" spans="2:6" x14ac:dyDescent="0.25">
      <c r="B116" s="1">
        <f t="shared" si="7"/>
        <v>21.199999999999957</v>
      </c>
      <c r="C116" s="1">
        <f t="shared" si="8"/>
        <v>-23.655707139733572</v>
      </c>
      <c r="D116" s="1">
        <f t="shared" si="5"/>
        <v>6.0257173266086461</v>
      </c>
      <c r="E116" s="1">
        <f t="shared" si="9"/>
        <v>6.0257173266086461</v>
      </c>
      <c r="F116" s="1">
        <f t="shared" si="6"/>
        <v>0.11306164375382272</v>
      </c>
    </row>
    <row r="117" spans="2:6" x14ac:dyDescent="0.25">
      <c r="B117" s="1">
        <f t="shared" si="7"/>
        <v>21.399999999999956</v>
      </c>
      <c r="C117" s="1">
        <f t="shared" si="8"/>
        <v>-22.450563674411843</v>
      </c>
      <c r="D117" s="1">
        <f t="shared" si="5"/>
        <v>6.048329655359411</v>
      </c>
      <c r="E117" s="1">
        <f t="shared" si="9"/>
        <v>6.048329655359411</v>
      </c>
      <c r="F117" s="1">
        <f t="shared" si="6"/>
        <v>9.1920677323424904E-2</v>
      </c>
    </row>
    <row r="118" spans="2:6" x14ac:dyDescent="0.25">
      <c r="B118" s="1">
        <f t="shared" si="7"/>
        <v>21.599999999999955</v>
      </c>
      <c r="C118" s="1">
        <f t="shared" si="8"/>
        <v>-21.240897743339961</v>
      </c>
      <c r="D118" s="1">
        <f t="shared" si="5"/>
        <v>6.066713790824096</v>
      </c>
      <c r="E118" s="1">
        <f t="shared" si="9"/>
        <v>6.066713790824096</v>
      </c>
      <c r="F118" s="1">
        <f t="shared" si="6"/>
        <v>7.0901652150541561E-2</v>
      </c>
    </row>
    <row r="119" spans="2:6" x14ac:dyDescent="0.25">
      <c r="B119" s="1">
        <f t="shared" si="7"/>
        <v>21.799999999999955</v>
      </c>
      <c r="C119" s="1">
        <f t="shared" si="8"/>
        <v>-20.02755498517514</v>
      </c>
      <c r="D119" s="1">
        <f t="shared" si="5"/>
        <v>6.0808941212542047</v>
      </c>
      <c r="E119" s="1">
        <f t="shared" si="9"/>
        <v>6.0808941212542047</v>
      </c>
      <c r="F119" s="1">
        <f t="shared" si="6"/>
        <v>5.0017524094389421E-2</v>
      </c>
    </row>
    <row r="120" spans="2:6" x14ac:dyDescent="0.25">
      <c r="B120" s="1">
        <f t="shared" si="7"/>
        <v>21.999999999999954</v>
      </c>
      <c r="C120" s="1">
        <f t="shared" si="8"/>
        <v>-18.811376160924297</v>
      </c>
      <c r="D120" s="1">
        <f t="shared" si="5"/>
        <v>6.0908976260730823</v>
      </c>
      <c r="E120" s="1">
        <f t="shared" si="9"/>
        <v>6.0908976260730823</v>
      </c>
      <c r="F120" s="1">
        <f t="shared" si="6"/>
        <v>2.9281046798661114E-2</v>
      </c>
    </row>
    <row r="121" spans="2:6" x14ac:dyDescent="0.25">
      <c r="B121" s="1">
        <f t="shared" si="7"/>
        <v>22.199999999999953</v>
      </c>
      <c r="C121" s="1">
        <f t="shared" si="8"/>
        <v>-17.593196635709681</v>
      </c>
      <c r="D121" s="1">
        <f t="shared" si="5"/>
        <v>6.0967538354328141</v>
      </c>
      <c r="E121" s="1">
        <f t="shared" si="9"/>
        <v>6.0967538354328141</v>
      </c>
      <c r="F121" s="1">
        <f t="shared" si="6"/>
        <v>8.7047649416300277E-3</v>
      </c>
    </row>
    <row r="122" spans="2:6" x14ac:dyDescent="0.25">
      <c r="B122" s="1">
        <f t="shared" si="7"/>
        <v>22.399999999999952</v>
      </c>
      <c r="C122" s="1">
        <f t="shared" si="8"/>
        <v>-16.373845868623118</v>
      </c>
      <c r="D122" s="1">
        <f t="shared" si="5"/>
        <v>6.0984947884211405</v>
      </c>
      <c r="E122" s="1">
        <f t="shared" si="9"/>
        <v>6.0984947884211405</v>
      </c>
      <c r="F122" s="1">
        <f t="shared" si="6"/>
        <v>-1.1698992315934631E-2</v>
      </c>
    </row>
    <row r="123" spans="2:6" x14ac:dyDescent="0.25">
      <c r="B123" s="1">
        <f t="shared" si="7"/>
        <v>22.599999999999952</v>
      </c>
      <c r="C123" s="1">
        <f t="shared" si="8"/>
        <v>-15.15414691093889</v>
      </c>
      <c r="D123" s="1">
        <f t="shared" si="5"/>
        <v>6.0961549899579532</v>
      </c>
      <c r="E123" s="1">
        <f t="shared" si="9"/>
        <v>6.0961549899579532</v>
      </c>
      <c r="F123" s="1">
        <f t="shared" si="6"/>
        <v>-3.1918117682389668E-2</v>
      </c>
    </row>
    <row r="124" spans="2:6" x14ac:dyDescent="0.25">
      <c r="B124" s="1">
        <f t="shared" si="7"/>
        <v>22.799999999999951</v>
      </c>
      <c r="C124" s="1">
        <f t="shared" si="8"/>
        <v>-13.934915912947298</v>
      </c>
      <c r="D124" s="1">
        <f t="shared" si="5"/>
        <v>6.0897713664214752</v>
      </c>
      <c r="E124" s="1">
        <f t="shared" si="9"/>
        <v>6.0897713664214752</v>
      </c>
      <c r="F124" s="1">
        <f t="shared" si="6"/>
        <v>-5.194073188388057E-2</v>
      </c>
    </row>
    <row r="125" spans="2:6" x14ac:dyDescent="0.25">
      <c r="B125" s="1">
        <f t="shared" si="7"/>
        <v>22.99999999999995</v>
      </c>
      <c r="C125" s="1">
        <f t="shared" si="8"/>
        <v>-12.716961639663003</v>
      </c>
      <c r="D125" s="1">
        <f t="shared" si="5"/>
        <v>6.0793832200446989</v>
      </c>
      <c r="E125" s="1">
        <f t="shared" si="9"/>
        <v>6.0793832200446989</v>
      </c>
      <c r="F125" s="1">
        <f t="shared" si="6"/>
        <v>-7.1755189607702552E-2</v>
      </c>
    </row>
    <row r="126" spans="2:6" x14ac:dyDescent="0.25">
      <c r="B126" s="1">
        <f t="shared" si="7"/>
        <v>23.19999999999995</v>
      </c>
      <c r="C126" s="1">
        <f t="shared" si="8"/>
        <v>-11.501084995654063</v>
      </c>
      <c r="D126" s="1">
        <f t="shared" si="5"/>
        <v>6.0650321821231588</v>
      </c>
      <c r="E126" s="1">
        <f t="shared" si="9"/>
        <v>6.0650321821231588</v>
      </c>
      <c r="F126" s="1">
        <f t="shared" si="6"/>
        <v>-9.1350085238179696E-2</v>
      </c>
    </row>
    <row r="127" spans="2:6" x14ac:dyDescent="0.25">
      <c r="B127" s="1">
        <f t="shared" si="7"/>
        <v>23.399999999999949</v>
      </c>
      <c r="C127" s="1">
        <f t="shared" si="8"/>
        <v>-10.288078559229431</v>
      </c>
      <c r="D127" s="1">
        <f t="shared" si="5"/>
        <v>6.0467621650755232</v>
      </c>
      <c r="E127" s="1">
        <f t="shared" si="9"/>
        <v>6.0467621650755232</v>
      </c>
      <c r="F127" s="1">
        <f t="shared" si="6"/>
        <v>-0.11071425838303386</v>
      </c>
    </row>
    <row r="128" spans="2:6" x14ac:dyDescent="0.25">
      <c r="B128" s="1">
        <f t="shared" si="7"/>
        <v>23.599999999999948</v>
      </c>
      <c r="C128" s="1">
        <f t="shared" si="8"/>
        <v>-9.0787261262143275</v>
      </c>
      <c r="D128" s="1">
        <f t="shared" si="5"/>
        <v>6.0246193133989161</v>
      </c>
      <c r="E128" s="1">
        <f t="shared" si="9"/>
        <v>6.0246193133989161</v>
      </c>
      <c r="F128" s="1">
        <f t="shared" si="6"/>
        <v>-0.12983679918837729</v>
      </c>
    </row>
    <row r="129" spans="2:6" x14ac:dyDescent="0.25">
      <c r="B129" s="1">
        <f t="shared" si="7"/>
        <v>23.799999999999947</v>
      </c>
      <c r="C129" s="1">
        <f t="shared" si="8"/>
        <v>-7.8738022635345439</v>
      </c>
      <c r="D129" s="1">
        <f t="shared" si="5"/>
        <v>5.9986519535612404</v>
      </c>
      <c r="E129" s="1">
        <f t="shared" si="9"/>
        <v>5.9986519535612404</v>
      </c>
      <c r="F129" s="1">
        <f t="shared" si="6"/>
        <v>-0.14870705344061552</v>
      </c>
    </row>
    <row r="130" spans="2:6" x14ac:dyDescent="0.25">
      <c r="B130" s="1">
        <f t="shared" si="7"/>
        <v>23.999999999999947</v>
      </c>
      <c r="C130" s="1">
        <f t="shared" si="8"/>
        <v>-6.6740718728222959</v>
      </c>
      <c r="D130" s="1">
        <f t="shared" si="5"/>
        <v>5.9689105428731173</v>
      </c>
      <c r="E130" s="1">
        <f t="shared" si="9"/>
        <v>5.9689105428731173</v>
      </c>
      <c r="F130" s="1">
        <f t="shared" si="6"/>
        <v>-0.16731462745370723</v>
      </c>
    </row>
    <row r="131" spans="2:6" x14ac:dyDescent="0.25">
      <c r="B131" s="1">
        <f t="shared" si="7"/>
        <v>24.199999999999946</v>
      </c>
      <c r="C131" s="1">
        <f t="shared" si="8"/>
        <v>-5.4802897642476722</v>
      </c>
      <c r="D131" s="1">
        <f t="shared" si="5"/>
        <v>5.9354476173823763</v>
      </c>
      <c r="E131" s="1">
        <f t="shared" si="9"/>
        <v>5.9354476173823763</v>
      </c>
      <c r="F131" s="1">
        <f t="shared" si="6"/>
        <v>-0.18564939274038306</v>
      </c>
    </row>
    <row r="132" spans="2:6" x14ac:dyDescent="0.25">
      <c r="B132" s="1">
        <f t="shared" si="7"/>
        <v>24.399999999999945</v>
      </c>
      <c r="C132" s="1">
        <f t="shared" si="8"/>
        <v>-4.2932002407711973</v>
      </c>
      <c r="D132" s="1">
        <f t="shared" si="5"/>
        <v>5.8983177388343</v>
      </c>
      <c r="E132" s="1">
        <f t="shared" si="9"/>
        <v>5.8983177388343</v>
      </c>
      <c r="F132" s="1">
        <f t="shared" si="6"/>
        <v>-0.20370149046608071</v>
      </c>
    </row>
    <row r="133" spans="2:6" x14ac:dyDescent="0.25">
      <c r="B133" s="1">
        <f t="shared" si="7"/>
        <v>24.599999999999945</v>
      </c>
      <c r="C133" s="1">
        <f t="shared" si="8"/>
        <v>-3.1135366930043373</v>
      </c>
      <c r="D133" s="1">
        <f t="shared" si="5"/>
        <v>5.8575774407410837</v>
      </c>
      <c r="E133" s="1">
        <f t="shared" si="9"/>
        <v>5.8575774407410837</v>
      </c>
      <c r="F133" s="1">
        <f t="shared" si="6"/>
        <v>-0.22146133568451162</v>
      </c>
    </row>
    <row r="134" spans="2:6" x14ac:dyDescent="0.25">
      <c r="B134" s="1">
        <f t="shared" si="7"/>
        <v>24.799999999999944</v>
      </c>
      <c r="C134" s="1">
        <f t="shared" si="8"/>
        <v>-1.9420212048561205</v>
      </c>
      <c r="D134" s="1">
        <f t="shared" si="5"/>
        <v>5.8132851736041813</v>
      </c>
      <c r="E134" s="1">
        <f t="shared" si="9"/>
        <v>5.8132851736041813</v>
      </c>
      <c r="F134" s="1">
        <f t="shared" si="6"/>
        <v>-0.23891962135392647</v>
      </c>
    </row>
    <row r="135" spans="2:6" x14ac:dyDescent="0.25">
      <c r="B135" s="1">
        <f t="shared" si="7"/>
        <v>24.999999999999943</v>
      </c>
      <c r="C135" s="1">
        <f t="shared" si="8"/>
        <v>-0.77936417013528425</v>
      </c>
      <c r="D135" s="1">
        <f t="shared" si="5"/>
        <v>5.7655012493333961</v>
      </c>
      <c r="E135" s="1">
        <f t="shared" si="9"/>
        <v>5.7655012493333961</v>
      </c>
      <c r="F135" s="1">
        <f t="shared" si="6"/>
        <v>-0.25606732213330374</v>
      </c>
    </row>
    <row r="136" spans="2:6" x14ac:dyDescent="0.25">
      <c r="B136" s="1">
        <f t="shared" si="7"/>
        <v>25.199999999999942</v>
      </c>
      <c r="C136" s="1">
        <f t="shared" si="8"/>
        <v>0.37373607973139511</v>
      </c>
      <c r="D136" s="1">
        <f t="shared" si="5"/>
        <v>5.7142877849067357</v>
      </c>
      <c r="E136" s="1">
        <f t="shared" si="9"/>
        <v>5.7142877849067357</v>
      </c>
      <c r="F136" s="1">
        <f t="shared" si="6"/>
        <v>-0.27289569795783764</v>
      </c>
    </row>
    <row r="137" spans="2:6" x14ac:dyDescent="0.25">
      <c r="B137" s="1">
        <f t="shared" si="7"/>
        <v>25.399999999999942</v>
      </c>
      <c r="C137" s="1">
        <f t="shared" si="8"/>
        <v>1.5165936367127424</v>
      </c>
      <c r="D137" s="1">
        <f t="shared" si="5"/>
        <v>5.6597086453151686</v>
      </c>
      <c r="E137" s="1">
        <f t="shared" si="9"/>
        <v>5.6597086453151686</v>
      </c>
      <c r="F137" s="1">
        <f t="shared" si="6"/>
        <v>-0.28939629739325362</v>
      </c>
    </row>
    <row r="138" spans="2:6" x14ac:dyDescent="0.25">
      <c r="B138" s="1">
        <f t="shared" si="7"/>
        <v>25.599999999999941</v>
      </c>
      <c r="C138" s="1">
        <f t="shared" si="8"/>
        <v>2.6485353657757762</v>
      </c>
      <c r="D138" s="1">
        <f t="shared" ref="D138:D201" si="10">E138</f>
        <v>5.6018293858365178</v>
      </c>
      <c r="E138" s="1">
        <f t="shared" si="9"/>
        <v>5.6018293858365178</v>
      </c>
      <c r="F138" s="1">
        <f t="shared" ref="F138:F201" si="11">-$C$3*C138/$C$4-$C$2/$C$4*E138</f>
        <v>-0.30556096076863376</v>
      </c>
    </row>
    <row r="139" spans="2:6" x14ac:dyDescent="0.25">
      <c r="B139" s="1">
        <f t="shared" ref="B139:B202" si="12">B138+$C$7</f>
        <v>25.79999999999994</v>
      </c>
      <c r="C139" s="1">
        <f t="shared" ref="C139:C202" si="13">C138+D138*$C$7</f>
        <v>3.7689012429430795</v>
      </c>
      <c r="D139" s="1">
        <f t="shared" si="10"/>
        <v>5.5407171936827915</v>
      </c>
      <c r="E139" s="1">
        <f t="shared" ref="E139:E202" si="14">E138+F138*$C$7</f>
        <v>5.5407171936827915</v>
      </c>
      <c r="F139" s="1">
        <f t="shared" si="11"/>
        <v>-0.32138182308758162</v>
      </c>
    </row>
    <row r="140" spans="2:6" x14ac:dyDescent="0.25">
      <c r="B140" s="1">
        <f t="shared" si="12"/>
        <v>25.99999999999994</v>
      </c>
      <c r="C140" s="1">
        <f t="shared" si="13"/>
        <v>4.8770446816796378</v>
      </c>
      <c r="D140" s="1">
        <f t="shared" si="10"/>
        <v>5.4764408290652753</v>
      </c>
      <c r="E140" s="1">
        <f t="shared" si="14"/>
        <v>5.4764408290652753</v>
      </c>
      <c r="F140" s="1">
        <f t="shared" si="11"/>
        <v>-0.33685131671770685</v>
      </c>
    </row>
    <row r="141" spans="2:6" x14ac:dyDescent="0.25">
      <c r="B141" s="1">
        <f t="shared" si="12"/>
        <v>26.199999999999939</v>
      </c>
      <c r="C141" s="1">
        <f t="shared" si="13"/>
        <v>5.9723328474926927</v>
      </c>
      <c r="D141" s="1">
        <f t="shared" si="10"/>
        <v>5.4090705657217342</v>
      </c>
      <c r="E141" s="1">
        <f t="shared" si="14"/>
        <v>5.4090705657217342</v>
      </c>
      <c r="F141" s="1">
        <f t="shared" si="11"/>
        <v>-0.35196217385855916</v>
      </c>
    </row>
    <row r="142" spans="2:6" x14ac:dyDescent="0.25">
      <c r="B142" s="1">
        <f t="shared" si="12"/>
        <v>26.399999999999938</v>
      </c>
      <c r="C142" s="1">
        <f t="shared" si="13"/>
        <v>7.0541469606370395</v>
      </c>
      <c r="D142" s="1">
        <f t="shared" si="10"/>
        <v>5.3386781309500222</v>
      </c>
      <c r="E142" s="1">
        <f t="shared" si="14"/>
        <v>5.3386781309500222</v>
      </c>
      <c r="F142" s="1">
        <f t="shared" si="11"/>
        <v>-0.36670742878828505</v>
      </c>
    </row>
    <row r="143" spans="2:6" x14ac:dyDescent="0.25">
      <c r="B143" s="1">
        <f t="shared" si="12"/>
        <v>26.599999999999937</v>
      </c>
      <c r="C143" s="1">
        <f t="shared" si="13"/>
        <v>8.1218825868270432</v>
      </c>
      <c r="D143" s="1">
        <f t="shared" si="10"/>
        <v>5.2653366451923649</v>
      </c>
      <c r="E143" s="1">
        <f t="shared" si="14"/>
        <v>5.2653366451923649</v>
      </c>
      <c r="F143" s="1">
        <f t="shared" si="11"/>
        <v>-0.38108041988942776</v>
      </c>
    </row>
    <row r="144" spans="2:6" x14ac:dyDescent="0.25">
      <c r="B144" s="1">
        <f t="shared" si="12"/>
        <v>26.799999999999937</v>
      </c>
      <c r="C144" s="1">
        <f t="shared" si="13"/>
        <v>9.1749499158655166</v>
      </c>
      <c r="D144" s="1">
        <f t="shared" si="10"/>
        <v>5.1891205612144793</v>
      </c>
      <c r="E144" s="1">
        <f t="shared" si="14"/>
        <v>5.1891205612144793</v>
      </c>
      <c r="F144" s="1">
        <f t="shared" si="11"/>
        <v>-0.39507479145443436</v>
      </c>
    </row>
    <row r="145" spans="2:6" x14ac:dyDescent="0.25">
      <c r="B145" s="1">
        <f t="shared" si="12"/>
        <v>26.999999999999936</v>
      </c>
      <c r="C145" s="1">
        <f t="shared" si="13"/>
        <v>10.212774028108413</v>
      </c>
      <c r="D145" s="1">
        <f t="shared" si="10"/>
        <v>5.1101056029235927</v>
      </c>
      <c r="E145" s="1">
        <f t="shared" si="14"/>
        <v>5.1101056029235927</v>
      </c>
      <c r="F145" s="1">
        <f t="shared" si="11"/>
        <v>-0.40868449527157458</v>
      </c>
    </row>
    <row r="146" spans="2:6" x14ac:dyDescent="0.25">
      <c r="B146" s="1">
        <f t="shared" si="12"/>
        <v>27.199999999999935</v>
      </c>
      <c r="C146" s="1">
        <f t="shared" si="13"/>
        <v>11.234795148693131</v>
      </c>
      <c r="D146" s="1">
        <f t="shared" si="10"/>
        <v>5.0283687038692779</v>
      </c>
      <c r="E146" s="1">
        <f t="shared" si="14"/>
        <v>5.0283687038692779</v>
      </c>
      <c r="F146" s="1">
        <f t="shared" si="11"/>
        <v>-0.42190379199211847</v>
      </c>
    </row>
    <row r="147" spans="2:6" x14ac:dyDescent="0.25">
      <c r="B147" s="1">
        <f t="shared" si="12"/>
        <v>27.399999999999935</v>
      </c>
      <c r="C147" s="1">
        <f t="shared" si="13"/>
        <v>12.240468889466987</v>
      </c>
      <c r="D147" s="1">
        <f t="shared" si="10"/>
        <v>4.9439879454708544</v>
      </c>
      <c r="E147" s="1">
        <f t="shared" si="14"/>
        <v>4.9439879454708544</v>
      </c>
      <c r="F147" s="1">
        <f t="shared" si="11"/>
        <v>-0.43472725227975639</v>
      </c>
    </row>
    <row r="148" spans="2:6" x14ac:dyDescent="0.25">
      <c r="B148" s="1">
        <f t="shared" si="12"/>
        <v>27.599999999999934</v>
      </c>
      <c r="C148" s="1">
        <f t="shared" si="13"/>
        <v>13.229266478561158</v>
      </c>
      <c r="D148" s="1">
        <f t="shared" si="10"/>
        <v>4.8570424950149027</v>
      </c>
      <c r="E148" s="1">
        <f t="shared" si="14"/>
        <v>4.8570424950149027</v>
      </c>
      <c r="F148" s="1">
        <f t="shared" si="11"/>
        <v>-0.44714975774338145</v>
      </c>
    </row>
    <row r="149" spans="2:6" x14ac:dyDescent="0.25">
      <c r="B149" s="1">
        <f t="shared" si="12"/>
        <v>27.799999999999933</v>
      </c>
      <c r="C149" s="1">
        <f t="shared" si="13"/>
        <v>14.200674977564137</v>
      </c>
      <c r="D149" s="1">
        <f t="shared" si="10"/>
        <v>4.7676125434662264</v>
      </c>
      <c r="E149" s="1">
        <f t="shared" si="14"/>
        <v>4.7676125434662264</v>
      </c>
      <c r="F149" s="1">
        <f t="shared" si="11"/>
        <v>-0.45916650165449291</v>
      </c>
    </row>
    <row r="150" spans="2:6" x14ac:dyDescent="0.25">
      <c r="B150" s="1">
        <f t="shared" si="12"/>
        <v>27.999999999999932</v>
      </c>
      <c r="C150" s="1">
        <f t="shared" si="13"/>
        <v>15.154197486257383</v>
      </c>
      <c r="D150" s="1">
        <f t="shared" si="10"/>
        <v>4.6757792431353282</v>
      </c>
      <c r="E150" s="1">
        <f t="shared" si="14"/>
        <v>4.6757792431353282</v>
      </c>
      <c r="F150" s="1">
        <f t="shared" si="11"/>
        <v>-0.47077298945060508</v>
      </c>
    </row>
    <row r="151" spans="2:6" x14ac:dyDescent="0.25">
      <c r="B151" s="1">
        <f t="shared" si="12"/>
        <v>28.199999999999932</v>
      </c>
      <c r="C151" s="1">
        <f t="shared" si="13"/>
        <v>16.08935333488445</v>
      </c>
      <c r="D151" s="1">
        <f t="shared" si="10"/>
        <v>4.5816246452452072</v>
      </c>
      <c r="E151" s="1">
        <f t="shared" si="14"/>
        <v>4.5816246452452072</v>
      </c>
      <c r="F151" s="1">
        <f t="shared" si="11"/>
        <v>-0.48196503902618387</v>
      </c>
    </row>
    <row r="152" spans="2:6" x14ac:dyDescent="0.25">
      <c r="B152" s="1">
        <f t="shared" si="12"/>
        <v>28.399999999999931</v>
      </c>
      <c r="C152" s="1">
        <f t="shared" si="13"/>
        <v>17.00567826393349</v>
      </c>
      <c r="D152" s="1">
        <f t="shared" si="10"/>
        <v>4.4852316374399708</v>
      </c>
      <c r="E152" s="1">
        <f t="shared" si="14"/>
        <v>4.4852316374399708</v>
      </c>
      <c r="F152" s="1">
        <f t="shared" si="11"/>
        <v>-0.49273878081275679</v>
      </c>
    </row>
    <row r="153" spans="2:6" x14ac:dyDescent="0.25">
      <c r="B153" s="1">
        <f t="shared" si="12"/>
        <v>28.59999999999993</v>
      </c>
      <c r="C153" s="1">
        <f t="shared" si="13"/>
        <v>17.902724591421485</v>
      </c>
      <c r="D153" s="1">
        <f t="shared" si="10"/>
        <v>4.3866838812774196</v>
      </c>
      <c r="E153" s="1">
        <f t="shared" si="14"/>
        <v>4.3866838812774196</v>
      </c>
      <c r="F153" s="1">
        <f t="shared" si="11"/>
        <v>-0.50309065764997107</v>
      </c>
    </row>
    <row r="154" spans="2:6" x14ac:dyDescent="0.25">
      <c r="B154" s="1">
        <f t="shared" si="12"/>
        <v>28.79999999999993</v>
      </c>
      <c r="C154" s="1">
        <f t="shared" si="13"/>
        <v>18.780061367676968</v>
      </c>
      <c r="D154" s="1">
        <f t="shared" si="10"/>
        <v>4.2860657497474257</v>
      </c>
      <c r="E154" s="1">
        <f t="shared" si="14"/>
        <v>4.2860657497474257</v>
      </c>
      <c r="F154" s="1">
        <f t="shared" si="11"/>
        <v>-0.51301742444949605</v>
      </c>
    </row>
    <row r="155" spans="2:6" x14ac:dyDescent="0.25">
      <c r="B155" s="1">
        <f t="shared" si="12"/>
        <v>28.999999999999929</v>
      </c>
      <c r="C155" s="1">
        <f t="shared" si="13"/>
        <v>19.637274517626452</v>
      </c>
      <c r="D155" s="1">
        <f t="shared" si="10"/>
        <v>4.1834622648575266</v>
      </c>
      <c r="E155" s="1">
        <f t="shared" si="14"/>
        <v>4.1834622648575266</v>
      </c>
      <c r="F155" s="1">
        <f t="shared" si="11"/>
        <v>-0.52251614765379217</v>
      </c>
    </row>
    <row r="156" spans="2:6" x14ac:dyDescent="0.25">
      <c r="B156" s="1">
        <f t="shared" si="12"/>
        <v>29.199999999999928</v>
      </c>
      <c r="C156" s="1">
        <f t="shared" si="13"/>
        <v>20.473966970597957</v>
      </c>
      <c r="D156" s="1">
        <f t="shared" si="10"/>
        <v>4.0789590353267684</v>
      </c>
      <c r="E156" s="1">
        <f t="shared" si="14"/>
        <v>4.0789590353267684</v>
      </c>
      <c r="F156" s="1">
        <f t="shared" si="11"/>
        <v>-0.53158420449188182</v>
      </c>
    </row>
    <row r="157" spans="2:6" x14ac:dyDescent="0.25">
      <c r="B157" s="1">
        <f t="shared" si="12"/>
        <v>29.399999999999928</v>
      </c>
      <c r="C157" s="1">
        <f t="shared" si="13"/>
        <v>21.289758777663309</v>
      </c>
      <c r="D157" s="1">
        <f t="shared" si="10"/>
        <v>3.9726421944283921</v>
      </c>
      <c r="E157" s="1">
        <f t="shared" si="14"/>
        <v>3.9726421944283921</v>
      </c>
      <c r="F157" s="1">
        <f t="shared" si="11"/>
        <v>-0.54021928203438008</v>
      </c>
    </row>
    <row r="158" spans="2:6" x14ac:dyDescent="0.25">
      <c r="B158" s="1">
        <f t="shared" si="12"/>
        <v>29.599999999999927</v>
      </c>
      <c r="C158" s="1">
        <f t="shared" si="13"/>
        <v>22.084287216548987</v>
      </c>
      <c r="D158" s="1">
        <f t="shared" si="10"/>
        <v>3.8645983380215161</v>
      </c>
      <c r="E158" s="1">
        <f t="shared" si="14"/>
        <v>3.8645983380215161</v>
      </c>
      <c r="F158" s="1">
        <f t="shared" si="11"/>
        <v>-0.5484193760501539</v>
      </c>
    </row>
    <row r="159" spans="2:6" x14ac:dyDescent="0.25">
      <c r="B159" s="1">
        <f t="shared" si="12"/>
        <v>29.799999999999926</v>
      </c>
      <c r="C159" s="1">
        <f t="shared" si="13"/>
        <v>22.857206884153289</v>
      </c>
      <c r="D159" s="1">
        <f t="shared" si="10"/>
        <v>3.7549144628114854</v>
      </c>
      <c r="E159" s="1">
        <f t="shared" si="14"/>
        <v>3.7549144628114854</v>
      </c>
      <c r="F159" s="1">
        <f t="shared" si="11"/>
        <v>-0.55618278966709089</v>
      </c>
    </row>
    <row r="160" spans="2:6" x14ac:dyDescent="0.25">
      <c r="B160" s="1">
        <f t="shared" si="12"/>
        <v>29.999999999999925</v>
      </c>
      <c r="C160" s="1">
        <f t="shared" si="13"/>
        <v>23.608189776715587</v>
      </c>
      <c r="D160" s="1">
        <f t="shared" si="10"/>
        <v>3.6436779048780674</v>
      </c>
      <c r="E160" s="1">
        <f t="shared" si="14"/>
        <v>3.6436779048780674</v>
      </c>
      <c r="F160" s="1">
        <f t="shared" si="11"/>
        <v>-0.5635081318395696</v>
      </c>
    </row>
    <row r="161" spans="2:6" x14ac:dyDescent="0.25">
      <c r="B161" s="1">
        <f t="shared" si="12"/>
        <v>30.199999999999925</v>
      </c>
      <c r="C161" s="1">
        <f t="shared" si="13"/>
        <v>24.3369253576912</v>
      </c>
      <c r="D161" s="1">
        <f t="shared" si="10"/>
        <v>3.5309762785101535</v>
      </c>
      <c r="E161" s="1">
        <f t="shared" si="14"/>
        <v>3.5309762785101535</v>
      </c>
      <c r="F161" s="1">
        <f t="shared" si="11"/>
        <v>-0.57039431562532728</v>
      </c>
    </row>
    <row r="162" spans="2:6" x14ac:dyDescent="0.25">
      <c r="B162" s="1">
        <f t="shared" si="12"/>
        <v>30.399999999999924</v>
      </c>
      <c r="C162" s="1">
        <f t="shared" si="13"/>
        <v>25.043120613393231</v>
      </c>
      <c r="D162" s="1">
        <f t="shared" si="10"/>
        <v>3.4168974153850882</v>
      </c>
      <c r="E162" s="1">
        <f t="shared" si="14"/>
        <v>3.4168974153850882</v>
      </c>
      <c r="F162" s="1">
        <f t="shared" si="11"/>
        <v>-0.57684055627452469</v>
      </c>
    </row>
    <row r="163" spans="2:6" x14ac:dyDescent="0.25">
      <c r="B163" s="1">
        <f t="shared" si="12"/>
        <v>30.599999999999923</v>
      </c>
      <c r="C163" s="1">
        <f t="shared" si="13"/>
        <v>25.72650009647025</v>
      </c>
      <c r="D163" s="1">
        <f t="shared" si="10"/>
        <v>3.3015293041301832</v>
      </c>
      <c r="E163" s="1">
        <f t="shared" si="14"/>
        <v>3.3015293041301832</v>
      </c>
      <c r="F163" s="1">
        <f t="shared" si="11"/>
        <v>-0.58284636913391275</v>
      </c>
    </row>
    <row r="164" spans="2:6" x14ac:dyDescent="0.25">
      <c r="B164" s="1">
        <f t="shared" si="12"/>
        <v>30.799999999999923</v>
      </c>
      <c r="C164" s="1">
        <f t="shared" si="13"/>
        <v>26.386805957296286</v>
      </c>
      <c r="D164" s="1">
        <f t="shared" si="10"/>
        <v>3.1849600303034005</v>
      </c>
      <c r="E164" s="1">
        <f t="shared" si="14"/>
        <v>3.1849600303034005</v>
      </c>
      <c r="F164" s="1">
        <f t="shared" si="11"/>
        <v>-0.58841156736909683</v>
      </c>
    </row>
    <row r="165" spans="2:6" x14ac:dyDescent="0.25">
      <c r="B165" s="1">
        <f t="shared" si="12"/>
        <v>30.999999999999922</v>
      </c>
      <c r="C165" s="1">
        <f t="shared" si="13"/>
        <v>27.023797963356966</v>
      </c>
      <c r="D165" s="1">
        <f t="shared" si="10"/>
        <v>3.0672777168295813</v>
      </c>
      <c r="E165" s="1">
        <f t="shared" si="14"/>
        <v>3.0672777168295813</v>
      </c>
      <c r="F165" s="1">
        <f t="shared" si="11"/>
        <v>-0.5935362595079966</v>
      </c>
    </row>
    <row r="166" spans="2:6" x14ac:dyDescent="0.25">
      <c r="B166" s="1">
        <f t="shared" si="12"/>
        <v>31.199999999999921</v>
      </c>
      <c r="C166" s="1">
        <f t="shared" si="13"/>
        <v>27.637253506722882</v>
      </c>
      <c r="D166" s="1">
        <f t="shared" si="10"/>
        <v>2.948570464927982</v>
      </c>
      <c r="E166" s="1">
        <f t="shared" si="14"/>
        <v>2.948570464927982</v>
      </c>
      <c r="F166" s="1">
        <f t="shared" si="11"/>
        <v>-0.59822084680868726</v>
      </c>
    </row>
    <row r="167" spans="2:6" x14ac:dyDescent="0.25">
      <c r="B167" s="1">
        <f t="shared" si="12"/>
        <v>31.39999999999992</v>
      </c>
      <c r="C167" s="1">
        <f t="shared" si="13"/>
        <v>28.226967599708477</v>
      </c>
      <c r="D167" s="1">
        <f t="shared" si="10"/>
        <v>2.8289262955662444</v>
      </c>
      <c r="E167" s="1">
        <f t="shared" si="14"/>
        <v>2.8289262955662444</v>
      </c>
      <c r="F167" s="1">
        <f t="shared" si="11"/>
        <v>-0.60246602045489928</v>
      </c>
    </row>
    <row r="168" spans="2:6" x14ac:dyDescent="0.25">
      <c r="B168" s="1">
        <f t="shared" si="12"/>
        <v>31.59999999999992</v>
      </c>
      <c r="C168" s="1">
        <f t="shared" si="13"/>
        <v>28.792752858821725</v>
      </c>
      <c r="D168" s="1">
        <f t="shared" si="10"/>
        <v>2.7084330914752646</v>
      </c>
      <c r="E168" s="1">
        <f t="shared" si="14"/>
        <v>2.7084330914752646</v>
      </c>
      <c r="F168" s="1">
        <f t="shared" si="11"/>
        <v>-0.60627275858254115</v>
      </c>
    </row>
    <row r="169" spans="2:6" x14ac:dyDescent="0.25">
      <c r="B169" s="1">
        <f t="shared" si="12"/>
        <v>31.799999999999919</v>
      </c>
      <c r="C169" s="1">
        <f t="shared" si="13"/>
        <v>29.334439477116778</v>
      </c>
      <c r="D169" s="1">
        <f t="shared" si="10"/>
        <v>2.5871785397587566</v>
      </c>
      <c r="E169" s="1">
        <f t="shared" si="14"/>
        <v>2.5871785397587566</v>
      </c>
      <c r="F169" s="1">
        <f t="shared" si="11"/>
        <v>-0.60964232314068834</v>
      </c>
    </row>
    <row r="170" spans="2:6" x14ac:dyDescent="0.25">
      <c r="B170" s="1">
        <f t="shared" si="12"/>
        <v>31.999999999999918</v>
      </c>
      <c r="C170" s="1">
        <f t="shared" si="13"/>
        <v>29.851875185068529</v>
      </c>
      <c r="D170" s="1">
        <f t="shared" si="10"/>
        <v>2.4652500751306188</v>
      </c>
      <c r="E170" s="1">
        <f t="shared" si="14"/>
        <v>2.4652500751306188</v>
      </c>
      <c r="F170" s="1">
        <f t="shared" si="11"/>
        <v>-0.61257625659057113</v>
      </c>
    </row>
    <row r="171" spans="2:6" x14ac:dyDescent="0.25">
      <c r="B171" s="1">
        <f t="shared" si="12"/>
        <v>32.199999999999918</v>
      </c>
      <c r="C171" s="1">
        <f t="shared" si="13"/>
        <v>30.344925200094654</v>
      </c>
      <c r="D171" s="1">
        <f t="shared" si="10"/>
        <v>2.3427348238125045</v>
      </c>
      <c r="E171" s="1">
        <f t="shared" si="14"/>
        <v>2.3427348238125045</v>
      </c>
      <c r="F171" s="1">
        <f t="shared" si="11"/>
        <v>-0.61507637844616103</v>
      </c>
    </row>
    <row r="172" spans="2:6" x14ac:dyDescent="0.25">
      <c r="B172" s="1">
        <f t="shared" si="12"/>
        <v>32.39999999999992</v>
      </c>
      <c r="C172" s="1">
        <f t="shared" si="13"/>
        <v>30.813472164857153</v>
      </c>
      <c r="D172" s="1">
        <f t="shared" si="10"/>
        <v>2.2197195481232725</v>
      </c>
      <c r="E172" s="1">
        <f t="shared" si="14"/>
        <v>2.2197195481232725</v>
      </c>
      <c r="F172" s="1">
        <f t="shared" si="11"/>
        <v>-0.61714478166003861</v>
      </c>
    </row>
    <row r="173" spans="2:6" x14ac:dyDescent="0.25">
      <c r="B173" s="1">
        <f t="shared" si="12"/>
        <v>32.599999999999923</v>
      </c>
      <c r="C173" s="1">
        <f t="shared" si="13"/>
        <v>31.257416074481807</v>
      </c>
      <c r="D173" s="1">
        <f t="shared" si="10"/>
        <v>2.0962905917912646</v>
      </c>
      <c r="E173" s="1">
        <f t="shared" si="14"/>
        <v>2.0962905917912646</v>
      </c>
      <c r="F173" s="1">
        <f t="shared" si="11"/>
        <v>-0.6187838288582892</v>
      </c>
    </row>
    <row r="174" spans="2:6" x14ac:dyDescent="0.25">
      <c r="B174" s="1">
        <f t="shared" si="12"/>
        <v>32.799999999999926</v>
      </c>
      <c r="C174" s="1">
        <f t="shared" si="13"/>
        <v>31.676674192840061</v>
      </c>
      <c r="D174" s="1">
        <f t="shared" si="10"/>
        <v>1.9725338260196068</v>
      </c>
      <c r="E174" s="1">
        <f t="shared" si="14"/>
        <v>1.9725338260196068</v>
      </c>
      <c r="F174" s="1">
        <f t="shared" si="11"/>
        <v>-0.61999614842824935</v>
      </c>
    </row>
    <row r="175" spans="2:6" x14ac:dyDescent="0.25">
      <c r="B175" s="1">
        <f t="shared" si="12"/>
        <v>32.999999999999929</v>
      </c>
      <c r="C175" s="1">
        <f t="shared" si="13"/>
        <v>32.071180958043982</v>
      </c>
      <c r="D175" s="1">
        <f t="shared" si="10"/>
        <v>1.848534596333957</v>
      </c>
      <c r="E175" s="1">
        <f t="shared" si="14"/>
        <v>1.848534596333957</v>
      </c>
      <c r="F175" s="1">
        <f t="shared" si="11"/>
        <v>-0.62078463046298449</v>
      </c>
    </row>
    <row r="176" spans="2:6" x14ac:dyDescent="0.25">
      <c r="B176" s="1">
        <f t="shared" si="12"/>
        <v>33.199999999999932</v>
      </c>
      <c r="C176" s="1">
        <f t="shared" si="13"/>
        <v>32.440887877310772</v>
      </c>
      <c r="D176" s="1">
        <f t="shared" si="10"/>
        <v>1.72437767024136</v>
      </c>
      <c r="E176" s="1">
        <f t="shared" si="14"/>
        <v>1.72437767024136</v>
      </c>
      <c r="F176" s="1">
        <f t="shared" si="11"/>
        <v>-0.62115242256644299</v>
      </c>
    </row>
    <row r="177" spans="2:6" x14ac:dyDescent="0.25">
      <c r="B177" s="1">
        <f t="shared" si="12"/>
        <v>33.399999999999935</v>
      </c>
      <c r="C177" s="1">
        <f t="shared" si="13"/>
        <v>32.785763411359042</v>
      </c>
      <c r="D177" s="1">
        <f t="shared" si="10"/>
        <v>1.6001471857280714</v>
      </c>
      <c r="E177" s="1">
        <f t="shared" si="14"/>
        <v>1.6001471857280714</v>
      </c>
      <c r="F177" s="1">
        <f t="shared" si="11"/>
        <v>-0.62110292552329416</v>
      </c>
    </row>
    <row r="178" spans="2:6" x14ac:dyDescent="0.25">
      <c r="B178" s="1">
        <f t="shared" si="12"/>
        <v>33.599999999999937</v>
      </c>
      <c r="C178" s="1">
        <f t="shared" si="13"/>
        <v>33.105792848504656</v>
      </c>
      <c r="D178" s="1">
        <f t="shared" si="10"/>
        <v>1.4759266006234126</v>
      </c>
      <c r="E178" s="1">
        <f t="shared" si="14"/>
        <v>1.4759266006234126</v>
      </c>
      <c r="F178" s="1">
        <f t="shared" si="11"/>
        <v>-0.62063978883750348</v>
      </c>
    </row>
    <row r="179" spans="2:6" x14ac:dyDescent="0.25">
      <c r="B179" s="1">
        <f t="shared" si="12"/>
        <v>33.79999999999994</v>
      </c>
      <c r="C179" s="1">
        <f t="shared" si="13"/>
        <v>33.400978168629337</v>
      </c>
      <c r="D179" s="1">
        <f t="shared" si="10"/>
        <v>1.3517986428559119</v>
      </c>
      <c r="E179" s="1">
        <f t="shared" si="14"/>
        <v>1.3517986428559119</v>
      </c>
      <c r="F179" s="1">
        <f t="shared" si="11"/>
        <v>-0.61976690614376495</v>
      </c>
    </row>
    <row r="180" spans="2:6" x14ac:dyDescent="0.25">
      <c r="B180" s="1">
        <f t="shared" si="12"/>
        <v>33.999999999999943</v>
      </c>
      <c r="C180" s="1">
        <f t="shared" si="13"/>
        <v>33.671337897200516</v>
      </c>
      <c r="D180" s="1">
        <f t="shared" si="10"/>
        <v>1.2278452616271589</v>
      </c>
      <c r="E180" s="1">
        <f t="shared" si="14"/>
        <v>1.2278452616271589</v>
      </c>
      <c r="F180" s="1">
        <f t="shared" si="11"/>
        <v>-0.61848841049594283</v>
      </c>
    </row>
    <row r="181" spans="2:6" x14ac:dyDescent="0.25">
      <c r="B181" s="1">
        <f t="shared" si="12"/>
        <v>34.199999999999946</v>
      </c>
      <c r="C181" s="1">
        <f t="shared" si="13"/>
        <v>33.916906949525945</v>
      </c>
      <c r="D181" s="1">
        <f t="shared" si="10"/>
        <v>1.1041475795279703</v>
      </c>
      <c r="E181" s="1">
        <f t="shared" si="14"/>
        <v>1.1041475795279703</v>
      </c>
      <c r="F181" s="1">
        <f t="shared" si="11"/>
        <v>-0.61680866953673774</v>
      </c>
    </row>
    <row r="182" spans="2:6" x14ac:dyDescent="0.25">
      <c r="B182" s="1">
        <f t="shared" si="12"/>
        <v>34.399999999999949</v>
      </c>
      <c r="C182" s="1">
        <f t="shared" si="13"/>
        <v>34.137736465431537</v>
      </c>
      <c r="D182" s="1">
        <f t="shared" si="10"/>
        <v>0.98078584562062265</v>
      </c>
      <c r="E182" s="1">
        <f t="shared" si="14"/>
        <v>0.98078584562062265</v>
      </c>
      <c r="F182" s="1">
        <f t="shared" si="11"/>
        <v>-0.61473228055282148</v>
      </c>
    </row>
    <row r="183" spans="2:6" x14ac:dyDescent="0.25">
      <c r="B183" s="1">
        <f t="shared" si="12"/>
        <v>34.599999999999952</v>
      </c>
      <c r="C183" s="1">
        <f t="shared" si="13"/>
        <v>34.333893634555665</v>
      </c>
      <c r="D183" s="1">
        <f t="shared" si="10"/>
        <v>0.85783938951005834</v>
      </c>
      <c r="E183" s="1">
        <f t="shared" si="14"/>
        <v>0.85783938951005834</v>
      </c>
      <c r="F183" s="1">
        <f t="shared" si="11"/>
        <v>-0.61226406541973044</v>
      </c>
    </row>
    <row r="184" spans="2:6" x14ac:dyDescent="0.25">
      <c r="B184" s="1">
        <f t="shared" si="12"/>
        <v>34.799999999999955</v>
      </c>
      <c r="C184" s="1">
        <f t="shared" si="13"/>
        <v>34.505461512457678</v>
      </c>
      <c r="D184" s="1">
        <f t="shared" si="10"/>
        <v>0.73538657642611227</v>
      </c>
      <c r="E184" s="1">
        <f t="shared" si="14"/>
        <v>0.73538657642611227</v>
      </c>
      <c r="F184" s="1">
        <f t="shared" si="11"/>
        <v>-0.60940906544084661</v>
      </c>
    </row>
    <row r="185" spans="2:6" x14ac:dyDescent="0.25">
      <c r="B185" s="1">
        <f t="shared" si="12"/>
        <v>34.999999999999957</v>
      </c>
      <c r="C185" s="1">
        <f t="shared" si="13"/>
        <v>34.652538827742902</v>
      </c>
      <c r="D185" s="1">
        <f t="shared" si="10"/>
        <v>0.6135047633379429</v>
      </c>
      <c r="E185" s="1">
        <f t="shared" si="14"/>
        <v>0.6135047633379429</v>
      </c>
      <c r="F185" s="1">
        <f t="shared" si="11"/>
        <v>-0.60617253608481914</v>
      </c>
    </row>
    <row r="186" spans="2:6" x14ac:dyDescent="0.25">
      <c r="B186" s="1">
        <f t="shared" si="12"/>
        <v>35.19999999999996</v>
      </c>
      <c r="C186" s="1">
        <f t="shared" si="13"/>
        <v>34.775239780410487</v>
      </c>
      <c r="D186" s="1">
        <f t="shared" si="10"/>
        <v>0.49227025612097908</v>
      </c>
      <c r="E186" s="1">
        <f t="shared" si="14"/>
        <v>0.49227025612097908</v>
      </c>
      <c r="F186" s="1">
        <f t="shared" si="11"/>
        <v>-0.60255994162582049</v>
      </c>
    </row>
    <row r="187" spans="2:6" x14ac:dyDescent="0.25">
      <c r="B187" s="1">
        <f t="shared" si="12"/>
        <v>35.399999999999963</v>
      </c>
      <c r="C187" s="1">
        <f t="shared" si="13"/>
        <v>34.873693831634682</v>
      </c>
      <c r="D187" s="1">
        <f t="shared" si="10"/>
        <v>0.371758267795815</v>
      </c>
      <c r="E187" s="1">
        <f t="shared" si="14"/>
        <v>0.371758267795815</v>
      </c>
      <c r="F187" s="1">
        <f t="shared" si="11"/>
        <v>-0.59857694969104935</v>
      </c>
    </row>
    <row r="188" spans="2:6" x14ac:dyDescent="0.25">
      <c r="B188" s="1">
        <f t="shared" si="12"/>
        <v>35.599999999999966</v>
      </c>
      <c r="C188" s="1">
        <f t="shared" si="13"/>
        <v>34.948045485193845</v>
      </c>
      <c r="D188" s="1">
        <f t="shared" si="10"/>
        <v>0.25204287785760515</v>
      </c>
      <c r="E188" s="1">
        <f t="shared" si="14"/>
        <v>0.25204287785760515</v>
      </c>
      <c r="F188" s="1">
        <f t="shared" si="11"/>
        <v>-0.59422942571991899</v>
      </c>
    </row>
    <row r="189" spans="2:6" x14ac:dyDescent="0.25">
      <c r="B189" s="1">
        <f t="shared" si="12"/>
        <v>35.799999999999969</v>
      </c>
      <c r="C189" s="1">
        <f t="shared" si="13"/>
        <v>34.998454060765368</v>
      </c>
      <c r="D189" s="1">
        <f t="shared" si="10"/>
        <v>0.13319699271362134</v>
      </c>
      <c r="E189" s="1">
        <f t="shared" si="14"/>
        <v>0.13319699271362134</v>
      </c>
      <c r="F189" s="1">
        <f t="shared" si="11"/>
        <v>-0.58952342733939178</v>
      </c>
    </row>
    <row r="190" spans="2:6" x14ac:dyDescent="0.25">
      <c r="B190" s="1">
        <f t="shared" si="12"/>
        <v>35.999999999999972</v>
      </c>
      <c r="C190" s="1">
        <f t="shared" si="13"/>
        <v>35.025093459308096</v>
      </c>
      <c r="D190" s="1">
        <f t="shared" si="10"/>
        <v>1.5292307245742986E-2</v>
      </c>
      <c r="E190" s="1">
        <f t="shared" si="14"/>
        <v>1.5292307245742986E-2</v>
      </c>
      <c r="F190" s="1">
        <f t="shared" si="11"/>
        <v>-0.58446519865993629</v>
      </c>
    </row>
    <row r="191" spans="2:6" x14ac:dyDescent="0.25">
      <c r="B191" s="1">
        <f t="shared" si="12"/>
        <v>36.199999999999974</v>
      </c>
      <c r="C191" s="1">
        <f t="shared" si="13"/>
        <v>35.028151920757246</v>
      </c>
      <c r="D191" s="1">
        <f t="shared" si="10"/>
        <v>-0.10160073248624428</v>
      </c>
      <c r="E191" s="1">
        <f t="shared" si="14"/>
        <v>-0.10160073248624428</v>
      </c>
      <c r="F191" s="1">
        <f t="shared" si="11"/>
        <v>-0.57906116449659606</v>
      </c>
    </row>
    <row r="192" spans="2:6" x14ac:dyDescent="0.25">
      <c r="B192" s="1">
        <f t="shared" si="12"/>
        <v>36.399999999999977</v>
      </c>
      <c r="C192" s="1">
        <f t="shared" si="13"/>
        <v>35.007831774259998</v>
      </c>
      <c r="D192" s="1">
        <f t="shared" si="10"/>
        <v>-0.21741296538556348</v>
      </c>
      <c r="E192" s="1">
        <f t="shared" si="14"/>
        <v>-0.21741296538556348</v>
      </c>
      <c r="F192" s="1">
        <f t="shared" si="11"/>
        <v>-0.57331792451967367</v>
      </c>
    </row>
    <row r="193" spans="2:6" x14ac:dyDescent="0.25">
      <c r="B193" s="1">
        <f t="shared" si="12"/>
        <v>36.59999999999998</v>
      </c>
      <c r="C193" s="1">
        <f t="shared" si="13"/>
        <v>34.964349181182882</v>
      </c>
      <c r="D193" s="1">
        <f t="shared" si="10"/>
        <v>-0.33207655028949823</v>
      </c>
      <c r="E193" s="1">
        <f t="shared" si="14"/>
        <v>-0.33207655028949823</v>
      </c>
      <c r="F193" s="1">
        <f t="shared" si="11"/>
        <v>-0.5672422473395381</v>
      </c>
    </row>
    <row r="194" spans="2:6" x14ac:dyDescent="0.25">
      <c r="B194" s="1">
        <f t="shared" si="12"/>
        <v>36.799999999999983</v>
      </c>
      <c r="C194" s="1">
        <f t="shared" si="13"/>
        <v>34.897933871124984</v>
      </c>
      <c r="D194" s="1">
        <f t="shared" si="10"/>
        <v>-0.44552499975740584</v>
      </c>
      <c r="E194" s="1">
        <f t="shared" si="14"/>
        <v>-0.44552499975740584</v>
      </c>
      <c r="F194" s="1">
        <f t="shared" si="11"/>
        <v>-0.56084106453007077</v>
      </c>
    </row>
    <row r="195" spans="2:6" x14ac:dyDescent="0.25">
      <c r="B195" s="1">
        <f t="shared" si="12"/>
        <v>36.999999999999986</v>
      </c>
      <c r="C195" s="1">
        <f t="shared" si="13"/>
        <v>34.808828871173503</v>
      </c>
      <c r="D195" s="1">
        <f t="shared" si="10"/>
        <v>-0.55769321266341998</v>
      </c>
      <c r="E195" s="1">
        <f t="shared" si="14"/>
        <v>-0.55769321266341998</v>
      </c>
      <c r="F195" s="1">
        <f t="shared" si="11"/>
        <v>-0.55412146459526557</v>
      </c>
    </row>
    <row r="196" spans="2:6" x14ac:dyDescent="0.25">
      <c r="B196" s="1">
        <f t="shared" si="12"/>
        <v>37.199999999999989</v>
      </c>
      <c r="C196" s="1">
        <f t="shared" si="13"/>
        <v>34.697290228640817</v>
      </c>
      <c r="D196" s="1">
        <f t="shared" si="10"/>
        <v>-0.66851750558247314</v>
      </c>
      <c r="E196" s="1">
        <f t="shared" si="14"/>
        <v>-0.66851750558247314</v>
      </c>
      <c r="F196" s="1">
        <f t="shared" si="11"/>
        <v>-0.54709068688349816</v>
      </c>
    </row>
    <row r="197" spans="2:6" x14ac:dyDescent="0.25">
      <c r="B197" s="1">
        <f t="shared" si="12"/>
        <v>37.399999999999991</v>
      </c>
      <c r="C197" s="1">
        <f t="shared" si="13"/>
        <v>34.563586727524324</v>
      </c>
      <c r="D197" s="1">
        <f t="shared" si="10"/>
        <v>-0.77793564295917284</v>
      </c>
      <c r="E197" s="1">
        <f t="shared" si="14"/>
        <v>-0.77793564295917284</v>
      </c>
      <c r="F197" s="1">
        <f t="shared" si="11"/>
        <v>-0.53975611545397739</v>
      </c>
    </row>
    <row r="198" spans="2:6" x14ac:dyDescent="0.25">
      <c r="B198" s="1">
        <f t="shared" si="12"/>
        <v>37.599999999999994</v>
      </c>
      <c r="C198" s="1">
        <f t="shared" si="13"/>
        <v>34.407999598932491</v>
      </c>
      <c r="D198" s="1">
        <f t="shared" si="10"/>
        <v>-0.88588686604996836</v>
      </c>
      <c r="E198" s="1">
        <f t="shared" si="14"/>
        <v>-0.88588686604996836</v>
      </c>
      <c r="F198" s="1">
        <f t="shared" si="11"/>
        <v>-0.53212527289987643</v>
      </c>
    </row>
    <row r="199" spans="2:6" x14ac:dyDescent="0.25">
      <c r="B199" s="1">
        <f t="shared" si="12"/>
        <v>37.799999999999997</v>
      </c>
      <c r="C199" s="1">
        <f t="shared" si="13"/>
        <v>34.230822225722498</v>
      </c>
      <c r="D199" s="1">
        <f t="shared" si="10"/>
        <v>-0.99231192062994367</v>
      </c>
      <c r="E199" s="1">
        <f t="shared" si="14"/>
        <v>-0.99231192062994367</v>
      </c>
      <c r="F199" s="1">
        <f t="shared" si="11"/>
        <v>-0.52420581413264433</v>
      </c>
    </row>
    <row r="200" spans="2:6" x14ac:dyDescent="0.25">
      <c r="B200" s="1">
        <f t="shared" si="12"/>
        <v>38</v>
      </c>
      <c r="C200" s="1">
        <f t="shared" si="13"/>
        <v>34.032359841596509</v>
      </c>
      <c r="D200" s="1">
        <f t="shared" si="10"/>
        <v>-1.0971530834564724</v>
      </c>
      <c r="E200" s="1">
        <f t="shared" si="14"/>
        <v>-1.0971530834564724</v>
      </c>
      <c r="F200" s="1">
        <f t="shared" si="11"/>
        <v>-0.51600552013197309</v>
      </c>
    </row>
    <row r="201" spans="2:6" x14ac:dyDescent="0.25">
      <c r="B201" s="1">
        <f t="shared" si="12"/>
        <v>38.200000000000003</v>
      </c>
      <c r="C201" s="1">
        <f t="shared" si="13"/>
        <v>33.812929224905218</v>
      </c>
      <c r="D201" s="1">
        <f t="shared" si="10"/>
        <v>-1.2003541874828672</v>
      </c>
      <c r="E201" s="1">
        <f t="shared" si="14"/>
        <v>-1.2003541874828672</v>
      </c>
      <c r="F201" s="1">
        <f t="shared" si="11"/>
        <v>-0.50753229166588654</v>
      </c>
    </row>
    <row r="202" spans="2:6" x14ac:dyDescent="0.25">
      <c r="B202" s="1">
        <f t="shared" si="12"/>
        <v>38.400000000000006</v>
      </c>
      <c r="C202" s="1">
        <f t="shared" si="13"/>
        <v>33.572858387408644</v>
      </c>
      <c r="D202" s="1">
        <f t="shared" ref="D202:D265" si="15">E202</f>
        <v>-1.3018606458160444</v>
      </c>
      <c r="E202" s="1">
        <f t="shared" si="14"/>
        <v>-1.3018606458160444</v>
      </c>
      <c r="F202" s="1">
        <f t="shared" ref="F202:F265" si="16">-$C$3*C202/$C$4-$C$2/$C$4*E202</f>
        <v>-0.49879414298539537</v>
      </c>
    </row>
    <row r="203" spans="2:6" x14ac:dyDescent="0.25">
      <c r="B203" s="1">
        <f t="shared" ref="B203:B266" si="17">B202+$C$7</f>
        <v>38.600000000000009</v>
      </c>
      <c r="C203" s="1">
        <f t="shared" ref="C203:C266" si="18">C202+D202*$C$7</f>
        <v>33.312486258245436</v>
      </c>
      <c r="D203" s="1">
        <f t="shared" si="15"/>
        <v>-1.4016194744131236</v>
      </c>
      <c r="E203" s="1">
        <f t="shared" ref="E203:E266" si="19">E202+F202*$C$7</f>
        <v>-1.4016194744131236</v>
      </c>
      <c r="F203" s="1">
        <f t="shared" si="16"/>
        <v>-0.48979919549814488</v>
      </c>
    </row>
    <row r="204" spans="2:6" x14ac:dyDescent="0.25">
      <c r="B204" s="1">
        <f t="shared" si="17"/>
        <v>38.800000000000011</v>
      </c>
      <c r="C204" s="1">
        <f t="shared" si="18"/>
        <v>33.032162363362808</v>
      </c>
      <c r="D204" s="1">
        <f t="shared" si="15"/>
        <v>-1.4995793135127526</v>
      </c>
      <c r="E204" s="1">
        <f t="shared" si="19"/>
        <v>-1.4995793135127526</v>
      </c>
      <c r="F204" s="1">
        <f t="shared" si="16"/>
        <v>-0.48055567142545175</v>
      </c>
    </row>
    <row r="205" spans="2:6" x14ac:dyDescent="0.25">
      <c r="B205" s="1">
        <f t="shared" si="17"/>
        <v>39.000000000000014</v>
      </c>
      <c r="C205" s="1">
        <f t="shared" si="18"/>
        <v>32.73224650066026</v>
      </c>
      <c r="D205" s="1">
        <f t="shared" si="15"/>
        <v>-1.5956904477978431</v>
      </c>
      <c r="E205" s="1">
        <f t="shared" si="19"/>
        <v>-1.5956904477978431</v>
      </c>
      <c r="F205" s="1">
        <f t="shared" si="16"/>
        <v>-0.47107188744710504</v>
      </c>
    </row>
    <row r="206" spans="2:6" x14ac:dyDescent="0.25">
      <c r="B206" s="1">
        <f t="shared" si="17"/>
        <v>39.200000000000017</v>
      </c>
      <c r="C206" s="1">
        <f t="shared" si="18"/>
        <v>32.413108411100694</v>
      </c>
      <c r="D206" s="1">
        <f t="shared" si="15"/>
        <v>-1.6899048252872642</v>
      </c>
      <c r="E206" s="1">
        <f t="shared" si="19"/>
        <v>-1.6899048252872642</v>
      </c>
      <c r="F206" s="1">
        <f t="shared" si="16"/>
        <v>-0.4613562483382726</v>
      </c>
    </row>
    <row r="207" spans="2:6" x14ac:dyDescent="0.25">
      <c r="B207" s="1">
        <f t="shared" si="17"/>
        <v>39.40000000000002</v>
      </c>
      <c r="C207" s="1">
        <f t="shared" si="18"/>
        <v>32.07512744604324</v>
      </c>
      <c r="D207" s="1">
        <f t="shared" si="15"/>
        <v>-1.7821760749549187</v>
      </c>
      <c r="E207" s="1">
        <f t="shared" si="19"/>
        <v>-1.7821760749549187</v>
      </c>
      <c r="F207" s="1">
        <f t="shared" si="16"/>
        <v>-0.45141724060282451</v>
      </c>
    </row>
    <row r="208" spans="2:6" x14ac:dyDescent="0.25">
      <c r="B208" s="1">
        <f t="shared" si="17"/>
        <v>39.600000000000023</v>
      </c>
      <c r="C208" s="1">
        <f t="shared" si="18"/>
        <v>31.718692231052255</v>
      </c>
      <c r="D208" s="1">
        <f t="shared" si="15"/>
        <v>-1.8724595230754837</v>
      </c>
      <c r="E208" s="1">
        <f t="shared" si="19"/>
        <v>-1.8724595230754837</v>
      </c>
      <c r="F208" s="1">
        <f t="shared" si="16"/>
        <v>-0.44126342610734837</v>
      </c>
    </row>
    <row r="209" spans="2:6" x14ac:dyDescent="0.25">
      <c r="B209" s="1">
        <f t="shared" si="17"/>
        <v>39.800000000000026</v>
      </c>
      <c r="C209" s="1">
        <f t="shared" si="18"/>
        <v>31.344200326437157</v>
      </c>
      <c r="D209" s="1">
        <f t="shared" si="15"/>
        <v>-1.9607122082969535</v>
      </c>
      <c r="E209" s="1">
        <f t="shared" si="19"/>
        <v>-1.9607122082969535</v>
      </c>
      <c r="F209" s="1">
        <f t="shared" si="16"/>
        <v>-0.43090343572009482</v>
      </c>
    </row>
    <row r="210" spans="2:6" x14ac:dyDescent="0.25">
      <c r="B210" s="1">
        <f t="shared" si="17"/>
        <v>40.000000000000028</v>
      </c>
      <c r="C210" s="1">
        <f t="shared" si="18"/>
        <v>30.952057884777766</v>
      </c>
      <c r="D210" s="1">
        <f t="shared" si="15"/>
        <v>-2.0468928954409726</v>
      </c>
      <c r="E210" s="1">
        <f t="shared" si="19"/>
        <v>-2.0468928954409726</v>
      </c>
      <c r="F210" s="1">
        <f t="shared" si="16"/>
        <v>-0.42034596295905069</v>
      </c>
    </row>
    <row r="211" spans="2:6" x14ac:dyDescent="0.25">
      <c r="B211" s="1">
        <f t="shared" si="17"/>
        <v>40.200000000000031</v>
      </c>
      <c r="C211" s="1">
        <f t="shared" si="18"/>
        <v>30.542679305689571</v>
      </c>
      <c r="D211" s="1">
        <f t="shared" si="15"/>
        <v>-2.1309620880327826</v>
      </c>
      <c r="E211" s="1">
        <f t="shared" si="19"/>
        <v>-2.1309620880327826</v>
      </c>
      <c r="F211" s="1">
        <f t="shared" si="16"/>
        <v>-0.40959975765329637</v>
      </c>
    </row>
    <row r="212" spans="2:6" x14ac:dyDescent="0.25">
      <c r="B212" s="1">
        <f t="shared" si="17"/>
        <v>40.400000000000034</v>
      </c>
      <c r="C212" s="1">
        <f t="shared" si="18"/>
        <v>30.116486888083013</v>
      </c>
      <c r="D212" s="1">
        <f t="shared" si="15"/>
        <v>-2.2128820395634419</v>
      </c>
      <c r="E212" s="1">
        <f t="shared" si="19"/>
        <v>-2.2128820395634419</v>
      </c>
      <c r="F212" s="1">
        <f t="shared" si="16"/>
        <v>-0.39867361962175635</v>
      </c>
    </row>
    <row r="213" spans="2:6" x14ac:dyDescent="0.25">
      <c r="B213" s="1">
        <f t="shared" si="17"/>
        <v>40.600000000000037</v>
      </c>
      <c r="C213" s="1">
        <f t="shared" si="18"/>
        <v>29.673910480170324</v>
      </c>
      <c r="D213" s="1">
        <f t="shared" si="15"/>
        <v>-2.2926167634877932</v>
      </c>
      <c r="E213" s="1">
        <f t="shared" si="19"/>
        <v>-2.2926167634877932</v>
      </c>
      <c r="F213" s="1">
        <f t="shared" si="16"/>
        <v>-0.38757639237340841</v>
      </c>
    </row>
    <row r="214" spans="2:6" x14ac:dyDescent="0.25">
      <c r="B214" s="1">
        <f t="shared" si="17"/>
        <v>40.80000000000004</v>
      </c>
      <c r="C214" s="1">
        <f t="shared" si="18"/>
        <v>29.215387127472766</v>
      </c>
      <c r="D214" s="1">
        <f t="shared" si="15"/>
        <v>-2.3701320419624747</v>
      </c>
      <c r="E214" s="1">
        <f t="shared" si="19"/>
        <v>-2.3701320419624747</v>
      </c>
      <c r="F214" s="1">
        <f t="shared" si="16"/>
        <v>-0.37631695683296396</v>
      </c>
    </row>
    <row r="215" spans="2:6" x14ac:dyDescent="0.25">
      <c r="B215" s="1">
        <f t="shared" si="17"/>
        <v>41.000000000000043</v>
      </c>
      <c r="C215" s="1">
        <f t="shared" si="18"/>
        <v>28.741360719080273</v>
      </c>
      <c r="D215" s="1">
        <f t="shared" si="15"/>
        <v>-2.4453954333290677</v>
      </c>
      <c r="E215" s="1">
        <f t="shared" si="19"/>
        <v>-2.4453954333290677</v>
      </c>
      <c r="F215" s="1">
        <f t="shared" si="16"/>
        <v>-0.36490422509598142</v>
      </c>
    </row>
    <row r="216" spans="2:6" x14ac:dyDescent="0.25">
      <c r="B216" s="1">
        <f t="shared" si="17"/>
        <v>41.200000000000045</v>
      </c>
      <c r="C216" s="1">
        <f t="shared" si="18"/>
        <v>28.252281632414459</v>
      </c>
      <c r="D216" s="1">
        <f t="shared" si="15"/>
        <v>-2.5183762783482639</v>
      </c>
      <c r="E216" s="1">
        <f t="shared" si="19"/>
        <v>-2.5183762783482639</v>
      </c>
      <c r="F216" s="1">
        <f t="shared" si="16"/>
        <v>-0.35334713421732206</v>
      </c>
    </row>
    <row r="217" spans="2:6" x14ac:dyDescent="0.25">
      <c r="B217" s="1">
        <f t="shared" si="17"/>
        <v>41.400000000000048</v>
      </c>
      <c r="C217" s="1">
        <f t="shared" si="18"/>
        <v>27.748606376744807</v>
      </c>
      <c r="D217" s="1">
        <f t="shared" si="15"/>
        <v>-2.5890457051917282</v>
      </c>
      <c r="E217" s="1">
        <f t="shared" si="19"/>
        <v>-2.5890457051917282</v>
      </c>
      <c r="F217" s="1">
        <f t="shared" si="16"/>
        <v>-0.34165464003679946</v>
      </c>
    </row>
    <row r="218" spans="2:6" x14ac:dyDescent="0.25">
      <c r="B218" s="1">
        <f t="shared" si="17"/>
        <v>41.600000000000051</v>
      </c>
      <c r="C218" s="1">
        <f t="shared" si="18"/>
        <v>27.230797235706461</v>
      </c>
      <c r="D218" s="1">
        <f t="shared" si="15"/>
        <v>-2.657376633199088</v>
      </c>
      <c r="E218" s="1">
        <f t="shared" si="19"/>
        <v>-2.657376633199088</v>
      </c>
      <c r="F218" s="1">
        <f t="shared" si="16"/>
        <v>-0.32983571104581694</v>
      </c>
    </row>
    <row r="219" spans="2:6" x14ac:dyDescent="0.25">
      <c r="B219" s="1">
        <f t="shared" si="17"/>
        <v>41.800000000000054</v>
      </c>
      <c r="C219" s="1">
        <f t="shared" si="18"/>
        <v>26.699321909066644</v>
      </c>
      <c r="D219" s="1">
        <f t="shared" si="15"/>
        <v>-2.7233437754082512</v>
      </c>
      <c r="E219" s="1">
        <f t="shared" si="19"/>
        <v>-2.7233437754082512</v>
      </c>
      <c r="F219" s="1">
        <f t="shared" si="16"/>
        <v>-0.31789932229872564</v>
      </c>
    </row>
    <row r="220" spans="2:6" x14ac:dyDescent="0.25">
      <c r="B220" s="1">
        <f t="shared" si="17"/>
        <v>42.000000000000057</v>
      </c>
      <c r="C220" s="1">
        <f t="shared" si="18"/>
        <v>26.154653153984995</v>
      </c>
      <c r="D220" s="1">
        <f t="shared" si="15"/>
        <v>-2.7869236398679962</v>
      </c>
      <c r="E220" s="1">
        <f t="shared" si="19"/>
        <v>-2.7869236398679962</v>
      </c>
      <c r="F220" s="1">
        <f t="shared" si="16"/>
        <v>-0.30585444937257678</v>
      </c>
    </row>
    <row r="221" spans="2:6" x14ac:dyDescent="0.25">
      <c r="B221" s="1">
        <f t="shared" si="17"/>
        <v>42.20000000000006</v>
      </c>
      <c r="C221" s="1">
        <f t="shared" si="18"/>
        <v>25.597268426011397</v>
      </c>
      <c r="D221" s="1">
        <f t="shared" si="15"/>
        <v>-2.8480945297425118</v>
      </c>
      <c r="E221" s="1">
        <f t="shared" si="19"/>
        <v>-2.8480945297425118</v>
      </c>
      <c r="F221" s="1">
        <f t="shared" si="16"/>
        <v>-0.29371006237887276</v>
      </c>
    </row>
    <row r="222" spans="2:6" x14ac:dyDescent="0.25">
      <c r="B222" s="1">
        <f t="shared" si="17"/>
        <v>42.400000000000063</v>
      </c>
      <c r="C222" s="1">
        <f t="shared" si="18"/>
        <v>25.027649520062894</v>
      </c>
      <c r="D222" s="1">
        <f t="shared" si="15"/>
        <v>-2.9068365422182865</v>
      </c>
      <c r="E222" s="1">
        <f t="shared" si="19"/>
        <v>-2.9068365422182865</v>
      </c>
      <c r="F222" s="1">
        <f t="shared" si="16"/>
        <v>-0.28147512003086161</v>
      </c>
    </row>
    <row r="223" spans="2:6" x14ac:dyDescent="0.25">
      <c r="B223" s="1">
        <f t="shared" si="17"/>
        <v>42.600000000000065</v>
      </c>
      <c r="C223" s="1">
        <f t="shared" si="18"/>
        <v>24.446282211619238</v>
      </c>
      <c r="D223" s="1">
        <f t="shared" si="15"/>
        <v>-2.9631315662244586</v>
      </c>
      <c r="E223" s="1">
        <f t="shared" si="19"/>
        <v>-2.9631315662244586</v>
      </c>
      <c r="F223" s="1">
        <f t="shared" si="16"/>
        <v>-0.26915856376984593</v>
      </c>
    </row>
    <row r="224" spans="2:6" x14ac:dyDescent="0.25">
      <c r="B224" s="1">
        <f t="shared" si="17"/>
        <v>42.800000000000068</v>
      </c>
      <c r="C224" s="1">
        <f t="shared" si="18"/>
        <v>23.853655898374345</v>
      </c>
      <c r="D224" s="1">
        <f t="shared" si="15"/>
        <v>-3.016963278978428</v>
      </c>
      <c r="E224" s="1">
        <f t="shared" si="19"/>
        <v>-3.016963278978428</v>
      </c>
      <c r="F224" s="1">
        <f t="shared" si="16"/>
        <v>-0.2567693119539125</v>
      </c>
    </row>
    <row r="225" spans="2:6" x14ac:dyDescent="0.25">
      <c r="B225" s="1">
        <f t="shared" si="17"/>
        <v>43.000000000000071</v>
      </c>
      <c r="C225" s="1">
        <f t="shared" si="18"/>
        <v>23.250263242578662</v>
      </c>
      <c r="D225" s="1">
        <f t="shared" si="15"/>
        <v>-3.0683171413692105</v>
      </c>
      <c r="E225" s="1">
        <f t="shared" si="19"/>
        <v>-3.0683171413692105</v>
      </c>
      <c r="F225" s="1">
        <f t="shared" si="16"/>
        <v>-0.24431625411241453</v>
      </c>
    </row>
    <row r="226" spans="2:6" x14ac:dyDescent="0.25">
      <c r="B226" s="1">
        <f t="shared" si="17"/>
        <v>43.200000000000074</v>
      </c>
      <c r="C226" s="1">
        <f t="shared" si="18"/>
        <v>22.636599814304819</v>
      </c>
      <c r="D226" s="1">
        <f t="shared" si="15"/>
        <v>-3.1171803921916936</v>
      </c>
      <c r="E226" s="1">
        <f t="shared" si="19"/>
        <v>-3.1171803921916936</v>
      </c>
      <c r="F226" s="1">
        <f t="shared" si="16"/>
        <v>-0.23180824526946794</v>
      </c>
    </row>
    <row r="227" spans="2:6" x14ac:dyDescent="0.25">
      <c r="B227" s="1">
        <f t="shared" si="17"/>
        <v>43.400000000000077</v>
      </c>
      <c r="C227" s="1">
        <f t="shared" si="18"/>
        <v>22.013163735866481</v>
      </c>
      <c r="D227" s="1">
        <f t="shared" si="15"/>
        <v>-3.163542041245587</v>
      </c>
      <c r="E227" s="1">
        <f t="shared" si="19"/>
        <v>-3.163542041245587</v>
      </c>
      <c r="F227" s="1">
        <f t="shared" si="16"/>
        <v>-0.21925410033964729</v>
      </c>
    </row>
    <row r="228" spans="2:6" x14ac:dyDescent="0.25">
      <c r="B228" s="1">
        <f t="shared" si="17"/>
        <v>43.60000000000008</v>
      </c>
      <c r="C228" s="1">
        <f t="shared" si="18"/>
        <v>21.380455327617362</v>
      </c>
      <c r="D228" s="1">
        <f t="shared" si="15"/>
        <v>-3.2073928613135165</v>
      </c>
      <c r="E228" s="1">
        <f t="shared" si="19"/>
        <v>-3.2073928613135165</v>
      </c>
      <c r="F228" s="1">
        <f t="shared" si="16"/>
        <v>-0.20666258859899195</v>
      </c>
    </row>
    <row r="229" spans="2:6" x14ac:dyDescent="0.25">
      <c r="B229" s="1">
        <f t="shared" si="17"/>
        <v>43.800000000000082</v>
      </c>
      <c r="C229" s="1">
        <f t="shared" si="18"/>
        <v>20.73897675535466</v>
      </c>
      <c r="D229" s="1">
        <f t="shared" si="15"/>
        <v>-3.2487253790333148</v>
      </c>
      <c r="E229" s="1">
        <f t="shared" si="19"/>
        <v>-3.2487253790333148</v>
      </c>
      <c r="F229" s="1">
        <f t="shared" si="16"/>
        <v>-0.19404242823435627</v>
      </c>
    </row>
    <row r="230" spans="2:6" x14ac:dyDescent="0.25">
      <c r="B230" s="1">
        <f t="shared" si="17"/>
        <v>44.000000000000085</v>
      </c>
      <c r="C230" s="1">
        <f t="shared" si="18"/>
        <v>20.089231679547996</v>
      </c>
      <c r="D230" s="1">
        <f t="shared" si="15"/>
        <v>-3.2875338646801859</v>
      </c>
      <c r="E230" s="1">
        <f t="shared" si="19"/>
        <v>-3.2875338646801859</v>
      </c>
      <c r="F230" s="1">
        <f t="shared" si="16"/>
        <v>-0.18140228097405792</v>
      </c>
    </row>
    <row r="231" spans="2:6" x14ac:dyDescent="0.25">
      <c r="B231" s="1">
        <f t="shared" si="17"/>
        <v>44.200000000000088</v>
      </c>
      <c r="C231" s="1">
        <f t="shared" si="18"/>
        <v>19.431724906611958</v>
      </c>
      <c r="D231" s="1">
        <f t="shared" si="15"/>
        <v>-3.3238143208749977</v>
      </c>
      <c r="E231" s="1">
        <f t="shared" si="19"/>
        <v>-3.3238143208749977</v>
      </c>
      <c r="F231" s="1">
        <f t="shared" si="16"/>
        <v>-0.16875074680269941</v>
      </c>
    </row>
    <row r="232" spans="2:6" x14ac:dyDescent="0.25">
      <c r="B232" s="1">
        <f t="shared" si="17"/>
        <v>44.400000000000091</v>
      </c>
      <c r="C232" s="1">
        <f t="shared" si="18"/>
        <v>18.766962042436958</v>
      </c>
      <c r="D232" s="1">
        <f t="shared" si="15"/>
        <v>-3.3575644702355376</v>
      </c>
      <c r="E232" s="1">
        <f t="shared" si="19"/>
        <v>-3.3575644702355376</v>
      </c>
      <c r="F232" s="1">
        <f t="shared" si="16"/>
        <v>-0.15609635876295755</v>
      </c>
    </row>
    <row r="233" spans="2:6" x14ac:dyDescent="0.25">
      <c r="B233" s="1">
        <f t="shared" si="17"/>
        <v>44.600000000000094</v>
      </c>
      <c r="C233" s="1">
        <f t="shared" si="18"/>
        <v>18.09544914838985</v>
      </c>
      <c r="D233" s="1">
        <f t="shared" si="15"/>
        <v>-3.3887837419881293</v>
      </c>
      <c r="E233" s="1">
        <f t="shared" si="19"/>
        <v>-3.3887837419881293</v>
      </c>
      <c r="F233" s="1">
        <f t="shared" si="16"/>
        <v>-0.14344757784705145</v>
      </c>
    </row>
    <row r="234" spans="2:6" x14ac:dyDescent="0.25">
      <c r="B234" s="1">
        <f t="shared" si="17"/>
        <v>44.800000000000097</v>
      </c>
      <c r="C234" s="1">
        <f t="shared" si="18"/>
        <v>17.417692399992223</v>
      </c>
      <c r="D234" s="1">
        <f t="shared" si="15"/>
        <v>-3.4174732575575395</v>
      </c>
      <c r="E234" s="1">
        <f t="shared" si="19"/>
        <v>-3.4174732575575395</v>
      </c>
      <c r="F234" s="1">
        <f t="shared" si="16"/>
        <v>-0.13081278798051857</v>
      </c>
    </row>
    <row r="235" spans="2:6" x14ac:dyDescent="0.25">
      <c r="B235" s="1">
        <f t="shared" si="17"/>
        <v>45.000000000000099</v>
      </c>
      <c r="C235" s="1">
        <f t="shared" si="18"/>
        <v>16.734197748480714</v>
      </c>
      <c r="D235" s="1">
        <f t="shared" si="15"/>
        <v>-3.4436358151536433</v>
      </c>
      <c r="E235" s="1">
        <f t="shared" si="19"/>
        <v>-3.4436358151536433</v>
      </c>
      <c r="F235" s="1">
        <f t="shared" si="16"/>
        <v>-0.1182002911008419</v>
      </c>
    </row>
    <row r="236" spans="2:6" x14ac:dyDescent="0.25">
      <c r="B236" s="1">
        <f t="shared" si="17"/>
        <v>45.200000000000102</v>
      </c>
      <c r="C236" s="1">
        <f t="shared" si="18"/>
        <v>16.045470585449984</v>
      </c>
      <c r="D236" s="1">
        <f t="shared" si="15"/>
        <v>-3.4672758733738118</v>
      </c>
      <c r="E236" s="1">
        <f t="shared" si="19"/>
        <v>-3.4672758733738118</v>
      </c>
      <c r="F236" s="1">
        <f t="shared" si="16"/>
        <v>-0.10561830233338848</v>
      </c>
    </row>
    <row r="237" spans="2:6" x14ac:dyDescent="0.25">
      <c r="B237" s="1">
        <f t="shared" si="17"/>
        <v>45.400000000000105</v>
      </c>
      <c r="C237" s="1">
        <f t="shared" si="18"/>
        <v>15.352015410775222</v>
      </c>
      <c r="D237" s="1">
        <f t="shared" si="15"/>
        <v>-3.4883995338404894</v>
      </c>
      <c r="E237" s="1">
        <f t="shared" si="19"/>
        <v>-3.4883995338404894</v>
      </c>
      <c r="F237" s="1">
        <f t="shared" si="16"/>
        <v>-9.3074945267030834E-2</v>
      </c>
    </row>
    <row r="238" spans="2:6" x14ac:dyDescent="0.25">
      <c r="B238" s="1">
        <f t="shared" si="17"/>
        <v>45.600000000000108</v>
      </c>
      <c r="C238" s="1">
        <f t="shared" si="18"/>
        <v>14.654335504007124</v>
      </c>
      <c r="D238" s="1">
        <f t="shared" si="15"/>
        <v>-3.5070145228938956</v>
      </c>
      <c r="E238" s="1">
        <f t="shared" si="19"/>
        <v>-3.5070145228938956</v>
      </c>
      <c r="F238" s="1">
        <f t="shared" si="16"/>
        <v>-8.0578247331736963E-2</v>
      </c>
    </row>
    <row r="239" spans="2:6" x14ac:dyDescent="0.25">
      <c r="B239" s="1">
        <f t="shared" si="17"/>
        <v>45.800000000000111</v>
      </c>
      <c r="C239" s="1">
        <f t="shared" si="18"/>
        <v>13.952932599428344</v>
      </c>
      <c r="D239" s="1">
        <f t="shared" si="15"/>
        <v>-3.5231301723602431</v>
      </c>
      <c r="E239" s="1">
        <f t="shared" si="19"/>
        <v>-3.5231301723602431</v>
      </c>
      <c r="F239" s="1">
        <f t="shared" si="16"/>
        <v>-6.813613528032772E-2</v>
      </c>
    </row>
    <row r="240" spans="2:6" x14ac:dyDescent="0.25">
      <c r="B240" s="1">
        <f t="shared" si="17"/>
        <v>46.000000000000114</v>
      </c>
      <c r="C240" s="1">
        <f t="shared" si="18"/>
        <v>13.248306564956295</v>
      </c>
      <c r="D240" s="1">
        <f t="shared" si="15"/>
        <v>-3.5367573994163086</v>
      </c>
      <c r="E240" s="1">
        <f t="shared" si="19"/>
        <v>-3.5367573994163086</v>
      </c>
      <c r="F240" s="1">
        <f t="shared" si="16"/>
        <v>-5.5756430776510518E-2</v>
      </c>
    </row>
    <row r="241" spans="2:6" x14ac:dyDescent="0.25">
      <c r="B241" s="1">
        <f t="shared" si="17"/>
        <v>46.200000000000117</v>
      </c>
      <c r="C241" s="1">
        <f t="shared" si="18"/>
        <v>12.540955085073033</v>
      </c>
      <c r="D241" s="1">
        <f t="shared" si="15"/>
        <v>-3.5479086855716107</v>
      </c>
      <c r="E241" s="1">
        <f t="shared" si="19"/>
        <v>-3.5479086855716107</v>
      </c>
      <c r="F241" s="1">
        <f t="shared" si="16"/>
        <v>-4.3446846091208718E-2</v>
      </c>
    </row>
    <row r="242" spans="2:6" x14ac:dyDescent="0.25">
      <c r="B242" s="1">
        <f t="shared" si="17"/>
        <v>46.400000000000119</v>
      </c>
      <c r="C242" s="1">
        <f t="shared" si="18"/>
        <v>11.831373347958712</v>
      </c>
      <c r="D242" s="1">
        <f t="shared" si="15"/>
        <v>-3.5565980547898524</v>
      </c>
      <c r="E242" s="1">
        <f t="shared" si="19"/>
        <v>-3.5565980547898524</v>
      </c>
      <c r="F242" s="1">
        <f t="shared" si="16"/>
        <v>-3.1214979909118729E-2</v>
      </c>
    </row>
    <row r="243" spans="2:6" x14ac:dyDescent="0.25">
      <c r="B243" s="1">
        <f t="shared" si="17"/>
        <v>46.600000000000122</v>
      </c>
      <c r="C243" s="1">
        <f t="shared" si="18"/>
        <v>11.120053737000742</v>
      </c>
      <c r="D243" s="1">
        <f t="shared" si="15"/>
        <v>-3.5628410507716759</v>
      </c>
      <c r="E243" s="1">
        <f t="shared" si="19"/>
        <v>-3.5628410507716759</v>
      </c>
      <c r="F243" s="1">
        <f t="shared" si="16"/>
        <v>-1.9068313247334157E-2</v>
      </c>
    </row>
    <row r="244" spans="2:6" x14ac:dyDescent="0.25">
      <c r="B244" s="1">
        <f t="shared" si="17"/>
        <v>46.800000000000125</v>
      </c>
      <c r="C244" s="1">
        <f t="shared" si="18"/>
        <v>10.407485526846406</v>
      </c>
      <c r="D244" s="1">
        <f t="shared" si="15"/>
        <v>-3.5666547134211428</v>
      </c>
      <c r="E244" s="1">
        <f t="shared" si="19"/>
        <v>-3.5666547134211428</v>
      </c>
      <c r="F244" s="1">
        <f t="shared" si="16"/>
        <v>-7.0142054877867788E-3</v>
      </c>
    </row>
    <row r="245" spans="2:6" x14ac:dyDescent="0.25">
      <c r="B245" s="1">
        <f t="shared" si="17"/>
        <v>47.000000000000128</v>
      </c>
      <c r="C245" s="1">
        <f t="shared" si="18"/>
        <v>9.6941545841621775</v>
      </c>
      <c r="D245" s="1">
        <f t="shared" si="15"/>
        <v>-3.5680575545187003</v>
      </c>
      <c r="E245" s="1">
        <f t="shared" si="19"/>
        <v>-3.5680575545187003</v>
      </c>
      <c r="F245" s="1">
        <f t="shared" si="16"/>
        <v>4.9401094748363905E-3</v>
      </c>
    </row>
    <row r="246" spans="2:6" x14ac:dyDescent="0.25">
      <c r="B246" s="1">
        <f t="shared" si="17"/>
        <v>47.200000000000131</v>
      </c>
      <c r="C246" s="1">
        <f t="shared" si="18"/>
        <v>8.9805430732584366</v>
      </c>
      <c r="D246" s="1">
        <f t="shared" si="15"/>
        <v>-3.5670695326237332</v>
      </c>
      <c r="E246" s="1">
        <f t="shared" si="19"/>
        <v>-3.5670695326237332</v>
      </c>
      <c r="F246" s="1">
        <f t="shared" si="16"/>
        <v>1.6787526968133598E-2</v>
      </c>
    </row>
    <row r="247" spans="2:6" x14ac:dyDescent="0.25">
      <c r="B247" s="1">
        <f t="shared" si="17"/>
        <v>47.400000000000134</v>
      </c>
      <c r="C247" s="1">
        <f t="shared" si="18"/>
        <v>8.2671291667336906</v>
      </c>
      <c r="D247" s="1">
        <f t="shared" si="15"/>
        <v>-3.5637120272301064</v>
      </c>
      <c r="E247" s="1">
        <f t="shared" si="19"/>
        <v>-3.5637120272301064</v>
      </c>
      <c r="F247" s="1">
        <f t="shared" si="16"/>
        <v>2.8521075158510129E-2</v>
      </c>
    </row>
    <row r="248" spans="2:6" x14ac:dyDescent="0.25">
      <c r="B248" s="1">
        <f t="shared" si="17"/>
        <v>47.600000000000136</v>
      </c>
      <c r="C248" s="1">
        <f t="shared" si="18"/>
        <v>7.5543867612876694</v>
      </c>
      <c r="D248" s="1">
        <f t="shared" si="15"/>
        <v>-3.5580078121984045</v>
      </c>
      <c r="E248" s="1">
        <f t="shared" si="19"/>
        <v>-3.5580078121984045</v>
      </c>
      <c r="F248" s="1">
        <f t="shared" si="16"/>
        <v>4.0133918547797715E-2</v>
      </c>
    </row>
    <row r="249" spans="2:6" x14ac:dyDescent="0.25">
      <c r="B249" s="1">
        <f t="shared" si="17"/>
        <v>47.800000000000139</v>
      </c>
      <c r="C249" s="1">
        <f t="shared" si="18"/>
        <v>6.842785198847988</v>
      </c>
      <c r="D249" s="1">
        <f t="shared" si="15"/>
        <v>-3.5499810284888449</v>
      </c>
      <c r="E249" s="1">
        <f t="shared" si="19"/>
        <v>-3.5499810284888449</v>
      </c>
      <c r="F249" s="1">
        <f t="shared" si="16"/>
        <v>5.1619361348679629E-2</v>
      </c>
    </row>
    <row r="250" spans="2:6" x14ac:dyDescent="0.25">
      <c r="B250" s="1">
        <f t="shared" si="17"/>
        <v>48.000000000000142</v>
      </c>
      <c r="C250" s="1">
        <f t="shared" si="18"/>
        <v>6.1327889931502186</v>
      </c>
      <c r="D250" s="1">
        <f t="shared" si="15"/>
        <v>-3.5396571562191088</v>
      </c>
      <c r="E250" s="1">
        <f t="shared" si="19"/>
        <v>-3.5396571562191088</v>
      </c>
      <c r="F250" s="1">
        <f t="shared" si="16"/>
        <v>6.2970850737721448E-2</v>
      </c>
    </row>
    <row r="251" spans="2:6" x14ac:dyDescent="0.25">
      <c r="B251" s="1">
        <f t="shared" si="17"/>
        <v>48.200000000000145</v>
      </c>
      <c r="C251" s="1">
        <f t="shared" si="18"/>
        <v>5.4248575619063963</v>
      </c>
      <c r="D251" s="1">
        <f t="shared" si="15"/>
        <v>-3.5270629860715643</v>
      </c>
      <c r="E251" s="1">
        <f t="shared" si="19"/>
        <v>-3.5270629860715643</v>
      </c>
      <c r="F251" s="1">
        <f t="shared" si="16"/>
        <v>7.418197998489974E-2</v>
      </c>
    </row>
    <row r="252" spans="2:6" x14ac:dyDescent="0.25">
      <c r="B252" s="1">
        <f t="shared" si="17"/>
        <v>48.400000000000148</v>
      </c>
      <c r="C252" s="1">
        <f t="shared" si="18"/>
        <v>4.7194449646920837</v>
      </c>
      <c r="D252" s="1">
        <f t="shared" si="15"/>
        <v>-3.5122265900745844</v>
      </c>
      <c r="E252" s="1">
        <f t="shared" si="19"/>
        <v>-3.5122265900745844</v>
      </c>
      <c r="F252" s="1">
        <f t="shared" si="16"/>
        <v>8.5246491458612544E-2</v>
      </c>
    </row>
    <row r="253" spans="2:6" x14ac:dyDescent="0.25">
      <c r="B253" s="1">
        <f t="shared" si="17"/>
        <v>48.600000000000151</v>
      </c>
      <c r="C253" s="1">
        <f t="shared" si="18"/>
        <v>4.0169996466771671</v>
      </c>
      <c r="D253" s="1">
        <f t="shared" si="15"/>
        <v>-3.4951772917828619</v>
      </c>
      <c r="E253" s="1">
        <f t="shared" si="19"/>
        <v>-3.4951772917828619</v>
      </c>
      <c r="F253" s="1">
        <f t="shared" si="16"/>
        <v>9.6158279505247454E-2</v>
      </c>
    </row>
    <row r="254" spans="2:6" x14ac:dyDescent="0.25">
      <c r="B254" s="1">
        <f t="shared" si="17"/>
        <v>48.800000000000153</v>
      </c>
      <c r="C254" s="1">
        <f t="shared" si="18"/>
        <v>3.3179641883205946</v>
      </c>
      <c r="D254" s="1">
        <f t="shared" si="15"/>
        <v>-3.4759456358818124</v>
      </c>
      <c r="E254" s="1">
        <f t="shared" si="19"/>
        <v>-3.4759456358818124</v>
      </c>
      <c r="F254" s="1">
        <f t="shared" si="16"/>
        <v>0.1069113932024747</v>
      </c>
    </row>
    <row r="255" spans="2:6" x14ac:dyDescent="0.25">
      <c r="B255" s="1">
        <f t="shared" si="17"/>
        <v>49.000000000000156</v>
      </c>
      <c r="C255" s="1">
        <f t="shared" si="18"/>
        <v>2.6227750611442322</v>
      </c>
      <c r="D255" s="1">
        <f t="shared" si="15"/>
        <v>-3.4545633572413172</v>
      </c>
      <c r="E255" s="1">
        <f t="shared" si="19"/>
        <v>-3.4545633572413172</v>
      </c>
      <c r="F255" s="1">
        <f t="shared" si="16"/>
        <v>0.11750003898552427</v>
      </c>
    </row>
    <row r="256" spans="2:6" x14ac:dyDescent="0.25">
      <c r="B256" s="1">
        <f t="shared" si="17"/>
        <v>49.200000000000159</v>
      </c>
      <c r="C256" s="1">
        <f t="shared" si="18"/>
        <v>1.9318623896959686</v>
      </c>
      <c r="D256" s="1">
        <f t="shared" si="15"/>
        <v>-3.4310633494442122</v>
      </c>
      <c r="E256" s="1">
        <f t="shared" si="19"/>
        <v>-3.4310633494442122</v>
      </c>
      <c r="F256" s="1">
        <f t="shared" si="16"/>
        <v>0.1279185831457971</v>
      </c>
    </row>
    <row r="257" spans="2:6" x14ac:dyDescent="0.25">
      <c r="B257" s="1">
        <f t="shared" si="17"/>
        <v>49.400000000000162</v>
      </c>
      <c r="C257" s="1">
        <f t="shared" si="18"/>
        <v>1.2456497198071261</v>
      </c>
      <c r="D257" s="1">
        <f t="shared" si="15"/>
        <v>-3.4054796328150529</v>
      </c>
      <c r="E257" s="1">
        <f t="shared" si="19"/>
        <v>-3.4054796328150529</v>
      </c>
      <c r="F257" s="1">
        <f t="shared" si="16"/>
        <v>0.13816155420125037</v>
      </c>
    </row>
    <row r="258" spans="2:6" x14ac:dyDescent="0.25">
      <c r="B258" s="1">
        <f t="shared" si="17"/>
        <v>49.600000000000165</v>
      </c>
      <c r="C258" s="1">
        <f t="shared" si="18"/>
        <v>0.56455379324411548</v>
      </c>
      <c r="D258" s="1">
        <f t="shared" si="15"/>
        <v>-3.3778473219748029</v>
      </c>
      <c r="E258" s="1">
        <f t="shared" si="19"/>
        <v>-3.3778473219748029</v>
      </c>
      <c r="F258" s="1">
        <f t="shared" si="16"/>
        <v>0.14822364513808889</v>
      </c>
    </row>
    <row r="259" spans="2:6" x14ac:dyDescent="0.25">
      <c r="B259" s="1">
        <f t="shared" si="17"/>
        <v>49.800000000000168</v>
      </c>
      <c r="C259" s="1">
        <f t="shared" si="18"/>
        <v>-0.1110156711508451</v>
      </c>
      <c r="D259" s="1">
        <f t="shared" si="15"/>
        <v>-3.3482025929471853</v>
      </c>
      <c r="E259" s="1">
        <f t="shared" si="19"/>
        <v>-3.3482025929471853</v>
      </c>
      <c r="F259" s="1">
        <f t="shared" si="16"/>
        <v>0.15809971552338273</v>
      </c>
    </row>
    <row r="260" spans="2:6" x14ac:dyDescent="0.25">
      <c r="B260" s="1">
        <f t="shared" si="17"/>
        <v>50.000000000000171</v>
      </c>
      <c r="C260" s="1">
        <f t="shared" si="18"/>
        <v>-0.78065618974028217</v>
      </c>
      <c r="D260" s="1">
        <f t="shared" si="15"/>
        <v>-3.3165826498425086</v>
      </c>
      <c r="E260" s="1">
        <f t="shared" si="19"/>
        <v>-3.3165826498425086</v>
      </c>
      <c r="F260" s="1">
        <f t="shared" si="16"/>
        <v>0.16778479348832179</v>
      </c>
    </row>
    <row r="261" spans="2:6" x14ac:dyDescent="0.25">
      <c r="B261" s="1">
        <f t="shared" si="17"/>
        <v>50.200000000000173</v>
      </c>
      <c r="C261" s="1">
        <f t="shared" si="18"/>
        <v>-1.4439727197087839</v>
      </c>
      <c r="D261" s="1">
        <f t="shared" si="15"/>
        <v>-3.2830256911448443</v>
      </c>
      <c r="E261" s="1">
        <f t="shared" si="19"/>
        <v>-3.2830256911448443</v>
      </c>
      <c r="F261" s="1">
        <f t="shared" si="16"/>
        <v>0.17727407758190583</v>
      </c>
    </row>
    <row r="262" spans="2:6" x14ac:dyDescent="0.25">
      <c r="B262" s="1">
        <f t="shared" si="17"/>
        <v>50.400000000000176</v>
      </c>
      <c r="C262" s="1">
        <f t="shared" si="18"/>
        <v>-2.1005778579377528</v>
      </c>
      <c r="D262" s="1">
        <f t="shared" si="15"/>
        <v>-3.2475708756284631</v>
      </c>
      <c r="E262" s="1">
        <f t="shared" si="19"/>
        <v>-3.2475708756284631</v>
      </c>
      <c r="F262" s="1">
        <f t="shared" si="16"/>
        <v>0.18656293849495748</v>
      </c>
    </row>
    <row r="263" spans="2:6" x14ac:dyDescent="0.25">
      <c r="B263" s="1">
        <f t="shared" si="17"/>
        <v>50.600000000000179</v>
      </c>
      <c r="C263" s="1">
        <f t="shared" si="18"/>
        <v>-2.7500920330634453</v>
      </c>
      <c r="D263" s="1">
        <f t="shared" si="15"/>
        <v>-3.2102582879294714</v>
      </c>
      <c r="E263" s="1">
        <f t="shared" si="19"/>
        <v>-3.2102582879294714</v>
      </c>
      <c r="F263" s="1">
        <f t="shared" si="16"/>
        <v>0.19564692065443276</v>
      </c>
    </row>
    <row r="264" spans="2:6" x14ac:dyDescent="0.25">
      <c r="B264" s="1">
        <f t="shared" si="17"/>
        <v>50.800000000000182</v>
      </c>
      <c r="C264" s="1">
        <f t="shared" si="18"/>
        <v>-3.3921436906493394</v>
      </c>
      <c r="D264" s="1">
        <f t="shared" si="15"/>
        <v>-3.1711289037985848</v>
      </c>
      <c r="E264" s="1">
        <f t="shared" si="19"/>
        <v>-3.1711289037985848</v>
      </c>
      <c r="F264" s="1">
        <f t="shared" si="16"/>
        <v>0.20452174368808965</v>
      </c>
    </row>
    <row r="265" spans="2:6" x14ac:dyDescent="0.25">
      <c r="B265" s="1">
        <f t="shared" si="17"/>
        <v>51.000000000000185</v>
      </c>
      <c r="C265" s="1">
        <f t="shared" si="18"/>
        <v>-4.0263694714090565</v>
      </c>
      <c r="D265" s="1">
        <f t="shared" si="15"/>
        <v>-3.1302245550609671</v>
      </c>
      <c r="E265" s="1">
        <f t="shared" si="19"/>
        <v>-3.1302245550609671</v>
      </c>
      <c r="F265" s="1">
        <f t="shared" si="16"/>
        <v>0.21318330375966274</v>
      </c>
    </row>
    <row r="266" spans="2:6" x14ac:dyDescent="0.25">
      <c r="B266" s="1">
        <f t="shared" si="17"/>
        <v>51.200000000000188</v>
      </c>
      <c r="C266" s="1">
        <f t="shared" si="18"/>
        <v>-4.6524143824212505</v>
      </c>
      <c r="D266" s="1">
        <f t="shared" ref="D266:D329" si="20">E266</f>
        <v>-3.0875878943090345</v>
      </c>
      <c r="E266" s="1">
        <f t="shared" si="19"/>
        <v>-3.0875878943090345</v>
      </c>
      <c r="F266" s="1">
        <f t="shared" ref="F266:F329" si="21">-$C$3*C266/$C$4-$C$2/$C$4*E266</f>
        <v>0.2216276747747758</v>
      </c>
    </row>
    <row r="267" spans="2:6" x14ac:dyDescent="0.25">
      <c r="B267" s="1">
        <f t="shared" ref="B267:B330" si="22">B266+$C$7</f>
        <v>51.40000000000019</v>
      </c>
      <c r="C267" s="1">
        <f t="shared" ref="C267:C330" si="23">C266+D266*$C$7</f>
        <v>-5.2699319612830573</v>
      </c>
      <c r="D267" s="1">
        <f t="shared" si="20"/>
        <v>-3.0432623593540793</v>
      </c>
      <c r="E267" s="1">
        <f t="shared" ref="E267:E330" si="24">E266+F266*$C$7</f>
        <v>-3.0432623593540793</v>
      </c>
      <c r="F267" s="1">
        <f t="shared" si="21"/>
        <v>0.22985110945790799</v>
      </c>
    </row>
    <row r="268" spans="2:6" x14ac:dyDescent="0.25">
      <c r="B268" s="1">
        <f t="shared" si="22"/>
        <v>51.600000000000193</v>
      </c>
      <c r="C268" s="1">
        <f t="shared" si="23"/>
        <v>-5.8785844331538737</v>
      </c>
      <c r="D268" s="1">
        <f t="shared" si="20"/>
        <v>-2.9972921374624977</v>
      </c>
      <c r="E268" s="1">
        <f t="shared" si="24"/>
        <v>-2.9972921374624977</v>
      </c>
      <c r="F268" s="1">
        <f t="shared" si="21"/>
        <v>0.23785004030081447</v>
      </c>
    </row>
    <row r="269" spans="2:6" x14ac:dyDescent="0.25">
      <c r="B269" s="1">
        <f t="shared" si="22"/>
        <v>51.800000000000196</v>
      </c>
      <c r="C269" s="1">
        <f t="shared" si="23"/>
        <v>-6.4780428606463731</v>
      </c>
      <c r="D269" s="1">
        <f t="shared" si="20"/>
        <v>-2.9497221294023346</v>
      </c>
      <c r="E269" s="1">
        <f t="shared" si="24"/>
        <v>-2.9497221294023346</v>
      </c>
      <c r="F269" s="1">
        <f t="shared" si="21"/>
        <v>0.24562108038288183</v>
      </c>
    </row>
    <row r="270" spans="2:6" x14ac:dyDescent="0.25">
      <c r="B270" s="1">
        <f t="shared" si="22"/>
        <v>52.000000000000199</v>
      </c>
      <c r="C270" s="1">
        <f t="shared" si="23"/>
        <v>-7.0679872865268401</v>
      </c>
      <c r="D270" s="1">
        <f t="shared" si="20"/>
        <v>-2.900597913325758</v>
      </c>
      <c r="E270" s="1">
        <f t="shared" si="24"/>
        <v>-2.900597913325758</v>
      </c>
      <c r="F270" s="1">
        <f t="shared" si="21"/>
        <v>0.25316102406398272</v>
      </c>
    </row>
    <row r="271" spans="2:6" x14ac:dyDescent="0.25">
      <c r="B271" s="1">
        <f t="shared" si="22"/>
        <v>52.200000000000202</v>
      </c>
      <c r="C271" s="1">
        <f t="shared" si="23"/>
        <v>-7.6481068691919916</v>
      </c>
      <c r="D271" s="1">
        <f t="shared" si="20"/>
        <v>-2.8499657085129613</v>
      </c>
      <c r="E271" s="1">
        <f t="shared" si="24"/>
        <v>-2.8499657085129613</v>
      </c>
      <c r="F271" s="1">
        <f t="shared" si="21"/>
        <v>0.26046684755047139</v>
      </c>
    </row>
    <row r="272" spans="2:6" x14ac:dyDescent="0.25">
      <c r="B272" s="1">
        <f t="shared" si="22"/>
        <v>52.400000000000205</v>
      </c>
      <c r="C272" s="1">
        <f t="shared" si="23"/>
        <v>-8.2181000108945845</v>
      </c>
      <c r="D272" s="1">
        <f t="shared" si="20"/>
        <v>-2.797872339002867</v>
      </c>
      <c r="E272" s="1">
        <f t="shared" si="24"/>
        <v>-2.797872339002867</v>
      </c>
      <c r="F272" s="1">
        <f t="shared" si="21"/>
        <v>0.26753570933504356</v>
      </c>
    </row>
    <row r="273" spans="2:6" x14ac:dyDescent="0.25">
      <c r="B273" s="1">
        <f t="shared" si="22"/>
        <v>52.600000000000207</v>
      </c>
      <c r="C273" s="1">
        <f t="shared" si="23"/>
        <v>-8.7776744786951575</v>
      </c>
      <c r="D273" s="1">
        <f t="shared" si="20"/>
        <v>-2.7443651971358585</v>
      </c>
      <c r="E273" s="1">
        <f t="shared" si="24"/>
        <v>-2.7443651971358585</v>
      </c>
      <c r="F273" s="1">
        <f t="shared" si="21"/>
        <v>0.27436495051125936</v>
      </c>
    </row>
    <row r="274" spans="2:6" x14ac:dyDescent="0.25">
      <c r="B274" s="1">
        <f t="shared" si="22"/>
        <v>52.80000000000021</v>
      </c>
      <c r="C274" s="1">
        <f t="shared" si="23"/>
        <v>-9.3265475181223287</v>
      </c>
      <c r="D274" s="1">
        <f t="shared" si="20"/>
        <v>-2.6894922070336067</v>
      </c>
      <c r="E274" s="1">
        <f t="shared" si="24"/>
        <v>-2.6894922070336067</v>
      </c>
      <c r="F274" s="1">
        <f t="shared" si="21"/>
        <v>0.28095209496360712</v>
      </c>
    </row>
    <row r="275" spans="2:6" x14ac:dyDescent="0.25">
      <c r="B275" s="1">
        <f t="shared" si="22"/>
        <v>53.000000000000213</v>
      </c>
      <c r="C275" s="1">
        <f t="shared" si="23"/>
        <v>-9.8644459595290499</v>
      </c>
      <c r="D275" s="1">
        <f t="shared" si="20"/>
        <v>-2.6333017880408853</v>
      </c>
      <c r="E275" s="1">
        <f t="shared" si="24"/>
        <v>-2.6333017880408853</v>
      </c>
      <c r="F275" s="1">
        <f t="shared" si="21"/>
        <v>0.28729484943405881</v>
      </c>
    </row>
    <row r="276" spans="2:6" x14ac:dyDescent="0.25">
      <c r="B276" s="1">
        <f t="shared" si="22"/>
        <v>53.200000000000216</v>
      </c>
      <c r="C276" s="1">
        <f t="shared" si="23"/>
        <v>-10.391106317137227</v>
      </c>
      <c r="D276" s="1">
        <f t="shared" si="20"/>
        <v>-2.5758428181540736</v>
      </c>
      <c r="E276" s="1">
        <f t="shared" si="24"/>
        <v>-2.5758428181540736</v>
      </c>
      <c r="F276" s="1">
        <f t="shared" si="21"/>
        <v>0.29339110346614394</v>
      </c>
    </row>
    <row r="277" spans="2:6" x14ac:dyDescent="0.25">
      <c r="B277" s="1">
        <f t="shared" si="22"/>
        <v>53.400000000000219</v>
      </c>
      <c r="C277" s="1">
        <f t="shared" si="23"/>
        <v>-10.906274880768041</v>
      </c>
      <c r="D277" s="1">
        <f t="shared" si="20"/>
        <v>-2.517164597460845</v>
      </c>
      <c r="E277" s="1">
        <f t="shared" si="24"/>
        <v>-2.517164597460845</v>
      </c>
      <c r="F277" s="1">
        <f t="shared" si="21"/>
        <v>0.29923892922764012</v>
      </c>
    </row>
    <row r="278" spans="2:6" x14ac:dyDescent="0.25">
      <c r="B278" s="1">
        <f t="shared" si="22"/>
        <v>53.600000000000222</v>
      </c>
      <c r="C278" s="1">
        <f t="shared" si="23"/>
        <v>-11.409707800260211</v>
      </c>
      <c r="D278" s="1">
        <f t="shared" si="20"/>
        <v>-2.4573168116153168</v>
      </c>
      <c r="E278" s="1">
        <f t="shared" si="24"/>
        <v>-2.4573168116153168</v>
      </c>
      <c r="F278" s="1">
        <f t="shared" si="21"/>
        <v>0.30483658121305163</v>
      </c>
    </row>
    <row r="279" spans="2:6" x14ac:dyDescent="0.25">
      <c r="B279" s="1">
        <f t="shared" si="22"/>
        <v>53.800000000000225</v>
      </c>
      <c r="C279" s="1">
        <f t="shared" si="23"/>
        <v>-11.901171162583275</v>
      </c>
      <c r="D279" s="1">
        <f t="shared" si="20"/>
        <v>-2.3963494953727063</v>
      </c>
      <c r="E279" s="1">
        <f t="shared" si="24"/>
        <v>-2.3963494953727063</v>
      </c>
      <c r="F279" s="1">
        <f t="shared" si="21"/>
        <v>0.31018249582711421</v>
      </c>
    </row>
    <row r="280" spans="2:6" x14ac:dyDescent="0.25">
      <c r="B280" s="1">
        <f t="shared" si="22"/>
        <v>54.000000000000227</v>
      </c>
      <c r="C280" s="1">
        <f t="shared" si="23"/>
        <v>-12.380441061657816</v>
      </c>
      <c r="D280" s="1">
        <f t="shared" si="20"/>
        <v>-2.3343129962072835</v>
      </c>
      <c r="E280" s="1">
        <f t="shared" si="24"/>
        <v>-2.3343129962072835</v>
      </c>
      <c r="F280" s="1">
        <f t="shared" si="21"/>
        <v>0.31527529085063688</v>
      </c>
    </row>
    <row r="281" spans="2:6" x14ac:dyDescent="0.25">
      <c r="B281" s="1">
        <f t="shared" si="22"/>
        <v>54.20000000000023</v>
      </c>
      <c r="C281" s="1">
        <f t="shared" si="23"/>
        <v>-12.847303660899273</v>
      </c>
      <c r="D281" s="1">
        <f t="shared" si="20"/>
        <v>-2.2712579380371563</v>
      </c>
      <c r="E281" s="1">
        <f t="shared" si="24"/>
        <v>-2.2712579380371563</v>
      </c>
      <c r="F281" s="1">
        <f t="shared" si="21"/>
        <v>0.32011376479005521</v>
      </c>
    </row>
    <row r="282" spans="2:6" x14ac:dyDescent="0.25">
      <c r="B282" s="1">
        <f t="shared" si="22"/>
        <v>54.400000000000233</v>
      </c>
      <c r="C282" s="1">
        <f t="shared" si="23"/>
        <v>-13.301555248506704</v>
      </c>
      <c r="D282" s="1">
        <f t="shared" si="20"/>
        <v>-2.2072351850791452</v>
      </c>
      <c r="E282" s="1">
        <f t="shared" si="24"/>
        <v>-2.2072351850791452</v>
      </c>
      <c r="F282" s="1">
        <f t="shared" si="21"/>
        <v>0.32469689611213853</v>
      </c>
    </row>
    <row r="283" spans="2:6" x14ac:dyDescent="0.25">
      <c r="B283" s="1">
        <f t="shared" si="22"/>
        <v>54.600000000000236</v>
      </c>
      <c r="C283" s="1">
        <f t="shared" si="23"/>
        <v>-13.743002285522532</v>
      </c>
      <c r="D283" s="1">
        <f t="shared" si="20"/>
        <v>-2.1422958058567176</v>
      </c>
      <c r="E283" s="1">
        <f t="shared" si="24"/>
        <v>-2.1422958058567176</v>
      </c>
      <c r="F283" s="1">
        <f t="shared" si="21"/>
        <v>0.32902384236535576</v>
      </c>
    </row>
    <row r="284" spans="2:6" x14ac:dyDescent="0.25">
      <c r="B284" s="1">
        <f t="shared" si="22"/>
        <v>54.800000000000239</v>
      </c>
      <c r="C284" s="1">
        <f t="shared" si="23"/>
        <v>-14.171461446693876</v>
      </c>
      <c r="D284" s="1">
        <f t="shared" si="20"/>
        <v>-2.0764910373836463</v>
      </c>
      <c r="E284" s="1">
        <f t="shared" si="24"/>
        <v>-2.0764910373836463</v>
      </c>
      <c r="F284" s="1">
        <f t="shared" si="21"/>
        <v>0.33309393918946806</v>
      </c>
    </row>
    <row r="285" spans="2:6" x14ac:dyDescent="0.25">
      <c r="B285" s="1">
        <f t="shared" si="22"/>
        <v>55.000000000000242</v>
      </c>
      <c r="C285" s="1">
        <f t="shared" si="23"/>
        <v>-14.586759654170605</v>
      </c>
      <c r="D285" s="1">
        <f t="shared" si="20"/>
        <v>-2.0098722495457526</v>
      </c>
      <c r="E285" s="1">
        <f t="shared" si="24"/>
        <v>-2.0098722495457526</v>
      </c>
      <c r="F285" s="1">
        <f t="shared" si="21"/>
        <v>0.33690669921497851</v>
      </c>
    </row>
    <row r="286" spans="2:6" x14ac:dyDescent="0.25">
      <c r="B286" s="1">
        <f t="shared" si="22"/>
        <v>55.200000000000244</v>
      </c>
      <c r="C286" s="1">
        <f t="shared" si="23"/>
        <v>-14.988734104079755</v>
      </c>
      <c r="D286" s="1">
        <f t="shared" si="20"/>
        <v>-1.942490909702757</v>
      </c>
      <c r="E286" s="1">
        <f t="shared" si="24"/>
        <v>-1.942490909702757</v>
      </c>
      <c r="F286" s="1">
        <f t="shared" si="21"/>
        <v>0.34046181085412464</v>
      </c>
    </row>
    <row r="287" spans="2:6" x14ac:dyDescent="0.25">
      <c r="B287" s="1">
        <f t="shared" si="22"/>
        <v>55.400000000000247</v>
      </c>
      <c r="C287" s="1">
        <f t="shared" si="23"/>
        <v>-15.377232286020307</v>
      </c>
      <c r="D287" s="1">
        <f t="shared" si="20"/>
        <v>-1.874398547531932</v>
      </c>
      <c r="E287" s="1">
        <f t="shared" si="24"/>
        <v>-1.874398547531932</v>
      </c>
      <c r="F287" s="1">
        <f t="shared" si="21"/>
        <v>0.34375913698516192</v>
      </c>
    </row>
    <row r="288" spans="2:6" x14ac:dyDescent="0.25">
      <c r="B288" s="1">
        <f t="shared" si="22"/>
        <v>55.60000000000025</v>
      </c>
      <c r="C288" s="1">
        <f t="shared" si="23"/>
        <v>-15.752111995526693</v>
      </c>
      <c r="D288" s="1">
        <f t="shared" si="20"/>
        <v>-1.8056467201348996</v>
      </c>
      <c r="E288" s="1">
        <f t="shared" si="24"/>
        <v>-1.8056467201348996</v>
      </c>
      <c r="F288" s="1">
        <f t="shared" si="21"/>
        <v>0.34679871353174019</v>
      </c>
    </row>
    <row r="289" spans="2:6" x14ac:dyDescent="0.25">
      <c r="B289" s="1">
        <f t="shared" si="22"/>
        <v>55.800000000000253</v>
      </c>
      <c r="C289" s="1">
        <f t="shared" si="23"/>
        <v>-16.113241339553674</v>
      </c>
      <c r="D289" s="1">
        <f t="shared" si="20"/>
        <v>-1.7362869774285516</v>
      </c>
      <c r="E289" s="1">
        <f t="shared" si="24"/>
        <v>-1.7362869774285516</v>
      </c>
      <c r="F289" s="1">
        <f t="shared" si="21"/>
        <v>0.349580747939227</v>
      </c>
    </row>
    <row r="290" spans="2:6" x14ac:dyDescent="0.25">
      <c r="B290" s="1">
        <f t="shared" si="22"/>
        <v>56.000000000000256</v>
      </c>
      <c r="C290" s="1">
        <f t="shared" si="23"/>
        <v>-16.460498735039383</v>
      </c>
      <c r="D290" s="1">
        <f t="shared" si="20"/>
        <v>-1.6663708278407063</v>
      </c>
      <c r="E290" s="1">
        <f t="shared" si="24"/>
        <v>-1.6663708278407063</v>
      </c>
      <c r="F290" s="1">
        <f t="shared" si="21"/>
        <v>0.35210561754988934</v>
      </c>
    </row>
    <row r="291" spans="2:6" x14ac:dyDescent="0.25">
      <c r="B291" s="1">
        <f t="shared" si="22"/>
        <v>56.200000000000259</v>
      </c>
      <c r="C291" s="1">
        <f t="shared" si="23"/>
        <v>-16.793772900607525</v>
      </c>
      <c r="D291" s="1">
        <f t="shared" si="20"/>
        <v>-1.5959497043307285</v>
      </c>
      <c r="E291" s="1">
        <f t="shared" si="24"/>
        <v>-1.5959497043307285</v>
      </c>
      <c r="F291" s="1">
        <f t="shared" si="21"/>
        <v>0.3543738678788928</v>
      </c>
    </row>
    <row r="292" spans="2:6" x14ac:dyDescent="0.25">
      <c r="B292" s="1">
        <f t="shared" si="22"/>
        <v>56.400000000000261</v>
      </c>
      <c r="C292" s="1">
        <f t="shared" si="23"/>
        <v>-17.112962841473671</v>
      </c>
      <c r="D292" s="1">
        <f t="shared" si="20"/>
        <v>-1.5250749307549498</v>
      </c>
      <c r="E292" s="1">
        <f t="shared" si="24"/>
        <v>-1.5250749307549498</v>
      </c>
      <c r="F292" s="1">
        <f t="shared" si="21"/>
        <v>0.35638621079312549</v>
      </c>
    </row>
    <row r="293" spans="2:6" x14ac:dyDescent="0.25">
      <c r="B293" s="1">
        <f t="shared" si="22"/>
        <v>56.600000000000264</v>
      </c>
      <c r="C293" s="1">
        <f t="shared" si="23"/>
        <v>-17.417977827624661</v>
      </c>
      <c r="D293" s="1">
        <f t="shared" si="20"/>
        <v>-1.4537976885963246</v>
      </c>
      <c r="E293" s="1">
        <f t="shared" si="24"/>
        <v>-1.4537976885963246</v>
      </c>
      <c r="F293" s="1">
        <f t="shared" si="21"/>
        <v>0.35814352259490617</v>
      </c>
    </row>
    <row r="294" spans="2:6" x14ac:dyDescent="0.25">
      <c r="B294" s="1">
        <f t="shared" si="22"/>
        <v>56.800000000000267</v>
      </c>
      <c r="C294" s="1">
        <f t="shared" si="23"/>
        <v>-17.708737365343925</v>
      </c>
      <c r="D294" s="1">
        <f t="shared" si="20"/>
        <v>-1.3821689840773435</v>
      </c>
      <c r="E294" s="1">
        <f t="shared" si="24"/>
        <v>-1.3821689840773435</v>
      </c>
      <c r="F294" s="1">
        <f t="shared" si="21"/>
        <v>0.35964684201267477</v>
      </c>
    </row>
    <row r="295" spans="2:6" x14ac:dyDescent="0.25">
      <c r="B295" s="1">
        <f t="shared" si="22"/>
        <v>57.00000000000027</v>
      </c>
      <c r="C295" s="1">
        <f t="shared" si="23"/>
        <v>-17.985171162159393</v>
      </c>
      <c r="D295" s="1">
        <f t="shared" si="20"/>
        <v>-1.3102396156748084</v>
      </c>
      <c r="E295" s="1">
        <f t="shared" si="24"/>
        <v>-1.3102396156748084</v>
      </c>
      <c r="F295" s="1">
        <f t="shared" si="21"/>
        <v>0.3608973681008143</v>
      </c>
    </row>
    <row r="296" spans="2:6" x14ac:dyDescent="0.25">
      <c r="B296" s="1">
        <f t="shared" si="22"/>
        <v>57.200000000000273</v>
      </c>
      <c r="C296" s="1">
        <f t="shared" si="23"/>
        <v>-18.247219085294354</v>
      </c>
      <c r="D296" s="1">
        <f t="shared" si="20"/>
        <v>-1.2380601420546455</v>
      </c>
      <c r="E296" s="1">
        <f t="shared" si="24"/>
        <v>-1.2380601420546455</v>
      </c>
      <c r="F296" s="1">
        <f t="shared" si="21"/>
        <v>0.3618964580507894</v>
      </c>
    </row>
    <row r="297" spans="2:6" x14ac:dyDescent="0.25">
      <c r="B297" s="1">
        <f t="shared" si="22"/>
        <v>57.400000000000276</v>
      </c>
      <c r="C297" s="1">
        <f t="shared" si="23"/>
        <v>-18.494831113705285</v>
      </c>
      <c r="D297" s="1">
        <f t="shared" si="20"/>
        <v>-1.1656808504444878</v>
      </c>
      <c r="E297" s="1">
        <f t="shared" si="24"/>
        <v>-1.1656808504444878</v>
      </c>
      <c r="F297" s="1">
        <f t="shared" si="21"/>
        <v>0.36264562491583086</v>
      </c>
    </row>
    <row r="298" spans="2:6" x14ac:dyDescent="0.25">
      <c r="B298" s="1">
        <f t="shared" si="22"/>
        <v>57.600000000000279</v>
      </c>
      <c r="C298" s="1">
        <f t="shared" si="23"/>
        <v>-18.727967283794182</v>
      </c>
      <c r="D298" s="1">
        <f t="shared" si="20"/>
        <v>-1.0931517254613217</v>
      </c>
      <c r="E298" s="1">
        <f t="shared" si="24"/>
        <v>-1.0931517254613217</v>
      </c>
      <c r="F298" s="1">
        <f t="shared" si="21"/>
        <v>0.36314653525143137</v>
      </c>
    </row>
    <row r="299" spans="2:6" x14ac:dyDescent="0.25">
      <c r="B299" s="1">
        <f t="shared" si="22"/>
        <v>57.800000000000281</v>
      </c>
      <c r="C299" s="1">
        <f t="shared" si="23"/>
        <v>-18.946597628886447</v>
      </c>
      <c r="D299" s="1">
        <f t="shared" si="20"/>
        <v>-1.0205224184110353</v>
      </c>
      <c r="E299" s="1">
        <f t="shared" si="24"/>
        <v>-1.0205224184110353</v>
      </c>
      <c r="F299" s="1">
        <f t="shared" si="21"/>
        <v>0.36340100667395575</v>
      </c>
    </row>
    <row r="300" spans="2:6" x14ac:dyDescent="0.25">
      <c r="B300" s="1">
        <f t="shared" si="22"/>
        <v>58.000000000000284</v>
      </c>
      <c r="C300" s="1">
        <f t="shared" si="23"/>
        <v>-19.150702112568656</v>
      </c>
      <c r="D300" s="1">
        <f t="shared" si="20"/>
        <v>-0.94784221707624416</v>
      </c>
      <c r="E300" s="1">
        <f t="shared" si="24"/>
        <v>-0.94784221707624416</v>
      </c>
      <c r="F300" s="1">
        <f t="shared" si="21"/>
        <v>0.36341100533970233</v>
      </c>
    </row>
    <row r="301" spans="2:6" x14ac:dyDescent="0.25">
      <c r="B301" s="1">
        <f t="shared" si="22"/>
        <v>58.200000000000287</v>
      </c>
      <c r="C301" s="1">
        <f t="shared" si="23"/>
        <v>-19.340270555983903</v>
      </c>
      <c r="D301" s="1">
        <f t="shared" si="20"/>
        <v>-0.87516001600830373</v>
      </c>
      <c r="E301" s="1">
        <f t="shared" si="24"/>
        <v>-0.87516001600830373</v>
      </c>
      <c r="F301" s="1">
        <f t="shared" si="21"/>
        <v>0.36317864334678585</v>
      </c>
    </row>
    <row r="302" spans="2:6" x14ac:dyDescent="0.25">
      <c r="B302" s="1">
        <f t="shared" si="22"/>
        <v>58.40000000000029</v>
      </c>
      <c r="C302" s="1">
        <f t="shared" si="23"/>
        <v>-19.515302559185564</v>
      </c>
      <c r="D302" s="1">
        <f t="shared" si="20"/>
        <v>-0.80252428733894654</v>
      </c>
      <c r="E302" s="1">
        <f t="shared" si="24"/>
        <v>-0.80252428733894654</v>
      </c>
      <c r="F302" s="1">
        <f t="shared" si="21"/>
        <v>0.36270617606224359</v>
      </c>
    </row>
    <row r="303" spans="2:6" x14ac:dyDescent="0.25">
      <c r="B303" s="1">
        <f t="shared" si="22"/>
        <v>58.600000000000293</v>
      </c>
      <c r="C303" s="1">
        <f t="shared" si="23"/>
        <v>-19.675807416653353</v>
      </c>
      <c r="D303" s="1">
        <f t="shared" si="20"/>
        <v>-0.72998305212649783</v>
      </c>
      <c r="E303" s="1">
        <f t="shared" si="24"/>
        <v>-0.72998305212649783</v>
      </c>
      <c r="F303" s="1">
        <f t="shared" si="21"/>
        <v>0.36199599937679244</v>
      </c>
    </row>
    <row r="304" spans="2:6" x14ac:dyDescent="0.25">
      <c r="B304" s="1">
        <f t="shared" si="22"/>
        <v>58.800000000000296</v>
      </c>
      <c r="C304" s="1">
        <f t="shared" si="23"/>
        <v>-19.821804027078652</v>
      </c>
      <c r="D304" s="1">
        <f t="shared" si="20"/>
        <v>-0.65758385225113936</v>
      </c>
      <c r="E304" s="1">
        <f t="shared" si="24"/>
        <v>-0.65758385225113936</v>
      </c>
      <c r="F304" s="1">
        <f t="shared" si="21"/>
        <v>0.3610506468896974</v>
      </c>
    </row>
    <row r="305" spans="2:6" x14ac:dyDescent="0.25">
      <c r="B305" s="1">
        <f t="shared" si="22"/>
        <v>59.000000000000298</v>
      </c>
      <c r="C305" s="1">
        <f t="shared" si="23"/>
        <v>-19.953320797528882</v>
      </c>
      <c r="D305" s="1">
        <f t="shared" si="20"/>
        <v>-0.58537372287319989</v>
      </c>
      <c r="E305" s="1">
        <f t="shared" si="24"/>
        <v>-0.58537372287319989</v>
      </c>
      <c r="F305" s="1">
        <f t="shared" si="21"/>
        <v>0.35987278702623071</v>
      </c>
    </row>
    <row r="306" spans="2:6" x14ac:dyDescent="0.25">
      <c r="B306" s="1">
        <f t="shared" si="22"/>
        <v>59.200000000000301</v>
      </c>
      <c r="C306" s="1">
        <f t="shared" si="23"/>
        <v>-20.070395542103523</v>
      </c>
      <c r="D306" s="1">
        <f t="shared" si="20"/>
        <v>-0.51339916546795372</v>
      </c>
      <c r="E306" s="1">
        <f t="shared" si="24"/>
        <v>-0.51339916546795372</v>
      </c>
      <c r="F306" s="1">
        <f t="shared" si="21"/>
        <v>0.35846522009022991</v>
      </c>
    </row>
    <row r="307" spans="2:6" x14ac:dyDescent="0.25">
      <c r="B307" s="1">
        <f t="shared" si="22"/>
        <v>59.400000000000304</v>
      </c>
      <c r="C307" s="1">
        <f t="shared" si="23"/>
        <v>-20.173075375197115</v>
      </c>
      <c r="D307" s="1">
        <f t="shared" si="20"/>
        <v>-0.44170612144990773</v>
      </c>
      <c r="E307" s="1">
        <f t="shared" si="24"/>
        <v>-0.44170612144990773</v>
      </c>
      <c r="F307" s="1">
        <f t="shared" si="21"/>
        <v>0.35683087525428098</v>
      </c>
    </row>
    <row r="308" spans="2:6" x14ac:dyDescent="0.25">
      <c r="B308" s="1">
        <f t="shared" si="22"/>
        <v>59.600000000000307</v>
      </c>
      <c r="C308" s="1">
        <f t="shared" si="23"/>
        <v>-20.261416599487095</v>
      </c>
      <c r="D308" s="1">
        <f t="shared" si="20"/>
        <v>-0.37033994639905155</v>
      </c>
      <c r="E308" s="1">
        <f t="shared" si="24"/>
        <v>-0.37033994639905155</v>
      </c>
      <c r="F308" s="1">
        <f t="shared" si="21"/>
        <v>0.35497280749007398</v>
      </c>
    </row>
    <row r="309" spans="2:6" x14ac:dyDescent="0.25">
      <c r="B309" s="1">
        <f t="shared" si="22"/>
        <v>59.80000000000031</v>
      </c>
      <c r="C309" s="1">
        <f t="shared" si="23"/>
        <v>-20.335484588766906</v>
      </c>
      <c r="D309" s="1">
        <f t="shared" si="20"/>
        <v>-0.29934538490103674</v>
      </c>
      <c r="E309" s="1">
        <f t="shared" si="24"/>
        <v>-0.29934538490103674</v>
      </c>
      <c r="F309" s="1">
        <f t="shared" si="21"/>
        <v>0.35289419444149683</v>
      </c>
    </row>
    <row r="310" spans="2:6" x14ac:dyDescent="0.25">
      <c r="B310" s="1">
        <f t="shared" si="22"/>
        <v>60.000000000000313</v>
      </c>
      <c r="C310" s="1">
        <f t="shared" si="23"/>
        <v>-20.395353665747113</v>
      </c>
      <c r="D310" s="1">
        <f t="shared" si="20"/>
        <v>-0.22876654601273738</v>
      </c>
      <c r="E310" s="1">
        <f t="shared" si="24"/>
        <v>-0.22876654601273738</v>
      </c>
      <c r="F310" s="1">
        <f t="shared" si="21"/>
        <v>0.35059833324304629</v>
      </c>
    </row>
    <row r="311" spans="2:6" x14ac:dyDescent="0.25">
      <c r="B311" s="1">
        <f t="shared" si="22"/>
        <v>60.200000000000315</v>
      </c>
      <c r="C311" s="1">
        <f t="shared" si="23"/>
        <v>-20.441106974949658</v>
      </c>
      <c r="D311" s="1">
        <f t="shared" si="20"/>
        <v>-0.15864687936412813</v>
      </c>
      <c r="E311" s="1">
        <f t="shared" si="24"/>
        <v>-0.15864687936412813</v>
      </c>
      <c r="F311" s="1">
        <f t="shared" si="21"/>
        <v>0.34808863728615369</v>
      </c>
    </row>
    <row r="312" spans="2:6" x14ac:dyDescent="0.25">
      <c r="B312" s="1">
        <f t="shared" si="22"/>
        <v>60.400000000000318</v>
      </c>
      <c r="C312" s="1">
        <f t="shared" si="23"/>
        <v>-20.472836350822483</v>
      </c>
      <c r="D312" s="1">
        <f t="shared" si="20"/>
        <v>-8.9029151906897391E-2</v>
      </c>
      <c r="E312" s="1">
        <f t="shared" si="24"/>
        <v>-8.9029151906897391E-2</v>
      </c>
      <c r="F312" s="1">
        <f t="shared" si="21"/>
        <v>0.34536863293602993</v>
      </c>
    </row>
    <row r="313" spans="2:6" x14ac:dyDescent="0.25">
      <c r="B313" s="1">
        <f t="shared" si="22"/>
        <v>60.600000000000321</v>
      </c>
      <c r="C313" s="1">
        <f t="shared" si="23"/>
        <v>-20.490642181203864</v>
      </c>
      <c r="D313" s="1">
        <f t="shared" si="20"/>
        <v>-1.9955425319691397E-2</v>
      </c>
      <c r="E313" s="1">
        <f t="shared" si="24"/>
        <v>-1.9955425319691397E-2</v>
      </c>
      <c r="F313" s="1">
        <f t="shared" si="21"/>
        <v>0.34244195620165002</v>
      </c>
    </row>
    <row r="314" spans="2:6" x14ac:dyDescent="0.25">
      <c r="B314" s="1">
        <f t="shared" si="22"/>
        <v>60.800000000000324</v>
      </c>
      <c r="C314" s="1">
        <f t="shared" si="23"/>
        <v>-20.494633266267801</v>
      </c>
      <c r="D314" s="1">
        <f t="shared" si="20"/>
        <v>4.8532965920638604E-2</v>
      </c>
      <c r="E314" s="1">
        <f t="shared" si="24"/>
        <v>4.8532965920638604E-2</v>
      </c>
      <c r="F314" s="1">
        <f t="shared" si="21"/>
        <v>0.33931234936150023</v>
      </c>
    </row>
    <row r="315" spans="2:6" x14ac:dyDescent="0.25">
      <c r="B315" s="1">
        <f t="shared" si="22"/>
        <v>61.000000000000327</v>
      </c>
      <c r="C315" s="1">
        <f t="shared" si="23"/>
        <v>-20.484926673083674</v>
      </c>
      <c r="D315" s="1">
        <f t="shared" si="20"/>
        <v>0.11639543579293865</v>
      </c>
      <c r="E315" s="1">
        <f t="shared" si="24"/>
        <v>0.11639543579293865</v>
      </c>
      <c r="F315" s="1">
        <f t="shared" si="21"/>
        <v>0.33598365754772413</v>
      </c>
    </row>
    <row r="316" spans="2:6" x14ac:dyDescent="0.25">
      <c r="B316" s="1">
        <f t="shared" si="22"/>
        <v>61.20000000000033</v>
      </c>
      <c r="C316" s="1">
        <f t="shared" si="23"/>
        <v>-20.461647585925085</v>
      </c>
      <c r="D316" s="1">
        <f t="shared" si="20"/>
        <v>0.18359216730248348</v>
      </c>
      <c r="E316" s="1">
        <f t="shared" si="24"/>
        <v>0.18359216730248348</v>
      </c>
      <c r="F316" s="1">
        <f t="shared" si="21"/>
        <v>0.33245982529130219</v>
      </c>
    </row>
    <row r="317" spans="2:6" x14ac:dyDescent="0.25">
      <c r="B317" s="1">
        <f t="shared" si="22"/>
        <v>61.400000000000333</v>
      </c>
      <c r="C317" s="1">
        <f t="shared" si="23"/>
        <v>-20.424929152464589</v>
      </c>
      <c r="D317" s="1">
        <f t="shared" si="20"/>
        <v>0.25008413236074389</v>
      </c>
      <c r="E317" s="1">
        <f t="shared" si="24"/>
        <v>0.25008413236074389</v>
      </c>
      <c r="F317" s="1">
        <f t="shared" si="21"/>
        <v>0.32874489303090842</v>
      </c>
    </row>
    <row r="318" spans="2:6" x14ac:dyDescent="0.25">
      <c r="B318" s="1">
        <f t="shared" si="22"/>
        <v>61.600000000000335</v>
      </c>
      <c r="C318" s="1">
        <f t="shared" si="23"/>
        <v>-20.37491232599244</v>
      </c>
      <c r="D318" s="1">
        <f t="shared" si="20"/>
        <v>0.31583311096692557</v>
      </c>
      <c r="E318" s="1">
        <f t="shared" si="24"/>
        <v>0.31583311096692557</v>
      </c>
      <c r="F318" s="1">
        <f t="shared" si="21"/>
        <v>0.32484299358808416</v>
      </c>
    </row>
    <row r="319" spans="2:6" x14ac:dyDescent="0.25">
      <c r="B319" s="1">
        <f t="shared" si="22"/>
        <v>61.800000000000338</v>
      </c>
      <c r="C319" s="1">
        <f t="shared" si="23"/>
        <v>-20.311745703799055</v>
      </c>
      <c r="D319" s="1">
        <f t="shared" si="20"/>
        <v>0.38080170968454241</v>
      </c>
      <c r="E319" s="1">
        <f t="shared" si="24"/>
        <v>0.38080170968454241</v>
      </c>
      <c r="F319" s="1">
        <f t="shared" si="21"/>
        <v>0.32075834861137226</v>
      </c>
    </row>
    <row r="320" spans="2:6" x14ac:dyDescent="0.25">
      <c r="B320" s="1">
        <f t="shared" si="22"/>
        <v>62.000000000000341</v>
      </c>
      <c r="C320" s="1">
        <f t="shared" si="23"/>
        <v>-20.235585361862146</v>
      </c>
      <c r="D320" s="1">
        <f t="shared" si="20"/>
        <v>0.4449533794068169</v>
      </c>
      <c r="E320" s="1">
        <f t="shared" si="24"/>
        <v>0.4449533794068169</v>
      </c>
      <c r="F320" s="1">
        <f t="shared" si="21"/>
        <v>0.31649526499205094</v>
      </c>
    </row>
    <row r="321" spans="2:6" x14ac:dyDescent="0.25">
      <c r="B321" s="1">
        <f t="shared" si="22"/>
        <v>62.200000000000344</v>
      </c>
      <c r="C321" s="1">
        <f t="shared" si="23"/>
        <v>-20.146594685980784</v>
      </c>
      <c r="D321" s="1">
        <f t="shared" si="20"/>
        <v>0.50825243240522711</v>
      </c>
      <c r="E321" s="1">
        <f t="shared" si="24"/>
        <v>0.50825243240522711</v>
      </c>
      <c r="F321" s="1">
        <f t="shared" si="21"/>
        <v>0.31205813125410248</v>
      </c>
    </row>
    <row r="322" spans="2:6" x14ac:dyDescent="0.25">
      <c r="B322" s="1">
        <f t="shared" si="22"/>
        <v>62.400000000000347</v>
      </c>
      <c r="C322" s="1">
        <f t="shared" si="23"/>
        <v>-20.044944199499739</v>
      </c>
      <c r="D322" s="1">
        <f t="shared" si="20"/>
        <v>0.57066405865604763</v>
      </c>
      <c r="E322" s="1">
        <f t="shared" si="24"/>
        <v>0.57066405865604763</v>
      </c>
      <c r="F322" s="1">
        <f t="shared" si="21"/>
        <v>0.3074514139210468</v>
      </c>
    </row>
    <row r="323" spans="2:6" x14ac:dyDescent="0.25">
      <c r="B323" s="1">
        <f t="shared" si="22"/>
        <v>62.60000000000035</v>
      </c>
      <c r="C323" s="1">
        <f t="shared" si="23"/>
        <v>-19.930811387768529</v>
      </c>
      <c r="D323" s="1">
        <f t="shared" si="20"/>
        <v>0.63215434144025695</v>
      </c>
      <c r="E323" s="1">
        <f t="shared" si="24"/>
        <v>0.63215434144025695</v>
      </c>
      <c r="F323" s="1">
        <f t="shared" si="21"/>
        <v>0.30267965386226353</v>
      </c>
    </row>
    <row r="324" spans="2:6" x14ac:dyDescent="0.25">
      <c r="B324" s="1">
        <f t="shared" si="22"/>
        <v>62.800000000000352</v>
      </c>
      <c r="C324" s="1">
        <f t="shared" si="23"/>
        <v>-19.804380519480478</v>
      </c>
      <c r="D324" s="1">
        <f t="shared" si="20"/>
        <v>0.69269027221270962</v>
      </c>
      <c r="E324" s="1">
        <f t="shared" si="24"/>
        <v>0.69269027221270962</v>
      </c>
      <c r="F324" s="1">
        <f t="shared" si="21"/>
        <v>0.29774746262141488</v>
      </c>
    </row>
    <row r="325" spans="2:6" x14ac:dyDescent="0.25">
      <c r="B325" s="1">
        <f t="shared" si="22"/>
        <v>63.000000000000355</v>
      </c>
      <c r="C325" s="1">
        <f t="shared" si="23"/>
        <v>-19.665842465037937</v>
      </c>
      <c r="D325" s="1">
        <f t="shared" si="20"/>
        <v>0.75223976473699261</v>
      </c>
      <c r="E325" s="1">
        <f t="shared" si="24"/>
        <v>0.75223976473699261</v>
      </c>
      <c r="F325" s="1">
        <f t="shared" si="21"/>
        <v>0.29265951872957263</v>
      </c>
    </row>
    <row r="326" spans="2:6" x14ac:dyDescent="0.25">
      <c r="B326" s="1">
        <f t="shared" si="22"/>
        <v>63.200000000000358</v>
      </c>
      <c r="C326" s="1">
        <f t="shared" si="23"/>
        <v>-19.515394512090538</v>
      </c>
      <c r="D326" s="1">
        <f t="shared" si="20"/>
        <v>0.81077166848290716</v>
      </c>
      <c r="E326" s="1">
        <f t="shared" si="24"/>
        <v>0.81077166848290716</v>
      </c>
      <c r="F326" s="1">
        <f t="shared" si="21"/>
        <v>0.28742056400563998</v>
      </c>
    </row>
    <row r="327" spans="2:6" x14ac:dyDescent="0.25">
      <c r="B327" s="1">
        <f t="shared" si="22"/>
        <v>63.400000000000361</v>
      </c>
      <c r="C327" s="1">
        <f t="shared" si="23"/>
        <v>-19.353240178393957</v>
      </c>
      <c r="D327" s="1">
        <f t="shared" si="20"/>
        <v>0.86825578128403513</v>
      </c>
      <c r="E327" s="1">
        <f t="shared" si="24"/>
        <v>0.86825578128403513</v>
      </c>
      <c r="F327" s="1">
        <f t="shared" si="21"/>
        <v>0.28203539984664427</v>
      </c>
    </row>
    <row r="328" spans="2:6" x14ac:dyDescent="0.25">
      <c r="B328" s="1">
        <f t="shared" si="22"/>
        <v>63.600000000000364</v>
      </c>
      <c r="C328" s="1">
        <f t="shared" si="23"/>
        <v>-19.179589022137151</v>
      </c>
      <c r="D328" s="1">
        <f t="shared" si="20"/>
        <v>0.92466286125336394</v>
      </c>
      <c r="E328" s="1">
        <f t="shared" si="24"/>
        <v>0.92466286125336394</v>
      </c>
      <c r="F328" s="1">
        <f t="shared" si="21"/>
        <v>0.27650888351046221</v>
      </c>
    </row>
    <row r="329" spans="2:6" x14ac:dyDescent="0.25">
      <c r="B329" s="1">
        <f t="shared" si="22"/>
        <v>63.800000000000367</v>
      </c>
      <c r="C329" s="1">
        <f t="shared" si="23"/>
        <v>-18.994656449886477</v>
      </c>
      <c r="D329" s="1">
        <f t="shared" si="20"/>
        <v>0.97996463795545641</v>
      </c>
      <c r="E329" s="1">
        <f t="shared" si="24"/>
        <v>0.97996463795545641</v>
      </c>
      <c r="F329" s="1">
        <f t="shared" si="21"/>
        <v>0.27084592439352001</v>
      </c>
    </row>
    <row r="330" spans="2:6" x14ac:dyDescent="0.25">
      <c r="B330" s="1">
        <f t="shared" si="22"/>
        <v>64.000000000000369</v>
      </c>
      <c r="C330" s="1">
        <f t="shared" si="23"/>
        <v>-18.798663522295385</v>
      </c>
      <c r="D330" s="1">
        <f t="shared" ref="D330:D393" si="25">E330</f>
        <v>1.0341338228341603</v>
      </c>
      <c r="E330" s="1">
        <f t="shared" si="24"/>
        <v>1.0341338228341603</v>
      </c>
      <c r="F330" s="1">
        <f t="shared" ref="F330:F393" si="26">-$C$3*C330/$C$4-$C$2/$C$4*E330</f>
        <v>0.26505148030599562</v>
      </c>
    </row>
    <row r="331" spans="2:6" x14ac:dyDescent="0.25">
      <c r="B331" s="1">
        <f t="shared" ref="B331:B394" si="27">B330+$C$7</f>
        <v>64.200000000000372</v>
      </c>
      <c r="C331" s="1">
        <f t="shared" ref="C331:C394" si="28">C330+D330*$C$7</f>
        <v>-18.591836757728554</v>
      </c>
      <c r="D331" s="1">
        <f t="shared" si="25"/>
        <v>1.0871441188953594</v>
      </c>
      <c r="E331" s="1">
        <f t="shared" ref="E331:E394" si="29">E330+F330*$C$7</f>
        <v>1.0871441188953594</v>
      </c>
      <c r="F331" s="1">
        <f t="shared" si="26"/>
        <v>0.25913055374702576</v>
      </c>
    </row>
    <row r="332" spans="2:6" x14ac:dyDescent="0.25">
      <c r="B332" s="1">
        <f t="shared" si="27"/>
        <v>64.400000000000375</v>
      </c>
      <c r="C332" s="1">
        <f t="shared" si="28"/>
        <v>-18.374407933949481</v>
      </c>
      <c r="D332" s="1">
        <f t="shared" si="25"/>
        <v>1.1389702296447646</v>
      </c>
      <c r="E332" s="1">
        <f t="shared" si="29"/>
        <v>1.1389702296447646</v>
      </c>
      <c r="F332" s="1">
        <f t="shared" si="26"/>
        <v>0.25308818818240236</v>
      </c>
    </row>
    <row r="333" spans="2:6" x14ac:dyDescent="0.25">
      <c r="B333" s="1">
        <f t="shared" si="27"/>
        <v>64.600000000000378</v>
      </c>
      <c r="C333" s="1">
        <f t="shared" si="28"/>
        <v>-18.146613888020529</v>
      </c>
      <c r="D333" s="1">
        <f t="shared" si="25"/>
        <v>1.189587867281245</v>
      </c>
      <c r="E333" s="1">
        <f t="shared" si="29"/>
        <v>1.189587867281245</v>
      </c>
      <c r="F333" s="1">
        <f t="shared" si="26"/>
        <v>0.24692946432721735</v>
      </c>
    </row>
    <row r="334" spans="2:6" x14ac:dyDescent="0.25">
      <c r="B334" s="1">
        <f t="shared" si="27"/>
        <v>64.800000000000381</v>
      </c>
      <c r="C334" s="1">
        <f t="shared" si="28"/>
        <v>-17.908696314564281</v>
      </c>
      <c r="D334" s="1">
        <f t="shared" si="25"/>
        <v>1.2389737601466884</v>
      </c>
      <c r="E334" s="1">
        <f t="shared" si="29"/>
        <v>1.2389737601466884</v>
      </c>
      <c r="F334" s="1">
        <f t="shared" si="26"/>
        <v>0.2406594964358926</v>
      </c>
    </row>
    <row r="335" spans="2:6" x14ac:dyDescent="0.25">
      <c r="B335" s="1">
        <f t="shared" si="27"/>
        <v>65.000000000000384</v>
      </c>
      <c r="C335" s="1">
        <f t="shared" si="28"/>
        <v>-17.660901562534942</v>
      </c>
      <c r="D335" s="1">
        <f t="shared" si="25"/>
        <v>1.2871056594338668</v>
      </c>
      <c r="E335" s="1">
        <f t="shared" si="29"/>
        <v>1.2871056594338668</v>
      </c>
      <c r="F335" s="1">
        <f t="shared" si="26"/>
        <v>0.23428342860200196</v>
      </c>
    </row>
    <row r="336" spans="2:6" x14ac:dyDescent="0.25">
      <c r="B336" s="1">
        <f t="shared" si="27"/>
        <v>65.200000000000387</v>
      </c>
      <c r="C336" s="1">
        <f t="shared" si="28"/>
        <v>-17.40348043064817</v>
      </c>
      <c r="D336" s="1">
        <f t="shared" si="25"/>
        <v>1.3339623451542673</v>
      </c>
      <c r="E336" s="1">
        <f t="shared" si="29"/>
        <v>1.3339623451542673</v>
      </c>
      <c r="F336" s="1">
        <f t="shared" si="26"/>
        <v>0.22780643107027035</v>
      </c>
    </row>
    <row r="337" spans="2:6" x14ac:dyDescent="0.25">
      <c r="B337" s="1">
        <f t="shared" si="27"/>
        <v>65.400000000000389</v>
      </c>
      <c r="C337" s="1">
        <f t="shared" si="28"/>
        <v>-17.136687961617316</v>
      </c>
      <c r="D337" s="1">
        <f t="shared" si="25"/>
        <v>1.3795236313683212</v>
      </c>
      <c r="E337" s="1">
        <f t="shared" si="29"/>
        <v>1.3795236313683212</v>
      </c>
      <c r="F337" s="1">
        <f t="shared" si="26"/>
        <v>0.22123369656310027</v>
      </c>
    </row>
    <row r="338" spans="2:6" x14ac:dyDescent="0.25">
      <c r="B338" s="1">
        <f t="shared" si="27"/>
        <v>65.600000000000392</v>
      </c>
      <c r="C338" s="1">
        <f t="shared" si="28"/>
        <v>-16.86078323534365</v>
      </c>
      <c r="D338" s="1">
        <f t="shared" si="25"/>
        <v>1.4237703706809413</v>
      </c>
      <c r="E338" s="1">
        <f t="shared" si="29"/>
        <v>1.4237703706809413</v>
      </c>
      <c r="F338" s="1">
        <f t="shared" si="26"/>
        <v>0.21457043662395026</v>
      </c>
    </row>
    <row r="339" spans="2:6" x14ac:dyDescent="0.25">
      <c r="B339" s="1">
        <f t="shared" si="27"/>
        <v>65.800000000000395</v>
      </c>
      <c r="C339" s="1">
        <f t="shared" si="28"/>
        <v>-16.576029161207462</v>
      </c>
      <c r="D339" s="1">
        <f t="shared" si="25"/>
        <v>1.4666844580057312</v>
      </c>
      <c r="E339" s="1">
        <f t="shared" si="29"/>
        <v>1.4666844580057312</v>
      </c>
      <c r="F339" s="1">
        <f t="shared" si="26"/>
        <v>0.20782187797985691</v>
      </c>
    </row>
    <row r="340" spans="2:6" x14ac:dyDescent="0.25">
      <c r="B340" s="1">
        <f t="shared" si="27"/>
        <v>66.000000000000398</v>
      </c>
      <c r="C340" s="1">
        <f t="shared" si="28"/>
        <v>-16.282692269606315</v>
      </c>
      <c r="D340" s="1">
        <f t="shared" si="25"/>
        <v>1.5082488336017026</v>
      </c>
      <c r="E340" s="1">
        <f t="shared" si="29"/>
        <v>1.5082488336017026</v>
      </c>
      <c r="F340" s="1">
        <f t="shared" si="26"/>
        <v>0.20099325892535913</v>
      </c>
    </row>
    <row r="341" spans="2:6" x14ac:dyDescent="0.25">
      <c r="B341" s="1">
        <f t="shared" si="27"/>
        <v>66.200000000000401</v>
      </c>
      <c r="C341" s="1">
        <f t="shared" si="28"/>
        <v>-15.981042502885975</v>
      </c>
      <c r="D341" s="1">
        <f t="shared" si="25"/>
        <v>1.5484474853867745</v>
      </c>
      <c r="E341" s="1">
        <f t="shared" si="29"/>
        <v>1.5484474853867745</v>
      </c>
      <c r="F341" s="1">
        <f t="shared" si="26"/>
        <v>0.19408982573005013</v>
      </c>
    </row>
    <row r="342" spans="2:6" x14ac:dyDescent="0.25">
      <c r="B342" s="1">
        <f t="shared" si="27"/>
        <v>66.400000000000404</v>
      </c>
      <c r="C342" s="1">
        <f t="shared" si="28"/>
        <v>-15.671353005808619</v>
      </c>
      <c r="D342" s="1">
        <f t="shared" si="25"/>
        <v>1.5872654505327846</v>
      </c>
      <c r="E342" s="1">
        <f t="shared" si="29"/>
        <v>1.5872654505327846</v>
      </c>
      <c r="F342" s="1">
        <f t="shared" si="26"/>
        <v>0.18711682907194704</v>
      </c>
    </row>
    <row r="343" spans="2:6" x14ac:dyDescent="0.25">
      <c r="B343" s="1">
        <f t="shared" si="27"/>
        <v>66.600000000000406</v>
      </c>
      <c r="C343" s="1">
        <f t="shared" si="28"/>
        <v>-15.353899915702062</v>
      </c>
      <c r="D343" s="1">
        <f t="shared" si="25"/>
        <v>1.624688816347174</v>
      </c>
      <c r="E343" s="1">
        <f t="shared" si="29"/>
        <v>1.624688816347174</v>
      </c>
      <c r="F343" s="1">
        <f t="shared" si="26"/>
        <v>0.18007952049883291</v>
      </c>
    </row>
    <row r="344" spans="2:6" x14ac:dyDescent="0.25">
      <c r="B344" s="1">
        <f t="shared" si="27"/>
        <v>66.800000000000409</v>
      </c>
      <c r="C344" s="1">
        <f t="shared" si="28"/>
        <v>-15.028962152432626</v>
      </c>
      <c r="D344" s="1">
        <f t="shared" si="25"/>
        <v>1.6607047204469405</v>
      </c>
      <c r="E344" s="1">
        <f t="shared" si="29"/>
        <v>1.6607047204469405</v>
      </c>
      <c r="F344" s="1">
        <f t="shared" si="26"/>
        <v>0.17298314891968655</v>
      </c>
    </row>
    <row r="345" spans="2:6" x14ac:dyDescent="0.25">
      <c r="B345" s="1">
        <f t="shared" si="27"/>
        <v>67.000000000000412</v>
      </c>
      <c r="C345" s="1">
        <f t="shared" si="28"/>
        <v>-14.696821208343238</v>
      </c>
      <c r="D345" s="1">
        <f t="shared" si="25"/>
        <v>1.6953013502308778</v>
      </c>
      <c r="E345" s="1">
        <f t="shared" si="29"/>
        <v>1.6953013502308778</v>
      </c>
      <c r="F345" s="1">
        <f t="shared" si="26"/>
        <v>0.16583295712827967</v>
      </c>
    </row>
    <row r="346" spans="2:6" x14ac:dyDescent="0.25">
      <c r="B346" s="1">
        <f t="shared" si="27"/>
        <v>67.200000000000415</v>
      </c>
      <c r="C346" s="1">
        <f t="shared" si="28"/>
        <v>-14.357760938297062</v>
      </c>
      <c r="D346" s="1">
        <f t="shared" si="25"/>
        <v>1.7284679416565338</v>
      </c>
      <c r="E346" s="1">
        <f t="shared" si="29"/>
        <v>1.7284679416565338</v>
      </c>
      <c r="F346" s="1">
        <f t="shared" si="26"/>
        <v>0.15863417836097948</v>
      </c>
    </row>
    <row r="347" spans="2:6" x14ac:dyDescent="0.25">
      <c r="B347" s="1">
        <f t="shared" si="27"/>
        <v>67.400000000000418</v>
      </c>
      <c r="C347" s="1">
        <f t="shared" si="28"/>
        <v>-14.012067349965756</v>
      </c>
      <c r="D347" s="1">
        <f t="shared" si="25"/>
        <v>1.7601947773287296</v>
      </c>
      <c r="E347" s="1">
        <f t="shared" si="29"/>
        <v>1.7601947773287296</v>
      </c>
      <c r="F347" s="1">
        <f t="shared" si="26"/>
        <v>0.15139203289075526</v>
      </c>
    </row>
    <row r="348" spans="2:6" x14ac:dyDescent="0.25">
      <c r="B348" s="1">
        <f t="shared" si="27"/>
        <v>67.600000000000421</v>
      </c>
      <c r="C348" s="1">
        <f t="shared" si="28"/>
        <v>-13.66002839450001</v>
      </c>
      <c r="D348" s="1">
        <f t="shared" si="25"/>
        <v>1.7904731839068806</v>
      </c>
      <c r="E348" s="1">
        <f t="shared" si="29"/>
        <v>1.7904731839068806</v>
      </c>
      <c r="F348" s="1">
        <f t="shared" si="26"/>
        <v>0.14411172465934574</v>
      </c>
    </row>
    <row r="349" spans="2:6" x14ac:dyDescent="0.25">
      <c r="B349" s="1">
        <f t="shared" si="27"/>
        <v>67.800000000000423</v>
      </c>
      <c r="C349" s="1">
        <f t="shared" si="28"/>
        <v>-13.301933757718635</v>
      </c>
      <c r="D349" s="1">
        <f t="shared" si="25"/>
        <v>1.8192955288387498</v>
      </c>
      <c r="E349" s="1">
        <f t="shared" si="29"/>
        <v>1.8192955288387498</v>
      </c>
      <c r="F349" s="1">
        <f t="shared" si="26"/>
        <v>0.13679843794950225</v>
      </c>
    </row>
    <row r="350" spans="2:6" x14ac:dyDescent="0.25">
      <c r="B350" s="1">
        <f t="shared" si="27"/>
        <v>68.000000000000426</v>
      </c>
      <c r="C350" s="1">
        <f t="shared" si="28"/>
        <v>-12.938074651950885</v>
      </c>
      <c r="D350" s="1">
        <f t="shared" si="25"/>
        <v>1.8466552164286503</v>
      </c>
      <c r="E350" s="1">
        <f t="shared" si="29"/>
        <v>1.8466552164286503</v>
      </c>
      <c r="F350" s="1">
        <f t="shared" si="26"/>
        <v>0.12945733409917776</v>
      </c>
    </row>
    <row r="351" spans="2:6" x14ac:dyDescent="0.25">
      <c r="B351" s="1">
        <f t="shared" si="27"/>
        <v>68.200000000000429</v>
      </c>
      <c r="C351" s="1">
        <f t="shared" si="28"/>
        <v>-12.568743608665155</v>
      </c>
      <c r="D351" s="1">
        <f t="shared" si="25"/>
        <v>1.8725466832484858</v>
      </c>
      <c r="E351" s="1">
        <f t="shared" si="29"/>
        <v>1.8725466832484858</v>
      </c>
      <c r="F351" s="1">
        <f t="shared" si="26"/>
        <v>0.12209354825948994</v>
      </c>
    </row>
    <row r="352" spans="2:6" x14ac:dyDescent="0.25">
      <c r="B352" s="1">
        <f t="shared" si="27"/>
        <v>68.400000000000432</v>
      </c>
      <c r="C352" s="1">
        <f t="shared" si="28"/>
        <v>-12.194234272015457</v>
      </c>
      <c r="D352" s="1">
        <f t="shared" si="25"/>
        <v>1.8969653929003838</v>
      </c>
      <c r="E352" s="1">
        <f t="shared" si="29"/>
        <v>1.8969653929003838</v>
      </c>
      <c r="F352" s="1">
        <f t="shared" si="26"/>
        <v>0.11471218619823971</v>
      </c>
    </row>
    <row r="353" spans="2:6" x14ac:dyDescent="0.25">
      <c r="B353" s="1">
        <f t="shared" si="27"/>
        <v>68.600000000000435</v>
      </c>
      <c r="C353" s="1">
        <f t="shared" si="28"/>
        <v>-11.814841193435381</v>
      </c>
      <c r="D353" s="1">
        <f t="shared" si="25"/>
        <v>1.9199078301400316</v>
      </c>
      <c r="E353" s="1">
        <f t="shared" si="29"/>
        <v>1.9199078301400316</v>
      </c>
      <c r="F353" s="1">
        <f t="shared" si="26"/>
        <v>0.10731832115072154</v>
      </c>
    </row>
    <row r="354" spans="2:6" x14ac:dyDescent="0.25">
      <c r="B354" s="1">
        <f t="shared" si="27"/>
        <v>68.800000000000438</v>
      </c>
      <c r="C354" s="1">
        <f t="shared" si="28"/>
        <v>-11.430859627407374</v>
      </c>
      <c r="D354" s="1">
        <f t="shared" si="25"/>
        <v>1.9413714943701759</v>
      </c>
      <c r="E354" s="1">
        <f t="shared" si="29"/>
        <v>1.9413714943701759</v>
      </c>
      <c r="F354" s="1">
        <f t="shared" si="26"/>
        <v>9.9916990719514709E-2</v>
      </c>
    </row>
    <row r="355" spans="2:6" x14ac:dyDescent="0.25">
      <c r="B355" s="1">
        <f t="shared" si="27"/>
        <v>69.000000000000441</v>
      </c>
      <c r="C355" s="1">
        <f t="shared" si="28"/>
        <v>-11.042585328533338</v>
      </c>
      <c r="D355" s="1">
        <f t="shared" si="25"/>
        <v>1.9613548925140789</v>
      </c>
      <c r="E355" s="1">
        <f t="shared" si="29"/>
        <v>1.9613548925140789</v>
      </c>
      <c r="F355" s="1">
        <f t="shared" si="26"/>
        <v>9.2513193824898629E-2</v>
      </c>
    </row>
    <row r="356" spans="2:6" x14ac:dyDescent="0.25">
      <c r="B356" s="1">
        <f t="shared" si="27"/>
        <v>69.200000000000443</v>
      </c>
      <c r="C356" s="1">
        <f t="shared" si="28"/>
        <v>-10.650314350030522</v>
      </c>
      <c r="D356" s="1">
        <f t="shared" si="25"/>
        <v>1.9798575312790587</v>
      </c>
      <c r="E356" s="1">
        <f t="shared" si="29"/>
        <v>1.9798575312790587</v>
      </c>
      <c r="F356" s="1">
        <f t="shared" si="26"/>
        <v>8.5111887707485984E-2</v>
      </c>
    </row>
    <row r="357" spans="2:6" x14ac:dyDescent="0.25">
      <c r="B357" s="1">
        <f t="shared" si="27"/>
        <v>69.400000000000446</v>
      </c>
      <c r="C357" s="1">
        <f t="shared" si="28"/>
        <v>-10.25434284377471</v>
      </c>
      <c r="D357" s="1">
        <f t="shared" si="25"/>
        <v>1.996879908820556</v>
      </c>
      <c r="E357" s="1">
        <f t="shared" si="29"/>
        <v>1.996879908820556</v>
      </c>
      <c r="F357" s="1">
        <f t="shared" si="26"/>
        <v>7.7717984984619237E-2</v>
      </c>
    </row>
    <row r="358" spans="2:6" x14ac:dyDescent="0.25">
      <c r="B358" s="1">
        <f t="shared" si="27"/>
        <v>69.600000000000449</v>
      </c>
      <c r="C358" s="1">
        <f t="shared" si="28"/>
        <v>-9.854966862010599</v>
      </c>
      <c r="D358" s="1">
        <f t="shared" si="25"/>
        <v>2.01242350581748</v>
      </c>
      <c r="E358" s="1">
        <f t="shared" si="29"/>
        <v>2.01242350581748</v>
      </c>
      <c r="F358" s="1">
        <f t="shared" si="26"/>
        <v>7.0336350762027586E-2</v>
      </c>
    </row>
    <row r="359" spans="2:6" x14ac:dyDescent="0.25">
      <c r="B359" s="1">
        <f t="shared" si="27"/>
        <v>69.800000000000452</v>
      </c>
      <c r="C359" s="1">
        <f t="shared" si="28"/>
        <v>-9.4524821608471026</v>
      </c>
      <c r="D359" s="1">
        <f t="shared" si="25"/>
        <v>2.0264907759698856</v>
      </c>
      <c r="E359" s="1">
        <f t="shared" si="29"/>
        <v>2.0264907759698856</v>
      </c>
      <c r="F359" s="1">
        <f t="shared" si="26"/>
        <v>6.2971799802190392E-2</v>
      </c>
    </row>
    <row r="360" spans="2:6" x14ac:dyDescent="0.25">
      <c r="B360" s="1">
        <f t="shared" si="27"/>
        <v>70.000000000000455</v>
      </c>
      <c r="C360" s="1">
        <f t="shared" si="28"/>
        <v>-9.0471840056531256</v>
      </c>
      <c r="D360" s="1">
        <f t="shared" si="25"/>
        <v>2.0390851359303235</v>
      </c>
      <c r="E360" s="1">
        <f t="shared" si="29"/>
        <v>2.0390851359303235</v>
      </c>
      <c r="F360" s="1">
        <f t="shared" si="26"/>
        <v>5.562909375080366E-2</v>
      </c>
    </row>
    <row r="361" spans="2:6" x14ac:dyDescent="0.25">
      <c r="B361" s="1">
        <f t="shared" si="27"/>
        <v>70.200000000000458</v>
      </c>
      <c r="C361" s="1">
        <f t="shared" si="28"/>
        <v>-8.639366978467061</v>
      </c>
      <c r="D361" s="1">
        <f t="shared" si="25"/>
        <v>2.0502109546804843</v>
      </c>
      <c r="E361" s="1">
        <f t="shared" si="29"/>
        <v>2.0502109546804843</v>
      </c>
      <c r="F361" s="1">
        <f t="shared" si="26"/>
        <v>4.8312938422695073E-2</v>
      </c>
    </row>
    <row r="362" spans="2:6" x14ac:dyDescent="0.25">
      <c r="B362" s="1">
        <f t="shared" si="27"/>
        <v>70.40000000000046</v>
      </c>
      <c r="C362" s="1">
        <f t="shared" si="28"/>
        <v>-8.229324787530965</v>
      </c>
      <c r="D362" s="1">
        <f t="shared" si="25"/>
        <v>2.0598735423650232</v>
      </c>
      <c r="E362" s="1">
        <f t="shared" si="29"/>
        <v>2.0598735423650232</v>
      </c>
      <c r="F362" s="1">
        <f t="shared" si="26"/>
        <v>4.1027981148481649E-2</v>
      </c>
    </row>
    <row r="363" spans="2:6" x14ac:dyDescent="0.25">
      <c r="B363" s="1">
        <f t="shared" si="27"/>
        <v>70.600000000000463</v>
      </c>
      <c r="C363" s="1">
        <f t="shared" si="28"/>
        <v>-7.8173500790579604</v>
      </c>
      <c r="D363" s="1">
        <f t="shared" si="25"/>
        <v>2.0680791385947197</v>
      </c>
      <c r="E363" s="1">
        <f t="shared" si="29"/>
        <v>2.0680791385947197</v>
      </c>
      <c r="F363" s="1">
        <f t="shared" si="26"/>
        <v>3.3778808183212425E-2</v>
      </c>
    </row>
    <row r="364" spans="2:6" x14ac:dyDescent="0.25">
      <c r="B364" s="1">
        <f t="shared" si="27"/>
        <v>70.800000000000466</v>
      </c>
      <c r="C364" s="1">
        <f t="shared" si="28"/>
        <v>-7.4037342513390163</v>
      </c>
      <c r="D364" s="1">
        <f t="shared" si="25"/>
        <v>2.074834900231362</v>
      </c>
      <c r="E364" s="1">
        <f t="shared" si="29"/>
        <v>2.074834900231362</v>
      </c>
      <c r="F364" s="1">
        <f t="shared" si="26"/>
        <v>2.6569942178186715E-2</v>
      </c>
    </row>
    <row r="365" spans="2:6" x14ac:dyDescent="0.25">
      <c r="B365" s="1">
        <f t="shared" si="27"/>
        <v>71.000000000000469</v>
      </c>
      <c r="C365" s="1">
        <f t="shared" si="28"/>
        <v>-6.988767271292744</v>
      </c>
      <c r="D365" s="1">
        <f t="shared" si="25"/>
        <v>2.0801488886669994</v>
      </c>
      <c r="E365" s="1">
        <f t="shared" si="29"/>
        <v>2.0801488886669994</v>
      </c>
      <c r="F365" s="1">
        <f t="shared" si="26"/>
        <v>1.940583971708576E-2</v>
      </c>
    </row>
    <row r="366" spans="2:6" x14ac:dyDescent="0.25">
      <c r="B366" s="1">
        <f t="shared" si="27"/>
        <v>71.200000000000472</v>
      </c>
      <c r="C366" s="1">
        <f t="shared" si="28"/>
        <v>-6.5727374935593446</v>
      </c>
      <c r="D366" s="1">
        <f t="shared" si="25"/>
        <v>2.0840300566104166</v>
      </c>
      <c r="E366" s="1">
        <f t="shared" si="29"/>
        <v>2.0840300566104166</v>
      </c>
      <c r="F366" s="1">
        <f t="shared" si="26"/>
        <v>1.2290888917502962E-2</v>
      </c>
    </row>
    <row r="367" spans="2:6" x14ac:dyDescent="0.25">
      <c r="B367" s="1">
        <f t="shared" si="27"/>
        <v>71.400000000000475</v>
      </c>
      <c r="C367" s="1">
        <f t="shared" si="28"/>
        <v>-6.1559314822372615</v>
      </c>
      <c r="D367" s="1">
        <f t="shared" si="25"/>
        <v>2.0864882343939173</v>
      </c>
      <c r="E367" s="1">
        <f t="shared" si="29"/>
        <v>2.0864882343939173</v>
      </c>
      <c r="F367" s="1">
        <f t="shared" si="26"/>
        <v>5.2294070989048896E-3</v>
      </c>
    </row>
    <row r="368" spans="2:6" x14ac:dyDescent="0.25">
      <c r="B368" s="1">
        <f t="shared" si="27"/>
        <v>71.600000000000477</v>
      </c>
      <c r="C368" s="1">
        <f t="shared" si="28"/>
        <v>-5.7386338353584776</v>
      </c>
      <c r="D368" s="1">
        <f t="shared" si="25"/>
        <v>2.0875341158136984</v>
      </c>
      <c r="E368" s="1">
        <f t="shared" si="29"/>
        <v>2.0875341158136984</v>
      </c>
      <c r="F368" s="1">
        <f t="shared" si="26"/>
        <v>-1.7743614819979714E-3</v>
      </c>
    </row>
    <row r="369" spans="2:6" x14ac:dyDescent="0.25">
      <c r="B369" s="1">
        <f t="shared" si="27"/>
        <v>71.80000000000048</v>
      </c>
      <c r="C369" s="1">
        <f t="shared" si="28"/>
        <v>-5.3211270121957384</v>
      </c>
      <c r="D369" s="1">
        <f t="shared" si="25"/>
        <v>2.0871792435172987</v>
      </c>
      <c r="E369" s="1">
        <f t="shared" si="29"/>
        <v>2.0871792435172987</v>
      </c>
      <c r="F369" s="1">
        <f t="shared" si="26"/>
        <v>-8.7162478275449734E-3</v>
      </c>
    </row>
    <row r="370" spans="2:6" x14ac:dyDescent="0.25">
      <c r="B370" s="1">
        <f t="shared" si="27"/>
        <v>72.000000000000483</v>
      </c>
      <c r="C370" s="1">
        <f t="shared" si="28"/>
        <v>-4.9036911634922786</v>
      </c>
      <c r="D370" s="1">
        <f t="shared" si="25"/>
        <v>2.0854359939517897</v>
      </c>
      <c r="E370" s="1">
        <f t="shared" si="29"/>
        <v>2.0854359939517897</v>
      </c>
      <c r="F370" s="1">
        <f t="shared" si="26"/>
        <v>-1.5592160326212218E-2</v>
      </c>
    </row>
    <row r="371" spans="2:6" x14ac:dyDescent="0.25">
      <c r="B371" s="1">
        <f t="shared" si="27"/>
        <v>72.200000000000486</v>
      </c>
      <c r="C371" s="1">
        <f t="shared" si="28"/>
        <v>-4.4866039647019207</v>
      </c>
      <c r="D371" s="1">
        <f t="shared" si="25"/>
        <v>2.0823175618865473</v>
      </c>
      <c r="E371" s="1">
        <f t="shared" si="29"/>
        <v>2.0823175618865473</v>
      </c>
      <c r="F371" s="1">
        <f t="shared" si="26"/>
        <v>-2.2398086809673534E-2</v>
      </c>
    </row>
    <row r="372" spans="2:6" x14ac:dyDescent="0.25">
      <c r="B372" s="1">
        <f t="shared" si="27"/>
        <v>72.400000000000489</v>
      </c>
      <c r="C372" s="1">
        <f t="shared" si="28"/>
        <v>-4.070140452324611</v>
      </c>
      <c r="D372" s="1">
        <f t="shared" si="25"/>
        <v>2.0778379445246125</v>
      </c>
      <c r="E372" s="1">
        <f t="shared" si="29"/>
        <v>2.0778379445246125</v>
      </c>
      <c r="F372" s="1">
        <f t="shared" si="26"/>
        <v>-2.9130096539071726E-2</v>
      </c>
    </row>
    <row r="373" spans="2:6" x14ac:dyDescent="0.25">
      <c r="B373" s="1">
        <f t="shared" si="27"/>
        <v>72.600000000000492</v>
      </c>
      <c r="C373" s="1">
        <f t="shared" si="28"/>
        <v>-3.6545728634196886</v>
      </c>
      <c r="D373" s="1">
        <f t="shared" si="25"/>
        <v>2.0720119252167981</v>
      </c>
      <c r="E373" s="1">
        <f t="shared" si="29"/>
        <v>2.0720119252167981</v>
      </c>
      <c r="F373" s="1">
        <f t="shared" si="26"/>
        <v>-3.5784342119789099E-2</v>
      </c>
    </row>
    <row r="374" spans="2:6" x14ac:dyDescent="0.25">
      <c r="B374" s="1">
        <f t="shared" si="27"/>
        <v>72.800000000000495</v>
      </c>
      <c r="C374" s="1">
        <f t="shared" si="28"/>
        <v>-3.2401704783763288</v>
      </c>
      <c r="D374" s="1">
        <f t="shared" si="25"/>
        <v>2.0648550567928403</v>
      </c>
      <c r="E374" s="1">
        <f t="shared" si="29"/>
        <v>2.0648550567928403</v>
      </c>
      <c r="F374" s="1">
        <f t="shared" si="26"/>
        <v>-4.23570613440604E-2</v>
      </c>
    </row>
    <row r="375" spans="2:6" x14ac:dyDescent="0.25">
      <c r="B375" s="1">
        <f t="shared" si="27"/>
        <v>73.000000000000497</v>
      </c>
      <c r="C375" s="1">
        <f t="shared" si="28"/>
        <v>-2.8271994670177607</v>
      </c>
      <c r="D375" s="1">
        <f t="shared" si="25"/>
        <v>2.0563836445240282</v>
      </c>
      <c r="E375" s="1">
        <f t="shared" si="29"/>
        <v>2.0563836445240282</v>
      </c>
      <c r="F375" s="1">
        <f t="shared" si="26"/>
        <v>-4.8844578960825301E-2</v>
      </c>
    </row>
    <row r="376" spans="2:6" x14ac:dyDescent="0.25">
      <c r="B376" s="1">
        <f t="shared" si="27"/>
        <v>73.2000000000005</v>
      </c>
      <c r="C376" s="1">
        <f t="shared" si="28"/>
        <v>-2.4159227381129549</v>
      </c>
      <c r="D376" s="1">
        <f t="shared" si="25"/>
        <v>2.0466147287318632</v>
      </c>
      <c r="E376" s="1">
        <f t="shared" si="29"/>
        <v>2.0466147287318632</v>
      </c>
      <c r="F376" s="1">
        <f t="shared" si="26"/>
        <v>-5.5243308372271031E-2</v>
      </c>
    </row>
    <row r="377" spans="2:6" x14ac:dyDescent="0.25">
      <c r="B377" s="1">
        <f t="shared" si="27"/>
        <v>73.400000000000503</v>
      </c>
      <c r="C377" s="1">
        <f t="shared" si="28"/>
        <v>-2.0065997923665821</v>
      </c>
      <c r="D377" s="1">
        <f t="shared" si="25"/>
        <v>2.0355660670574092</v>
      </c>
      <c r="E377" s="1">
        <f t="shared" si="29"/>
        <v>2.0355660670574092</v>
      </c>
      <c r="F377" s="1">
        <f t="shared" si="26"/>
        <v>-6.1549753256569389E-2</v>
      </c>
    </row>
    <row r="378" spans="2:6" x14ac:dyDescent="0.25">
      <c r="B378" s="1">
        <f t="shared" si="27"/>
        <v>73.600000000000506</v>
      </c>
      <c r="C378" s="1">
        <f t="shared" si="28"/>
        <v>-1.5994865789551003</v>
      </c>
      <c r="D378" s="1">
        <f t="shared" si="25"/>
        <v>2.0232561164060954</v>
      </c>
      <c r="E378" s="1">
        <f t="shared" si="29"/>
        <v>2.0232561164060954</v>
      </c>
      <c r="F378" s="1">
        <f t="shared" si="26"/>
        <v>-6.7760509116366108E-2</v>
      </c>
    </row>
    <row r="379" spans="2:6" x14ac:dyDescent="0.25">
      <c r="B379" s="1">
        <f t="shared" si="27"/>
        <v>73.800000000000509</v>
      </c>
      <c r="C379" s="1">
        <f t="shared" si="28"/>
        <v>-1.1948353556738811</v>
      </c>
      <c r="D379" s="1">
        <f t="shared" si="25"/>
        <v>2.0097040145828222</v>
      </c>
      <c r="E379" s="1">
        <f t="shared" si="29"/>
        <v>2.0097040145828222</v>
      </c>
      <c r="F379" s="1">
        <f t="shared" si="26"/>
        <v>-7.3872264752633685E-2</v>
      </c>
    </row>
    <row r="380" spans="2:6" x14ac:dyDescent="0.25">
      <c r="B380" s="1">
        <f t="shared" si="27"/>
        <v>74.000000000000512</v>
      </c>
      <c r="C380" s="1">
        <f t="shared" si="28"/>
        <v>-0.79289455275731657</v>
      </c>
      <c r="D380" s="1">
        <f t="shared" si="25"/>
        <v>1.9949295616322955</v>
      </c>
      <c r="E380" s="1">
        <f t="shared" si="29"/>
        <v>1.9949295616322955</v>
      </c>
      <c r="F380" s="1">
        <f t="shared" si="26"/>
        <v>-7.9881803663551854E-2</v>
      </c>
    </row>
    <row r="381" spans="2:6" x14ac:dyDescent="0.25">
      <c r="B381" s="1">
        <f t="shared" si="27"/>
        <v>74.200000000000514</v>
      </c>
      <c r="C381" s="1">
        <f t="shared" si="28"/>
        <v>-0.39390864043085744</v>
      </c>
      <c r="D381" s="1">
        <f t="shared" si="25"/>
        <v>1.9789532008995852</v>
      </c>
      <c r="E381" s="1">
        <f t="shared" si="29"/>
        <v>1.9789532008995852</v>
      </c>
      <c r="F381" s="1">
        <f t="shared" si="26"/>
        <v>-8.5786005368133023E-2</v>
      </c>
    </row>
    <row r="382" spans="2:6" x14ac:dyDescent="0.25">
      <c r="B382" s="1">
        <f t="shared" si="27"/>
        <v>74.400000000000517</v>
      </c>
      <c r="C382" s="1">
        <f t="shared" si="28"/>
        <v>1.8819997490596152E-3</v>
      </c>
      <c r="D382" s="1">
        <f t="shared" si="25"/>
        <v>1.9617959998259586</v>
      </c>
      <c r="E382" s="1">
        <f t="shared" si="29"/>
        <v>1.9617959998259586</v>
      </c>
      <c r="F382" s="1">
        <f t="shared" si="26"/>
        <v>-9.1581846654362392E-2</v>
      </c>
    </row>
    <row r="383" spans="2:6" x14ac:dyDescent="0.25">
      <c r="B383" s="1">
        <f t="shared" si="27"/>
        <v>74.60000000000052</v>
      </c>
      <c r="C383" s="1">
        <f t="shared" si="28"/>
        <v>0.39424119971425137</v>
      </c>
      <c r="D383" s="1">
        <f t="shared" si="25"/>
        <v>1.9434796304950861</v>
      </c>
      <c r="E383" s="1">
        <f t="shared" si="29"/>
        <v>1.9434796304950861</v>
      </c>
      <c r="F383" s="1">
        <f t="shared" si="26"/>
        <v>-9.7266402751674877E-2</v>
      </c>
    </row>
    <row r="384" spans="2:6" x14ac:dyDescent="0.25">
      <c r="B384" s="1">
        <f t="shared" si="27"/>
        <v>74.800000000000523</v>
      </c>
      <c r="C384" s="1">
        <f t="shared" si="28"/>
        <v>0.78293712581326869</v>
      </c>
      <c r="D384" s="1">
        <f t="shared" si="25"/>
        <v>1.9240263499447512</v>
      </c>
      <c r="E384" s="1">
        <f t="shared" si="29"/>
        <v>1.9240263499447512</v>
      </c>
      <c r="F384" s="1">
        <f t="shared" si="26"/>
        <v>-0.10283684842764287</v>
      </c>
    </row>
    <row r="385" spans="2:6" x14ac:dyDescent="0.25">
      <c r="B385" s="1">
        <f t="shared" si="27"/>
        <v>75.000000000000526</v>
      </c>
      <c r="C385" s="1">
        <f t="shared" si="28"/>
        <v>1.1677423958022191</v>
      </c>
      <c r="D385" s="1">
        <f t="shared" si="25"/>
        <v>1.9034589802592226</v>
      </c>
      <c r="E385" s="1">
        <f t="shared" si="29"/>
        <v>1.9034589802592226</v>
      </c>
      <c r="F385" s="1">
        <f t="shared" si="26"/>
        <v>-0.1082904590088007</v>
      </c>
    </row>
    <row r="386" spans="2:6" x14ac:dyDescent="0.25">
      <c r="B386" s="1">
        <f t="shared" si="27"/>
        <v>75.200000000000529</v>
      </c>
      <c r="C386" s="1">
        <f t="shared" si="28"/>
        <v>1.5484341918540636</v>
      </c>
      <c r="D386" s="1">
        <f t="shared" si="25"/>
        <v>1.8818008884574624</v>
      </c>
      <c r="E386" s="1">
        <f t="shared" si="29"/>
        <v>1.8818008884574624</v>
      </c>
      <c r="F386" s="1">
        <f t="shared" si="26"/>
        <v>-0.11362461132558264</v>
      </c>
    </row>
    <row r="387" spans="2:6" x14ac:dyDescent="0.25">
      <c r="B387" s="1">
        <f t="shared" si="27"/>
        <v>75.400000000000531</v>
      </c>
      <c r="C387" s="1">
        <f t="shared" si="28"/>
        <v>1.924794369545556</v>
      </c>
      <c r="D387" s="1">
        <f t="shared" si="25"/>
        <v>1.8590759661923459</v>
      </c>
      <c r="E387" s="1">
        <f t="shared" si="29"/>
        <v>1.8590759661923459</v>
      </c>
      <c r="F387" s="1">
        <f t="shared" si="26"/>
        <v>-0.11883678458140207</v>
      </c>
    </row>
    <row r="388" spans="2:6" x14ac:dyDescent="0.25">
      <c r="B388" s="1">
        <f t="shared" si="27"/>
        <v>75.600000000000534</v>
      </c>
      <c r="C388" s="1">
        <f t="shared" si="28"/>
        <v>2.2966095627840253</v>
      </c>
      <c r="D388" s="1">
        <f t="shared" si="25"/>
        <v>1.8353086092760655</v>
      </c>
      <c r="E388" s="1">
        <f t="shared" si="29"/>
        <v>1.8353086092760655</v>
      </c>
      <c r="F388" s="1">
        <f t="shared" si="26"/>
        <v>-0.12392456114595016</v>
      </c>
    </row>
    <row r="389" spans="2:6" x14ac:dyDescent="0.25">
      <c r="B389" s="1">
        <f t="shared" si="27"/>
        <v>75.800000000000537</v>
      </c>
      <c r="C389" s="1">
        <f t="shared" si="28"/>
        <v>2.6636712846392383</v>
      </c>
      <c r="D389" s="1">
        <f t="shared" si="25"/>
        <v>1.8105236970468754</v>
      </c>
      <c r="E389" s="1">
        <f t="shared" si="29"/>
        <v>1.8105236970468754</v>
      </c>
      <c r="F389" s="1">
        <f t="shared" si="26"/>
        <v>-0.1288856272728415</v>
      </c>
    </row>
    <row r="390" spans="2:6" x14ac:dyDescent="0.25">
      <c r="B390" s="1">
        <f t="shared" si="27"/>
        <v>76.00000000000054</v>
      </c>
      <c r="C390" s="1">
        <f t="shared" si="28"/>
        <v>3.0257760240486133</v>
      </c>
      <c r="D390" s="1">
        <f t="shared" si="25"/>
        <v>1.7847465715923072</v>
      </c>
      <c r="E390" s="1">
        <f t="shared" si="29"/>
        <v>1.7847465715923072</v>
      </c>
      <c r="F390" s="1">
        <f t="shared" si="26"/>
        <v>-0.13371777374178456</v>
      </c>
    </row>
    <row r="391" spans="2:6" x14ac:dyDescent="0.25">
      <c r="B391" s="1">
        <f t="shared" si="27"/>
        <v>76.200000000000543</v>
      </c>
      <c r="C391" s="1">
        <f t="shared" si="28"/>
        <v>3.3827253383670746</v>
      </c>
      <c r="D391" s="1">
        <f t="shared" si="25"/>
        <v>1.7580030168439502</v>
      </c>
      <c r="E391" s="1">
        <f t="shared" si="29"/>
        <v>1.7580030168439502</v>
      </c>
      <c r="F391" s="1">
        <f t="shared" si="26"/>
        <v>-0.13841889642550226</v>
      </c>
    </row>
    <row r="392" spans="2:6" x14ac:dyDescent="0.25">
      <c r="B392" s="1">
        <f t="shared" si="27"/>
        <v>76.400000000000546</v>
      </c>
      <c r="C392" s="1">
        <f t="shared" si="28"/>
        <v>3.7343259417358645</v>
      </c>
      <c r="D392" s="1">
        <f t="shared" si="25"/>
        <v>1.7303192375588499</v>
      </c>
      <c r="E392" s="1">
        <f t="shared" si="29"/>
        <v>1.7303192375588499</v>
      </c>
      <c r="F392" s="1">
        <f t="shared" si="26"/>
        <v>-0.14298699678167742</v>
      </c>
    </row>
    <row r="393" spans="2:6" x14ac:dyDescent="0.25">
      <c r="B393" s="1">
        <f t="shared" si="27"/>
        <v>76.600000000000549</v>
      </c>
      <c r="C393" s="1">
        <f t="shared" si="28"/>
        <v>4.0803897892476346</v>
      </c>
      <c r="D393" s="1">
        <f t="shared" si="25"/>
        <v>1.7017218382025143</v>
      </c>
      <c r="E393" s="1">
        <f t="shared" si="29"/>
        <v>1.7017218382025143</v>
      </c>
      <c r="F393" s="1">
        <f t="shared" si="26"/>
        <v>-0.14742018227024459</v>
      </c>
    </row>
    <row r="394" spans="2:6" x14ac:dyDescent="0.25">
      <c r="B394" s="1">
        <f t="shared" si="27"/>
        <v>76.800000000000551</v>
      </c>
      <c r="C394" s="1">
        <f t="shared" si="28"/>
        <v>4.4207341568881375</v>
      </c>
      <c r="D394" s="1">
        <f t="shared" ref="D394:D457" si="30">E394</f>
        <v>1.6722378017484654</v>
      </c>
      <c r="E394" s="1">
        <f t="shared" si="29"/>
        <v>1.6722378017484654</v>
      </c>
      <c r="F394" s="1">
        <f t="shared" ref="F394:F457" si="31">-$C$3*C394/$C$4-$C$2/$C$4*E394</f>
        <v>-0.15171666669639736</v>
      </c>
    </row>
    <row r="395" spans="2:6" x14ac:dyDescent="0.25">
      <c r="B395" s="1">
        <f t="shared" ref="B395:B458" si="32">B394+$C$7</f>
        <v>77.000000000000554</v>
      </c>
      <c r="C395" s="1">
        <f t="shared" ref="C395:C458" si="33">C394+D394*$C$7</f>
        <v>4.7551817172378303</v>
      </c>
      <c r="D395" s="1">
        <f t="shared" si="30"/>
        <v>1.6418944684091858</v>
      </c>
      <c r="E395" s="1">
        <f t="shared" ref="E395:E458" si="34">E394+F394*$C$7</f>
        <v>1.6418944684091858</v>
      </c>
      <c r="F395" s="1">
        <f t="shared" si="31"/>
        <v>-0.15587477047972587</v>
      </c>
    </row>
    <row r="396" spans="2:6" x14ac:dyDescent="0.25">
      <c r="B396" s="1">
        <f t="shared" si="32"/>
        <v>77.200000000000557</v>
      </c>
      <c r="C396" s="1">
        <f t="shared" si="33"/>
        <v>5.0835606109196672</v>
      </c>
      <c r="D396" s="1">
        <f t="shared" si="30"/>
        <v>1.6107195143132407</v>
      </c>
      <c r="E396" s="1">
        <f t="shared" si="34"/>
        <v>1.6107195143132407</v>
      </c>
      <c r="F396" s="1">
        <f t="shared" si="31"/>
        <v>-0.15989292084994569</v>
      </c>
    </row>
    <row r="397" spans="2:6" x14ac:dyDescent="0.25">
      <c r="B397" s="1">
        <f t="shared" si="32"/>
        <v>77.40000000000056</v>
      </c>
      <c r="C397" s="1">
        <f t="shared" si="33"/>
        <v>5.4057045137823154</v>
      </c>
      <c r="D397" s="1">
        <f t="shared" si="30"/>
        <v>1.5787409301432516</v>
      </c>
      <c r="E397" s="1">
        <f t="shared" si="34"/>
        <v>1.5787409301432516</v>
      </c>
      <c r="F397" s="1">
        <f t="shared" si="31"/>
        <v>-0.16376965196972368</v>
      </c>
    </row>
    <row r="398" spans="2:6" x14ac:dyDescent="0.25">
      <c r="B398" s="1">
        <f t="shared" si="32"/>
        <v>77.600000000000563</v>
      </c>
      <c r="C398" s="1">
        <f t="shared" si="33"/>
        <v>5.7214526998109658</v>
      </c>
      <c r="D398" s="1">
        <f t="shared" si="30"/>
        <v>1.5459869997493068</v>
      </c>
      <c r="E398" s="1">
        <f t="shared" si="34"/>
        <v>1.5459869997493068</v>
      </c>
      <c r="F398" s="1">
        <f t="shared" si="31"/>
        <v>-0.16750360498515043</v>
      </c>
    </row>
    <row r="399" spans="2:6" x14ac:dyDescent="0.25">
      <c r="B399" s="1">
        <f t="shared" si="32"/>
        <v>77.800000000000566</v>
      </c>
      <c r="C399" s="1">
        <f t="shared" si="33"/>
        <v>6.0306500997608268</v>
      </c>
      <c r="D399" s="1">
        <f t="shared" si="30"/>
        <v>1.5124862787522766</v>
      </c>
      <c r="E399" s="1">
        <f t="shared" si="34"/>
        <v>1.5124862787522766</v>
      </c>
      <c r="F399" s="1">
        <f t="shared" si="31"/>
        <v>-0.17109352800445338</v>
      </c>
    </row>
    <row r="400" spans="2:6" x14ac:dyDescent="0.25">
      <c r="B400" s="1">
        <f t="shared" si="32"/>
        <v>78.000000000000568</v>
      </c>
      <c r="C400" s="1">
        <f t="shared" si="33"/>
        <v>6.3331473555112821</v>
      </c>
      <c r="D400" s="1">
        <f t="shared" si="30"/>
        <v>1.4782675731513859</v>
      </c>
      <c r="E400" s="1">
        <f t="shared" si="34"/>
        <v>1.4782675731513859</v>
      </c>
      <c r="F400" s="1">
        <f t="shared" si="31"/>
        <v>-0.17453827600558605</v>
      </c>
    </row>
    <row r="401" spans="2:6" x14ac:dyDescent="0.25">
      <c r="B401" s="1">
        <f t="shared" si="32"/>
        <v>78.200000000000571</v>
      </c>
      <c r="C401" s="1">
        <f t="shared" si="33"/>
        <v>6.6288008701415588</v>
      </c>
      <c r="D401" s="1">
        <f t="shared" si="30"/>
        <v>1.4433599179502687</v>
      </c>
      <c r="E401" s="1">
        <f t="shared" si="34"/>
        <v>1.4433599179502687</v>
      </c>
      <c r="F401" s="1">
        <f t="shared" si="31"/>
        <v>-0.17783681067337187</v>
      </c>
    </row>
    <row r="402" spans="2:6" x14ac:dyDescent="0.25">
      <c r="B402" s="1">
        <f t="shared" si="32"/>
        <v>78.400000000000574</v>
      </c>
      <c r="C402" s="1">
        <f t="shared" si="33"/>
        <v>6.9174728537316126</v>
      </c>
      <c r="D402" s="1">
        <f t="shared" si="30"/>
        <v>1.4077925558155944</v>
      </c>
      <c r="E402" s="1">
        <f t="shared" si="34"/>
        <v>1.4077925558155944</v>
      </c>
      <c r="F402" s="1">
        <f t="shared" si="31"/>
        <v>-0.1809882001669213</v>
      </c>
    </row>
    <row r="403" spans="2:6" x14ac:dyDescent="0.25">
      <c r="B403" s="1">
        <f t="shared" si="32"/>
        <v>78.600000000000577</v>
      </c>
      <c r="C403" s="1">
        <f t="shared" si="33"/>
        <v>7.1990313648947311</v>
      </c>
      <c r="D403" s="1">
        <f t="shared" si="30"/>
        <v>1.37159491578221</v>
      </c>
      <c r="E403" s="1">
        <f t="shared" si="34"/>
        <v>1.37159491578221</v>
      </c>
      <c r="F403" s="1">
        <f t="shared" si="31"/>
        <v>-0.18399161881808199</v>
      </c>
    </row>
    <row r="404" spans="2:6" x14ac:dyDescent="0.25">
      <c r="B404" s="1">
        <f t="shared" si="32"/>
        <v>78.80000000000058</v>
      </c>
      <c r="C404" s="1">
        <f t="shared" si="33"/>
        <v>7.4733503480511727</v>
      </c>
      <c r="D404" s="1">
        <f t="shared" si="30"/>
        <v>1.3347965920185936</v>
      </c>
      <c r="E404" s="1">
        <f t="shared" si="34"/>
        <v>1.3347965920185936</v>
      </c>
      <c r="F404" s="1">
        <f t="shared" si="31"/>
        <v>-0.18684634676172057</v>
      </c>
    </row>
    <row r="405" spans="2:6" x14ac:dyDescent="0.25">
      <c r="B405" s="1">
        <f t="shared" si="32"/>
        <v>79.000000000000583</v>
      </c>
      <c r="C405" s="1">
        <f t="shared" si="33"/>
        <v>7.7403096664548912</v>
      </c>
      <c r="D405" s="1">
        <f t="shared" si="30"/>
        <v>1.2974273226662494</v>
      </c>
      <c r="E405" s="1">
        <f t="shared" si="34"/>
        <v>1.2974273226662494</v>
      </c>
      <c r="F405" s="1">
        <f t="shared" si="31"/>
        <v>-0.18955176949867317</v>
      </c>
    </row>
    <row r="406" spans="2:6" x14ac:dyDescent="0.25">
      <c r="B406" s="1">
        <f t="shared" si="32"/>
        <v>79.200000000000585</v>
      </c>
      <c r="C406" s="1">
        <f t="shared" si="33"/>
        <v>7.999795130988141</v>
      </c>
      <c r="D406" s="1">
        <f t="shared" si="30"/>
        <v>1.2595169687665146</v>
      </c>
      <c r="E406" s="1">
        <f t="shared" si="34"/>
        <v>1.2595169687665146</v>
      </c>
      <c r="F406" s="1">
        <f t="shared" si="31"/>
        <v>-0.19210737739223971</v>
      </c>
    </row>
    <row r="407" spans="2:6" x14ac:dyDescent="0.25">
      <c r="B407" s="1">
        <f t="shared" si="32"/>
        <v>79.400000000000588</v>
      </c>
      <c r="C407" s="1">
        <f t="shared" si="33"/>
        <v>8.2516985247414443</v>
      </c>
      <c r="D407" s="1">
        <f t="shared" si="30"/>
        <v>1.2210954932880667</v>
      </c>
      <c r="E407" s="1">
        <f t="shared" si="34"/>
        <v>1.2210954932880667</v>
      </c>
      <c r="F407" s="1">
        <f t="shared" si="31"/>
        <v>-0.19451276509913384</v>
      </c>
    </row>
    <row r="408" spans="2:6" x14ac:dyDescent="0.25">
      <c r="B408" s="1">
        <f t="shared" si="32"/>
        <v>79.600000000000591</v>
      </c>
      <c r="C408" s="1">
        <f t="shared" si="33"/>
        <v>8.4959176233990572</v>
      </c>
      <c r="D408" s="1">
        <f t="shared" si="30"/>
        <v>1.1821929402682398</v>
      </c>
      <c r="E408" s="1">
        <f t="shared" si="34"/>
        <v>1.1821929402682398</v>
      </c>
      <c r="F408" s="1">
        <f t="shared" si="31"/>
        <v>-0.19676763093583549</v>
      </c>
    </row>
    <row r="409" spans="2:6" x14ac:dyDescent="0.25">
      <c r="B409" s="1">
        <f t="shared" si="32"/>
        <v>79.800000000000594</v>
      </c>
      <c r="C409" s="1">
        <f t="shared" si="33"/>
        <v>8.7323562114527054</v>
      </c>
      <c r="D409" s="1">
        <f t="shared" si="30"/>
        <v>1.1428394140810727</v>
      </c>
      <c r="E409" s="1">
        <f t="shared" si="34"/>
        <v>1.1428394140810727</v>
      </c>
      <c r="F409" s="1">
        <f t="shared" si="31"/>
        <v>-0.19887177618132848</v>
      </c>
    </row>
    <row r="410" spans="2:6" x14ac:dyDescent="0.25">
      <c r="B410" s="1">
        <f t="shared" si="32"/>
        <v>80.000000000000597</v>
      </c>
      <c r="C410" s="1">
        <f t="shared" si="33"/>
        <v>8.9609240942689201</v>
      </c>
      <c r="D410" s="1">
        <f t="shared" si="30"/>
        <v>1.103065058844807</v>
      </c>
      <c r="E410" s="1">
        <f t="shared" si="34"/>
        <v>1.103065058844807</v>
      </c>
      <c r="F410" s="1">
        <f t="shared" si="31"/>
        <v>-0.20082510431723966</v>
      </c>
    </row>
    <row r="411" spans="2:6" x14ac:dyDescent="0.25">
      <c r="B411" s="1">
        <f t="shared" si="32"/>
        <v>80.2000000000006</v>
      </c>
      <c r="C411" s="1">
        <f t="shared" si="33"/>
        <v>9.1815371060378812</v>
      </c>
      <c r="D411" s="1">
        <f t="shared" si="30"/>
        <v>1.0629000379813591</v>
      </c>
      <c r="E411" s="1">
        <f t="shared" si="34"/>
        <v>1.0629000379813591</v>
      </c>
      <c r="F411" s="1">
        <f t="shared" si="31"/>
        <v>-0.20262762020642813</v>
      </c>
    </row>
    <row r="412" spans="2:6" x14ac:dyDescent="0.25">
      <c r="B412" s="1">
        <f t="shared" si="32"/>
        <v>80.400000000000603</v>
      </c>
      <c r="C412" s="1">
        <f t="shared" si="33"/>
        <v>9.3941171136341524</v>
      </c>
      <c r="D412" s="1">
        <f t="shared" si="30"/>
        <v>1.0223745139400735</v>
      </c>
      <c r="E412" s="1">
        <f t="shared" si="34"/>
        <v>1.0223745139400735</v>
      </c>
      <c r="F412" s="1">
        <f t="shared" si="31"/>
        <v>-0.20427942921110598</v>
      </c>
    </row>
    <row r="413" spans="2:6" x14ac:dyDescent="0.25">
      <c r="B413" s="1">
        <f t="shared" si="32"/>
        <v>80.600000000000605</v>
      </c>
      <c r="C413" s="1">
        <f t="shared" si="33"/>
        <v>9.5985920164221668</v>
      </c>
      <c r="D413" s="1">
        <f t="shared" si="30"/>
        <v>0.98151862809785229</v>
      </c>
      <c r="E413" s="1">
        <f t="shared" si="34"/>
        <v>0.98151862809785229</v>
      </c>
      <c r="F413" s="1">
        <f t="shared" si="31"/>
        <v>-0.20578073625160256</v>
      </c>
    </row>
    <row r="414" spans="2:6" x14ac:dyDescent="0.25">
      <c r="B414" s="1">
        <f t="shared" si="32"/>
        <v>80.800000000000608</v>
      </c>
      <c r="C414" s="1">
        <f t="shared" si="33"/>
        <v>9.7948957420417369</v>
      </c>
      <c r="D414" s="1">
        <f t="shared" si="30"/>
        <v>0.94036248084753171</v>
      </c>
      <c r="E414" s="1">
        <f t="shared" si="34"/>
        <v>0.94036248084753171</v>
      </c>
      <c r="F414" s="1">
        <f t="shared" si="31"/>
        <v>-0.20713184480691377</v>
      </c>
    </row>
    <row r="415" spans="2:6" x14ac:dyDescent="0.25">
      <c r="B415" s="1">
        <f t="shared" si="32"/>
        <v>81.000000000000611</v>
      </c>
      <c r="C415" s="1">
        <f t="shared" si="33"/>
        <v>9.9829682382112424</v>
      </c>
      <c r="D415" s="1">
        <f t="shared" si="30"/>
        <v>0.89893611188614897</v>
      </c>
      <c r="E415" s="1">
        <f t="shared" si="34"/>
        <v>0.89893611188614897</v>
      </c>
      <c r="F415" s="1">
        <f t="shared" si="31"/>
        <v>-0.20833315585820766</v>
      </c>
    </row>
    <row r="416" spans="2:6" x14ac:dyDescent="0.25">
      <c r="B416" s="1">
        <f t="shared" si="32"/>
        <v>81.200000000000614</v>
      </c>
      <c r="C416" s="1">
        <f t="shared" si="33"/>
        <v>10.162755460588473</v>
      </c>
      <c r="D416" s="1">
        <f t="shared" si="30"/>
        <v>0.85726948071450748</v>
      </c>
      <c r="E416" s="1">
        <f t="shared" si="34"/>
        <v>0.85726948071450748</v>
      </c>
      <c r="F416" s="1">
        <f t="shared" si="31"/>
        <v>-0.20938516677648489</v>
      </c>
    </row>
    <row r="417" spans="2:6" x14ac:dyDescent="0.25">
      <c r="B417" s="1">
        <f t="shared" si="32"/>
        <v>81.400000000000617</v>
      </c>
      <c r="C417" s="1">
        <f t="shared" si="33"/>
        <v>10.334209356731375</v>
      </c>
      <c r="D417" s="1">
        <f t="shared" si="30"/>
        <v>0.81539244735921046</v>
      </c>
      <c r="E417" s="1">
        <f t="shared" si="34"/>
        <v>0.81539244735921046</v>
      </c>
      <c r="F417" s="1">
        <f t="shared" si="31"/>
        <v>-0.21028847015561938</v>
      </c>
    </row>
    <row r="418" spans="2:6" x14ac:dyDescent="0.25">
      <c r="B418" s="1">
        <f t="shared" si="32"/>
        <v>81.60000000000062</v>
      </c>
      <c r="C418" s="1">
        <f t="shared" si="33"/>
        <v>10.497287846203216</v>
      </c>
      <c r="D418" s="1">
        <f t="shared" si="30"/>
        <v>0.77333475332808654</v>
      </c>
      <c r="E418" s="1">
        <f t="shared" si="34"/>
        <v>0.77333475332808654</v>
      </c>
      <c r="F418" s="1">
        <f t="shared" si="31"/>
        <v>-0.21104375259203098</v>
      </c>
    </row>
    <row r="419" spans="2:6" x14ac:dyDescent="0.25">
      <c r="B419" s="1">
        <f t="shared" si="32"/>
        <v>81.800000000000622</v>
      </c>
      <c r="C419" s="1">
        <f t="shared" si="33"/>
        <v>10.651954796868834</v>
      </c>
      <c r="D419" s="1">
        <f t="shared" si="30"/>
        <v>0.73112600280968032</v>
      </c>
      <c r="E419" s="1">
        <f t="shared" si="34"/>
        <v>0.73112600280968032</v>
      </c>
      <c r="F419" s="1">
        <f t="shared" si="31"/>
        <v>-0.21165179341226564</v>
      </c>
    </row>
    <row r="420" spans="2:6" x14ac:dyDescent="0.25">
      <c r="B420" s="1">
        <f t="shared" si="32"/>
        <v>82.000000000000625</v>
      </c>
      <c r="C420" s="1">
        <f t="shared" si="33"/>
        <v>10.79817999743077</v>
      </c>
      <c r="D420" s="1">
        <f t="shared" si="30"/>
        <v>0.68879564412722716</v>
      </c>
      <c r="E420" s="1">
        <f t="shared" si="34"/>
        <v>0.68879564412722716</v>
      </c>
      <c r="F420" s="1">
        <f t="shared" si="31"/>
        <v>-0.21211346334978343</v>
      </c>
    </row>
    <row r="421" spans="2:6" x14ac:dyDescent="0.25">
      <c r="B421" s="1">
        <f t="shared" si="32"/>
        <v>82.200000000000628</v>
      </c>
      <c r="C421" s="1">
        <f t="shared" si="33"/>
        <v>10.935939126256216</v>
      </c>
      <c r="D421" s="1">
        <f t="shared" si="30"/>
        <v>0.64637295145727047</v>
      </c>
      <c r="E421" s="1">
        <f t="shared" si="34"/>
        <v>0.64637295145727047</v>
      </c>
      <c r="F421" s="1">
        <f t="shared" si="31"/>
        <v>-0.21242972317227621</v>
      </c>
    </row>
    <row r="422" spans="2:6" x14ac:dyDescent="0.25">
      <c r="B422" s="1">
        <f t="shared" si="32"/>
        <v>82.400000000000631</v>
      </c>
      <c r="C422" s="1">
        <f t="shared" si="33"/>
        <v>11.065213716547669</v>
      </c>
      <c r="D422" s="1">
        <f t="shared" si="30"/>
        <v>0.60388700682281526</v>
      </c>
      <c r="E422" s="1">
        <f t="shared" si="34"/>
        <v>0.60388700682281526</v>
      </c>
      <c r="F422" s="1">
        <f t="shared" si="31"/>
        <v>-0.21260162226085924</v>
      </c>
    </row>
    <row r="423" spans="2:6" x14ac:dyDescent="0.25">
      <c r="B423" s="1">
        <f t="shared" si="32"/>
        <v>82.600000000000634</v>
      </c>
      <c r="C423" s="1">
        <f t="shared" si="33"/>
        <v>11.185991117912232</v>
      </c>
      <c r="D423" s="1">
        <f t="shared" si="30"/>
        <v>0.56136668237064336</v>
      </c>
      <c r="E423" s="1">
        <f t="shared" si="34"/>
        <v>0.56136668237064336</v>
      </c>
      <c r="F423" s="1">
        <f t="shared" si="31"/>
        <v>-0.21263029714250059</v>
      </c>
    </row>
    <row r="424" spans="2:6" x14ac:dyDescent="0.25">
      <c r="B424" s="1">
        <f t="shared" si="32"/>
        <v>82.800000000000637</v>
      </c>
      <c r="C424" s="1">
        <f t="shared" si="33"/>
        <v>11.298264454386361</v>
      </c>
      <c r="D424" s="1">
        <f t="shared" si="30"/>
        <v>0.51884062294214328</v>
      </c>
      <c r="E424" s="1">
        <f t="shared" si="34"/>
        <v>0.51884062294214328</v>
      </c>
      <c r="F424" s="1">
        <f t="shared" si="31"/>
        <v>-0.21251696997707273</v>
      </c>
    </row>
    <row r="425" spans="2:6" x14ac:dyDescent="0.25">
      <c r="B425" s="1">
        <f t="shared" si="32"/>
        <v>83.000000000000639</v>
      </c>
      <c r="C425" s="1">
        <f t="shared" si="33"/>
        <v>11.40203257897479</v>
      </c>
      <c r="D425" s="1">
        <f t="shared" si="30"/>
        <v>0.47633722894672875</v>
      </c>
      <c r="E425" s="1">
        <f t="shared" si="34"/>
        <v>0.47633722894672875</v>
      </c>
      <c r="F425" s="1">
        <f t="shared" si="31"/>
        <v>-0.21226294700042717</v>
      </c>
    </row>
    <row r="426" spans="2:6" x14ac:dyDescent="0.25">
      <c r="B426" s="1">
        <f t="shared" si="32"/>
        <v>83.200000000000642</v>
      </c>
      <c r="C426" s="1">
        <f t="shared" si="33"/>
        <v>11.497300024764137</v>
      </c>
      <c r="D426" s="1">
        <f t="shared" si="30"/>
        <v>0.4338846395466433</v>
      </c>
      <c r="E426" s="1">
        <f t="shared" si="34"/>
        <v>0.4338846395466433</v>
      </c>
      <c r="F426" s="1">
        <f t="shared" si="31"/>
        <v>-0.2118696169249123</v>
      </c>
    </row>
    <row r="427" spans="2:6" x14ac:dyDescent="0.25">
      <c r="B427" s="1">
        <f t="shared" si="32"/>
        <v>83.400000000000645</v>
      </c>
      <c r="C427" s="1">
        <f t="shared" si="33"/>
        <v>11.584076952673465</v>
      </c>
      <c r="D427" s="1">
        <f t="shared" si="30"/>
        <v>0.39151071616166083</v>
      </c>
      <c r="E427" s="1">
        <f t="shared" si="34"/>
        <v>0.39151071616166083</v>
      </c>
      <c r="F427" s="1">
        <f t="shared" si="31"/>
        <v>-0.21133844929876858</v>
      </c>
    </row>
    <row r="428" spans="2:6" x14ac:dyDescent="0.25">
      <c r="B428" s="1">
        <f t="shared" si="32"/>
        <v>83.600000000000648</v>
      </c>
      <c r="C428" s="1">
        <f t="shared" si="33"/>
        <v>11.662379095905797</v>
      </c>
      <c r="D428" s="1">
        <f t="shared" si="30"/>
        <v>0.34924302630190712</v>
      </c>
      <c r="E428" s="1">
        <f t="shared" si="34"/>
        <v>0.34924302630190712</v>
      </c>
      <c r="F428" s="1">
        <f t="shared" si="31"/>
        <v>-0.21067099282585228</v>
      </c>
    </row>
    <row r="429" spans="2:6" x14ac:dyDescent="0.25">
      <c r="B429" s="1">
        <f t="shared" si="32"/>
        <v>83.800000000000651</v>
      </c>
      <c r="C429" s="1">
        <f t="shared" si="33"/>
        <v>11.732227701166178</v>
      </c>
      <c r="D429" s="1">
        <f t="shared" si="30"/>
        <v>0.30710882773673664</v>
      </c>
      <c r="E429" s="1">
        <f t="shared" si="34"/>
        <v>0.30710882773673664</v>
      </c>
      <c r="F429" s="1">
        <f t="shared" si="31"/>
        <v>-0.20986887364715068</v>
      </c>
    </row>
    <row r="430" spans="2:6" x14ac:dyDescent="0.25">
      <c r="B430" s="1">
        <f t="shared" si="32"/>
        <v>84.000000000000654</v>
      </c>
      <c r="C430" s="1">
        <f t="shared" si="33"/>
        <v>11.793649466713525</v>
      </c>
      <c r="D430" s="1">
        <f t="shared" si="30"/>
        <v>0.2651350530073065</v>
      </c>
      <c r="E430" s="1">
        <f t="shared" si="34"/>
        <v>0.2651350530073065</v>
      </c>
      <c r="F430" s="1">
        <f t="shared" si="31"/>
        <v>-0.20893379358556638</v>
      </c>
    </row>
    <row r="431" spans="2:6" x14ac:dyDescent="0.25">
      <c r="B431" s="1">
        <f t="shared" si="32"/>
        <v>84.200000000000657</v>
      </c>
      <c r="C431" s="1">
        <f t="shared" si="33"/>
        <v>11.846676477314986</v>
      </c>
      <c r="D431" s="1">
        <f t="shared" si="30"/>
        <v>0.22334829429019321</v>
      </c>
      <c r="E431" s="1">
        <f t="shared" si="34"/>
        <v>0.22334829429019321</v>
      </c>
      <c r="F431" s="1">
        <f t="shared" si="31"/>
        <v>-0.20786752835545877</v>
      </c>
    </row>
    <row r="432" spans="2:6" x14ac:dyDescent="0.25">
      <c r="B432" s="1">
        <f t="shared" si="32"/>
        <v>84.400000000000659</v>
      </c>
      <c r="C432" s="1">
        <f t="shared" si="33"/>
        <v>11.891346136173025</v>
      </c>
      <c r="D432" s="1">
        <f t="shared" si="30"/>
        <v>0.18177478861910146</v>
      </c>
      <c r="E432" s="1">
        <f t="shared" si="34"/>
        <v>0.18177478861910146</v>
      </c>
      <c r="F432" s="1">
        <f t="shared" si="31"/>
        <v>-0.20667192573844184</v>
      </c>
    </row>
    <row r="433" spans="2:6" x14ac:dyDescent="0.25">
      <c r="B433" s="1">
        <f t="shared" si="32"/>
        <v>84.600000000000662</v>
      </c>
      <c r="C433" s="1">
        <f t="shared" si="33"/>
        <v>11.927701093896845</v>
      </c>
      <c r="D433" s="1">
        <f t="shared" si="30"/>
        <v>0.14044040347141309</v>
      </c>
      <c r="E433" s="1">
        <f t="shared" si="34"/>
        <v>0.14044040347141309</v>
      </c>
      <c r="F433" s="1">
        <f t="shared" si="31"/>
        <v>-0.2053489037269467</v>
      </c>
    </row>
    <row r="434" spans="2:6" x14ac:dyDescent="0.25">
      <c r="B434" s="1">
        <f t="shared" si="32"/>
        <v>84.800000000000665</v>
      </c>
      <c r="C434" s="1">
        <f t="shared" si="33"/>
        <v>11.955789174591127</v>
      </c>
      <c r="D434" s="1">
        <f t="shared" si="30"/>
        <v>9.9370622726023761E-2</v>
      </c>
      <c r="E434" s="1">
        <f t="shared" si="34"/>
        <v>9.9370622726023761E-2</v>
      </c>
      <c r="F434" s="1">
        <f t="shared" si="31"/>
        <v>-0.20390044863706655</v>
      </c>
    </row>
    <row r="435" spans="2:6" x14ac:dyDescent="0.25">
      <c r="B435" s="1">
        <f t="shared" si="32"/>
        <v>85.000000000000668</v>
      </c>
      <c r="C435" s="1">
        <f t="shared" si="33"/>
        <v>11.975663299136331</v>
      </c>
      <c r="D435" s="1">
        <f t="shared" si="30"/>
        <v>5.8590532998610445E-2</v>
      </c>
      <c r="E435" s="1">
        <f t="shared" si="34"/>
        <v>5.8590532998610445E-2</v>
      </c>
      <c r="F435" s="1">
        <f t="shared" si="31"/>
        <v>-0.20232861319220735</v>
      </c>
    </row>
    <row r="436" spans="2:6" x14ac:dyDescent="0.25">
      <c r="B436" s="1">
        <f t="shared" si="32"/>
        <v>85.200000000000671</v>
      </c>
      <c r="C436" s="1">
        <f t="shared" si="33"/>
        <v>11.987381405736054</v>
      </c>
      <c r="D436" s="1">
        <f t="shared" si="30"/>
        <v>1.8124810360168969E-2</v>
      </c>
      <c r="E436" s="1">
        <f t="shared" si="34"/>
        <v>1.8124810360168969E-2</v>
      </c>
      <c r="F436" s="1">
        <f t="shared" si="31"/>
        <v>-0.20063551457907547</v>
      </c>
    </row>
    <row r="437" spans="2:6" x14ac:dyDescent="0.25">
      <c r="B437" s="1">
        <f t="shared" si="32"/>
        <v>85.400000000000674</v>
      </c>
      <c r="C437" s="1">
        <f t="shared" si="33"/>
        <v>11.991006367808087</v>
      </c>
      <c r="D437" s="1">
        <f t="shared" si="30"/>
        <v>-2.2002292555646126E-2</v>
      </c>
      <c r="E437" s="1">
        <f t="shared" si="34"/>
        <v>-2.2002292555646126E-2</v>
      </c>
      <c r="F437" s="1">
        <f t="shared" si="31"/>
        <v>-0.19882333247753797</v>
      </c>
    </row>
    <row r="438" spans="2:6" x14ac:dyDescent="0.25">
      <c r="B438" s="1">
        <f t="shared" si="32"/>
        <v>85.600000000000676</v>
      </c>
      <c r="C438" s="1">
        <f t="shared" si="33"/>
        <v>11.986605909296957</v>
      </c>
      <c r="D438" s="1">
        <f t="shared" si="30"/>
        <v>-6.1766959051153723E-2</v>
      </c>
      <c r="E438" s="1">
        <f t="shared" si="34"/>
        <v>-6.1766959051153723E-2</v>
      </c>
      <c r="F438" s="1">
        <f t="shared" si="31"/>
        <v>-0.19689430706589542</v>
      </c>
    </row>
    <row r="439" spans="2:6" x14ac:dyDescent="0.25">
      <c r="B439" s="1">
        <f t="shared" si="32"/>
        <v>85.800000000000679</v>
      </c>
      <c r="C439" s="1">
        <f t="shared" si="33"/>
        <v>11.974252517486725</v>
      </c>
      <c r="D439" s="1">
        <f t="shared" si="30"/>
        <v>-0.10114582046433282</v>
      </c>
      <c r="E439" s="1">
        <f t="shared" si="34"/>
        <v>-0.10114582046433282</v>
      </c>
      <c r="F439" s="1">
        <f t="shared" si="31"/>
        <v>-0.1948507370031099</v>
      </c>
    </row>
    <row r="440" spans="2:6" x14ac:dyDescent="0.25">
      <c r="B440" s="1">
        <f t="shared" si="32"/>
        <v>86.000000000000682</v>
      </c>
      <c r="C440" s="1">
        <f t="shared" si="33"/>
        <v>11.954023353393859</v>
      </c>
      <c r="D440" s="1">
        <f t="shared" si="30"/>
        <v>-0.14011596786495481</v>
      </c>
      <c r="E440" s="1">
        <f t="shared" si="34"/>
        <v>-0.14011596786495481</v>
      </c>
      <c r="F440" s="1">
        <f t="shared" si="31"/>
        <v>-0.19269497738953309</v>
      </c>
    </row>
    <row r="441" spans="2:6" x14ac:dyDescent="0.25">
      <c r="B441" s="1">
        <f t="shared" si="32"/>
        <v>86.200000000000685</v>
      </c>
      <c r="C441" s="1">
        <f t="shared" si="33"/>
        <v>11.926000159820868</v>
      </c>
      <c r="D441" s="1">
        <f t="shared" si="30"/>
        <v>-0.17865496334286143</v>
      </c>
      <c r="E441" s="1">
        <f t="shared" si="34"/>
        <v>-0.17865496334286143</v>
      </c>
      <c r="F441" s="1">
        <f t="shared" si="31"/>
        <v>-0.19042943770768095</v>
      </c>
    </row>
    <row r="442" spans="2:6" x14ac:dyDescent="0.25">
      <c r="B442" s="1">
        <f t="shared" si="32"/>
        <v>86.400000000000688</v>
      </c>
      <c r="C442" s="1">
        <f t="shared" si="33"/>
        <v>11.890269167152296</v>
      </c>
      <c r="D442" s="1">
        <f t="shared" si="30"/>
        <v>-0.21674085088439762</v>
      </c>
      <c r="E442" s="1">
        <f t="shared" si="34"/>
        <v>-0.21674085088439762</v>
      </c>
      <c r="F442" s="1">
        <f t="shared" si="31"/>
        <v>-0.18805657974459972</v>
      </c>
    </row>
    <row r="443" spans="2:6" x14ac:dyDescent="0.25">
      <c r="B443" s="1">
        <f t="shared" si="32"/>
        <v>86.600000000000691</v>
      </c>
      <c r="C443" s="1">
        <f t="shared" si="33"/>
        <v>11.846920996975417</v>
      </c>
      <c r="D443" s="1">
        <f t="shared" si="30"/>
        <v>-0.25435216683331757</v>
      </c>
      <c r="E443" s="1">
        <f t="shared" si="34"/>
        <v>-0.25435216683331757</v>
      </c>
      <c r="F443" s="1">
        <f t="shared" si="31"/>
        <v>-0.1855789154973688</v>
      </c>
    </row>
    <row r="444" spans="2:6" x14ac:dyDescent="0.25">
      <c r="B444" s="1">
        <f t="shared" si="32"/>
        <v>86.800000000000693</v>
      </c>
      <c r="C444" s="1">
        <f t="shared" si="33"/>
        <v>11.796050563608754</v>
      </c>
      <c r="D444" s="1">
        <f t="shared" si="30"/>
        <v>-0.29146794993279135</v>
      </c>
      <c r="E444" s="1">
        <f t="shared" si="34"/>
        <v>-0.29146794993279135</v>
      </c>
      <c r="F444" s="1">
        <f t="shared" si="31"/>
        <v>-0.18299900506328229</v>
      </c>
    </row>
    <row r="445" spans="2:6" x14ac:dyDescent="0.25">
      <c r="B445" s="1">
        <f t="shared" si="32"/>
        <v>87.000000000000696</v>
      </c>
      <c r="C445" s="1">
        <f t="shared" si="33"/>
        <v>11.737756973622195</v>
      </c>
      <c r="D445" s="1">
        <f t="shared" si="30"/>
        <v>-0.32806775094544782</v>
      </c>
      <c r="E445" s="1">
        <f t="shared" si="34"/>
        <v>-0.32806775094544782</v>
      </c>
      <c r="F445" s="1">
        <f t="shared" si="31"/>
        <v>-0.18031945451624903</v>
      </c>
    </row>
    <row r="446" spans="2:6" x14ac:dyDescent="0.25">
      <c r="B446" s="1">
        <f t="shared" si="32"/>
        <v>87.200000000000699</v>
      </c>
      <c r="C446" s="1">
        <f t="shared" si="33"/>
        <v>11.672143423433106</v>
      </c>
      <c r="D446" s="1">
        <f t="shared" si="30"/>
        <v>-0.36413164184869762</v>
      </c>
      <c r="E446" s="1">
        <f t="shared" si="34"/>
        <v>-0.36413164184869762</v>
      </c>
      <c r="F446" s="1">
        <f t="shared" si="31"/>
        <v>-0.17754291377094586</v>
      </c>
    </row>
    <row r="447" spans="2:6" x14ac:dyDescent="0.25">
      <c r="B447" s="1">
        <f t="shared" si="32"/>
        <v>87.400000000000702</v>
      </c>
      <c r="C447" s="1">
        <f t="shared" si="33"/>
        <v>11.599317095063366</v>
      </c>
      <c r="D447" s="1">
        <f t="shared" si="30"/>
        <v>-0.39964022460288678</v>
      </c>
      <c r="E447" s="1">
        <f t="shared" si="34"/>
        <v>-0.39964022460288678</v>
      </c>
      <c r="F447" s="1">
        <f t="shared" si="31"/>
        <v>-0.17467207443625474</v>
      </c>
    </row>
    <row r="448" spans="2:6" x14ac:dyDescent="0.25">
      <c r="B448" s="1">
        <f t="shared" si="32"/>
        <v>87.600000000000705</v>
      </c>
      <c r="C448" s="1">
        <f t="shared" si="33"/>
        <v>11.519389050142788</v>
      </c>
      <c r="D448" s="1">
        <f t="shared" si="30"/>
        <v>-0.43457463949013775</v>
      </c>
      <c r="E448" s="1">
        <f t="shared" si="34"/>
        <v>-0.43457463949013775</v>
      </c>
      <c r="F448" s="1">
        <f t="shared" si="31"/>
        <v>-0.17170966765950668</v>
      </c>
    </row>
    <row r="449" spans="2:6" x14ac:dyDescent="0.25">
      <c r="B449" s="1">
        <f t="shared" si="32"/>
        <v>87.800000000000708</v>
      </c>
      <c r="C449" s="1">
        <f t="shared" si="33"/>
        <v>11.432474122244761</v>
      </c>
      <c r="D449" s="1">
        <f t="shared" si="30"/>
        <v>-0.4689165730220391</v>
      </c>
      <c r="E449" s="1">
        <f t="shared" si="34"/>
        <v>-0.4689165730220391</v>
      </c>
      <c r="F449" s="1">
        <f t="shared" si="31"/>
        <v>-0.1686584619630509</v>
      </c>
    </row>
    <row r="450" spans="2:6" x14ac:dyDescent="0.25">
      <c r="B450" s="1">
        <f t="shared" si="32"/>
        <v>88.000000000000711</v>
      </c>
      <c r="C450" s="1">
        <f t="shared" si="33"/>
        <v>11.338690807640353</v>
      </c>
      <c r="D450" s="1">
        <f t="shared" si="30"/>
        <v>-0.50264826541464924</v>
      </c>
      <c r="E450" s="1">
        <f t="shared" si="34"/>
        <v>-0.50264826541464924</v>
      </c>
      <c r="F450" s="1">
        <f t="shared" si="31"/>
        <v>-0.16552126107465559</v>
      </c>
    </row>
    <row r="451" spans="2:6" x14ac:dyDescent="0.25">
      <c r="B451" s="1">
        <f t="shared" si="32"/>
        <v>88.200000000000713</v>
      </c>
      <c r="C451" s="1">
        <f t="shared" si="33"/>
        <v>11.238161154557423</v>
      </c>
      <c r="D451" s="1">
        <f t="shared" si="30"/>
        <v>-0.53575251762958032</v>
      </c>
      <c r="E451" s="1">
        <f t="shared" si="34"/>
        <v>-0.53575251762958032</v>
      </c>
      <c r="F451" s="1">
        <f t="shared" si="31"/>
        <v>-0.16230090175324327</v>
      </c>
    </row>
    <row r="452" spans="2:6" x14ac:dyDescent="0.25">
      <c r="B452" s="1">
        <f t="shared" si="32"/>
        <v>88.400000000000716</v>
      </c>
      <c r="C452" s="1">
        <f t="shared" si="33"/>
        <v>11.131010651031506</v>
      </c>
      <c r="D452" s="1">
        <f t="shared" si="30"/>
        <v>-0.568212697980229</v>
      </c>
      <c r="E452" s="1">
        <f t="shared" si="34"/>
        <v>-0.568212697980229</v>
      </c>
      <c r="F452" s="1">
        <f t="shared" si="31"/>
        <v>-0.15900025161144773</v>
      </c>
    </row>
    <row r="453" spans="2:6" x14ac:dyDescent="0.25">
      <c r="B453" s="1">
        <f t="shared" si="32"/>
        <v>88.600000000000719</v>
      </c>
      <c r="C453" s="1">
        <f t="shared" si="33"/>
        <v>11.017368111435459</v>
      </c>
      <c r="D453" s="1">
        <f t="shared" si="30"/>
        <v>-0.60001274830251849</v>
      </c>
      <c r="E453" s="1">
        <f t="shared" si="34"/>
        <v>-0.60001274830251849</v>
      </c>
      <c r="F453" s="1">
        <f t="shared" si="31"/>
        <v>-0.15562220693647347</v>
      </c>
    </row>
    <row r="454" spans="2:6" x14ac:dyDescent="0.25">
      <c r="B454" s="1">
        <f t="shared" si="32"/>
        <v>88.800000000000722</v>
      </c>
      <c r="C454" s="1">
        <f t="shared" si="33"/>
        <v>10.897365561774956</v>
      </c>
      <c r="D454" s="1">
        <f t="shared" si="30"/>
        <v>-0.63113718968981314</v>
      </c>
      <c r="E454" s="1">
        <f t="shared" si="34"/>
        <v>-0.63113718968981314</v>
      </c>
      <c r="F454" s="1">
        <f t="shared" si="31"/>
        <v>-0.15216969051072465</v>
      </c>
    </row>
    <row r="455" spans="2:6" x14ac:dyDescent="0.25">
      <c r="B455" s="1">
        <f t="shared" si="32"/>
        <v>89.000000000000725</v>
      </c>
      <c r="C455" s="1">
        <f t="shared" si="33"/>
        <v>10.771138123836993</v>
      </c>
      <c r="D455" s="1">
        <f t="shared" si="30"/>
        <v>-0.66157112779195804</v>
      </c>
      <c r="E455" s="1">
        <f t="shared" si="34"/>
        <v>-0.66157112779195804</v>
      </c>
      <c r="F455" s="1">
        <f t="shared" si="31"/>
        <v>-0.14864564943365852</v>
      </c>
    </row>
    <row r="456" spans="2:6" x14ac:dyDescent="0.25">
      <c r="B456" s="1">
        <f t="shared" si="32"/>
        <v>89.200000000000728</v>
      </c>
      <c r="C456" s="1">
        <f t="shared" si="33"/>
        <v>10.6388238982786</v>
      </c>
      <c r="D456" s="1">
        <f t="shared" si="30"/>
        <v>-0.69130025767868974</v>
      </c>
      <c r="E456" s="1">
        <f t="shared" si="34"/>
        <v>-0.69130025767868974</v>
      </c>
      <c r="F456" s="1">
        <f t="shared" si="31"/>
        <v>-0.14505305294630449</v>
      </c>
    </row>
    <row r="457" spans="2:6" x14ac:dyDescent="0.25">
      <c r="B457" s="1">
        <f t="shared" si="32"/>
        <v>89.40000000000073</v>
      </c>
      <c r="C457" s="1">
        <f t="shared" si="33"/>
        <v>10.500563846742862</v>
      </c>
      <c r="D457" s="1">
        <f t="shared" si="30"/>
        <v>-0.72031086826795065</v>
      </c>
      <c r="E457" s="1">
        <f t="shared" si="34"/>
        <v>-0.72031086826795065</v>
      </c>
      <c r="F457" s="1">
        <f t="shared" si="31"/>
        <v>-0.1413948902598767</v>
      </c>
    </row>
    <row r="458" spans="2:6" x14ac:dyDescent="0.25">
      <c r="B458" s="1">
        <f t="shared" si="32"/>
        <v>89.600000000000733</v>
      </c>
      <c r="C458" s="1">
        <f t="shared" si="33"/>
        <v>10.356501673089271</v>
      </c>
      <c r="D458" s="1">
        <f t="shared" ref="D458:D521" si="35">E458</f>
        <v>-0.74858984631992598</v>
      </c>
      <c r="E458" s="1">
        <f t="shared" si="34"/>
        <v>-0.74858984631992598</v>
      </c>
      <c r="F458" s="1">
        <f t="shared" ref="F458:F521" si="36">-$C$3*C458/$C$4-$C$2/$C$4*E458</f>
        <v>-0.1376741683898913</v>
      </c>
    </row>
    <row r="459" spans="2:6" x14ac:dyDescent="0.25">
      <c r="B459" s="1">
        <f t="shared" ref="B459:B522" si="37">B458+$C$7</f>
        <v>89.800000000000736</v>
      </c>
      <c r="C459" s="1">
        <f t="shared" ref="C459:C522" si="38">C458+D458*$C$7</f>
        <v>10.206783703825286</v>
      </c>
      <c r="D459" s="1">
        <f t="shared" si="35"/>
        <v>-0.77612467999790424</v>
      </c>
      <c r="E459" s="1">
        <f t="shared" ref="E459:E522" si="39">E458+F458*$C$7</f>
        <v>-0.77612467999790424</v>
      </c>
      <c r="F459" s="1">
        <f t="shared" si="36"/>
        <v>-0.13389390999718589</v>
      </c>
    </row>
    <row r="460" spans="2:6" x14ac:dyDescent="0.25">
      <c r="B460" s="1">
        <f t="shared" si="37"/>
        <v>90.000000000000739</v>
      </c>
      <c r="C460" s="1">
        <f t="shared" si="38"/>
        <v>10.051558767825705</v>
      </c>
      <c r="D460" s="1">
        <f t="shared" si="35"/>
        <v>-0.80290346199734142</v>
      </c>
      <c r="E460" s="1">
        <f t="shared" si="39"/>
        <v>-0.80290346199734142</v>
      </c>
      <c r="F460" s="1">
        <f t="shared" si="36"/>
        <v>-0.13005715123721917</v>
      </c>
    </row>
    <row r="461" spans="2:6" x14ac:dyDescent="0.25">
      <c r="B461" s="1">
        <f t="shared" si="37"/>
        <v>90.200000000000742</v>
      </c>
      <c r="C461" s="1">
        <f t="shared" si="38"/>
        <v>9.8909780754262364</v>
      </c>
      <c r="D461" s="1">
        <f t="shared" si="35"/>
        <v>-0.82891489224478521</v>
      </c>
      <c r="E461" s="1">
        <f t="shared" si="39"/>
        <v>-0.82891489224478521</v>
      </c>
      <c r="F461" s="1">
        <f t="shared" si="36"/>
        <v>-0.12616693961901396</v>
      </c>
    </row>
    <row r="462" spans="2:6" x14ac:dyDescent="0.25">
      <c r="B462" s="1">
        <f t="shared" si="37"/>
        <v>90.400000000000745</v>
      </c>
      <c r="C462" s="1">
        <f t="shared" si="38"/>
        <v>9.7251950969772789</v>
      </c>
      <c r="D462" s="1">
        <f t="shared" si="35"/>
        <v>-0.85414828016858801</v>
      </c>
      <c r="E462" s="1">
        <f t="shared" si="39"/>
        <v>-0.85414828016858801</v>
      </c>
      <c r="F462" s="1">
        <f t="shared" si="36"/>
        <v>-0.12222633187508722</v>
      </c>
    </row>
    <row r="463" spans="2:6" x14ac:dyDescent="0.25">
      <c r="B463" s="1">
        <f t="shared" si="37"/>
        <v>90.600000000000747</v>
      </c>
      <c r="C463" s="1">
        <f t="shared" si="38"/>
        <v>9.5543654409435614</v>
      </c>
      <c r="D463" s="1">
        <f t="shared" si="35"/>
        <v>-0.87859354654360544</v>
      </c>
      <c r="E463" s="1">
        <f t="shared" si="39"/>
        <v>-0.87859354654360544</v>
      </c>
      <c r="F463" s="1">
        <f t="shared" si="36"/>
        <v>-0.1182383918436911</v>
      </c>
    </row>
    <row r="464" spans="2:6" x14ac:dyDescent="0.25">
      <c r="B464" s="1">
        <f t="shared" si="37"/>
        <v>90.80000000000075</v>
      </c>
      <c r="C464" s="1">
        <f t="shared" si="38"/>
        <v>9.3786467316348396</v>
      </c>
      <c r="D464" s="1">
        <f t="shared" si="35"/>
        <v>-0.90224122491234371</v>
      </c>
      <c r="E464" s="1">
        <f t="shared" si="39"/>
        <v>-0.90224122491234371</v>
      </c>
      <c r="F464" s="1">
        <f t="shared" si="36"/>
        <v>-0.11420618836467131</v>
      </c>
    </row>
    <row r="465" spans="2:6" x14ac:dyDescent="0.25">
      <c r="B465" s="1">
        <f t="shared" si="37"/>
        <v>91.000000000000753</v>
      </c>
      <c r="C465" s="1">
        <f t="shared" si="38"/>
        <v>9.1981984866523714</v>
      </c>
      <c r="D465" s="1">
        <f t="shared" si="35"/>
        <v>-0.92508246258527793</v>
      </c>
      <c r="E465" s="1">
        <f t="shared" si="39"/>
        <v>-0.92508246258527793</v>
      </c>
      <c r="F465" s="1">
        <f t="shared" si="36"/>
        <v>-0.11013279319022656</v>
      </c>
    </row>
    <row r="466" spans="2:6" x14ac:dyDescent="0.25">
      <c r="B466" s="1">
        <f t="shared" si="37"/>
        <v>91.200000000000756</v>
      </c>
      <c r="C466" s="1">
        <f t="shared" si="38"/>
        <v>9.0131819941353157</v>
      </c>
      <c r="D466" s="1">
        <f t="shared" si="35"/>
        <v>-0.9471090212233233</v>
      </c>
      <c r="E466" s="1">
        <f t="shared" si="39"/>
        <v>-0.9471090212233233</v>
      </c>
      <c r="F466" s="1">
        <f t="shared" si="36"/>
        <v>-0.10602127891183352</v>
      </c>
    </row>
    <row r="467" spans="2:6" x14ac:dyDescent="0.25">
      <c r="B467" s="1">
        <f t="shared" si="37"/>
        <v>91.400000000000759</v>
      </c>
      <c r="C467" s="1">
        <f t="shared" si="38"/>
        <v>8.8237601898906508</v>
      </c>
      <c r="D467" s="1">
        <f t="shared" si="35"/>
        <v>-0.96831327700569003</v>
      </c>
      <c r="E467" s="1">
        <f t="shared" si="39"/>
        <v>-0.96831327700569003</v>
      </c>
      <c r="F467" s="1">
        <f t="shared" si="36"/>
        <v>-0.10187471690457867</v>
      </c>
    </row>
    <row r="468" spans="2:6" x14ac:dyDescent="0.25">
      <c r="B468" s="1">
        <f t="shared" si="37"/>
        <v>91.600000000000762</v>
      </c>
      <c r="C468" s="1">
        <f t="shared" si="38"/>
        <v>8.6300975344895132</v>
      </c>
      <c r="D468" s="1">
        <f t="shared" si="35"/>
        <v>-0.98868822038660575</v>
      </c>
      <c r="E468" s="1">
        <f t="shared" si="39"/>
        <v>-0.98868822038660575</v>
      </c>
      <c r="F468" s="1">
        <f t="shared" si="36"/>
        <v>-9.7696175290116954E-2</v>
      </c>
    </row>
    <row r="469" spans="2:6" x14ac:dyDescent="0.25">
      <c r="B469" s="1">
        <f t="shared" si="37"/>
        <v>91.800000000000765</v>
      </c>
      <c r="C469" s="1">
        <f t="shared" si="38"/>
        <v>8.4323598904121919</v>
      </c>
      <c r="D469" s="1">
        <f t="shared" si="35"/>
        <v>-1.0082274554446291</v>
      </c>
      <c r="E469" s="1">
        <f t="shared" si="39"/>
        <v>-1.0082274554446291</v>
      </c>
      <c r="F469" s="1">
        <f t="shared" si="36"/>
        <v>-9.3488716919453846E-2</v>
      </c>
    </row>
    <row r="470" spans="2:6" x14ac:dyDescent="0.25">
      <c r="B470" s="1">
        <f t="shared" si="37"/>
        <v>92.000000000000767</v>
      </c>
      <c r="C470" s="1">
        <f t="shared" si="38"/>
        <v>8.2307143993232668</v>
      </c>
      <c r="D470" s="1">
        <f t="shared" si="35"/>
        <v>-1.02692519882852</v>
      </c>
      <c r="E470" s="1">
        <f t="shared" si="39"/>
        <v>-1.02692519882852</v>
      </c>
      <c r="F470" s="1">
        <f t="shared" si="36"/>
        <v>-8.92553973767235E-2</v>
      </c>
    </row>
    <row r="471" spans="2:6" x14ac:dyDescent="0.25">
      <c r="B471" s="1">
        <f t="shared" si="37"/>
        <v>92.20000000000077</v>
      </c>
      <c r="C471" s="1">
        <f t="shared" si="38"/>
        <v>8.0253293595575634</v>
      </c>
      <c r="D471" s="1">
        <f t="shared" si="35"/>
        <v>-1.0447762783038645</v>
      </c>
      <c r="E471" s="1">
        <f t="shared" si="39"/>
        <v>-1.0447762783038645</v>
      </c>
      <c r="F471" s="1">
        <f t="shared" si="36"/>
        <v>-8.4999263005112388E-2</v>
      </c>
    </row>
    <row r="472" spans="2:6" x14ac:dyDescent="0.25">
      <c r="B472" s="1">
        <f t="shared" si="37"/>
        <v>92.400000000000773</v>
      </c>
      <c r="C472" s="1">
        <f t="shared" si="38"/>
        <v>7.8163741038967904</v>
      </c>
      <c r="D472" s="1">
        <f t="shared" si="35"/>
        <v>-1.061776130904887</v>
      </c>
      <c r="E472" s="1">
        <f t="shared" si="39"/>
        <v>-1.061776130904887</v>
      </c>
      <c r="F472" s="1">
        <f t="shared" si="36"/>
        <v>-8.0723348956051794E-2</v>
      </c>
    </row>
    <row r="473" spans="2:6" x14ac:dyDescent="0.25">
      <c r="B473" s="1">
        <f t="shared" si="37"/>
        <v>92.600000000000776</v>
      </c>
      <c r="C473" s="1">
        <f t="shared" si="38"/>
        <v>7.6040188777158129</v>
      </c>
      <c r="D473" s="1">
        <f t="shared" si="35"/>
        <v>-1.0779208006960974</v>
      </c>
      <c r="E473" s="1">
        <f t="shared" si="39"/>
        <v>-1.0779208006960974</v>
      </c>
      <c r="F473" s="1">
        <f t="shared" si="36"/>
        <v>-7.6430677262779023E-2</v>
      </c>
    </row>
    <row r="474" spans="2:6" x14ac:dyDescent="0.25">
      <c r="B474" s="1">
        <f t="shared" si="37"/>
        <v>92.800000000000779</v>
      </c>
      <c r="C474" s="1">
        <f t="shared" si="38"/>
        <v>7.388434717576593</v>
      </c>
      <c r="D474" s="1">
        <f t="shared" si="35"/>
        <v>-1.0932069361486532</v>
      </c>
      <c r="E474" s="1">
        <f t="shared" si="39"/>
        <v>-1.0932069361486532</v>
      </c>
      <c r="F474" s="1">
        <f t="shared" si="36"/>
        <v>-7.2124254939339397E-2</v>
      </c>
    </row>
    <row r="475" spans="2:6" x14ac:dyDescent="0.25">
      <c r="B475" s="1">
        <f t="shared" si="37"/>
        <v>93.000000000000782</v>
      </c>
      <c r="C475" s="1">
        <f t="shared" si="38"/>
        <v>7.1697933303468622</v>
      </c>
      <c r="D475" s="1">
        <f t="shared" si="35"/>
        <v>-1.1076317871365211</v>
      </c>
      <c r="E475" s="1">
        <f t="shared" si="39"/>
        <v>-1.1076317871365211</v>
      </c>
      <c r="F475" s="1">
        <f t="shared" si="36"/>
        <v>-6.7807072106076727E-2</v>
      </c>
    </row>
    <row r="476" spans="2:6" x14ac:dyDescent="0.25">
      <c r="B476" s="1">
        <f t="shared" si="37"/>
        <v>93.200000000000784</v>
      </c>
      <c r="C476" s="1">
        <f t="shared" si="38"/>
        <v>6.9482669729195576</v>
      </c>
      <c r="D476" s="1">
        <f t="shared" si="35"/>
        <v>-1.1211932015577364</v>
      </c>
      <c r="E476" s="1">
        <f t="shared" si="39"/>
        <v>-1.1211932015577364</v>
      </c>
      <c r="F476" s="1">
        <f t="shared" si="36"/>
        <v>-6.3482100142631601E-2</v>
      </c>
    </row>
    <row r="477" spans="2:6" x14ac:dyDescent="0.25">
      <c r="B477" s="1">
        <f t="shared" si="37"/>
        <v>93.400000000000787</v>
      </c>
      <c r="C477" s="1">
        <f t="shared" si="38"/>
        <v>6.7240283326080101</v>
      </c>
      <c r="D477" s="1">
        <f t="shared" si="35"/>
        <v>-1.1338896215862626</v>
      </c>
      <c r="E477" s="1">
        <f t="shared" si="39"/>
        <v>-1.1338896215862626</v>
      </c>
      <c r="F477" s="1">
        <f t="shared" si="36"/>
        <v>-5.9152289869441259E-2</v>
      </c>
    </row>
    <row r="478" spans="2:6" x14ac:dyDescent="0.25">
      <c r="B478" s="1">
        <f t="shared" si="37"/>
        <v>93.60000000000079</v>
      </c>
      <c r="C478" s="1">
        <f t="shared" si="38"/>
        <v>6.4972504082907578</v>
      </c>
      <c r="D478" s="1">
        <f t="shared" si="35"/>
        <v>-1.1457200795601508</v>
      </c>
      <c r="E478" s="1">
        <f t="shared" si="39"/>
        <v>-1.1457200795601508</v>
      </c>
      <c r="F478" s="1">
        <f t="shared" si="36"/>
        <v>-5.4820569758705591E-2</v>
      </c>
    </row>
    <row r="479" spans="2:6" x14ac:dyDescent="0.25">
      <c r="B479" s="1">
        <f t="shared" si="37"/>
        <v>93.800000000000793</v>
      </c>
      <c r="C479" s="1">
        <f t="shared" si="38"/>
        <v>6.2681063923787281</v>
      </c>
      <c r="D479" s="1">
        <f t="shared" si="35"/>
        <v>-1.1566841935118919</v>
      </c>
      <c r="E479" s="1">
        <f t="shared" si="39"/>
        <v>-1.1566841935118919</v>
      </c>
      <c r="F479" s="1">
        <f t="shared" si="36"/>
        <v>-5.0489844175757186E-2</v>
      </c>
    </row>
    <row r="480" spans="2:6" x14ac:dyDescent="0.25">
      <c r="B480" s="1">
        <f t="shared" si="37"/>
        <v>94.000000000000796</v>
      </c>
      <c r="C480" s="1">
        <f t="shared" si="38"/>
        <v>6.0367695536763497</v>
      </c>
      <c r="D480" s="1">
        <f t="shared" si="35"/>
        <v>-1.1667821623470434</v>
      </c>
      <c r="E480" s="1">
        <f t="shared" si="39"/>
        <v>-1.1667821623470434</v>
      </c>
      <c r="F480" s="1">
        <f t="shared" si="36"/>
        <v>-4.6162991651743812E-2</v>
      </c>
    </row>
    <row r="481" spans="2:6" x14ac:dyDescent="0.25">
      <c r="B481" s="1">
        <f t="shared" si="37"/>
        <v>94.200000000000799</v>
      </c>
      <c r="C481" s="1">
        <f t="shared" si="38"/>
        <v>5.8034131212069413</v>
      </c>
      <c r="D481" s="1">
        <f t="shared" si="35"/>
        <v>-1.1760147606773921</v>
      </c>
      <c r="E481" s="1">
        <f t="shared" si="39"/>
        <v>-1.1760147606773921</v>
      </c>
      <c r="F481" s="1">
        <f t="shared" si="36"/>
        <v>-4.1842863188504061E-2</v>
      </c>
    </row>
    <row r="482" spans="2:6" x14ac:dyDescent="0.25">
      <c r="B482" s="1">
        <f t="shared" si="37"/>
        <v>94.400000000000801</v>
      </c>
      <c r="C482" s="1">
        <f t="shared" si="38"/>
        <v>5.5682101690714632</v>
      </c>
      <c r="D482" s="1">
        <f t="shared" si="35"/>
        <v>-1.1843833333150928</v>
      </c>
      <c r="E482" s="1">
        <f t="shared" si="39"/>
        <v>-1.1843833333150928</v>
      </c>
      <c r="F482" s="1">
        <f t="shared" si="36"/>
        <v>-3.7532280596486722E-2</v>
      </c>
    </row>
    <row r="483" spans="2:6" x14ac:dyDescent="0.25">
      <c r="B483" s="1">
        <f t="shared" si="37"/>
        <v>94.600000000000804</v>
      </c>
      <c r="C483" s="1">
        <f t="shared" si="38"/>
        <v>5.3313335024084445</v>
      </c>
      <c r="D483" s="1">
        <f t="shared" si="35"/>
        <v>-1.1918897894343901</v>
      </c>
      <c r="E483" s="1">
        <f t="shared" si="39"/>
        <v>-1.1918897894343901</v>
      </c>
      <c r="F483" s="1">
        <f t="shared" si="36"/>
        <v>-3.323403486653588E-2</v>
      </c>
    </row>
    <row r="484" spans="2:6" x14ac:dyDescent="0.25">
      <c r="B484" s="1">
        <f t="shared" si="37"/>
        <v>94.800000000000807</v>
      </c>
      <c r="C484" s="1">
        <f t="shared" si="38"/>
        <v>5.0929555445215664</v>
      </c>
      <c r="D484" s="1">
        <f t="shared" si="35"/>
        <v>-1.1985365964076973</v>
      </c>
      <c r="E484" s="1">
        <f t="shared" si="39"/>
        <v>-1.1985365964076973</v>
      </c>
      <c r="F484" s="1">
        <f t="shared" si="36"/>
        <v>-2.8950884576333574E-2</v>
      </c>
    </row>
    <row r="485" spans="2:6" x14ac:dyDescent="0.25">
      <c r="B485" s="1">
        <f t="shared" si="37"/>
        <v>95.00000000000081</v>
      </c>
      <c r="C485" s="1">
        <f t="shared" si="38"/>
        <v>4.8532482252400273</v>
      </c>
      <c r="D485" s="1">
        <f t="shared" si="35"/>
        <v>-1.2043267733229639</v>
      </c>
      <c r="E485" s="1">
        <f t="shared" si="39"/>
        <v>-1.2043267733229639</v>
      </c>
      <c r="F485" s="1">
        <f t="shared" si="36"/>
        <v>-2.4685554332262147E-2</v>
      </c>
    </row>
    <row r="486" spans="2:6" x14ac:dyDescent="0.25">
      <c r="B486" s="1">
        <f t="shared" si="37"/>
        <v>95.200000000000813</v>
      </c>
      <c r="C486" s="1">
        <f t="shared" si="38"/>
        <v>4.6123828705754342</v>
      </c>
      <c r="D486" s="1">
        <f t="shared" si="35"/>
        <v>-1.2092638841894163</v>
      </c>
      <c r="E486" s="1">
        <f t="shared" si="39"/>
        <v>-1.2092638841894163</v>
      </c>
      <c r="F486" s="1">
        <f t="shared" si="36"/>
        <v>-2.0440733247417811E-2</v>
      </c>
    </row>
    <row r="487" spans="2:6" x14ac:dyDescent="0.25">
      <c r="B487" s="1">
        <f t="shared" si="37"/>
        <v>95.400000000000816</v>
      </c>
      <c r="C487" s="1">
        <f t="shared" si="38"/>
        <v>4.3705300937375506</v>
      </c>
      <c r="D487" s="1">
        <f t="shared" si="35"/>
        <v>-1.2133520308388999</v>
      </c>
      <c r="E487" s="1">
        <f t="shared" si="39"/>
        <v>-1.2133520308388999</v>
      </c>
      <c r="F487" s="1">
        <f t="shared" si="36"/>
        <v>-1.621907345647719E-2</v>
      </c>
    </row>
    <row r="488" spans="2:6" x14ac:dyDescent="0.25">
      <c r="B488" s="1">
        <f t="shared" si="37"/>
        <v>95.600000000000819</v>
      </c>
      <c r="C488" s="1">
        <f t="shared" si="38"/>
        <v>4.1278596875697708</v>
      </c>
      <c r="D488" s="1">
        <f t="shared" si="35"/>
        <v>-1.2165958455301953</v>
      </c>
      <c r="E488" s="1">
        <f t="shared" si="39"/>
        <v>-1.2165958455301953</v>
      </c>
      <c r="F488" s="1">
        <f t="shared" si="36"/>
        <v>-1.2023188668087069E-2</v>
      </c>
    </row>
    <row r="489" spans="2:6" x14ac:dyDescent="0.25">
      <c r="B489" s="1">
        <f t="shared" si="37"/>
        <v>95.800000000000821</v>
      </c>
      <c r="C489" s="1">
        <f t="shared" si="38"/>
        <v>3.8845405184637318</v>
      </c>
      <c r="D489" s="1">
        <f t="shared" si="35"/>
        <v>-1.2190004832638126</v>
      </c>
      <c r="E489" s="1">
        <f t="shared" si="39"/>
        <v>-1.2190004832638126</v>
      </c>
      <c r="F489" s="1">
        <f t="shared" si="36"/>
        <v>-7.8556527554176081E-3</v>
      </c>
    </row>
    <row r="490" spans="2:6" x14ac:dyDescent="0.25">
      <c r="B490" s="1">
        <f t="shared" si="37"/>
        <v>96.000000000000824</v>
      </c>
      <c r="C490" s="1">
        <f t="shared" si="38"/>
        <v>3.6407404218109694</v>
      </c>
      <c r="D490" s="1">
        <f t="shared" si="35"/>
        <v>-1.2205716138148961</v>
      </c>
      <c r="E490" s="1">
        <f t="shared" si="39"/>
        <v>-1.2205716138148961</v>
      </c>
      <c r="F490" s="1">
        <f t="shared" si="36"/>
        <v>-3.7189983854876776E-3</v>
      </c>
    </row>
    <row r="491" spans="2:6" x14ac:dyDescent="0.25">
      <c r="B491" s="1">
        <f t="shared" si="37"/>
        <v>96.200000000000827</v>
      </c>
      <c r="C491" s="1">
        <f t="shared" si="38"/>
        <v>3.3966260990479902</v>
      </c>
      <c r="D491" s="1">
        <f t="shared" si="35"/>
        <v>-1.2213154134919937</v>
      </c>
      <c r="E491" s="1">
        <f t="shared" si="39"/>
        <v>-1.2213154134919937</v>
      </c>
      <c r="F491" s="1">
        <f t="shared" si="36"/>
        <v>3.8428431215986603E-4</v>
      </c>
    </row>
    <row r="492" spans="2:6" x14ac:dyDescent="0.25">
      <c r="B492" s="1">
        <f t="shared" si="37"/>
        <v>96.40000000000083</v>
      </c>
      <c r="C492" s="1">
        <f t="shared" si="38"/>
        <v>3.1523630163495913</v>
      </c>
      <c r="D492" s="1">
        <f t="shared" si="35"/>
        <v>-1.2212385566295616</v>
      </c>
      <c r="E492" s="1">
        <f t="shared" si="39"/>
        <v>-1.2212385566295616</v>
      </c>
      <c r="F492" s="1">
        <f t="shared" si="36"/>
        <v>4.451749036886353E-3</v>
      </c>
    </row>
    <row r="493" spans="2:6" x14ac:dyDescent="0.25">
      <c r="B493" s="1">
        <f t="shared" si="37"/>
        <v>96.600000000000833</v>
      </c>
      <c r="C493" s="1">
        <f t="shared" si="38"/>
        <v>2.9081153050236788</v>
      </c>
      <c r="D493" s="1">
        <f t="shared" si="35"/>
        <v>-1.2203482068221843</v>
      </c>
      <c r="E493" s="1">
        <f t="shared" si="39"/>
        <v>-1.2203482068221843</v>
      </c>
      <c r="F493" s="1">
        <f t="shared" si="36"/>
        <v>8.4809945679739512E-3</v>
      </c>
    </row>
    <row r="494" spans="2:6" x14ac:dyDescent="0.25">
      <c r="B494" s="1">
        <f t="shared" si="37"/>
        <v>96.800000000000836</v>
      </c>
      <c r="C494" s="1">
        <f t="shared" si="38"/>
        <v>2.664045663659242</v>
      </c>
      <c r="D494" s="1">
        <f t="shared" si="35"/>
        <v>-1.2186520079085894</v>
      </c>
      <c r="E494" s="1">
        <f t="shared" si="39"/>
        <v>-1.2186520079085894</v>
      </c>
      <c r="F494" s="1">
        <f t="shared" si="36"/>
        <v>1.2469665974746809E-2</v>
      </c>
    </row>
    <row r="495" spans="2:6" x14ac:dyDescent="0.25">
      <c r="B495" s="1">
        <f t="shared" si="37"/>
        <v>97.000000000000838</v>
      </c>
      <c r="C495" s="1">
        <f t="shared" si="38"/>
        <v>2.4203152620775241</v>
      </c>
      <c r="D495" s="1">
        <f t="shared" si="35"/>
        <v>-1.21615807471364</v>
      </c>
      <c r="E495" s="1">
        <f t="shared" si="39"/>
        <v>-1.21615807471364</v>
      </c>
      <c r="F495" s="1">
        <f t="shared" si="36"/>
        <v>1.6415455785344465E-2</v>
      </c>
    </row>
    <row r="496" spans="2:6" x14ac:dyDescent="0.25">
      <c r="B496" s="1">
        <f t="shared" si="37"/>
        <v>97.200000000000841</v>
      </c>
      <c r="C496" s="1">
        <f t="shared" si="38"/>
        <v>2.1770836471347961</v>
      </c>
      <c r="D496" s="1">
        <f t="shared" si="35"/>
        <v>-1.2128749835565711</v>
      </c>
      <c r="E496" s="1">
        <f t="shared" si="39"/>
        <v>-1.2128749835565711</v>
      </c>
      <c r="F496" s="1">
        <f t="shared" si="36"/>
        <v>2.0316105113726717E-2</v>
      </c>
    </row>
    <row r="497" spans="2:6" x14ac:dyDescent="0.25">
      <c r="B497" s="1">
        <f t="shared" si="37"/>
        <v>97.400000000000844</v>
      </c>
      <c r="C497" s="1">
        <f t="shared" si="38"/>
        <v>1.9345086504234819</v>
      </c>
      <c r="D497" s="1">
        <f t="shared" si="35"/>
        <v>-1.2088117625338257</v>
      </c>
      <c r="E497" s="1">
        <f t="shared" si="39"/>
        <v>-1.2088117625338257</v>
      </c>
      <c r="F497" s="1">
        <f t="shared" si="36"/>
        <v>2.4169404744520499E-2</v>
      </c>
    </row>
    <row r="498" spans="2:6" x14ac:dyDescent="0.25">
      <c r="B498" s="1">
        <f t="shared" si="37"/>
        <v>97.600000000000847</v>
      </c>
      <c r="C498" s="1">
        <f t="shared" si="38"/>
        <v>1.6927462979167167</v>
      </c>
      <c r="D498" s="1">
        <f t="shared" si="35"/>
        <v>-1.2039778815849216</v>
      </c>
      <c r="E498" s="1">
        <f t="shared" si="39"/>
        <v>-1.2039778815849216</v>
      </c>
      <c r="F498" s="1">
        <f t="shared" si="36"/>
        <v>2.7973196175351066E-2</v>
      </c>
    </row>
    <row r="499" spans="2:6" x14ac:dyDescent="0.25">
      <c r="B499" s="1">
        <f t="shared" si="37"/>
        <v>97.80000000000085</v>
      </c>
      <c r="C499" s="1">
        <f t="shared" si="38"/>
        <v>1.4519507215997325</v>
      </c>
      <c r="D499" s="1">
        <f t="shared" si="35"/>
        <v>-1.1983832423498513</v>
      </c>
      <c r="E499" s="1">
        <f t="shared" si="39"/>
        <v>-1.1983832423498513</v>
      </c>
      <c r="F499" s="1">
        <f t="shared" si="36"/>
        <v>3.1725372616330849E-2</v>
      </c>
    </row>
    <row r="500" spans="2:6" x14ac:dyDescent="0.25">
      <c r="B500" s="1">
        <f t="shared" si="37"/>
        <v>98.000000000000853</v>
      </c>
      <c r="C500" s="1">
        <f t="shared" si="38"/>
        <v>1.2122740731297621</v>
      </c>
      <c r="D500" s="1">
        <f t="shared" si="35"/>
        <v>-1.192038167826585</v>
      </c>
      <c r="E500" s="1">
        <f t="shared" si="39"/>
        <v>-1.192038167826585</v>
      </c>
      <c r="F500" s="1">
        <f t="shared" si="36"/>
        <v>3.5423879946411274E-2</v>
      </c>
    </row>
    <row r="501" spans="2:6" x14ac:dyDescent="0.25">
      <c r="B501" s="1">
        <f t="shared" si="37"/>
        <v>98.200000000000855</v>
      </c>
      <c r="C501" s="1">
        <f t="shared" si="38"/>
        <v>0.97386643956444507</v>
      </c>
      <c r="D501" s="1">
        <f t="shared" si="35"/>
        <v>-1.1849533918373027</v>
      </c>
      <c r="E501" s="1">
        <f t="shared" si="39"/>
        <v>-1.1849533918373027</v>
      </c>
      <c r="F501" s="1">
        <f t="shared" si="36"/>
        <v>3.9066717626333375E-2</v>
      </c>
    </row>
    <row r="502" spans="2:6" x14ac:dyDescent="0.25">
      <c r="B502" s="1">
        <f t="shared" si="37"/>
        <v>98.400000000000858</v>
      </c>
      <c r="C502" s="1">
        <f t="shared" si="38"/>
        <v>0.7368757611969845</v>
      </c>
      <c r="D502" s="1">
        <f t="shared" si="35"/>
        <v>-1.177140048312036</v>
      </c>
      <c r="E502" s="1">
        <f t="shared" si="39"/>
        <v>-1.177140048312036</v>
      </c>
      <c r="F502" s="1">
        <f t="shared" si="36"/>
        <v>4.2651939567945274E-2</v>
      </c>
    </row>
    <row r="503" spans="2:6" x14ac:dyDescent="0.25">
      <c r="B503" s="1">
        <f t="shared" si="37"/>
        <v>98.600000000000861</v>
      </c>
      <c r="C503" s="1">
        <f t="shared" si="38"/>
        <v>0.50144775153457732</v>
      </c>
      <c r="D503" s="1">
        <f t="shared" si="35"/>
        <v>-1.168609660398447</v>
      </c>
      <c r="E503" s="1">
        <f t="shared" si="39"/>
        <v>-1.168609660398447</v>
      </c>
      <c r="F503" s="1">
        <f t="shared" si="36"/>
        <v>4.617765495968458E-2</v>
      </c>
    </row>
    <row r="504" spans="2:6" x14ac:dyDescent="0.25">
      <c r="B504" s="1">
        <f t="shared" si="37"/>
        <v>98.800000000000864</v>
      </c>
      <c r="C504" s="1">
        <f t="shared" si="38"/>
        <v>0.26772581945488794</v>
      </c>
      <c r="D504" s="1">
        <f t="shared" si="35"/>
        <v>-1.1593741294065101</v>
      </c>
      <c r="E504" s="1">
        <f t="shared" si="39"/>
        <v>-1.1593741294065101</v>
      </c>
      <c r="F504" s="1">
        <f t="shared" si="36"/>
        <v>4.9642029048055675E-2</v>
      </c>
    </row>
    <row r="505" spans="2:6" x14ac:dyDescent="0.25">
      <c r="B505" s="1">
        <f t="shared" si="37"/>
        <v>99.000000000000867</v>
      </c>
      <c r="C505" s="1">
        <f t="shared" si="38"/>
        <v>3.5850993573585899E-2</v>
      </c>
      <c r="D505" s="1">
        <f t="shared" si="35"/>
        <v>-1.1494457235968989</v>
      </c>
      <c r="E505" s="1">
        <f t="shared" si="39"/>
        <v>-1.1494457235968989</v>
      </c>
      <c r="F505" s="1">
        <f t="shared" si="36"/>
        <v>5.3043283874962183E-2</v>
      </c>
    </row>
    <row r="506" spans="2:6" x14ac:dyDescent="0.25">
      <c r="B506" s="1">
        <f t="shared" si="37"/>
        <v>99.20000000000087</v>
      </c>
      <c r="C506" s="1">
        <f t="shared" si="38"/>
        <v>-0.1940381511457939</v>
      </c>
      <c r="D506" s="1">
        <f t="shared" si="35"/>
        <v>-1.1388370668219066</v>
      </c>
      <c r="E506" s="1">
        <f t="shared" si="39"/>
        <v>-1.1388370668219066</v>
      </c>
      <c r="F506" s="1">
        <f t="shared" si="36"/>
        <v>5.6379698970785541E-2</v>
      </c>
    </row>
    <row r="507" spans="2:6" x14ac:dyDescent="0.25">
      <c r="B507" s="1">
        <f t="shared" si="37"/>
        <v>99.400000000000873</v>
      </c>
      <c r="C507" s="1">
        <f t="shared" si="38"/>
        <v>-0.42180556451017526</v>
      </c>
      <c r="D507" s="1">
        <f t="shared" si="35"/>
        <v>-1.1275611270277495</v>
      </c>
      <c r="E507" s="1">
        <f t="shared" si="39"/>
        <v>-1.1275611270277495</v>
      </c>
      <c r="F507" s="1">
        <f t="shared" si="36"/>
        <v>5.9649612003131229E-2</v>
      </c>
    </row>
    <row r="508" spans="2:6" x14ac:dyDescent="0.25">
      <c r="B508" s="1">
        <f t="shared" si="37"/>
        <v>99.600000000000875</v>
      </c>
      <c r="C508" s="1">
        <f t="shared" si="38"/>
        <v>-0.64731778991572519</v>
      </c>
      <c r="D508" s="1">
        <f t="shared" si="35"/>
        <v>-1.1156312046271233</v>
      </c>
      <c r="E508" s="1">
        <f t="shared" si="39"/>
        <v>-1.1156312046271233</v>
      </c>
      <c r="F508" s="1">
        <f t="shared" si="36"/>
        <v>6.2851419381194512E-2</v>
      </c>
    </row>
    <row r="509" spans="2:6" x14ac:dyDescent="0.25">
      <c r="B509" s="1">
        <f t="shared" si="37"/>
        <v>99.800000000000878</v>
      </c>
      <c r="C509" s="1">
        <f t="shared" si="38"/>
        <v>-0.87044403084114985</v>
      </c>
      <c r="D509" s="1">
        <f t="shared" si="35"/>
        <v>-1.1030609207508844</v>
      </c>
      <c r="E509" s="1">
        <f t="shared" si="39"/>
        <v>-1.1030609207508844</v>
      </c>
      <c r="F509" s="1">
        <f t="shared" si="36"/>
        <v>6.5983576815727113E-2</v>
      </c>
    </row>
    <row r="510" spans="2:6" x14ac:dyDescent="0.25">
      <c r="B510" s="1">
        <f t="shared" si="37"/>
        <v>100.00000000000088</v>
      </c>
      <c r="C510" s="1">
        <f t="shared" si="38"/>
        <v>-1.0910562149913268</v>
      </c>
      <c r="D510" s="1">
        <f t="shared" si="35"/>
        <v>-1.089864205387739</v>
      </c>
      <c r="E510" s="1">
        <f t="shared" si="39"/>
        <v>-1.089864205387739</v>
      </c>
      <c r="F510" s="1">
        <f t="shared" si="36"/>
        <v>6.9044599834616596E-2</v>
      </c>
    </row>
    <row r="511" spans="2:6" x14ac:dyDescent="0.25">
      <c r="B511" s="1">
        <f t="shared" si="37"/>
        <v>100.20000000000088</v>
      </c>
      <c r="C511" s="1">
        <f t="shared" si="38"/>
        <v>-1.3090290560688747</v>
      </c>
      <c r="D511" s="1">
        <f t="shared" si="35"/>
        <v>-1.0760552854208156</v>
      </c>
      <c r="E511" s="1">
        <f t="shared" si="39"/>
        <v>-1.0760552854208156</v>
      </c>
      <c r="F511" s="1">
        <f t="shared" si="36"/>
        <v>7.2033064254119317E-2</v>
      </c>
    </row>
    <row r="512" spans="2:6" x14ac:dyDescent="0.25">
      <c r="B512" s="1">
        <f t="shared" si="37"/>
        <v>100.40000000000089</v>
      </c>
      <c r="C512" s="1">
        <f t="shared" si="38"/>
        <v>-1.5242401131530379</v>
      </c>
      <c r="D512" s="1">
        <f t="shared" si="35"/>
        <v>-1.0616486725699918</v>
      </c>
      <c r="E512" s="1">
        <f t="shared" si="39"/>
        <v>-1.0616486725699918</v>
      </c>
      <c r="F512" s="1">
        <f t="shared" si="36"/>
        <v>7.4947606605816924E-2</v>
      </c>
    </row>
    <row r="513" spans="2:6" x14ac:dyDescent="0.25">
      <c r="B513" s="1">
        <f t="shared" si="37"/>
        <v>100.60000000000089</v>
      </c>
      <c r="C513" s="1">
        <f t="shared" si="38"/>
        <v>-1.7365698476670364</v>
      </c>
      <c r="D513" s="1">
        <f t="shared" si="35"/>
        <v>-1.0466591512488284</v>
      </c>
      <c r="E513" s="1">
        <f t="shared" si="39"/>
        <v>-1.0466591512488284</v>
      </c>
      <c r="F513" s="1">
        <f t="shared" si="36"/>
        <v>7.7786924519395936E-2</v>
      </c>
    </row>
    <row r="514" spans="2:6" x14ac:dyDescent="0.25">
      <c r="B514" s="1">
        <f t="shared" si="37"/>
        <v>100.80000000000089</v>
      </c>
      <c r="C514" s="1">
        <f t="shared" si="38"/>
        <v>-1.9459016779168021</v>
      </c>
      <c r="D514" s="1">
        <f t="shared" si="35"/>
        <v>-1.0311017663449491</v>
      </c>
      <c r="E514" s="1">
        <f t="shared" si="39"/>
        <v>-1.0311017663449491</v>
      </c>
      <c r="F514" s="1">
        <f t="shared" si="36"/>
        <v>8.054977706137767E-2</v>
      </c>
    </row>
    <row r="515" spans="2:6" x14ac:dyDescent="0.25">
      <c r="B515" s="1">
        <f t="shared" si="37"/>
        <v>101.0000000000009</v>
      </c>
      <c r="C515" s="1">
        <f t="shared" si="38"/>
        <v>-2.152122031185792</v>
      </c>
      <c r="D515" s="1">
        <f t="shared" si="35"/>
        <v>-1.0149918109326737</v>
      </c>
      <c r="E515" s="1">
        <f t="shared" si="39"/>
        <v>-1.0149918109326737</v>
      </c>
      <c r="F515" s="1">
        <f t="shared" si="36"/>
        <v>8.3234985029954633E-2</v>
      </c>
    </row>
    <row r="516" spans="2:6" x14ac:dyDescent="0.25">
      <c r="B516" s="1">
        <f t="shared" si="37"/>
        <v>101.2000000000009</v>
      </c>
      <c r="C516" s="1">
        <f t="shared" si="38"/>
        <v>-2.3551203933723266</v>
      </c>
      <c r="D516" s="1">
        <f t="shared" si="35"/>
        <v>-0.99834481392668273</v>
      </c>
      <c r="E516" s="1">
        <f t="shared" si="39"/>
        <v>-0.99834481392668273</v>
      </c>
      <c r="F516" s="1">
        <f t="shared" si="36"/>
        <v>8.5841431206117313E-2</v>
      </c>
    </row>
    <row r="517" spans="2:6" x14ac:dyDescent="0.25">
      <c r="B517" s="1">
        <f t="shared" si="37"/>
        <v>101.4000000000009</v>
      </c>
      <c r="C517" s="1">
        <f t="shared" si="38"/>
        <v>-2.5547893561576633</v>
      </c>
      <c r="D517" s="1">
        <f t="shared" si="35"/>
        <v>-0.98117652768545927</v>
      </c>
      <c r="E517" s="1">
        <f t="shared" si="39"/>
        <v>-0.98117652768545927</v>
      </c>
      <c r="F517" s="1">
        <f t="shared" si="36"/>
        <v>8.8368060561282491E-2</v>
      </c>
    </row>
    <row r="518" spans="2:6" x14ac:dyDescent="0.25">
      <c r="B518" s="1">
        <f t="shared" si="37"/>
        <v>101.6000000000009</v>
      </c>
      <c r="C518" s="1">
        <f t="shared" si="38"/>
        <v>-2.7510246616947551</v>
      </c>
      <c r="D518" s="1">
        <f t="shared" si="35"/>
        <v>-0.96350291557320278</v>
      </c>
      <c r="E518" s="1">
        <f t="shared" si="39"/>
        <v>-0.96350291557320278</v>
      </c>
      <c r="F518" s="1">
        <f t="shared" si="36"/>
        <v>9.0813880421662052E-2</v>
      </c>
    </row>
    <row r="519" spans="2:6" x14ac:dyDescent="0.25">
      <c r="B519" s="1">
        <f t="shared" si="37"/>
        <v>101.80000000000091</v>
      </c>
      <c r="C519" s="1">
        <f t="shared" si="38"/>
        <v>-2.9437252448093956</v>
      </c>
      <c r="D519" s="1">
        <f t="shared" si="35"/>
        <v>-0.94534013948887041</v>
      </c>
      <c r="E519" s="1">
        <f t="shared" si="39"/>
        <v>-0.94534013948887041</v>
      </c>
      <c r="F519" s="1">
        <f t="shared" si="36"/>
        <v>9.3177960589637232E-2</v>
      </c>
    </row>
    <row r="520" spans="2:6" x14ac:dyDescent="0.25">
      <c r="B520" s="1">
        <f t="shared" si="37"/>
        <v>102.00000000000091</v>
      </c>
      <c r="C520" s="1">
        <f t="shared" si="38"/>
        <v>-3.1327932727071697</v>
      </c>
      <c r="D520" s="1">
        <f t="shared" si="35"/>
        <v>-0.92670454737094299</v>
      </c>
      <c r="E520" s="1">
        <f t="shared" si="39"/>
        <v>-0.92670454737094299</v>
      </c>
      <c r="F520" s="1">
        <f t="shared" si="36"/>
        <v>9.5459433422430184E-2</v>
      </c>
    </row>
    <row r="521" spans="2:6" x14ac:dyDescent="0.25">
      <c r="B521" s="1">
        <f t="shared" si="37"/>
        <v>102.20000000000091</v>
      </c>
      <c r="C521" s="1">
        <f t="shared" si="38"/>
        <v>-3.3181341821813581</v>
      </c>
      <c r="D521" s="1">
        <f t="shared" si="35"/>
        <v>-0.90761266068645696</v>
      </c>
      <c r="E521" s="1">
        <f t="shared" si="39"/>
        <v>-0.90761266068645696</v>
      </c>
      <c r="F521" s="1">
        <f t="shared" si="36"/>
        <v>9.7657493868390621E-2</v>
      </c>
    </row>
    <row r="522" spans="2:6" x14ac:dyDescent="0.25">
      <c r="B522" s="1">
        <f t="shared" si="37"/>
        <v>102.40000000000092</v>
      </c>
      <c r="C522" s="1">
        <f t="shared" si="38"/>
        <v>-3.4996567143186494</v>
      </c>
      <c r="D522" s="1">
        <f t="shared" ref="D522:D585" si="40">E522</f>
        <v>-0.88808116191277886</v>
      </c>
      <c r="E522" s="1">
        <f t="shared" si="39"/>
        <v>-0.88808116191277886</v>
      </c>
      <c r="F522" s="1">
        <f t="shared" ref="F522:F585" si="41">-$C$3*C522/$C$4-$C$2/$C$4*E522</f>
        <v>9.9771399461240501E-2</v>
      </c>
    </row>
    <row r="523" spans="2:6" x14ac:dyDescent="0.25">
      <c r="B523" s="1">
        <f t="shared" ref="B523:B586" si="42">B522+$C$7</f>
        <v>102.60000000000092</v>
      </c>
      <c r="C523" s="1">
        <f t="shared" ref="C523:C586" si="43">C522+D522*$C$7</f>
        <v>-3.6772729467012053</v>
      </c>
      <c r="D523" s="1">
        <f t="shared" si="40"/>
        <v>-0.86812688202053079</v>
      </c>
      <c r="E523" s="1">
        <f t="shared" ref="E523:E586" si="44">E522+F522*$C$7</f>
        <v>-0.86812688202053079</v>
      </c>
      <c r="F523" s="1">
        <f t="shared" si="41"/>
        <v>0.10180047027264486</v>
      </c>
    </row>
    <row r="524" spans="2:6" x14ac:dyDescent="0.25">
      <c r="B524" s="1">
        <f t="shared" si="42"/>
        <v>102.80000000000092</v>
      </c>
      <c r="C524" s="1">
        <f t="shared" si="43"/>
        <v>-3.8508983231053113</v>
      </c>
      <c r="D524" s="1">
        <f t="shared" si="40"/>
        <v>-0.8477667879660018</v>
      </c>
      <c r="E524" s="1">
        <f t="shared" si="44"/>
        <v>-0.8477667879660018</v>
      </c>
      <c r="F524" s="1">
        <f t="shared" si="41"/>
        <v>0.10374408882350195</v>
      </c>
    </row>
    <row r="525" spans="2:6" x14ac:dyDescent="0.25">
      <c r="B525" s="1">
        <f t="shared" si="42"/>
        <v>103.00000000000092</v>
      </c>
      <c r="C525" s="1">
        <f t="shared" si="43"/>
        <v>-4.0204516806985113</v>
      </c>
      <c r="D525" s="1">
        <f t="shared" si="40"/>
        <v>-0.82701797020130141</v>
      </c>
      <c r="E525" s="1">
        <f t="shared" si="44"/>
        <v>-0.82701797020130141</v>
      </c>
      <c r="F525" s="1">
        <f t="shared" si="41"/>
        <v>0.10560169995436924</v>
      </c>
    </row>
    <row r="526" spans="2:6" x14ac:dyDescent="0.25">
      <c r="B526" s="1">
        <f t="shared" si="42"/>
        <v>103.20000000000093</v>
      </c>
      <c r="C526" s="1">
        <f t="shared" si="43"/>
        <v>-4.1858552747387714</v>
      </c>
      <c r="D526" s="1">
        <f t="shared" si="40"/>
        <v>-0.8058976302104276</v>
      </c>
      <c r="E526" s="1">
        <f t="shared" si="44"/>
        <v>-0.8058976302104276</v>
      </c>
      <c r="F526" s="1">
        <f t="shared" si="41"/>
        <v>0.10737281065546615</v>
      </c>
    </row>
    <row r="527" spans="2:6" x14ac:dyDescent="0.25">
      <c r="B527" s="1">
        <f t="shared" si="42"/>
        <v>103.40000000000093</v>
      </c>
      <c r="C527" s="1">
        <f t="shared" si="43"/>
        <v>-4.3470348007808566</v>
      </c>
      <c r="D527" s="1">
        <f t="shared" si="40"/>
        <v>-0.78442306807933437</v>
      </c>
      <c r="E527" s="1">
        <f t="shared" si="44"/>
        <v>-0.78442306807933437</v>
      </c>
      <c r="F527" s="1">
        <f t="shared" si="41"/>
        <v>0.10905698985671655</v>
      </c>
    </row>
    <row r="528" spans="2:6" x14ac:dyDescent="0.25">
      <c r="B528" s="1">
        <f t="shared" si="42"/>
        <v>103.60000000000093</v>
      </c>
      <c r="C528" s="1">
        <f t="shared" si="43"/>
        <v>-4.5039194143967238</v>
      </c>
      <c r="D528" s="1">
        <f t="shared" si="40"/>
        <v>-0.76261167010799102</v>
      </c>
      <c r="E528" s="1">
        <f t="shared" si="44"/>
        <v>-0.76261167010799102</v>
      </c>
      <c r="F528" s="1">
        <f t="shared" si="41"/>
        <v>0.11065386817831832</v>
      </c>
    </row>
    <row r="529" spans="2:6" x14ac:dyDescent="0.25">
      <c r="B529" s="1">
        <f t="shared" si="42"/>
        <v>103.80000000000094</v>
      </c>
      <c r="C529" s="1">
        <f t="shared" si="43"/>
        <v>-4.656441748418322</v>
      </c>
      <c r="D529" s="1">
        <f t="shared" si="40"/>
        <v>-0.7404808964723274</v>
      </c>
      <c r="E529" s="1">
        <f t="shared" si="44"/>
        <v>-0.7404808964723274</v>
      </c>
      <c r="F529" s="1">
        <f t="shared" si="41"/>
        <v>0.11216313764234732</v>
      </c>
    </row>
    <row r="530" spans="2:6" x14ac:dyDescent="0.25">
      <c r="B530" s="1">
        <f t="shared" si="42"/>
        <v>104.00000000000094</v>
      </c>
      <c r="C530" s="1">
        <f t="shared" si="43"/>
        <v>-4.8045379277127873</v>
      </c>
      <c r="D530" s="1">
        <f t="shared" si="40"/>
        <v>-0.71804826894385798</v>
      </c>
      <c r="E530" s="1">
        <f t="shared" si="44"/>
        <v>-0.71804826894385798</v>
      </c>
      <c r="F530" s="1">
        <f t="shared" si="41"/>
        <v>0.1135845513459265</v>
      </c>
    </row>
    <row r="531" spans="2:6" x14ac:dyDescent="0.25">
      <c r="B531" s="1">
        <f t="shared" si="42"/>
        <v>104.20000000000094</v>
      </c>
      <c r="C531" s="1">
        <f t="shared" si="43"/>
        <v>-4.9481475815015585</v>
      </c>
      <c r="D531" s="1">
        <f t="shared" si="40"/>
        <v>-0.69533135867467266</v>
      </c>
      <c r="E531" s="1">
        <f t="shared" si="44"/>
        <v>-0.69533135867467266</v>
      </c>
      <c r="F531" s="1">
        <f t="shared" si="41"/>
        <v>0.11491792309651069</v>
      </c>
    </row>
    <row r="532" spans="2:6" x14ac:dyDescent="0.25">
      <c r="B532" s="1">
        <f t="shared" si="42"/>
        <v>104.40000000000094</v>
      </c>
      <c r="C532" s="1">
        <f t="shared" si="43"/>
        <v>-5.0872138532364932</v>
      </c>
      <c r="D532" s="1">
        <f t="shared" si="40"/>
        <v>-0.6723477740553705</v>
      </c>
      <c r="E532" s="1">
        <f t="shared" si="44"/>
        <v>-0.6723477740553705</v>
      </c>
      <c r="F532" s="1">
        <f t="shared" si="41"/>
        <v>0.11616312700985884</v>
      </c>
    </row>
    <row r="533" spans="2:6" x14ac:dyDescent="0.25">
      <c r="B533" s="1">
        <f t="shared" si="42"/>
        <v>104.60000000000095</v>
      </c>
      <c r="C533" s="1">
        <f t="shared" si="43"/>
        <v>-5.2216834080475669</v>
      </c>
      <c r="D533" s="1">
        <f t="shared" si="40"/>
        <v>-0.6491151486533987</v>
      </c>
      <c r="E533" s="1">
        <f t="shared" si="44"/>
        <v>-0.6491151486533987</v>
      </c>
      <c r="F533" s="1">
        <f t="shared" si="41"/>
        <v>0.11732009707128473</v>
      </c>
    </row>
    <row r="534" spans="2:6" x14ac:dyDescent="0.25">
      <c r="B534" s="1">
        <f t="shared" si="42"/>
        <v>104.80000000000095</v>
      </c>
      <c r="C534" s="1">
        <f t="shared" si="43"/>
        <v>-5.3515064377782471</v>
      </c>
      <c r="D534" s="1">
        <f t="shared" si="40"/>
        <v>-0.62565112923914179</v>
      </c>
      <c r="E534" s="1">
        <f t="shared" si="44"/>
        <v>-0.62565112923914179</v>
      </c>
      <c r="F534" s="1">
        <f t="shared" si="41"/>
        <v>0.11838882666079741</v>
      </c>
    </row>
    <row r="535" spans="2:6" x14ac:dyDescent="0.25">
      <c r="B535" s="1">
        <f t="shared" si="42"/>
        <v>105.00000000000095</v>
      </c>
      <c r="C535" s="1">
        <f t="shared" si="43"/>
        <v>-5.476636663626075</v>
      </c>
      <c r="D535" s="1">
        <f t="shared" si="40"/>
        <v>-0.60197336390698231</v>
      </c>
      <c r="E535" s="1">
        <f t="shared" si="44"/>
        <v>-0.60197336390698231</v>
      </c>
      <c r="F535" s="1">
        <f t="shared" si="41"/>
        <v>0.11936936804276044</v>
      </c>
    </row>
    <row r="536" spans="2:6" x14ac:dyDescent="0.25">
      <c r="B536" s="1">
        <f t="shared" si="42"/>
        <v>105.20000000000095</v>
      </c>
      <c r="C536" s="1">
        <f t="shared" si="43"/>
        <v>-5.5970313364074711</v>
      </c>
      <c r="D536" s="1">
        <f t="shared" si="40"/>
        <v>-0.57809949029843022</v>
      </c>
      <c r="E536" s="1">
        <f t="shared" si="44"/>
        <v>-0.57809949029843022</v>
      </c>
      <c r="F536" s="1">
        <f t="shared" si="41"/>
        <v>0.12026183182071792</v>
      </c>
    </row>
    <row r="537" spans="2:6" x14ac:dyDescent="0.25">
      <c r="B537" s="1">
        <f t="shared" si="42"/>
        <v>105.40000000000096</v>
      </c>
      <c r="C537" s="1">
        <f t="shared" si="43"/>
        <v>-5.7126512344671569</v>
      </c>
      <c r="D537" s="1">
        <f t="shared" si="40"/>
        <v>-0.55404712393428668</v>
      </c>
      <c r="E537" s="1">
        <f t="shared" si="44"/>
        <v>-0.55404712393428668</v>
      </c>
      <c r="F537" s="1">
        <f t="shared" si="41"/>
        <v>0.12106638635805267</v>
      </c>
    </row>
    <row r="538" spans="2:6" x14ac:dyDescent="0.25">
      <c r="B538" s="1">
        <f t="shared" si="42"/>
        <v>105.60000000000096</v>
      </c>
      <c r="C538" s="1">
        <f t="shared" si="43"/>
        <v>-5.8234606592540139</v>
      </c>
      <c r="D538" s="1">
        <f t="shared" si="40"/>
        <v>-0.52983384666267619</v>
      </c>
      <c r="E538" s="1">
        <f t="shared" si="44"/>
        <v>-0.52983384666267619</v>
      </c>
      <c r="F538" s="1">
        <f t="shared" si="41"/>
        <v>0.12178325716515845</v>
      </c>
    </row>
    <row r="539" spans="2:6" x14ac:dyDescent="0.25">
      <c r="B539" s="1">
        <f t="shared" si="42"/>
        <v>105.80000000000096</v>
      </c>
      <c r="C539" s="1">
        <f t="shared" si="43"/>
        <v>-5.9294274285865489</v>
      </c>
      <c r="D539" s="1">
        <f t="shared" si="40"/>
        <v>-0.50547719522964452</v>
      </c>
      <c r="E539" s="1">
        <f t="shared" si="44"/>
        <v>-0.50547719522964452</v>
      </c>
      <c r="F539" s="1">
        <f t="shared" si="41"/>
        <v>0.12241272625382589</v>
      </c>
    </row>
    <row r="540" spans="2:6" x14ac:dyDescent="0.25">
      <c r="B540" s="1">
        <f t="shared" si="42"/>
        <v>106.00000000000097</v>
      </c>
      <c r="C540" s="1">
        <f t="shared" si="43"/>
        <v>-6.0305228676324782</v>
      </c>
      <c r="D540" s="1">
        <f t="shared" si="40"/>
        <v>-0.48099464997887931</v>
      </c>
      <c r="E540" s="1">
        <f t="shared" si="44"/>
        <v>-0.48099464997887931</v>
      </c>
      <c r="F540" s="1">
        <f t="shared" si="41"/>
        <v>0.12295513145955568</v>
      </c>
    </row>
    <row r="541" spans="2:6" x14ac:dyDescent="0.25">
      <c r="B541" s="1">
        <f t="shared" si="42"/>
        <v>106.20000000000097</v>
      </c>
      <c r="C541" s="1">
        <f t="shared" si="43"/>
        <v>-6.126721797628254</v>
      </c>
      <c r="D541" s="1">
        <f t="shared" si="40"/>
        <v>-0.45640362368696819</v>
      </c>
      <c r="E541" s="1">
        <f t="shared" si="44"/>
        <v>-0.45640362368696819</v>
      </c>
      <c r="F541" s="1">
        <f t="shared" si="41"/>
        <v>0.12341086573252942</v>
      </c>
    </row>
    <row r="542" spans="2:6" x14ac:dyDescent="0.25">
      <c r="B542" s="1">
        <f t="shared" si="42"/>
        <v>106.40000000000097</v>
      </c>
      <c r="C542" s="1">
        <f t="shared" si="43"/>
        <v>-6.2180025223656479</v>
      </c>
      <c r="D542" s="1">
        <f t="shared" si="40"/>
        <v>-0.43172145054046229</v>
      </c>
      <c r="E542" s="1">
        <f t="shared" si="44"/>
        <v>-0.43172145054046229</v>
      </c>
      <c r="F542" s="1">
        <f t="shared" si="41"/>
        <v>0.12378037639798238</v>
      </c>
    </row>
    <row r="543" spans="2:6" x14ac:dyDescent="0.25">
      <c r="B543" s="1">
        <f t="shared" si="42"/>
        <v>106.60000000000097</v>
      </c>
      <c r="C543" s="1">
        <f t="shared" si="43"/>
        <v>-6.3043468124737405</v>
      </c>
      <c r="D543" s="1">
        <f t="shared" si="40"/>
        <v>-0.40696537526086579</v>
      </c>
      <c r="E543" s="1">
        <f t="shared" si="44"/>
        <v>-0.40696537526086579</v>
      </c>
      <c r="F543" s="1">
        <f t="shared" si="41"/>
        <v>0.12406416438673609</v>
      </c>
    </row>
    <row r="544" spans="2:6" x14ac:dyDescent="0.25">
      <c r="B544" s="1">
        <f t="shared" si="42"/>
        <v>106.80000000000098</v>
      </c>
      <c r="C544" s="1">
        <f t="shared" si="43"/>
        <v>-6.3857398875259133</v>
      </c>
      <c r="D544" s="1">
        <f t="shared" si="40"/>
        <v>-0.38215254238351859</v>
      </c>
      <c r="E544" s="1">
        <f t="shared" si="44"/>
        <v>-0.38215254238351859</v>
      </c>
      <c r="F544" s="1">
        <f t="shared" si="41"/>
        <v>0.12426278343666276</v>
      </c>
    </row>
    <row r="545" spans="2:6" x14ac:dyDescent="0.25">
      <c r="B545" s="1">
        <f t="shared" si="42"/>
        <v>107.00000000000098</v>
      </c>
      <c r="C545" s="1">
        <f t="shared" si="43"/>
        <v>-6.4621703960026169</v>
      </c>
      <c r="D545" s="1">
        <f t="shared" si="40"/>
        <v>-0.35729998569618604</v>
      </c>
      <c r="E545" s="1">
        <f t="shared" si="44"/>
        <v>-0.35729998569618604</v>
      </c>
      <c r="F545" s="1">
        <f t="shared" si="41"/>
        <v>0.12437683926586565</v>
      </c>
    </row>
    <row r="546" spans="2:6" x14ac:dyDescent="0.25">
      <c r="B546" s="1">
        <f t="shared" si="42"/>
        <v>107.20000000000098</v>
      </c>
      <c r="C546" s="1">
        <f t="shared" si="43"/>
        <v>-6.5336303931418538</v>
      </c>
      <c r="D546" s="1">
        <f t="shared" si="40"/>
        <v>-0.33242461784301292</v>
      </c>
      <c r="E546" s="1">
        <f t="shared" si="44"/>
        <v>-0.33242461784301292</v>
      </c>
      <c r="F546" s="1">
        <f t="shared" si="41"/>
        <v>0.1244069887183715</v>
      </c>
    </row>
    <row r="547" spans="2:6" x14ac:dyDescent="0.25">
      <c r="B547" s="1">
        <f t="shared" si="42"/>
        <v>107.40000000000099</v>
      </c>
      <c r="C547" s="1">
        <f t="shared" si="43"/>
        <v>-6.6001153167104567</v>
      </c>
      <c r="D547" s="1">
        <f t="shared" si="40"/>
        <v>-0.3075432200993386</v>
      </c>
      <c r="E547" s="1">
        <f t="shared" si="44"/>
        <v>-0.3075432200993386</v>
      </c>
      <c r="F547" s="1">
        <f t="shared" si="41"/>
        <v>0.12435393888314342</v>
      </c>
    </row>
    <row r="548" spans="2:6" x14ac:dyDescent="0.25">
      <c r="B548" s="1">
        <f t="shared" si="42"/>
        <v>107.60000000000099</v>
      </c>
      <c r="C548" s="1">
        <f t="shared" si="43"/>
        <v>-6.6616239607303243</v>
      </c>
      <c r="D548" s="1">
        <f t="shared" si="40"/>
        <v>-0.28267243232270989</v>
      </c>
      <c r="E548" s="1">
        <f t="shared" si="44"/>
        <v>-0.28267243232270989</v>
      </c>
      <c r="F548" s="1">
        <f t="shared" si="41"/>
        <v>0.12421844618723188</v>
      </c>
    </row>
    <row r="549" spans="2:6" x14ac:dyDescent="0.25">
      <c r="B549" s="1">
        <f t="shared" si="42"/>
        <v>107.80000000000099</v>
      </c>
      <c r="C549" s="1">
        <f t="shared" si="43"/>
        <v>-6.7181584471948659</v>
      </c>
      <c r="D549" s="1">
        <f t="shared" si="40"/>
        <v>-0.25782874308526349</v>
      </c>
      <c r="E549" s="1">
        <f t="shared" si="44"/>
        <v>-0.25782874308526349</v>
      </c>
      <c r="F549" s="1">
        <f t="shared" si="41"/>
        <v>0.12400131546389341</v>
      </c>
    </row>
    <row r="550" spans="2:6" x14ac:dyDescent="0.25">
      <c r="B550" s="1">
        <f t="shared" si="42"/>
        <v>108.00000000000099</v>
      </c>
      <c r="C550" s="1">
        <f t="shared" si="43"/>
        <v>-6.7697241958119188</v>
      </c>
      <c r="D550" s="1">
        <f t="shared" si="40"/>
        <v>-0.2330284799924848</v>
      </c>
      <c r="E550" s="1">
        <f t="shared" si="44"/>
        <v>-0.2330284799924848</v>
      </c>
      <c r="F550" s="1">
        <f t="shared" si="41"/>
        <v>0.12370339899651461</v>
      </c>
    </row>
    <row r="551" spans="2:6" x14ac:dyDescent="0.25">
      <c r="B551" s="1">
        <f t="shared" si="42"/>
        <v>108.200000000001</v>
      </c>
      <c r="C551" s="1">
        <f t="shared" si="43"/>
        <v>-6.8163298918104154</v>
      </c>
      <c r="D551" s="1">
        <f t="shared" si="40"/>
        <v>-0.20828780019318188</v>
      </c>
      <c r="E551" s="1">
        <f t="shared" si="44"/>
        <v>-0.20828780019318188</v>
      </c>
      <c r="F551" s="1">
        <f t="shared" si="41"/>
        <v>0.12332559553918875</v>
      </c>
    </row>
    <row r="552" spans="2:6" x14ac:dyDescent="0.25">
      <c r="B552" s="1">
        <f t="shared" si="42"/>
        <v>108.400000000001</v>
      </c>
      <c r="C552" s="1">
        <f t="shared" si="43"/>
        <v>-6.857987451849052</v>
      </c>
      <c r="D552" s="1">
        <f t="shared" si="40"/>
        <v>-0.18362268108534413</v>
      </c>
      <c r="E552" s="1">
        <f t="shared" si="44"/>
        <v>-0.18362268108534413</v>
      </c>
      <c r="F552" s="1">
        <f t="shared" si="41"/>
        <v>0.12286884931480027</v>
      </c>
    </row>
    <row r="553" spans="2:6" x14ac:dyDescent="0.25">
      <c r="B553" s="1">
        <f t="shared" si="42"/>
        <v>108.600000000001</v>
      </c>
      <c r="C553" s="1">
        <f t="shared" si="43"/>
        <v>-6.8947119880661205</v>
      </c>
      <c r="D553" s="1">
        <f t="shared" si="40"/>
        <v>-0.15904891122238407</v>
      </c>
      <c r="E553" s="1">
        <f t="shared" si="44"/>
        <v>-0.15904891122238407</v>
      </c>
      <c r="F553" s="1">
        <f t="shared" si="41"/>
        <v>0.12233414899147994</v>
      </c>
    </row>
    <row r="554" spans="2:6" x14ac:dyDescent="0.25">
      <c r="B554" s="1">
        <f t="shared" si="42"/>
        <v>108.80000000000101</v>
      </c>
      <c r="C554" s="1">
        <f t="shared" si="43"/>
        <v>-6.9265217703105977</v>
      </c>
      <c r="D554" s="1">
        <f t="shared" si="40"/>
        <v>-0.13458208142408809</v>
      </c>
      <c r="E554" s="1">
        <f t="shared" si="44"/>
        <v>-0.13458208142408809</v>
      </c>
      <c r="F554" s="1">
        <f t="shared" si="41"/>
        <v>0.12172252663830074</v>
      </c>
    </row>
    <row r="555" spans="2:6" x14ac:dyDescent="0.25">
      <c r="B555" s="1">
        <f t="shared" si="42"/>
        <v>109.00000000000101</v>
      </c>
      <c r="C555" s="1">
        <f t="shared" si="43"/>
        <v>-6.9534381865954149</v>
      </c>
      <c r="D555" s="1">
        <f t="shared" si="40"/>
        <v>-0.11023757609642794</v>
      </c>
      <c r="E555" s="1">
        <f t="shared" si="44"/>
        <v>-0.11023757609642794</v>
      </c>
      <c r="F555" s="1">
        <f t="shared" si="41"/>
        <v>0.12103505666109023</v>
      </c>
    </row>
    <row r="556" spans="2:6" x14ac:dyDescent="0.25">
      <c r="B556" s="1">
        <f t="shared" si="42"/>
        <v>109.20000000000101</v>
      </c>
      <c r="C556" s="1">
        <f t="shared" si="43"/>
        <v>-6.9754857018147005</v>
      </c>
      <c r="D556" s="1">
        <f t="shared" si="40"/>
        <v>-8.6030564764209894E-2</v>
      </c>
      <c r="E556" s="1">
        <f t="shared" si="44"/>
        <v>-8.6030564764209894E-2</v>
      </c>
      <c r="F556" s="1">
        <f t="shared" si="41"/>
        <v>0.12027285471924148</v>
      </c>
    </row>
    <row r="557" spans="2:6" x14ac:dyDescent="0.25">
      <c r="B557" s="1">
        <f t="shared" si="42"/>
        <v>109.40000000000101</v>
      </c>
      <c r="C557" s="1">
        <f t="shared" si="43"/>
        <v>-6.9926918147675421</v>
      </c>
      <c r="D557" s="1">
        <f t="shared" si="40"/>
        <v>-6.1975993820361591E-2</v>
      </c>
      <c r="E557" s="1">
        <f t="shared" si="44"/>
        <v>-6.1975993820361591E-2</v>
      </c>
      <c r="F557" s="1">
        <f t="shared" si="41"/>
        <v>0.11943707662440925</v>
      </c>
    </row>
    <row r="558" spans="2:6" x14ac:dyDescent="0.25">
      <c r="B558" s="1">
        <f t="shared" si="42"/>
        <v>109.60000000000102</v>
      </c>
      <c r="C558" s="1">
        <f t="shared" si="43"/>
        <v>-7.0050870135316146</v>
      </c>
      <c r="D558" s="1">
        <f t="shared" si="40"/>
        <v>-3.8088578495479739E-2</v>
      </c>
      <c r="E558" s="1">
        <f t="shared" si="44"/>
        <v>-3.8088578495479739E-2</v>
      </c>
      <c r="F558" s="1">
        <f t="shared" si="41"/>
        <v>0.11852891722198262</v>
      </c>
    </row>
    <row r="559" spans="2:6" x14ac:dyDescent="0.25">
      <c r="B559" s="1">
        <f t="shared" si="42"/>
        <v>109.80000000000102</v>
      </c>
      <c r="C559" s="1">
        <f t="shared" si="43"/>
        <v>-7.0127047292307108</v>
      </c>
      <c r="D559" s="1">
        <f t="shared" si="40"/>
        <v>-1.4382795051083211E-2</v>
      </c>
      <c r="E559" s="1">
        <f t="shared" si="44"/>
        <v>-1.4382795051083211E-2</v>
      </c>
      <c r="F559" s="1">
        <f t="shared" si="41"/>
        <v>0.11754960925622907</v>
      </c>
    </row>
    <row r="560" spans="2:6" x14ac:dyDescent="0.25">
      <c r="B560" s="1">
        <f t="shared" si="42"/>
        <v>110.00000000000102</v>
      </c>
      <c r="C560" s="1">
        <f t="shared" si="43"/>
        <v>-7.0155812882409272</v>
      </c>
      <c r="D560" s="1">
        <f t="shared" si="40"/>
        <v>9.1271268001626021E-3</v>
      </c>
      <c r="E560" s="1">
        <f t="shared" si="44"/>
        <v>9.1271268001626021E-3</v>
      </c>
      <c r="F560" s="1">
        <f t="shared" si="41"/>
        <v>0.11650042222000788</v>
      </c>
    </row>
    <row r="561" spans="2:6" x14ac:dyDescent="0.25">
      <c r="B561" s="1">
        <f t="shared" si="42"/>
        <v>110.20000000000103</v>
      </c>
      <c r="C561" s="1">
        <f t="shared" si="43"/>
        <v>-7.0137558628808945</v>
      </c>
      <c r="D561" s="1">
        <f t="shared" si="40"/>
        <v>3.2427211244164179E-2</v>
      </c>
      <c r="E561" s="1">
        <f t="shared" si="44"/>
        <v>3.2427211244164179E-2</v>
      </c>
      <c r="F561" s="1">
        <f t="shared" si="41"/>
        <v>0.11538266118995393</v>
      </c>
    </row>
    <row r="562" spans="2:6" x14ac:dyDescent="0.25">
      <c r="B562" s="1">
        <f t="shared" si="42"/>
        <v>110.40000000000103</v>
      </c>
      <c r="C562" s="1">
        <f t="shared" si="43"/>
        <v>-7.0072704206320617</v>
      </c>
      <c r="D562" s="1">
        <f t="shared" si="40"/>
        <v>5.5503743482154963E-2</v>
      </c>
      <c r="E562" s="1">
        <f t="shared" si="44"/>
        <v>5.5503743482154963E-2</v>
      </c>
      <c r="F562" s="1">
        <f t="shared" si="41"/>
        <v>0.1141976656480338</v>
      </c>
    </row>
    <row r="563" spans="2:6" x14ac:dyDescent="0.25">
      <c r="B563" s="1">
        <f t="shared" si="42"/>
        <v>110.60000000000103</v>
      </c>
      <c r="C563" s="1">
        <f t="shared" si="43"/>
        <v>-6.9961696719356308</v>
      </c>
      <c r="D563" s="1">
        <f t="shared" si="40"/>
        <v>7.8343276611761728E-2</v>
      </c>
      <c r="E563" s="1">
        <f t="shared" si="44"/>
        <v>7.8343276611761728E-2</v>
      </c>
      <c r="F563" s="1">
        <f t="shared" si="41"/>
        <v>0.1129468082903783</v>
      </c>
    </row>
    <row r="564" spans="2:6" x14ac:dyDescent="0.25">
      <c r="B564" s="1">
        <f t="shared" si="42"/>
        <v>110.80000000000103</v>
      </c>
      <c r="C564" s="1">
        <f t="shared" si="43"/>
        <v>-6.9805010166132782</v>
      </c>
      <c r="D564" s="1">
        <f t="shared" si="40"/>
        <v>0.10093263826983739</v>
      </c>
      <c r="E564" s="1">
        <f t="shared" si="44"/>
        <v>0.10093263826983739</v>
      </c>
      <c r="F564" s="1">
        <f t="shared" si="41"/>
        <v>0.11163149382429556</v>
      </c>
    </row>
    <row r="565" spans="2:6" x14ac:dyDescent="0.25">
      <c r="B565" s="1">
        <f t="shared" si="42"/>
        <v>111.00000000000104</v>
      </c>
      <c r="C565" s="1">
        <f t="shared" si="43"/>
        <v>-6.9603144889593107</v>
      </c>
      <c r="D565" s="1">
        <f t="shared" si="40"/>
        <v>0.12325893703469651</v>
      </c>
      <c r="E565" s="1">
        <f t="shared" si="44"/>
        <v>0.12325893703469651</v>
      </c>
      <c r="F565" s="1">
        <f t="shared" si="41"/>
        <v>0.11025315775436935</v>
      </c>
    </row>
    <row r="566" spans="2:6" x14ac:dyDescent="0.25">
      <c r="B566" s="1">
        <f t="shared" si="42"/>
        <v>111.20000000000104</v>
      </c>
      <c r="C566" s="1">
        <f t="shared" si="43"/>
        <v>-6.9356627015523715</v>
      </c>
      <c r="D566" s="1">
        <f t="shared" si="40"/>
        <v>0.14530956858557037</v>
      </c>
      <c r="E566" s="1">
        <f t="shared" si="44"/>
        <v>0.14530956858557037</v>
      </c>
      <c r="F566" s="1">
        <f t="shared" si="41"/>
        <v>0.10881326515854625</v>
      </c>
    </row>
    <row r="567" spans="2:6" x14ac:dyDescent="0.25">
      <c r="B567" s="1">
        <f t="shared" si="42"/>
        <v>111.40000000000104</v>
      </c>
      <c r="C567" s="1">
        <f t="shared" si="43"/>
        <v>-6.9066007878352575</v>
      </c>
      <c r="D567" s="1">
        <f t="shared" si="40"/>
        <v>0.16707222161727964</v>
      </c>
      <c r="E567" s="1">
        <f t="shared" si="44"/>
        <v>0.16707222161727964</v>
      </c>
      <c r="F567" s="1">
        <f t="shared" si="41"/>
        <v>0.10731330945511457</v>
      </c>
    </row>
    <row r="568" spans="2:6" x14ac:dyDescent="0.25">
      <c r="B568" s="1">
        <f t="shared" si="42"/>
        <v>111.60000000000105</v>
      </c>
      <c r="C568" s="1">
        <f t="shared" si="43"/>
        <v>-6.8731863435118017</v>
      </c>
      <c r="D568" s="1">
        <f t="shared" si="40"/>
        <v>0.18853488350830255</v>
      </c>
      <c r="E568" s="1">
        <f t="shared" si="44"/>
        <v>0.18853488350830255</v>
      </c>
      <c r="F568" s="1">
        <f t="shared" si="41"/>
        <v>0.10575481116147592</v>
      </c>
    </row>
    <row r="569" spans="2:6" x14ac:dyDescent="0.25">
      <c r="B569" s="1">
        <f t="shared" si="42"/>
        <v>111.80000000000105</v>
      </c>
      <c r="C569" s="1">
        <f t="shared" si="43"/>
        <v>-6.8354793668101408</v>
      </c>
      <c r="D569" s="1">
        <f t="shared" si="40"/>
        <v>0.20968584574059773</v>
      </c>
      <c r="E569" s="1">
        <f t="shared" si="44"/>
        <v>0.20968584574059773</v>
      </c>
      <c r="F569" s="1">
        <f t="shared" si="41"/>
        <v>0.10413931664560779</v>
      </c>
    </row>
    <row r="570" spans="2:6" x14ac:dyDescent="0.25">
      <c r="B570" s="1">
        <f t="shared" si="42"/>
        <v>112.00000000000105</v>
      </c>
      <c r="C570" s="1">
        <f t="shared" si="43"/>
        <v>-6.7935421976620214</v>
      </c>
      <c r="D570" s="1">
        <f t="shared" si="40"/>
        <v>0.2305137090697193</v>
      </c>
      <c r="E570" s="1">
        <f t="shared" si="44"/>
        <v>0.2305137090697193</v>
      </c>
      <c r="F570" s="1">
        <f t="shared" si="41"/>
        <v>0.10246839687111346</v>
      </c>
    </row>
    <row r="571" spans="2:6" x14ac:dyDescent="0.25">
      <c r="B571" s="1">
        <f t="shared" si="42"/>
        <v>112.20000000000105</v>
      </c>
      <c r="C571" s="1">
        <f t="shared" si="43"/>
        <v>-6.7474394558480775</v>
      </c>
      <c r="D571" s="1">
        <f t="shared" si="40"/>
        <v>0.25100738844394199</v>
      </c>
      <c r="E571" s="1">
        <f t="shared" si="44"/>
        <v>0.25100738844394199</v>
      </c>
      <c r="F571" s="1">
        <f t="shared" si="41"/>
        <v>0.10074364613675067</v>
      </c>
    </row>
    <row r="572" spans="2:6" x14ac:dyDescent="0.25">
      <c r="B572" s="1">
        <f t="shared" si="42"/>
        <v>112.40000000000106</v>
      </c>
      <c r="C572" s="1">
        <f t="shared" si="43"/>
        <v>-6.697237978159289</v>
      </c>
      <c r="D572" s="1">
        <f t="shared" si="40"/>
        <v>0.27115611767129211</v>
      </c>
      <c r="E572" s="1">
        <f t="shared" si="44"/>
        <v>0.27115611767129211</v>
      </c>
      <c r="F572" s="1">
        <f t="shared" si="41"/>
        <v>9.8966680811327867E-2</v>
      </c>
    </row>
    <row r="573" spans="2:6" x14ac:dyDescent="0.25">
      <c r="B573" s="1">
        <f t="shared" si="42"/>
        <v>112.60000000000106</v>
      </c>
      <c r="C573" s="1">
        <f t="shared" si="43"/>
        <v>-6.6430067546250307</v>
      </c>
      <c r="D573" s="1">
        <f t="shared" si="40"/>
        <v>0.29094945383355769</v>
      </c>
      <c r="E573" s="1">
        <f t="shared" si="44"/>
        <v>0.29094945383355769</v>
      </c>
      <c r="F573" s="1">
        <f t="shared" si="41"/>
        <v>9.7139138064851166E-2</v>
      </c>
    </row>
    <row r="574" spans="2:6" x14ac:dyDescent="0.25">
      <c r="B574" s="1">
        <f t="shared" si="42"/>
        <v>112.80000000000106</v>
      </c>
      <c r="C574" s="1">
        <f t="shared" si="43"/>
        <v>-6.5848168638583191</v>
      </c>
      <c r="D574" s="1">
        <f t="shared" si="40"/>
        <v>0.31037728144652793</v>
      </c>
      <c r="E574" s="1">
        <f t="shared" si="44"/>
        <v>0.31037728144652793</v>
      </c>
      <c r="F574" s="1">
        <f t="shared" si="41"/>
        <v>9.5262674596800684E-2</v>
      </c>
    </row>
    <row r="575" spans="2:6" x14ac:dyDescent="0.25">
      <c r="B575" s="1">
        <f t="shared" si="42"/>
        <v>113.00000000000107</v>
      </c>
      <c r="C575" s="1">
        <f t="shared" si="43"/>
        <v>-6.5227414075690131</v>
      </c>
      <c r="D575" s="1">
        <f t="shared" si="40"/>
        <v>0.32942981636588808</v>
      </c>
      <c r="E575" s="1">
        <f t="shared" si="44"/>
        <v>0.32942981636588808</v>
      </c>
      <c r="F575" s="1">
        <f t="shared" si="41"/>
        <v>9.333896536240878E-2</v>
      </c>
    </row>
    <row r="576" spans="2:6" x14ac:dyDescent="0.25">
      <c r="B576" s="1">
        <f t="shared" si="42"/>
        <v>113.20000000000107</v>
      </c>
      <c r="C576" s="1">
        <f t="shared" si="43"/>
        <v>-6.4568554442958357</v>
      </c>
      <c r="D576" s="1">
        <f t="shared" si="40"/>
        <v>0.34809760943836981</v>
      </c>
      <c r="E576" s="1">
        <f t="shared" si="44"/>
        <v>0.34809760943836981</v>
      </c>
      <c r="F576" s="1">
        <f t="shared" si="41"/>
        <v>9.1369702297806665E-2</v>
      </c>
    </row>
    <row r="577" spans="2:6" x14ac:dyDescent="0.25">
      <c r="B577" s="1">
        <f t="shared" si="42"/>
        <v>113.40000000000107</v>
      </c>
      <c r="C577" s="1">
        <f t="shared" si="43"/>
        <v>-6.3872359224081618</v>
      </c>
      <c r="D577" s="1">
        <f t="shared" si="40"/>
        <v>0.36637154989793114</v>
      </c>
      <c r="E577" s="1">
        <f t="shared" si="44"/>
        <v>0.36637154989793114</v>
      </c>
      <c r="F577" s="1">
        <f t="shared" si="41"/>
        <v>8.9356593044899249E-2</v>
      </c>
    </row>
    <row r="578" spans="2:6" x14ac:dyDescent="0.25">
      <c r="B578" s="1">
        <f t="shared" si="42"/>
        <v>113.60000000000107</v>
      </c>
      <c r="C578" s="1">
        <f t="shared" si="43"/>
        <v>-6.3139616124285753</v>
      </c>
      <c r="D578" s="1">
        <f t="shared" si="40"/>
        <v>0.38424286850691097</v>
      </c>
      <c r="E578" s="1">
        <f t="shared" si="44"/>
        <v>0.38424286850691097</v>
      </c>
      <c r="F578" s="1">
        <f t="shared" si="41"/>
        <v>8.7301359676820414E-2</v>
      </c>
    </row>
    <row r="579" spans="2:6" x14ac:dyDescent="0.25">
      <c r="B579" s="1">
        <f t="shared" si="42"/>
        <v>113.80000000000108</v>
      </c>
      <c r="C579" s="1">
        <f t="shared" si="43"/>
        <v>-6.2371130387271929</v>
      </c>
      <c r="D579" s="1">
        <f t="shared" si="40"/>
        <v>0.40170314044227506</v>
      </c>
      <c r="E579" s="1">
        <f t="shared" si="44"/>
        <v>0.40170314044227506</v>
      </c>
      <c r="F579" s="1">
        <f t="shared" si="41"/>
        <v>8.5205737424813716E-2</v>
      </c>
    </row>
    <row r="580" spans="2:6" x14ac:dyDescent="0.25">
      <c r="B580" s="1">
        <f t="shared" si="42"/>
        <v>114.00000000000108</v>
      </c>
      <c r="C580" s="1">
        <f t="shared" si="43"/>
        <v>-6.1567724106387383</v>
      </c>
      <c r="D580" s="1">
        <f t="shared" si="40"/>
        <v>0.41874428792723783</v>
      </c>
      <c r="E580" s="1">
        <f t="shared" si="44"/>
        <v>0.41874428792723783</v>
      </c>
      <c r="F580" s="1">
        <f t="shared" si="41"/>
        <v>8.3071473407374544E-2</v>
      </c>
    </row>
    <row r="581" spans="2:6" x14ac:dyDescent="0.25">
      <c r="B581" s="1">
        <f t="shared" si="42"/>
        <v>114.20000000000108</v>
      </c>
      <c r="C581" s="1">
        <f t="shared" si="43"/>
        <v>-6.0730235530532903</v>
      </c>
      <c r="D581" s="1">
        <f t="shared" si="40"/>
        <v>0.43535858260871274</v>
      </c>
      <c r="E581" s="1">
        <f t="shared" si="44"/>
        <v>0.43535858260871274</v>
      </c>
      <c r="F581" s="1">
        <f t="shared" si="41"/>
        <v>8.0900325362481582E-2</v>
      </c>
    </row>
    <row r="582" spans="2:6" x14ac:dyDescent="0.25">
      <c r="B582" s="1">
        <f t="shared" si="42"/>
        <v>114.40000000000109</v>
      </c>
      <c r="C582" s="1">
        <f t="shared" si="43"/>
        <v>-5.9859518365315481</v>
      </c>
      <c r="D582" s="1">
        <f t="shared" si="40"/>
        <v>0.45153864768120905</v>
      </c>
      <c r="E582" s="1">
        <f t="shared" si="44"/>
        <v>0.45153864768120905</v>
      </c>
      <c r="F582" s="1">
        <f t="shared" si="41"/>
        <v>7.8694060383736039E-2</v>
      </c>
    </row>
    <row r="583" spans="2:6" x14ac:dyDescent="0.25">
      <c r="B583" s="1">
        <f t="shared" si="42"/>
        <v>114.60000000000109</v>
      </c>
      <c r="C583" s="1">
        <f t="shared" si="43"/>
        <v>-5.8956441069953058</v>
      </c>
      <c r="D583" s="1">
        <f t="shared" si="40"/>
        <v>0.46727745975795626</v>
      </c>
      <c r="E583" s="1">
        <f t="shared" si="44"/>
        <v>0.46727745975795626</v>
      </c>
      <c r="F583" s="1">
        <f t="shared" si="41"/>
        <v>7.6454453661217142E-2</v>
      </c>
    </row>
    <row r="584" spans="2:6" x14ac:dyDescent="0.25">
      <c r="B584" s="1">
        <f t="shared" si="42"/>
        <v>114.80000000000109</v>
      </c>
      <c r="C584" s="1">
        <f t="shared" si="43"/>
        <v>-5.8021886150437147</v>
      </c>
      <c r="D584" s="1">
        <f t="shared" si="40"/>
        <v>0.48256835049019969</v>
      </c>
      <c r="E584" s="1">
        <f t="shared" si="44"/>
        <v>0.48256835049019969</v>
      </c>
      <c r="F584" s="1">
        <f t="shared" si="41"/>
        <v>7.4183287227852598E-2</v>
      </c>
    </row>
    <row r="585" spans="2:6" x14ac:dyDescent="0.25">
      <c r="B585" s="1">
        <f t="shared" si="42"/>
        <v>115.00000000000109</v>
      </c>
      <c r="C585" s="1">
        <f t="shared" si="43"/>
        <v>-5.7056749449456747</v>
      </c>
      <c r="D585" s="1">
        <f t="shared" si="40"/>
        <v>0.49740500793577019</v>
      </c>
      <c r="E585" s="1">
        <f t="shared" si="44"/>
        <v>0.49740500793577019</v>
      </c>
      <c r="F585" s="1">
        <f t="shared" si="41"/>
        <v>7.1882348712091967E-2</v>
      </c>
    </row>
    <row r="586" spans="2:6" x14ac:dyDescent="0.25">
      <c r="B586" s="1">
        <f t="shared" si="42"/>
        <v>115.2000000000011</v>
      </c>
      <c r="C586" s="1">
        <f t="shared" si="43"/>
        <v>-5.6061939433585204</v>
      </c>
      <c r="D586" s="1">
        <f t="shared" ref="D586:D649" si="45">E586</f>
        <v>0.5117814776781886</v>
      </c>
      <c r="E586" s="1">
        <f t="shared" si="44"/>
        <v>0.5117814776781886</v>
      </c>
      <c r="F586" s="1">
        <f t="shared" ref="F586:F649" si="46">-$C$3*C586/$C$4-$C$2/$C$4*E586</f>
        <v>6.955343009765988E-2</v>
      </c>
    </row>
    <row r="587" spans="2:6" x14ac:dyDescent="0.25">
      <c r="B587" s="1">
        <f t="shared" ref="B587:B650" si="47">B586+$C$7</f>
        <v>115.4000000000011</v>
      </c>
      <c r="C587" s="1">
        <f t="shared" ref="C587:C650" si="48">C586+D586*$C$7</f>
        <v>-5.5038376478228823</v>
      </c>
      <c r="D587" s="1">
        <f t="shared" si="45"/>
        <v>0.52569216369772054</v>
      </c>
      <c r="E587" s="1">
        <f t="shared" ref="E587:E650" si="49">E586+F586*$C$7</f>
        <v>0.52569216369772054</v>
      </c>
      <c r="F587" s="1">
        <f t="shared" si="46"/>
        <v>6.7198326491154411E-2</v>
      </c>
    </row>
    <row r="588" spans="2:6" x14ac:dyDescent="0.25">
      <c r="B588" s="1">
        <f t="shared" si="47"/>
        <v>115.6000000000011</v>
      </c>
      <c r="C588" s="1">
        <f t="shared" si="48"/>
        <v>-5.3986992150833384</v>
      </c>
      <c r="D588" s="1">
        <f t="shared" si="45"/>
        <v>0.53913182899595147</v>
      </c>
      <c r="E588" s="1">
        <f t="shared" si="49"/>
        <v>0.53913182899595147</v>
      </c>
      <c r="F588" s="1">
        <f t="shared" si="46"/>
        <v>6.4818834898244582E-2</v>
      </c>
    </row>
    <row r="589" spans="2:6" x14ac:dyDescent="0.25">
      <c r="B589" s="1">
        <f t="shared" si="47"/>
        <v>115.80000000000111</v>
      </c>
      <c r="C589" s="1">
        <f t="shared" si="48"/>
        <v>-5.2908728492841481</v>
      </c>
      <c r="D589" s="1">
        <f t="shared" si="45"/>
        <v>0.55209559597560043</v>
      </c>
      <c r="E589" s="1">
        <f t="shared" si="49"/>
        <v>0.55209559597560043</v>
      </c>
      <c r="F589" s="1">
        <f t="shared" si="46"/>
        <v>6.2416753009207779E-2</v>
      </c>
    </row>
    <row r="590" spans="2:6" x14ac:dyDescent="0.25">
      <c r="B590" s="1">
        <f t="shared" si="47"/>
        <v>116.00000000000111</v>
      </c>
      <c r="C590" s="1">
        <f t="shared" si="48"/>
        <v>-5.1804537300890283</v>
      </c>
      <c r="D590" s="1">
        <f t="shared" si="45"/>
        <v>0.56457894657744201</v>
      </c>
      <c r="E590" s="1">
        <f t="shared" si="49"/>
        <v>0.56457894657744201</v>
      </c>
      <c r="F590" s="1">
        <f t="shared" si="46"/>
        <v>5.9993877994536524E-2</v>
      </c>
    </row>
    <row r="591" spans="2:6" x14ac:dyDescent="0.25">
      <c r="B591" s="1">
        <f t="shared" si="47"/>
        <v>116.20000000000111</v>
      </c>
      <c r="C591" s="1">
        <f t="shared" si="48"/>
        <v>-5.0675379407735397</v>
      </c>
      <c r="D591" s="1">
        <f t="shared" si="45"/>
        <v>0.57657772217634928</v>
      </c>
      <c r="E591" s="1">
        <f t="shared" si="49"/>
        <v>0.57657772217634928</v>
      </c>
      <c r="F591" s="1">
        <f t="shared" si="46"/>
        <v>5.7552005311329368E-2</v>
      </c>
    </row>
    <row r="592" spans="2:6" x14ac:dyDescent="0.25">
      <c r="B592" s="1">
        <f t="shared" si="47"/>
        <v>116.40000000000111</v>
      </c>
      <c r="C592" s="1">
        <f t="shared" si="48"/>
        <v>-4.9522223963382697</v>
      </c>
      <c r="D592" s="1">
        <f t="shared" si="45"/>
        <v>0.58808812323861515</v>
      </c>
      <c r="E592" s="1">
        <f t="shared" si="49"/>
        <v>0.58808812323861515</v>
      </c>
      <c r="F592" s="1">
        <f t="shared" si="46"/>
        <v>5.5092927521169129E-2</v>
      </c>
    </row>
    <row r="593" spans="2:6" x14ac:dyDescent="0.25">
      <c r="B593" s="1">
        <f t="shared" si="47"/>
        <v>116.60000000000112</v>
      </c>
      <c r="C593" s="1">
        <f t="shared" si="48"/>
        <v>-4.8346047716905467</v>
      </c>
      <c r="D593" s="1">
        <f t="shared" si="45"/>
        <v>0.59910670874284899</v>
      </c>
      <c r="E593" s="1">
        <f t="shared" si="49"/>
        <v>0.59910670874284899</v>
      </c>
      <c r="F593" s="1">
        <f t="shared" si="46"/>
        <v>5.2618433120176167E-2</v>
      </c>
    </row>
    <row r="594" spans="2:6" x14ac:dyDescent="0.25">
      <c r="B594" s="1">
        <f t="shared" si="47"/>
        <v>116.80000000000112</v>
      </c>
      <c r="C594" s="1">
        <f t="shared" si="48"/>
        <v>-4.7147834299419769</v>
      </c>
      <c r="D594" s="1">
        <f t="shared" si="45"/>
        <v>0.60963039536688424</v>
      </c>
      <c r="E594" s="1">
        <f t="shared" si="49"/>
        <v>0.60963039536688424</v>
      </c>
      <c r="F594" s="1">
        <f t="shared" si="46"/>
        <v>5.0130305381911697E-2</v>
      </c>
    </row>
    <row r="595" spans="2:6" x14ac:dyDescent="0.25">
      <c r="B595" s="1">
        <f t="shared" si="47"/>
        <v>117.00000000000112</v>
      </c>
      <c r="C595" s="1">
        <f t="shared" si="48"/>
        <v>-4.5928573508686004</v>
      </c>
      <c r="D595" s="1">
        <f t="shared" si="45"/>
        <v>0.61965645644326661</v>
      </c>
      <c r="E595" s="1">
        <f t="shared" si="49"/>
        <v>0.61965645644326661</v>
      </c>
      <c r="F595" s="1">
        <f t="shared" si="46"/>
        <v>4.7630321213790905E-2</v>
      </c>
    </row>
    <row r="596" spans="2:6" x14ac:dyDescent="0.25">
      <c r="B596" s="1">
        <f t="shared" si="47"/>
        <v>117.20000000000113</v>
      </c>
      <c r="C596" s="1">
        <f t="shared" si="48"/>
        <v>-4.4689260595799469</v>
      </c>
      <c r="D596" s="1">
        <f t="shared" si="45"/>
        <v>0.62918252068602476</v>
      </c>
      <c r="E596" s="1">
        <f t="shared" si="49"/>
        <v>0.62918252068602476</v>
      </c>
      <c r="F596" s="1">
        <f t="shared" si="46"/>
        <v>4.5120250027651299E-2</v>
      </c>
    </row>
    <row r="597" spans="2:6" x14ac:dyDescent="0.25">
      <c r="B597" s="1">
        <f t="shared" si="47"/>
        <v>117.40000000000113</v>
      </c>
      <c r="C597" s="1">
        <f t="shared" si="48"/>
        <v>-4.3430895554427416</v>
      </c>
      <c r="D597" s="1">
        <f t="shared" si="45"/>
        <v>0.63820657069155506</v>
      </c>
      <c r="E597" s="1">
        <f t="shared" si="49"/>
        <v>0.63820657069155506</v>
      </c>
      <c r="F597" s="1">
        <f t="shared" si="46"/>
        <v>4.2601852625106462E-2</v>
      </c>
    </row>
    <row r="598" spans="2:6" x14ac:dyDescent="0.25">
      <c r="B598" s="1">
        <f t="shared" si="47"/>
        <v>117.60000000000113</v>
      </c>
      <c r="C598" s="1">
        <f t="shared" si="48"/>
        <v>-4.215448241304431</v>
      </c>
      <c r="D598" s="1">
        <f t="shared" si="45"/>
        <v>0.64672694121657637</v>
      </c>
      <c r="E598" s="1">
        <f t="shared" si="49"/>
        <v>0.64672694121657637</v>
      </c>
      <c r="F598" s="1">
        <f t="shared" si="46"/>
        <v>4.0076880098300294E-2</v>
      </c>
    </row>
    <row r="599" spans="2:6" x14ac:dyDescent="0.25">
      <c r="B599" s="1">
        <f t="shared" si="47"/>
        <v>117.80000000000113</v>
      </c>
      <c r="C599" s="1">
        <f t="shared" si="48"/>
        <v>-4.0861028530611154</v>
      </c>
      <c r="D599" s="1">
        <f t="shared" si="45"/>
        <v>0.65474231723623644</v>
      </c>
      <c r="E599" s="1">
        <f t="shared" si="49"/>
        <v>0.65474231723623644</v>
      </c>
      <c r="F599" s="1">
        <f t="shared" si="46"/>
        <v>3.7547072746660887E-2</v>
      </c>
    </row>
    <row r="600" spans="2:6" x14ac:dyDescent="0.25">
      <c r="B600" s="1">
        <f t="shared" si="47"/>
        <v>118.00000000000114</v>
      </c>
      <c r="C600" s="1">
        <f t="shared" si="48"/>
        <v>-3.9551543896138681</v>
      </c>
      <c r="D600" s="1">
        <f t="shared" si="45"/>
        <v>0.66225173178556862</v>
      </c>
      <c r="E600" s="1">
        <f t="shared" si="49"/>
        <v>0.66225173178556862</v>
      </c>
      <c r="F600" s="1">
        <f t="shared" si="46"/>
        <v>3.5014159010237939E-2</v>
      </c>
    </row>
    <row r="601" spans="2:6" x14ac:dyDescent="0.25">
      <c r="B601" s="1">
        <f t="shared" si="47"/>
        <v>118.20000000000114</v>
      </c>
      <c r="C601" s="1">
        <f t="shared" si="48"/>
        <v>-3.8227040432567545</v>
      </c>
      <c r="D601" s="1">
        <f t="shared" si="45"/>
        <v>0.66925456358761626</v>
      </c>
      <c r="E601" s="1">
        <f t="shared" si="49"/>
        <v>0.66925456358761626</v>
      </c>
      <c r="F601" s="1">
        <f t="shared" si="46"/>
        <v>3.2479854420190496E-2</v>
      </c>
    </row>
    <row r="602" spans="2:6" x14ac:dyDescent="0.25">
      <c r="B602" s="1">
        <f t="shared" si="47"/>
        <v>118.40000000000114</v>
      </c>
      <c r="C602" s="1">
        <f t="shared" si="48"/>
        <v>-3.6888531305392314</v>
      </c>
      <c r="D602" s="1">
        <f t="shared" si="45"/>
        <v>0.67575053447165434</v>
      </c>
      <c r="E602" s="1">
        <f t="shared" si="49"/>
        <v>0.67575053447165434</v>
      </c>
      <c r="F602" s="1">
        <f t="shared" si="46"/>
        <v>2.9945860566976651E-2</v>
      </c>
    </row>
    <row r="603" spans="2:6" x14ac:dyDescent="0.25">
      <c r="B603" s="1">
        <f t="shared" si="47"/>
        <v>118.60000000000115</v>
      </c>
      <c r="C603" s="1">
        <f t="shared" si="48"/>
        <v>-3.5537030236449003</v>
      </c>
      <c r="D603" s="1">
        <f t="shared" si="45"/>
        <v>0.68173970658504968</v>
      </c>
      <c r="E603" s="1">
        <f t="shared" si="49"/>
        <v>0.68173970658504968</v>
      </c>
      <c r="F603" s="1">
        <f t="shared" si="46"/>
        <v>2.7413864086779358E-2</v>
      </c>
    </row>
    <row r="604" spans="2:6" x14ac:dyDescent="0.25">
      <c r="B604" s="1">
        <f t="shared" si="47"/>
        <v>118.80000000000115</v>
      </c>
      <c r="C604" s="1">
        <f t="shared" si="48"/>
        <v>-3.4173550823278904</v>
      </c>
      <c r="D604" s="1">
        <f t="shared" si="45"/>
        <v>0.68722247940240555</v>
      </c>
      <c r="E604" s="1">
        <f t="shared" si="49"/>
        <v>0.68722247940240555</v>
      </c>
      <c r="F604" s="1">
        <f t="shared" si="46"/>
        <v>2.4885535666685922E-2</v>
      </c>
    </row>
    <row r="605" spans="2:6" x14ac:dyDescent="0.25">
      <c r="B605" s="1">
        <f t="shared" si="47"/>
        <v>119.00000000000115</v>
      </c>
      <c r="C605" s="1">
        <f t="shared" si="48"/>
        <v>-3.2799105864474094</v>
      </c>
      <c r="D605" s="1">
        <f t="shared" si="45"/>
        <v>0.69219958653574276</v>
      </c>
      <c r="E605" s="1">
        <f t="shared" si="49"/>
        <v>0.69219958653574276</v>
      </c>
      <c r="F605" s="1">
        <f t="shared" si="46"/>
        <v>2.2362529069122165E-2</v>
      </c>
    </row>
    <row r="606" spans="2:6" x14ac:dyDescent="0.25">
      <c r="B606" s="1">
        <f t="shared" si="47"/>
        <v>119.20000000000115</v>
      </c>
      <c r="C606" s="1">
        <f t="shared" si="48"/>
        <v>-3.141470669140261</v>
      </c>
      <c r="D606" s="1">
        <f t="shared" si="45"/>
        <v>0.69667209234956717</v>
      </c>
      <c r="E606" s="1">
        <f t="shared" si="49"/>
        <v>0.69667209234956717</v>
      </c>
      <c r="F606" s="1">
        <f t="shared" si="46"/>
        <v>1.9846480176024549E-2</v>
      </c>
    </row>
    <row r="607" spans="2:6" x14ac:dyDescent="0.25">
      <c r="B607" s="1">
        <f t="shared" si="47"/>
        <v>119.40000000000116</v>
      </c>
      <c r="C607" s="1">
        <f t="shared" si="48"/>
        <v>-3.0021362506703477</v>
      </c>
      <c r="D607" s="1">
        <f t="shared" si="45"/>
        <v>0.70064138838477208</v>
      </c>
      <c r="E607" s="1">
        <f t="shared" si="49"/>
        <v>0.70064138838477208</v>
      </c>
      <c r="F607" s="1">
        <f t="shared" si="46"/>
        <v>1.7339006053216435E-2</v>
      </c>
    </row>
    <row r="608" spans="2:6" x14ac:dyDescent="0.25">
      <c r="B608" s="1">
        <f t="shared" si="47"/>
        <v>119.60000000000116</v>
      </c>
      <c r="C608" s="1">
        <f t="shared" si="48"/>
        <v>-2.8620079729933932</v>
      </c>
      <c r="D608" s="1">
        <f t="shared" si="45"/>
        <v>0.70410918959541535</v>
      </c>
      <c r="E608" s="1">
        <f t="shared" si="49"/>
        <v>0.70410918959541535</v>
      </c>
      <c r="F608" s="1">
        <f t="shared" si="46"/>
        <v>1.4841704035437171E-2</v>
      </c>
    </row>
    <row r="609" spans="2:6" x14ac:dyDescent="0.25">
      <c r="B609" s="1">
        <f t="shared" si="47"/>
        <v>119.80000000000116</v>
      </c>
      <c r="C609" s="1">
        <f t="shared" si="48"/>
        <v>-2.7211861350743103</v>
      </c>
      <c r="D609" s="1">
        <f t="shared" si="45"/>
        <v>0.70707753040250276</v>
      </c>
      <c r="E609" s="1">
        <f t="shared" si="49"/>
        <v>0.70707753040250276</v>
      </c>
      <c r="F609" s="1">
        <f t="shared" si="46"/>
        <v>1.2356150832455046E-2</v>
      </c>
    </row>
    <row r="610" spans="2:6" x14ac:dyDescent="0.25">
      <c r="B610" s="1">
        <f t="shared" si="47"/>
        <v>120.00000000000117</v>
      </c>
      <c r="C610" s="1">
        <f t="shared" si="48"/>
        <v>-2.5797706289938098</v>
      </c>
      <c r="D610" s="1">
        <f t="shared" si="45"/>
        <v>0.70954876056899374</v>
      </c>
      <c r="E610" s="1">
        <f t="shared" si="49"/>
        <v>0.70954876056899374</v>
      </c>
      <c r="F610" s="1">
        <f t="shared" si="46"/>
        <v>9.8839016566771229E-3</v>
      </c>
    </row>
    <row r="611" spans="2:6" x14ac:dyDescent="0.25">
      <c r="B611" s="1">
        <f t="shared" si="47"/>
        <v>120.20000000000117</v>
      </c>
      <c r="C611" s="1">
        <f t="shared" si="48"/>
        <v>-2.437860876880011</v>
      </c>
      <c r="D611" s="1">
        <f t="shared" si="45"/>
        <v>0.71152554090032916</v>
      </c>
      <c r="E611" s="1">
        <f t="shared" si="49"/>
        <v>0.71152554090032916</v>
      </c>
      <c r="F611" s="1">
        <f t="shared" si="46"/>
        <v>7.4264893726514875E-3</v>
      </c>
    </row>
    <row r="612" spans="2:6" x14ac:dyDescent="0.25">
      <c r="B612" s="1">
        <f t="shared" si="47"/>
        <v>120.40000000000117</v>
      </c>
      <c r="C612" s="1">
        <f t="shared" si="48"/>
        <v>-2.2955557686999453</v>
      </c>
      <c r="D612" s="1">
        <f t="shared" si="45"/>
        <v>0.71301083877485949</v>
      </c>
      <c r="E612" s="1">
        <f t="shared" si="49"/>
        <v>0.71301083877485949</v>
      </c>
      <c r="F612" s="1">
        <f t="shared" si="46"/>
        <v>4.98542366883898E-3</v>
      </c>
    </row>
    <row r="613" spans="2:6" x14ac:dyDescent="0.25">
      <c r="B613" s="1">
        <f t="shared" si="47"/>
        <v>120.60000000000117</v>
      </c>
      <c r="C613" s="1">
        <f t="shared" si="48"/>
        <v>-2.1529536009449735</v>
      </c>
      <c r="D613" s="1">
        <f t="shared" si="45"/>
        <v>0.7140079235086273</v>
      </c>
      <c r="E613" s="1">
        <f t="shared" si="49"/>
        <v>0.7140079235086273</v>
      </c>
      <c r="F613" s="1">
        <f t="shared" si="46"/>
        <v>2.5621902520136103E-3</v>
      </c>
    </row>
    <row r="614" spans="2:6" x14ac:dyDescent="0.25">
      <c r="B614" s="1">
        <f t="shared" si="47"/>
        <v>120.80000000000118</v>
      </c>
      <c r="C614" s="1">
        <f t="shared" si="48"/>
        <v>-2.0101520162432478</v>
      </c>
      <c r="D614" s="1">
        <f t="shared" si="45"/>
        <v>0.71452036155902998</v>
      </c>
      <c r="E614" s="1">
        <f t="shared" si="49"/>
        <v>0.71452036155902998</v>
      </c>
      <c r="F614" s="1">
        <f t="shared" si="46"/>
        <v>1.5825006463273533E-4</v>
      </c>
    </row>
    <row r="615" spans="2:6" x14ac:dyDescent="0.25">
      <c r="B615" s="1">
        <f t="shared" si="47"/>
        <v>121.00000000000118</v>
      </c>
      <c r="C615" s="1">
        <f t="shared" si="48"/>
        <v>-1.8672479439314418</v>
      </c>
      <c r="D615" s="1">
        <f t="shared" si="45"/>
        <v>0.71455201157195658</v>
      </c>
      <c r="E615" s="1">
        <f t="shared" si="49"/>
        <v>0.71455201157195658</v>
      </c>
      <c r="F615" s="1">
        <f t="shared" si="46"/>
        <v>-2.2249614745006134E-3</v>
      </c>
    </row>
    <row r="616" spans="2:6" x14ac:dyDescent="0.25">
      <c r="B616" s="1">
        <f t="shared" si="47"/>
        <v>121.20000000000118</v>
      </c>
      <c r="C616" s="1">
        <f t="shared" si="48"/>
        <v>-1.7243375416170506</v>
      </c>
      <c r="D616" s="1">
        <f t="shared" si="45"/>
        <v>0.71410701927705644</v>
      </c>
      <c r="E616" s="1">
        <f t="shared" si="49"/>
        <v>0.71410701927705644</v>
      </c>
      <c r="F616" s="1">
        <f t="shared" si="46"/>
        <v>-4.5860352059784622E-3</v>
      </c>
    </row>
    <row r="617" spans="2:6" x14ac:dyDescent="0.25">
      <c r="B617" s="1">
        <f t="shared" si="47"/>
        <v>121.40000000000119</v>
      </c>
      <c r="C617" s="1">
        <f t="shared" si="48"/>
        <v>-1.5815161377616394</v>
      </c>
      <c r="D617" s="1">
        <f t="shared" si="45"/>
        <v>0.71318981223586075</v>
      </c>
      <c r="E617" s="1">
        <f t="shared" si="49"/>
        <v>0.71318981223586075</v>
      </c>
      <c r="F617" s="1">
        <f t="shared" si="46"/>
        <v>-6.9235889416461791E-3</v>
      </c>
    </row>
    <row r="618" spans="2:6" x14ac:dyDescent="0.25">
      <c r="B618" s="1">
        <f t="shared" si="47"/>
        <v>121.60000000000119</v>
      </c>
      <c r="C618" s="1">
        <f t="shared" si="48"/>
        <v>-1.4388781753144673</v>
      </c>
      <c r="D618" s="1">
        <f t="shared" si="45"/>
        <v>0.71180509444753148</v>
      </c>
      <c r="E618" s="1">
        <f t="shared" si="49"/>
        <v>0.71180509444753148</v>
      </c>
      <c r="F618" s="1">
        <f t="shared" si="46"/>
        <v>-9.2362681523103542E-3</v>
      </c>
    </row>
    <row r="619" spans="2:6" x14ac:dyDescent="0.25">
      <c r="B619" s="1">
        <f t="shared" si="47"/>
        <v>121.80000000000119</v>
      </c>
      <c r="C619" s="1">
        <f t="shared" si="48"/>
        <v>-1.2965171564249609</v>
      </c>
      <c r="D619" s="1">
        <f t="shared" si="45"/>
        <v>0.70995784081706936</v>
      </c>
      <c r="E619" s="1">
        <f t="shared" si="49"/>
        <v>0.70995784081706936</v>
      </c>
      <c r="F619" s="1">
        <f t="shared" si="46"/>
        <v>-1.1522746631047225E-2</v>
      </c>
    </row>
    <row r="620" spans="2:6" x14ac:dyDescent="0.25">
      <c r="B620" s="1">
        <f t="shared" si="47"/>
        <v>122.00000000000119</v>
      </c>
      <c r="C620" s="1">
        <f t="shared" si="48"/>
        <v>-1.1545255882615471</v>
      </c>
      <c r="D620" s="1">
        <f t="shared" si="45"/>
        <v>0.70765329149085987</v>
      </c>
      <c r="E620" s="1">
        <f t="shared" si="49"/>
        <v>0.70765329149085987</v>
      </c>
      <c r="F620" s="1">
        <f t="shared" si="46"/>
        <v>-1.378172713188101E-2</v>
      </c>
    </row>
    <row r="621" spans="2:6" x14ac:dyDescent="0.25">
      <c r="B621" s="1">
        <f t="shared" si="47"/>
        <v>122.2000000000012</v>
      </c>
      <c r="C621" s="1">
        <f t="shared" si="48"/>
        <v>-1.0129949299633751</v>
      </c>
      <c r="D621" s="1">
        <f t="shared" si="45"/>
        <v>0.70489694606448372</v>
      </c>
      <c r="E621" s="1">
        <f t="shared" si="49"/>
        <v>0.70489694606448372</v>
      </c>
      <c r="F621" s="1">
        <f t="shared" si="46"/>
        <v>-1.6011941983619656E-2</v>
      </c>
    </row>
    <row r="622" spans="2:6" x14ac:dyDescent="0.25">
      <c r="B622" s="1">
        <f t="shared" si="47"/>
        <v>122.4000000000012</v>
      </c>
      <c r="C622" s="1">
        <f t="shared" si="48"/>
        <v>-0.87201554075047838</v>
      </c>
      <c r="D622" s="1">
        <f t="shared" si="45"/>
        <v>0.70169455766775979</v>
      </c>
      <c r="E622" s="1">
        <f t="shared" si="49"/>
        <v>0.70169455766775979</v>
      </c>
      <c r="F622" s="1">
        <f t="shared" si="46"/>
        <v>-1.8212153678654155E-2</v>
      </c>
    </row>
    <row r="623" spans="2:6" x14ac:dyDescent="0.25">
      <c r="B623" s="1">
        <f t="shared" si="47"/>
        <v>122.6000000000012</v>
      </c>
      <c r="C623" s="1">
        <f t="shared" si="48"/>
        <v>-0.73167662921692644</v>
      </c>
      <c r="D623" s="1">
        <f t="shared" si="45"/>
        <v>0.698052126932029</v>
      </c>
      <c r="E623" s="1">
        <f t="shared" si="49"/>
        <v>0.698052126932029</v>
      </c>
      <c r="F623" s="1">
        <f t="shared" si="46"/>
        <v>-2.0381155436545915E-2</v>
      </c>
    </row>
    <row r="624" spans="2:6" x14ac:dyDescent="0.25">
      <c r="B624" s="1">
        <f t="shared" si="47"/>
        <v>122.80000000000121</v>
      </c>
      <c r="C624" s="1">
        <f t="shared" si="48"/>
        <v>-0.59206620383052067</v>
      </c>
      <c r="D624" s="1">
        <f t="shared" si="45"/>
        <v>0.69397589584471986</v>
      </c>
      <c r="E624" s="1">
        <f t="shared" si="49"/>
        <v>0.69397589584471986</v>
      </c>
      <c r="F624" s="1">
        <f t="shared" si="46"/>
        <v>-2.2517771742244917E-2</v>
      </c>
    </row>
    <row r="625" spans="2:6" x14ac:dyDescent="0.25">
      <c r="B625" s="1">
        <f t="shared" si="47"/>
        <v>123.00000000000121</v>
      </c>
      <c r="C625" s="1">
        <f t="shared" si="48"/>
        <v>-0.45327102466157665</v>
      </c>
      <c r="D625" s="1">
        <f t="shared" si="45"/>
        <v>0.6894723414962709</v>
      </c>
      <c r="E625" s="1">
        <f t="shared" si="49"/>
        <v>0.6894723414962709</v>
      </c>
      <c r="F625" s="1">
        <f t="shared" si="46"/>
        <v>-2.46208588587997E-2</v>
      </c>
    </row>
    <row r="626" spans="2:6" x14ac:dyDescent="0.25">
      <c r="B626" s="1">
        <f t="shared" si="47"/>
        <v>123.20000000000121</v>
      </c>
      <c r="C626" s="1">
        <f t="shared" si="48"/>
        <v>-0.31537655636232242</v>
      </c>
      <c r="D626" s="1">
        <f t="shared" si="45"/>
        <v>0.68454816972451094</v>
      </c>
      <c r="E626" s="1">
        <f t="shared" si="49"/>
        <v>0.68454816972451094</v>
      </c>
      <c r="F626" s="1">
        <f t="shared" si="46"/>
        <v>-2.6689305314438475E-2</v>
      </c>
    </row>
    <row r="627" spans="2:6" x14ac:dyDescent="0.25">
      <c r="B627" s="1">
        <f t="shared" si="47"/>
        <v>123.40000000000121</v>
      </c>
      <c r="C627" s="1">
        <f t="shared" si="48"/>
        <v>-0.17846692241742024</v>
      </c>
      <c r="D627" s="1">
        <f t="shared" si="45"/>
        <v>0.67921030866162324</v>
      </c>
      <c r="E627" s="1">
        <f t="shared" si="49"/>
        <v>0.67921030866162324</v>
      </c>
      <c r="F627" s="1">
        <f t="shared" si="46"/>
        <v>-2.8722032363918751E-2</v>
      </c>
    </row>
    <row r="628" spans="2:6" x14ac:dyDescent="0.25">
      <c r="B628" s="1">
        <f t="shared" si="47"/>
        <v>123.60000000000122</v>
      </c>
      <c r="C628" s="1">
        <f t="shared" si="48"/>
        <v>-4.2624860685095578E-2</v>
      </c>
      <c r="D628" s="1">
        <f t="shared" si="45"/>
        <v>0.6734659021888395</v>
      </c>
      <c r="E628" s="1">
        <f t="shared" si="49"/>
        <v>0.6734659021888395</v>
      </c>
      <c r="F628" s="1">
        <f t="shared" si="46"/>
        <v>-3.071799442406092E-2</v>
      </c>
    </row>
    <row r="629" spans="2:6" x14ac:dyDescent="0.25">
      <c r="B629" s="1">
        <f t="shared" si="47"/>
        <v>123.80000000000122</v>
      </c>
      <c r="C629" s="1">
        <f t="shared" si="48"/>
        <v>9.2068319752672323E-2</v>
      </c>
      <c r="D629" s="1">
        <f t="shared" si="45"/>
        <v>0.66732230330402731</v>
      </c>
      <c r="E629" s="1">
        <f t="shared" si="49"/>
        <v>0.66732230330402731</v>
      </c>
      <c r="F629" s="1">
        <f t="shared" si="46"/>
        <v>-3.2676179483399147E-2</v>
      </c>
    </row>
    <row r="630" spans="2:6" x14ac:dyDescent="0.25">
      <c r="B630" s="1">
        <f t="shared" si="47"/>
        <v>124.00000000000122</v>
      </c>
      <c r="C630" s="1">
        <f t="shared" si="48"/>
        <v>0.2255327804134778</v>
      </c>
      <c r="D630" s="1">
        <f t="shared" si="45"/>
        <v>0.66078706740734749</v>
      </c>
      <c r="E630" s="1">
        <f t="shared" si="49"/>
        <v>0.66078706740734749</v>
      </c>
      <c r="F630" s="1">
        <f t="shared" si="46"/>
        <v>-3.4595609485900847E-2</v>
      </c>
    </row>
    <row r="631" spans="2:6" x14ac:dyDescent="0.25">
      <c r="B631" s="1">
        <f t="shared" si="47"/>
        <v>124.20000000000122</v>
      </c>
      <c r="C631" s="1">
        <f t="shared" si="48"/>
        <v>0.35769019389494727</v>
      </c>
      <c r="D631" s="1">
        <f t="shared" si="45"/>
        <v>0.65386794551016736</v>
      </c>
      <c r="E631" s="1">
        <f t="shared" si="49"/>
        <v>0.65386794551016736</v>
      </c>
      <c r="F631" s="1">
        <f t="shared" si="46"/>
        <v>-3.6475340688723601E-2</v>
      </c>
    </row>
    <row r="632" spans="2:6" x14ac:dyDescent="0.25">
      <c r="B632" s="1">
        <f t="shared" si="47"/>
        <v>124.40000000000123</v>
      </c>
      <c r="C632" s="1">
        <f t="shared" si="48"/>
        <v>0.48846378299698079</v>
      </c>
      <c r="D632" s="1">
        <f t="shared" si="45"/>
        <v>0.64657287737242264</v>
      </c>
      <c r="E632" s="1">
        <f t="shared" si="49"/>
        <v>0.64657287737242264</v>
      </c>
      <c r="F632" s="1">
        <f t="shared" si="46"/>
        <v>-3.8314463993996073E-2</v>
      </c>
    </row>
    <row r="633" spans="2:6" x14ac:dyDescent="0.25">
      <c r="B633" s="1">
        <f t="shared" si="47"/>
        <v>124.60000000000123</v>
      </c>
      <c r="C633" s="1">
        <f t="shared" si="48"/>
        <v>0.61777835847146534</v>
      </c>
      <c r="D633" s="1">
        <f t="shared" si="45"/>
        <v>0.63890998457362347</v>
      </c>
      <c r="E633" s="1">
        <f t="shared" si="49"/>
        <v>0.63890998457362347</v>
      </c>
      <c r="F633" s="1">
        <f t="shared" si="46"/>
        <v>-4.0112105254626856E-2</v>
      </c>
    </row>
    <row r="634" spans="2:6" x14ac:dyDescent="0.25">
      <c r="B634" s="1">
        <f t="shared" si="47"/>
        <v>124.80000000000123</v>
      </c>
      <c r="C634" s="1">
        <f t="shared" si="48"/>
        <v>0.74556035538619003</v>
      </c>
      <c r="D634" s="1">
        <f t="shared" si="45"/>
        <v>0.63088756352269815</v>
      </c>
      <c r="E634" s="1">
        <f t="shared" si="49"/>
        <v>0.63088756352269815</v>
      </c>
      <c r="F634" s="1">
        <f t="shared" si="46"/>
        <v>-4.1867425554162417E-2</v>
      </c>
    </row>
    <row r="635" spans="2:6" x14ac:dyDescent="0.25">
      <c r="B635" s="1">
        <f t="shared" si="47"/>
        <v>125.00000000000124</v>
      </c>
      <c r="C635" s="1">
        <f t="shared" si="48"/>
        <v>0.87173786809072973</v>
      </c>
      <c r="D635" s="1">
        <f t="shared" si="45"/>
        <v>0.62251407841186568</v>
      </c>
      <c r="E635" s="1">
        <f t="shared" si="49"/>
        <v>0.62251407841186568</v>
      </c>
      <c r="F635" s="1">
        <f t="shared" si="46"/>
        <v>-4.3579621460732562E-2</v>
      </c>
    </row>
    <row r="636" spans="2:6" x14ac:dyDescent="0.25">
      <c r="B636" s="1">
        <f t="shared" si="47"/>
        <v>125.20000000000124</v>
      </c>
      <c r="C636" s="1">
        <f t="shared" si="48"/>
        <v>0.99624068377310282</v>
      </c>
      <c r="D636" s="1">
        <f t="shared" si="45"/>
        <v>0.61379815411971916</v>
      </c>
      <c r="E636" s="1">
        <f t="shared" si="49"/>
        <v>0.61379815411971916</v>
      </c>
      <c r="F636" s="1">
        <f t="shared" si="46"/>
        <v>-4.5247925255138613E-2</v>
      </c>
    </row>
    <row r="637" spans="2:6" x14ac:dyDescent="0.25">
      <c r="B637" s="1">
        <f t="shared" si="47"/>
        <v>125.40000000000124</v>
      </c>
      <c r="C637" s="1">
        <f t="shared" si="48"/>
        <v>1.1190003145970466</v>
      </c>
      <c r="D637" s="1">
        <f t="shared" si="45"/>
        <v>0.60474856906869146</v>
      </c>
      <c r="E637" s="1">
        <f t="shared" si="49"/>
        <v>0.60474856906869146</v>
      </c>
      <c r="F637" s="1">
        <f t="shared" si="46"/>
        <v>-4.6871605133156385E-2</v>
      </c>
    </row>
    <row r="638" spans="2:6" x14ac:dyDescent="0.25">
      <c r="B638" s="1">
        <f t="shared" si="47"/>
        <v>125.60000000000124</v>
      </c>
      <c r="C638" s="1">
        <f t="shared" si="48"/>
        <v>1.2399500284107849</v>
      </c>
      <c r="D638" s="1">
        <f t="shared" si="45"/>
        <v>0.59537424804206018</v>
      </c>
      <c r="E638" s="1">
        <f t="shared" si="49"/>
        <v>0.59537424804206018</v>
      </c>
      <c r="F638" s="1">
        <f t="shared" si="46"/>
        <v>-4.8449965382142565E-2</v>
      </c>
    </row>
    <row r="639" spans="2:6" x14ac:dyDescent="0.25">
      <c r="B639" s="1">
        <f t="shared" si="47"/>
        <v>125.80000000000125</v>
      </c>
      <c r="C639" s="1">
        <f t="shared" si="48"/>
        <v>1.3590248780191969</v>
      </c>
      <c r="D639" s="1">
        <f t="shared" si="45"/>
        <v>0.5856842549656317</v>
      </c>
      <c r="E639" s="1">
        <f t="shared" si="49"/>
        <v>0.5856842549656317</v>
      </c>
      <c r="F639" s="1">
        <f t="shared" si="46"/>
        <v>-4.9982346532049429E-2</v>
      </c>
    </row>
    <row r="640" spans="2:6" x14ac:dyDescent="0.25">
      <c r="B640" s="1">
        <f t="shared" si="47"/>
        <v>126.00000000000125</v>
      </c>
      <c r="C640" s="1">
        <f t="shared" si="48"/>
        <v>1.4761617290123232</v>
      </c>
      <c r="D640" s="1">
        <f t="shared" si="45"/>
        <v>0.57568778565922185</v>
      </c>
      <c r="E640" s="1">
        <f t="shared" si="49"/>
        <v>0.57568778565922185</v>
      </c>
      <c r="F640" s="1">
        <f t="shared" si="46"/>
        <v>-5.1468125480969074E-2</v>
      </c>
    </row>
    <row r="641" spans="2:6" x14ac:dyDescent="0.25">
      <c r="B641" s="1">
        <f t="shared" si="47"/>
        <v>126.20000000000125</v>
      </c>
      <c r="C641" s="1">
        <f t="shared" si="48"/>
        <v>1.5912992861441677</v>
      </c>
      <c r="D641" s="1">
        <f t="shared" si="45"/>
        <v>0.56539416056302805</v>
      </c>
      <c r="E641" s="1">
        <f t="shared" si="49"/>
        <v>0.56539416056302805</v>
      </c>
      <c r="F641" s="1">
        <f t="shared" si="46"/>
        <v>-5.2906715595344107E-2</v>
      </c>
    </row>
    <row r="642" spans="2:6" x14ac:dyDescent="0.25">
      <c r="B642" s="1">
        <f t="shared" si="47"/>
        <v>126.40000000000126</v>
      </c>
      <c r="C642" s="1">
        <f t="shared" si="48"/>
        <v>1.7043781182567734</v>
      </c>
      <c r="D642" s="1">
        <f t="shared" si="45"/>
        <v>0.55481281744395927</v>
      </c>
      <c r="E642" s="1">
        <f t="shared" si="49"/>
        <v>0.55481281744395927</v>
      </c>
      <c r="F642" s="1">
        <f t="shared" si="46"/>
        <v>-5.4297566784997656E-2</v>
      </c>
    </row>
    <row r="643" spans="2:6" x14ac:dyDescent="0.25">
      <c r="B643" s="1">
        <f t="shared" si="47"/>
        <v>126.60000000000126</v>
      </c>
      <c r="C643" s="1">
        <f t="shared" si="48"/>
        <v>1.8153406817455653</v>
      </c>
      <c r="D643" s="1">
        <f t="shared" si="45"/>
        <v>0.54395330408695974</v>
      </c>
      <c r="E643" s="1">
        <f t="shared" si="49"/>
        <v>0.54395330408695974</v>
      </c>
      <c r="F643" s="1">
        <f t="shared" si="46"/>
        <v>-5.5640165553150878E-2</v>
      </c>
    </row>
    <row r="644" spans="2:6" x14ac:dyDescent="0.25">
      <c r="B644" s="1">
        <f t="shared" si="47"/>
        <v>126.80000000000126</v>
      </c>
      <c r="C644" s="1">
        <f t="shared" si="48"/>
        <v>1.9241313425629571</v>
      </c>
      <c r="D644" s="1">
        <f t="shared" si="45"/>
        <v>0.53282527097632959</v>
      </c>
      <c r="E644" s="1">
        <f t="shared" si="49"/>
        <v>0.53282527097632959</v>
      </c>
      <c r="F644" s="1">
        <f t="shared" si="46"/>
        <v>-5.6934035021611339E-2</v>
      </c>
    </row>
    <row r="645" spans="2:6" x14ac:dyDescent="0.25">
      <c r="B645" s="1">
        <f t="shared" si="47"/>
        <v>127.00000000000126</v>
      </c>
      <c r="C645" s="1">
        <f t="shared" si="48"/>
        <v>2.030696396758223</v>
      </c>
      <c r="D645" s="1">
        <f t="shared" si="45"/>
        <v>0.52143846397200733</v>
      </c>
      <c r="E645" s="1">
        <f t="shared" si="49"/>
        <v>0.52143846397200733</v>
      </c>
      <c r="F645" s="1">
        <f t="shared" si="46"/>
        <v>-5.8178734931330731E-2</v>
      </c>
    </row>
    <row r="646" spans="2:6" x14ac:dyDescent="0.25">
      <c r="B646" s="1">
        <f t="shared" si="47"/>
        <v>127.20000000000127</v>
      </c>
      <c r="C646" s="1">
        <f t="shared" si="48"/>
        <v>2.1349840895526246</v>
      </c>
      <c r="D646" s="1">
        <f t="shared" si="45"/>
        <v>0.5098027169857412</v>
      </c>
      <c r="E646" s="1">
        <f t="shared" si="49"/>
        <v>0.5098027169857412</v>
      </c>
      <c r="F646" s="1">
        <f t="shared" si="46"/>
        <v>-5.9373861618545E-2</v>
      </c>
    </row>
    <row r="647" spans="2:6" x14ac:dyDescent="0.25">
      <c r="B647" s="1">
        <f t="shared" si="47"/>
        <v>127.40000000000127</v>
      </c>
      <c r="C647" s="1">
        <f t="shared" si="48"/>
        <v>2.2369446329497729</v>
      </c>
      <c r="D647" s="1">
        <f t="shared" si="45"/>
        <v>0.49792794466203222</v>
      </c>
      <c r="E647" s="1">
        <f t="shared" si="49"/>
        <v>0.49792794466203222</v>
      </c>
      <c r="F647" s="1">
        <f t="shared" si="46"/>
        <v>-6.0519047966724387E-2</v>
      </c>
    </row>
    <row r="648" spans="2:6" x14ac:dyDescent="0.25">
      <c r="B648" s="1">
        <f t="shared" si="47"/>
        <v>127.60000000000127</v>
      </c>
      <c r="C648" s="1">
        <f t="shared" si="48"/>
        <v>2.3365302218821795</v>
      </c>
      <c r="D648" s="1">
        <f t="shared" si="45"/>
        <v>0.48582413506868732</v>
      </c>
      <c r="E648" s="1">
        <f t="shared" si="49"/>
        <v>0.48582413506868732</v>
      </c>
      <c r="F648" s="1">
        <f t="shared" si="46"/>
        <v>-6.161396333457507E-2</v>
      </c>
    </row>
    <row r="649" spans="2:6" x14ac:dyDescent="0.25">
      <c r="B649" s="1">
        <f t="shared" si="47"/>
        <v>127.80000000000128</v>
      </c>
      <c r="C649" s="1">
        <f t="shared" si="48"/>
        <v>2.4336950488959168</v>
      </c>
      <c r="D649" s="1">
        <f t="shared" si="45"/>
        <v>0.47350134240177233</v>
      </c>
      <c r="E649" s="1">
        <f t="shared" si="49"/>
        <v>0.47350134240177233</v>
      </c>
      <c r="F649" s="1">
        <f t="shared" si="46"/>
        <v>-6.2658313460347989E-2</v>
      </c>
    </row>
    <row r="650" spans="2:6" x14ac:dyDescent="0.25">
      <c r="B650" s="1">
        <f t="shared" si="47"/>
        <v>128.00000000000128</v>
      </c>
      <c r="C650" s="1">
        <f t="shared" si="48"/>
        <v>2.5283953173762712</v>
      </c>
      <c r="D650" s="1">
        <f t="shared" ref="D650:D713" si="50">E650</f>
        <v>0.46096967970970271</v>
      </c>
      <c r="E650" s="1">
        <f t="shared" si="49"/>
        <v>0.46096967970970271</v>
      </c>
      <c r="F650" s="1">
        <f t="shared" ref="F650:F713" si="51">-$C$3*C650/$C$4-$C$2/$C$4*E650</f>
        <v>-6.3651840342723989E-2</v>
      </c>
    </row>
    <row r="651" spans="2:6" x14ac:dyDescent="0.25">
      <c r="B651" s="1">
        <f t="shared" ref="B651:B714" si="52">B650+$C$7</f>
        <v>128.20000000000127</v>
      </c>
      <c r="C651" s="1">
        <f t="shared" ref="C651:C714" si="53">C650+D650*$C$7</f>
        <v>2.6205892533182116</v>
      </c>
      <c r="D651" s="1">
        <f t="shared" si="50"/>
        <v>0.44823931164115793</v>
      </c>
      <c r="E651" s="1">
        <f t="shared" ref="E651:E714" si="54">E650+F650*$C$7</f>
        <v>0.44823931164115793</v>
      </c>
      <c r="F651" s="1">
        <f t="shared" si="51"/>
        <v>-6.4594322098557574E-2</v>
      </c>
    </row>
    <row r="652" spans="2:6" x14ac:dyDescent="0.25">
      <c r="B652" s="1">
        <f t="shared" si="52"/>
        <v>128.40000000000126</v>
      </c>
      <c r="C652" s="1">
        <f t="shared" si="53"/>
        <v>2.7102371156464433</v>
      </c>
      <c r="D652" s="1">
        <f t="shared" si="50"/>
        <v>0.43532044722144642</v>
      </c>
      <c r="E652" s="1">
        <f t="shared" si="54"/>
        <v>0.43532044722144642</v>
      </c>
      <c r="F652" s="1">
        <f t="shared" si="51"/>
        <v>-6.5485572797774894E-2</v>
      </c>
    </row>
    <row r="653" spans="2:6" x14ac:dyDescent="0.25">
      <c r="B653" s="1">
        <f t="shared" si="52"/>
        <v>128.60000000000124</v>
      </c>
      <c r="C653" s="1">
        <f t="shared" si="53"/>
        <v>2.7973012050907324</v>
      </c>
      <c r="D653" s="1">
        <f t="shared" si="50"/>
        <v>0.42222333266189144</v>
      </c>
      <c r="E653" s="1">
        <f t="shared" si="54"/>
        <v>0.42222333266189144</v>
      </c>
      <c r="F653" s="1">
        <f t="shared" si="51"/>
        <v>-6.6325442275733809E-2</v>
      </c>
    </row>
    <row r="654" spans="2:6" x14ac:dyDescent="0.25">
      <c r="B654" s="1">
        <f t="shared" si="52"/>
        <v>128.80000000000123</v>
      </c>
      <c r="C654" s="1">
        <f t="shared" si="53"/>
        <v>2.8817458716231106</v>
      </c>
      <c r="D654" s="1">
        <f t="shared" si="50"/>
        <v>0.40895824420674465</v>
      </c>
      <c r="E654" s="1">
        <f t="shared" si="54"/>
        <v>0.40895824420674465</v>
      </c>
      <c r="F654" s="1">
        <f t="shared" si="51"/>
        <v>-6.7113815923366599E-2</v>
      </c>
    </row>
    <row r="655" spans="2:6" x14ac:dyDescent="0.25">
      <c r="B655" s="1">
        <f t="shared" si="52"/>
        <v>129.00000000000122</v>
      </c>
      <c r="C655" s="1">
        <f t="shared" si="53"/>
        <v>2.9635375204644596</v>
      </c>
      <c r="D655" s="1">
        <f t="shared" si="50"/>
        <v>0.39553548102207131</v>
      </c>
      <c r="E655" s="1">
        <f t="shared" si="54"/>
        <v>0.39553548102207131</v>
      </c>
      <c r="F655" s="1">
        <f t="shared" si="51"/>
        <v>-6.7850614455437663E-2</v>
      </c>
    </row>
    <row r="656" spans="2:6" x14ac:dyDescent="0.25">
      <c r="B656" s="1">
        <f t="shared" si="52"/>
        <v>129.20000000000121</v>
      </c>
      <c r="C656" s="1">
        <f t="shared" si="53"/>
        <v>3.0426446166688739</v>
      </c>
      <c r="D656" s="1">
        <f t="shared" si="50"/>
        <v>0.38196535813098376</v>
      </c>
      <c r="E656" s="1">
        <f t="shared" si="54"/>
        <v>0.38196535813098376</v>
      </c>
      <c r="F656" s="1">
        <f t="shared" si="51"/>
        <v>-6.853579365726048E-2</v>
      </c>
    </row>
    <row r="657" spans="2:6" x14ac:dyDescent="0.25">
      <c r="B657" s="1">
        <f t="shared" si="52"/>
        <v>129.4000000000012</v>
      </c>
      <c r="C657" s="1">
        <f t="shared" si="53"/>
        <v>3.1190376882950708</v>
      </c>
      <c r="D657" s="1">
        <f t="shared" si="50"/>
        <v>0.36825819939953164</v>
      </c>
      <c r="E657" s="1">
        <f t="shared" si="54"/>
        <v>0.36825819939953164</v>
      </c>
      <c r="F657" s="1">
        <f t="shared" si="51"/>
        <v>-6.9169344110229319E-2</v>
      </c>
    </row>
    <row r="658" spans="2:6" x14ac:dyDescent="0.25">
      <c r="B658" s="1">
        <f t="shared" si="52"/>
        <v>129.60000000000119</v>
      </c>
      <c r="C658" s="1">
        <f t="shared" si="53"/>
        <v>3.1926893281749771</v>
      </c>
      <c r="D658" s="1">
        <f t="shared" si="50"/>
        <v>0.35442433057748579</v>
      </c>
      <c r="E658" s="1">
        <f t="shared" si="54"/>
        <v>0.35442433057748579</v>
      </c>
      <c r="F658" s="1">
        <f t="shared" si="51"/>
        <v>-6.9751290896532286E-2</v>
      </c>
    </row>
    <row r="659" spans="2:6" x14ac:dyDescent="0.25">
      <c r="B659" s="1">
        <f t="shared" si="52"/>
        <v>129.80000000000118</v>
      </c>
      <c r="C659" s="1">
        <f t="shared" si="53"/>
        <v>3.2635741942904741</v>
      </c>
      <c r="D659" s="1">
        <f t="shared" si="50"/>
        <v>0.34047407239817934</v>
      </c>
      <c r="E659" s="1">
        <f t="shared" si="54"/>
        <v>0.34047407239817934</v>
      </c>
      <c r="F659" s="1">
        <f t="shared" si="51"/>
        <v>-7.0281693283422944E-2</v>
      </c>
    </row>
    <row r="660" spans="2:6" x14ac:dyDescent="0.25">
      <c r="B660" s="1">
        <f t="shared" si="52"/>
        <v>130.00000000000117</v>
      </c>
      <c r="C660" s="1">
        <f t="shared" si="53"/>
        <v>3.3316690087701102</v>
      </c>
      <c r="D660" s="1">
        <f t="shared" si="50"/>
        <v>0.32641773374149474</v>
      </c>
      <c r="E660" s="1">
        <f t="shared" si="54"/>
        <v>0.32641773374149474</v>
      </c>
      <c r="F660" s="1">
        <f t="shared" si="51"/>
        <v>-7.076064438743826E-2</v>
      </c>
    </row>
    <row r="661" spans="2:6" x14ac:dyDescent="0.25">
      <c r="B661" s="1">
        <f t="shared" si="52"/>
        <v>130.20000000000115</v>
      </c>
      <c r="C661" s="1">
        <f t="shared" si="53"/>
        <v>3.3969525555184092</v>
      </c>
      <c r="D661" s="1">
        <f t="shared" si="50"/>
        <v>0.31226560486400712</v>
      </c>
      <c r="E661" s="1">
        <f t="shared" si="54"/>
        <v>0.31226560486400712</v>
      </c>
      <c r="F661" s="1">
        <f t="shared" si="51"/>
        <v>-7.1188270818960481E-2</v>
      </c>
    </row>
    <row r="662" spans="2:6" x14ac:dyDescent="0.25">
      <c r="B662" s="1">
        <f t="shared" si="52"/>
        <v>130.40000000000114</v>
      </c>
      <c r="C662" s="1">
        <f t="shared" si="53"/>
        <v>3.4594056764912109</v>
      </c>
      <c r="D662" s="1">
        <f t="shared" si="50"/>
        <v>0.29802795070021504</v>
      </c>
      <c r="E662" s="1">
        <f t="shared" si="54"/>
        <v>0.29802795070021504</v>
      </c>
      <c r="F662" s="1">
        <f t="shared" si="51"/>
        <v>-7.1564732307530229E-2</v>
      </c>
    </row>
    <row r="663" spans="2:6" x14ac:dyDescent="0.25">
      <c r="B663" s="1">
        <f t="shared" si="52"/>
        <v>130.60000000000113</v>
      </c>
      <c r="C663" s="1">
        <f t="shared" si="53"/>
        <v>3.5190112666312539</v>
      </c>
      <c r="D663" s="1">
        <f t="shared" si="50"/>
        <v>0.28371500423870899</v>
      </c>
      <c r="E663" s="1">
        <f t="shared" si="54"/>
        <v>0.28371500423870899</v>
      </c>
      <c r="F663" s="1">
        <f t="shared" si="51"/>
        <v>-7.1890221308327312E-2</v>
      </c>
    </row>
    <row r="664" spans="2:6" x14ac:dyDescent="0.25">
      <c r="B664" s="1">
        <f t="shared" si="52"/>
        <v>130.80000000000112</v>
      </c>
      <c r="C664" s="1">
        <f t="shared" si="53"/>
        <v>3.5757542674789957</v>
      </c>
      <c r="D664" s="1">
        <f t="shared" si="50"/>
        <v>0.26933695997704354</v>
      </c>
      <c r="E664" s="1">
        <f t="shared" si="54"/>
        <v>0.26933695997704354</v>
      </c>
      <c r="F664" s="1">
        <f t="shared" si="51"/>
        <v>-7.2164962590245296E-2</v>
      </c>
    </row>
    <row r="665" spans="2:6" x14ac:dyDescent="0.25">
      <c r="B665" s="1">
        <f t="shared" si="52"/>
        <v>131.00000000000111</v>
      </c>
      <c r="C665" s="1">
        <f t="shared" si="53"/>
        <v>3.6296216594744046</v>
      </c>
      <c r="D665" s="1">
        <f t="shared" si="50"/>
        <v>0.25490396745899446</v>
      </c>
      <c r="E665" s="1">
        <f t="shared" si="54"/>
        <v>0.25490396745899446</v>
      </c>
      <c r="F665" s="1">
        <f t="shared" si="51"/>
        <v>-7.2389212805993156E-2</v>
      </c>
    </row>
    <row r="666" spans="2:6" x14ac:dyDescent="0.25">
      <c r="B666" s="1">
        <f t="shared" si="52"/>
        <v>131.2000000000011</v>
      </c>
      <c r="C666" s="1">
        <f t="shared" si="53"/>
        <v>3.6806024529662036</v>
      </c>
      <c r="D666" s="1">
        <f t="shared" si="50"/>
        <v>0.24042612489779583</v>
      </c>
      <c r="E666" s="1">
        <f t="shared" si="54"/>
        <v>0.24042612489779583</v>
      </c>
      <c r="F666" s="1">
        <f t="shared" si="51"/>
        <v>-7.2563260044667205E-2</v>
      </c>
    </row>
    <row r="667" spans="2:6" x14ac:dyDescent="0.25">
      <c r="B667" s="1">
        <f t="shared" si="52"/>
        <v>131.40000000000109</v>
      </c>
      <c r="C667" s="1">
        <f t="shared" si="53"/>
        <v>3.7286876779457629</v>
      </c>
      <c r="D667" s="1">
        <f t="shared" si="50"/>
        <v>0.22591347288886238</v>
      </c>
      <c r="E667" s="1">
        <f t="shared" si="54"/>
        <v>0.22591347288886238</v>
      </c>
      <c r="F667" s="1">
        <f t="shared" si="51"/>
        <v>-7.2687423367242973E-2</v>
      </c>
    </row>
    <row r="668" spans="2:6" x14ac:dyDescent="0.25">
      <c r="B668" s="1">
        <f t="shared" si="52"/>
        <v>131.60000000000107</v>
      </c>
      <c r="C668" s="1">
        <f t="shared" si="53"/>
        <v>3.7738703725235356</v>
      </c>
      <c r="D668" s="1">
        <f t="shared" si="50"/>
        <v>0.21137598821541378</v>
      </c>
      <c r="E668" s="1">
        <f t="shared" si="54"/>
        <v>0.21137598821541378</v>
      </c>
      <c r="F668" s="1">
        <f t="shared" si="51"/>
        <v>-7.2762052325444901E-2</v>
      </c>
    </row>
    <row r="669" spans="2:6" x14ac:dyDescent="0.25">
      <c r="B669" s="1">
        <f t="shared" si="52"/>
        <v>131.80000000000106</v>
      </c>
      <c r="C669" s="1">
        <f t="shared" si="53"/>
        <v>3.8161455701666185</v>
      </c>
      <c r="D669" s="1">
        <f t="shared" si="50"/>
        <v>0.1968235777503248</v>
      </c>
      <c r="E669" s="1">
        <f t="shared" si="54"/>
        <v>0.1968235777503248</v>
      </c>
      <c r="F669" s="1">
        <f t="shared" si="51"/>
        <v>-7.2787526464458796E-2</v>
      </c>
    </row>
    <row r="670" spans="2:6" x14ac:dyDescent="0.25">
      <c r="B670" s="1">
        <f t="shared" si="52"/>
        <v>132.00000000000105</v>
      </c>
      <c r="C670" s="1">
        <f t="shared" si="53"/>
        <v>3.8555102857166834</v>
      </c>
      <c r="D670" s="1">
        <f t="shared" si="50"/>
        <v>0.18226607245743304</v>
      </c>
      <c r="E670" s="1">
        <f t="shared" si="54"/>
        <v>0.18226607245743304</v>
      </c>
      <c r="F670" s="1">
        <f t="shared" si="51"/>
        <v>-7.2764254809958268E-2</v>
      </c>
    </row>
    <row r="671" spans="2:6" x14ac:dyDescent="0.25">
      <c r="B671" s="1">
        <f t="shared" si="52"/>
        <v>132.20000000000104</v>
      </c>
      <c r="C671" s="1">
        <f t="shared" si="53"/>
        <v>3.8919635002081701</v>
      </c>
      <c r="D671" s="1">
        <f t="shared" si="50"/>
        <v>0.16771322149544138</v>
      </c>
      <c r="E671" s="1">
        <f t="shared" si="54"/>
        <v>0.16771322149544138</v>
      </c>
      <c r="F671" s="1">
        <f t="shared" si="51"/>
        <v>-7.2692675339923435E-2</v>
      </c>
    </row>
    <row r="672" spans="2:6" x14ac:dyDescent="0.25">
      <c r="B672" s="1">
        <f t="shared" si="52"/>
        <v>132.40000000000103</v>
      </c>
      <c r="C672" s="1">
        <f t="shared" si="53"/>
        <v>3.9255061445072585</v>
      </c>
      <c r="D672" s="1">
        <f t="shared" si="50"/>
        <v>0.15317468642745669</v>
      </c>
      <c r="E672" s="1">
        <f t="shared" si="54"/>
        <v>0.15317468642745669</v>
      </c>
      <c r="F672" s="1">
        <f t="shared" si="51"/>
        <v>-7.2573254441735624E-2</v>
      </c>
    </row>
    <row r="673" spans="2:6" x14ac:dyDescent="0.25">
      <c r="B673" s="1">
        <f t="shared" si="52"/>
        <v>132.60000000000102</v>
      </c>
      <c r="C673" s="1">
        <f t="shared" si="53"/>
        <v>3.95614108179275</v>
      </c>
      <c r="D673" s="1">
        <f t="shared" si="50"/>
        <v>0.13866003553910955</v>
      </c>
      <c r="E673" s="1">
        <f t="shared" si="54"/>
        <v>0.13866003553910955</v>
      </c>
      <c r="F673" s="1">
        <f t="shared" si="51"/>
        <v>-7.2406486355037603E-2</v>
      </c>
    </row>
    <row r="674" spans="2:6" x14ac:dyDescent="0.25">
      <c r="B674" s="1">
        <f t="shared" si="52"/>
        <v>132.80000000000101</v>
      </c>
      <c r="C674" s="1">
        <f t="shared" si="53"/>
        <v>3.9838730889005718</v>
      </c>
      <c r="D674" s="1">
        <f t="shared" si="50"/>
        <v>0.12417873826810202</v>
      </c>
      <c r="E674" s="1">
        <f t="shared" si="54"/>
        <v>0.12417873826810202</v>
      </c>
      <c r="F674" s="1">
        <f t="shared" si="51"/>
        <v>-7.2192892600854291E-2</v>
      </c>
    </row>
    <row r="675" spans="2:6" x14ac:dyDescent="0.25">
      <c r="B675" s="1">
        <f t="shared" si="52"/>
        <v>133.00000000000099</v>
      </c>
      <c r="C675" s="1">
        <f t="shared" si="53"/>
        <v>4.0087088365541925</v>
      </c>
      <c r="D675" s="1">
        <f t="shared" si="50"/>
        <v>0.10974015974793117</v>
      </c>
      <c r="E675" s="1">
        <f t="shared" si="54"/>
        <v>0.10974015974793117</v>
      </c>
      <c r="F675" s="1">
        <f t="shared" si="51"/>
        <v>-7.1933021397473332E-2</v>
      </c>
    </row>
    <row r="676" spans="2:6" x14ac:dyDescent="0.25">
      <c r="B676" s="1">
        <f t="shared" si="52"/>
        <v>133.20000000000098</v>
      </c>
      <c r="C676" s="1">
        <f t="shared" si="53"/>
        <v>4.0306568685037787</v>
      </c>
      <c r="D676" s="1">
        <f t="shared" si="50"/>
        <v>9.5353555468436491E-2</v>
      </c>
      <c r="E676" s="1">
        <f t="shared" si="54"/>
        <v>9.5353555468436491E-2</v>
      </c>
      <c r="F676" s="1">
        <f t="shared" si="51"/>
        <v>-7.1627447063590019E-2</v>
      </c>
    </row>
    <row r="677" spans="2:6" x14ac:dyDescent="0.25">
      <c r="B677" s="1">
        <f t="shared" si="52"/>
        <v>133.40000000000097</v>
      </c>
      <c r="C677" s="1">
        <f t="shared" si="53"/>
        <v>4.0497275795974659</v>
      </c>
      <c r="D677" s="1">
        <f t="shared" si="50"/>
        <v>8.1028066055718481E-2</v>
      </c>
      <c r="E677" s="1">
        <f t="shared" si="54"/>
        <v>8.1028066055718481E-2</v>
      </c>
      <c r="F677" s="1">
        <f t="shared" si="51"/>
        <v>-7.1276769409224644E-2</v>
      </c>
    </row>
    <row r="678" spans="2:6" x14ac:dyDescent="0.25">
      <c r="B678" s="1">
        <f t="shared" si="52"/>
        <v>133.60000000000096</v>
      </c>
      <c r="C678" s="1">
        <f t="shared" si="53"/>
        <v>4.0659331928086093</v>
      </c>
      <c r="D678" s="1">
        <f t="shared" si="50"/>
        <v>6.6772712173873552E-2</v>
      </c>
      <c r="E678" s="1">
        <f t="shared" si="54"/>
        <v>6.6772712173873552E-2</v>
      </c>
      <c r="F678" s="1">
        <f t="shared" si="51"/>
        <v>-7.0881613114924261E-2</v>
      </c>
    </row>
    <row r="679" spans="2:6" x14ac:dyDescent="0.25">
      <c r="B679" s="1">
        <f t="shared" si="52"/>
        <v>133.80000000000095</v>
      </c>
      <c r="C679" s="1">
        <f t="shared" si="53"/>
        <v>4.0792877352433843</v>
      </c>
      <c r="D679" s="1">
        <f t="shared" si="50"/>
        <v>5.2596389550888703E-2</v>
      </c>
      <c r="E679" s="1">
        <f t="shared" si="54"/>
        <v>5.2596389550888703E-2</v>
      </c>
      <c r="F679" s="1">
        <f t="shared" si="51"/>
        <v>-7.0442627099764552E-2</v>
      </c>
    </row>
    <row r="680" spans="2:6" x14ac:dyDescent="0.25">
      <c r="B680" s="1">
        <f t="shared" si="52"/>
        <v>134.00000000000094</v>
      </c>
      <c r="C680" s="1">
        <f t="shared" si="53"/>
        <v>4.0898070131535622</v>
      </c>
      <c r="D680" s="1">
        <f t="shared" si="50"/>
        <v>3.8507864130935793E-2</v>
      </c>
      <c r="E680" s="1">
        <f t="shared" si="54"/>
        <v>3.8507864130935793E-2</v>
      </c>
      <c r="F680" s="1">
        <f t="shared" si="51"/>
        <v>-6.996048387866971E-2</v>
      </c>
    </row>
    <row r="681" spans="2:6" x14ac:dyDescent="0.25">
      <c r="B681" s="1">
        <f t="shared" si="52"/>
        <v>134.20000000000093</v>
      </c>
      <c r="C681" s="1">
        <f t="shared" si="53"/>
        <v>4.0975085859797495</v>
      </c>
      <c r="D681" s="1">
        <f t="shared" si="50"/>
        <v>2.4515767355201848E-2</v>
      </c>
      <c r="E681" s="1">
        <f t="shared" si="54"/>
        <v>2.4515767355201848E-2</v>
      </c>
      <c r="F681" s="1">
        <f t="shared" si="51"/>
        <v>-6.943587890957191E-2</v>
      </c>
    </row>
    <row r="682" spans="2:6" x14ac:dyDescent="0.25">
      <c r="B682" s="1">
        <f t="shared" si="52"/>
        <v>134.40000000000092</v>
      </c>
      <c r="C682" s="1">
        <f t="shared" si="53"/>
        <v>4.1024117394507895</v>
      </c>
      <c r="D682" s="1">
        <f t="shared" si="50"/>
        <v>1.0628591573287466E-2</v>
      </c>
      <c r="E682" s="1">
        <f t="shared" si="54"/>
        <v>1.0628591573287466E-2</v>
      </c>
      <c r="F682" s="1">
        <f t="shared" si="51"/>
        <v>-6.8869529930933246E-2</v>
      </c>
    </row>
    <row r="683" spans="2:6" x14ac:dyDescent="0.25">
      <c r="B683" s="1">
        <f t="shared" si="52"/>
        <v>134.6000000000009</v>
      </c>
      <c r="C683" s="1">
        <f t="shared" si="53"/>
        <v>4.1045374577654474</v>
      </c>
      <c r="D683" s="1">
        <f t="shared" si="50"/>
        <v>-3.1453144128991833E-3</v>
      </c>
      <c r="E683" s="1">
        <f t="shared" si="54"/>
        <v>-3.1453144128991833E-3</v>
      </c>
      <c r="F683" s="1">
        <f t="shared" si="51"/>
        <v>-6.8262176290155505E-2</v>
      </c>
    </row>
    <row r="684" spans="2:6" x14ac:dyDescent="0.25">
      <c r="B684" s="1">
        <f t="shared" si="52"/>
        <v>134.80000000000089</v>
      </c>
      <c r="C684" s="1">
        <f t="shared" si="53"/>
        <v>4.1039083948828674</v>
      </c>
      <c r="D684" s="1">
        <f t="shared" si="50"/>
        <v>-1.6797749670930284E-2</v>
      </c>
      <c r="E684" s="1">
        <f t="shared" si="54"/>
        <v>-1.6797749670930284E-2</v>
      </c>
      <c r="F684" s="1">
        <f t="shared" si="51"/>
        <v>-6.7614578263404376E-2</v>
      </c>
    </row>
    <row r="685" spans="2:6" x14ac:dyDescent="0.25">
      <c r="B685" s="1">
        <f t="shared" si="52"/>
        <v>135.00000000000088</v>
      </c>
      <c r="C685" s="1">
        <f t="shared" si="53"/>
        <v>4.1005488449486815</v>
      </c>
      <c r="D685" s="1">
        <f t="shared" si="50"/>
        <v>-3.0320665323611162E-2</v>
      </c>
      <c r="E685" s="1">
        <f t="shared" si="54"/>
        <v>-3.0320665323611162E-2</v>
      </c>
      <c r="F685" s="1">
        <f t="shared" si="51"/>
        <v>-6.6927516367376164E-2</v>
      </c>
    </row>
    <row r="686" spans="2:6" x14ac:dyDescent="0.25">
      <c r="B686" s="1">
        <f t="shared" si="52"/>
        <v>135.20000000000087</v>
      </c>
      <c r="C686" s="1">
        <f t="shared" si="53"/>
        <v>4.0944847118839593</v>
      </c>
      <c r="D686" s="1">
        <f t="shared" si="50"/>
        <v>-4.3706168597086398E-2</v>
      </c>
      <c r="E686" s="1">
        <f t="shared" si="54"/>
        <v>-4.3706168597086398E-2</v>
      </c>
      <c r="F686" s="1">
        <f t="shared" si="51"/>
        <v>-6.6201790663535293E-2</v>
      </c>
    </row>
    <row r="687" spans="2:6" x14ac:dyDescent="0.25">
      <c r="B687" s="1">
        <f t="shared" si="52"/>
        <v>135.40000000000086</v>
      </c>
      <c r="C687" s="1">
        <f t="shared" si="53"/>
        <v>4.0857434781645416</v>
      </c>
      <c r="D687" s="1">
        <f t="shared" si="50"/>
        <v>-5.6946526729793459E-2</v>
      </c>
      <c r="E687" s="1">
        <f t="shared" si="54"/>
        <v>-5.6946526729793459E-2</v>
      </c>
      <c r="F687" s="1">
        <f t="shared" si="51"/>
        <v>-6.5438220055352006E-2</v>
      </c>
    </row>
    <row r="688" spans="2:6" x14ac:dyDescent="0.25">
      <c r="B688" s="1">
        <f t="shared" si="52"/>
        <v>135.60000000000085</v>
      </c>
      <c r="C688" s="1">
        <f t="shared" si="53"/>
        <v>4.074354172818583</v>
      </c>
      <c r="D688" s="1">
        <f t="shared" si="50"/>
        <v>-7.0034170740863863E-2</v>
      </c>
      <c r="E688" s="1">
        <f t="shared" si="54"/>
        <v>-7.0034170740863863E-2</v>
      </c>
      <c r="F688" s="1">
        <f t="shared" si="51"/>
        <v>-6.4637641579069399E-2</v>
      </c>
    </row>
    <row r="689" spans="2:6" x14ac:dyDescent="0.25">
      <c r="B689" s="1">
        <f t="shared" si="52"/>
        <v>135.80000000000084</v>
      </c>
      <c r="C689" s="1">
        <f t="shared" si="53"/>
        <v>4.0603473386704101</v>
      </c>
      <c r="D689" s="1">
        <f t="shared" si="50"/>
        <v>-8.2961699056677746E-2</v>
      </c>
      <c r="E689" s="1">
        <f t="shared" si="54"/>
        <v>-8.2961699056677746E-2</v>
      </c>
      <c r="F689" s="1">
        <f t="shared" si="51"/>
        <v>-6.3800909688528543E-2</v>
      </c>
    </row>
    <row r="690" spans="2:6" x14ac:dyDescent="0.25">
      <c r="B690" s="1">
        <f t="shared" si="52"/>
        <v>136.00000000000082</v>
      </c>
      <c r="C690" s="1">
        <f t="shared" si="53"/>
        <v>4.0437549988590744</v>
      </c>
      <c r="D690" s="1">
        <f t="shared" si="50"/>
        <v>-9.572188099438346E-2</v>
      </c>
      <c r="E690" s="1">
        <f t="shared" si="54"/>
        <v>-9.572188099438346E-2</v>
      </c>
      <c r="F690" s="1">
        <f t="shared" si="51"/>
        <v>-6.2928895534580018E-2</v>
      </c>
    </row>
    <row r="691" spans="2:6" x14ac:dyDescent="0.25">
      <c r="B691" s="1">
        <f t="shared" si="52"/>
        <v>136.20000000000081</v>
      </c>
      <c r="C691" s="1">
        <f t="shared" si="53"/>
        <v>4.0246106226601981</v>
      </c>
      <c r="D691" s="1">
        <f t="shared" si="50"/>
        <v>-0.10830766010129947</v>
      </c>
      <c r="E691" s="1">
        <f t="shared" si="54"/>
        <v>-0.10830766010129947</v>
      </c>
      <c r="F691" s="1">
        <f t="shared" si="51"/>
        <v>-6.2022486239609334E-2</v>
      </c>
    </row>
    <row r="692" spans="2:6" x14ac:dyDescent="0.25">
      <c r="B692" s="1">
        <f t="shared" si="52"/>
        <v>136.4000000000008</v>
      </c>
      <c r="C692" s="1">
        <f t="shared" si="53"/>
        <v>4.0029490906399383</v>
      </c>
      <c r="D692" s="1">
        <f t="shared" si="50"/>
        <v>-0.12071215734922133</v>
      </c>
      <c r="E692" s="1">
        <f t="shared" si="54"/>
        <v>-0.12071215734922133</v>
      </c>
      <c r="F692" s="1">
        <f t="shared" si="51"/>
        <v>-6.108258416770198E-2</v>
      </c>
    </row>
    <row r="693" spans="2:6" x14ac:dyDescent="0.25">
      <c r="B693" s="1">
        <f t="shared" si="52"/>
        <v>136.60000000000079</v>
      </c>
      <c r="C693" s="1">
        <f t="shared" si="53"/>
        <v>3.9788066591700941</v>
      </c>
      <c r="D693" s="1">
        <f t="shared" si="50"/>
        <v>-0.13292867418276172</v>
      </c>
      <c r="E693" s="1">
        <f t="shared" si="54"/>
        <v>-0.13292867418276172</v>
      </c>
      <c r="F693" s="1">
        <f t="shared" si="51"/>
        <v>-6.0110106190972699E-2</v>
      </c>
    </row>
    <row r="694" spans="2:6" x14ac:dyDescent="0.25">
      <c r="B694" s="1">
        <f t="shared" si="52"/>
        <v>136.80000000000078</v>
      </c>
      <c r="C694" s="1">
        <f t="shared" si="53"/>
        <v>3.9522209243335418</v>
      </c>
      <c r="D694" s="1">
        <f t="shared" si="50"/>
        <v>-0.14495069542095626</v>
      </c>
      <c r="E694" s="1">
        <f t="shared" si="54"/>
        <v>-0.14495069542095626</v>
      </c>
      <c r="F694" s="1">
        <f t="shared" si="51"/>
        <v>-5.9105982952581078E-2</v>
      </c>
    </row>
    <row r="695" spans="2:6" x14ac:dyDescent="0.25">
      <c r="B695" s="1">
        <f t="shared" si="52"/>
        <v>137.00000000000077</v>
      </c>
      <c r="C695" s="1">
        <f t="shared" si="53"/>
        <v>3.9232307852493506</v>
      </c>
      <c r="D695" s="1">
        <f t="shared" si="50"/>
        <v>-0.15677189201147249</v>
      </c>
      <c r="E695" s="1">
        <f t="shared" si="54"/>
        <v>-0.15677189201147249</v>
      </c>
      <c r="F695" s="1">
        <f t="shared" si="51"/>
        <v>-5.8071158126953806E-2</v>
      </c>
    </row>
    <row r="696" spans="2:6" x14ac:dyDescent="0.25">
      <c r="B696" s="1">
        <f t="shared" si="52"/>
        <v>137.20000000000076</v>
      </c>
      <c r="C696" s="1">
        <f t="shared" si="53"/>
        <v>3.8918764068470559</v>
      </c>
      <c r="D696" s="1">
        <f t="shared" si="50"/>
        <v>-0.16838612363686326</v>
      </c>
      <c r="E696" s="1">
        <f t="shared" si="54"/>
        <v>-0.16838612363686326</v>
      </c>
      <c r="F696" s="1">
        <f t="shared" si="51"/>
        <v>-5.7006587677730661E-2</v>
      </c>
    </row>
    <row r="697" spans="2:6" x14ac:dyDescent="0.25">
      <c r="B697" s="1">
        <f t="shared" si="52"/>
        <v>137.40000000000074</v>
      </c>
      <c r="C697" s="1">
        <f t="shared" si="53"/>
        <v>3.8581991821196833</v>
      </c>
      <c r="D697" s="1">
        <f t="shared" si="50"/>
        <v>-0.17978744117240938</v>
      </c>
      <c r="E697" s="1">
        <f t="shared" si="54"/>
        <v>-0.17978744117240938</v>
      </c>
      <c r="F697" s="1">
        <f t="shared" si="51"/>
        <v>-5.5913239113948951E-2</v>
      </c>
    </row>
    <row r="698" spans="2:6" x14ac:dyDescent="0.25">
      <c r="B698" s="1">
        <f t="shared" si="52"/>
        <v>137.60000000000073</v>
      </c>
      <c r="C698" s="1">
        <f t="shared" si="53"/>
        <v>3.8222416938852013</v>
      </c>
      <c r="D698" s="1">
        <f t="shared" si="50"/>
        <v>-0.19097008899519918</v>
      </c>
      <c r="E698" s="1">
        <f t="shared" si="54"/>
        <v>-0.19097008899519918</v>
      </c>
      <c r="F698" s="1">
        <f t="shared" si="51"/>
        <v>-5.4792090744977401E-2</v>
      </c>
    </row>
    <row r="699" spans="2:6" x14ac:dyDescent="0.25">
      <c r="B699" s="1">
        <f t="shared" si="52"/>
        <v>137.80000000000072</v>
      </c>
      <c r="C699" s="1">
        <f t="shared" si="53"/>
        <v>3.7840476760861614</v>
      </c>
      <c r="D699" s="1">
        <f t="shared" si="50"/>
        <v>-0.20192850714419466</v>
      </c>
      <c r="E699" s="1">
        <f t="shared" si="54"/>
        <v>-0.20192850714419466</v>
      </c>
      <c r="F699" s="1">
        <f t="shared" si="51"/>
        <v>-5.3644130934706949E-2</v>
      </c>
    </row>
    <row r="700" spans="2:6" x14ac:dyDescent="0.25">
      <c r="B700" s="1">
        <f t="shared" si="52"/>
        <v>138.00000000000071</v>
      </c>
      <c r="C700" s="1">
        <f t="shared" si="53"/>
        <v>3.7436619746573223</v>
      </c>
      <c r="D700" s="1">
        <f t="shared" si="50"/>
        <v>-0.21265733333113607</v>
      </c>
      <c r="E700" s="1">
        <f t="shared" si="54"/>
        <v>-0.21265733333113607</v>
      </c>
      <c r="F700" s="1">
        <f t="shared" si="51"/>
        <v>-5.2470357355502359E-2</v>
      </c>
    </row>
    <row r="701" spans="2:6" x14ac:dyDescent="0.25">
      <c r="B701" s="1">
        <f t="shared" si="52"/>
        <v>138.2000000000007</v>
      </c>
      <c r="C701" s="1">
        <f t="shared" si="53"/>
        <v>3.701130507991095</v>
      </c>
      <c r="D701" s="1">
        <f t="shared" si="50"/>
        <v>-0.22315140480223655</v>
      </c>
      <c r="E701" s="1">
        <f t="shared" si="54"/>
        <v>-0.22315140480223655</v>
      </c>
      <c r="F701" s="1">
        <f t="shared" si="51"/>
        <v>-5.1271776242413872E-2</v>
      </c>
    </row>
    <row r="702" spans="2:6" x14ac:dyDescent="0.25">
      <c r="B702" s="1">
        <f t="shared" si="52"/>
        <v>138.40000000000069</v>
      </c>
      <c r="C702" s="1">
        <f t="shared" si="53"/>
        <v>3.6565002270306475</v>
      </c>
      <c r="D702" s="1">
        <f t="shared" si="50"/>
        <v>-0.23340576005071934</v>
      </c>
      <c r="E702" s="1">
        <f t="shared" si="54"/>
        <v>-0.23340576005071934</v>
      </c>
      <c r="F702" s="1">
        <f t="shared" si="51"/>
        <v>-5.0049401648143893E-2</v>
      </c>
    </row>
    <row r="703" spans="2:6" x14ac:dyDescent="0.25">
      <c r="B703" s="1">
        <f t="shared" si="52"/>
        <v>138.60000000000068</v>
      </c>
      <c r="C703" s="1">
        <f t="shared" si="53"/>
        <v>3.6098190750205035</v>
      </c>
      <c r="D703" s="1">
        <f t="shared" si="50"/>
        <v>-0.2434156403803481</v>
      </c>
      <c r="E703" s="1">
        <f t="shared" si="54"/>
        <v>-0.2434156403803481</v>
      </c>
      <c r="F703" s="1">
        <f t="shared" si="51"/>
        <v>-4.8804254699258823E-2</v>
      </c>
    </row>
    <row r="704" spans="2:6" x14ac:dyDescent="0.25">
      <c r="B704" s="1">
        <f t="shared" si="52"/>
        <v>138.80000000000067</v>
      </c>
      <c r="C704" s="1">
        <f t="shared" si="53"/>
        <v>3.5611359469444337</v>
      </c>
      <c r="D704" s="1">
        <f t="shared" si="50"/>
        <v>-0.25317649132019987</v>
      </c>
      <c r="E704" s="1">
        <f t="shared" si="54"/>
        <v>-0.25317649132019987</v>
      </c>
      <c r="F704" s="1">
        <f t="shared" si="51"/>
        <v>-4.7537362854131238E-2</v>
      </c>
    </row>
    <row r="705" spans="2:6" x14ac:dyDescent="0.25">
      <c r="B705" s="1">
        <f t="shared" si="52"/>
        <v>139.00000000000065</v>
      </c>
      <c r="C705" s="1">
        <f t="shared" si="53"/>
        <v>3.5105006486803938</v>
      </c>
      <c r="D705" s="1">
        <f t="shared" si="50"/>
        <v>-0.26268396389102611</v>
      </c>
      <c r="E705" s="1">
        <f t="shared" si="54"/>
        <v>-0.26268396389102611</v>
      </c>
      <c r="F705" s="1">
        <f t="shared" si="51"/>
        <v>-4.6249759163092014E-2</v>
      </c>
    </row>
    <row r="706" spans="2:6" x14ac:dyDescent="0.25">
      <c r="B706" s="1">
        <f t="shared" si="52"/>
        <v>139.20000000000064</v>
      </c>
      <c r="C706" s="1">
        <f t="shared" si="53"/>
        <v>3.4579638559021886</v>
      </c>
      <c r="D706" s="1">
        <f t="shared" si="50"/>
        <v>-0.2719339157236445</v>
      </c>
      <c r="E706" s="1">
        <f t="shared" si="54"/>
        <v>-0.2719339157236445</v>
      </c>
      <c r="F706" s="1">
        <f t="shared" si="51"/>
        <v>-4.4942481531266398E-2</v>
      </c>
    </row>
    <row r="707" spans="2:6" x14ac:dyDescent="0.25">
      <c r="B707" s="1">
        <f t="shared" si="52"/>
        <v>139.40000000000063</v>
      </c>
      <c r="C707" s="1">
        <f t="shared" si="53"/>
        <v>3.4035770727574595</v>
      </c>
      <c r="D707" s="1">
        <f t="shared" si="50"/>
        <v>-0.28092241202989776</v>
      </c>
      <c r="E707" s="1">
        <f t="shared" si="54"/>
        <v>-0.28092241202989776</v>
      </c>
      <c r="F707" s="1">
        <f t="shared" si="51"/>
        <v>-4.3616571984562431E-2</v>
      </c>
    </row>
    <row r="708" spans="2:6" x14ac:dyDescent="0.25">
      <c r="B708" s="1">
        <f t="shared" si="52"/>
        <v>139.60000000000062</v>
      </c>
      <c r="C708" s="1">
        <f t="shared" si="53"/>
        <v>3.3473925903514798</v>
      </c>
      <c r="D708" s="1">
        <f t="shared" si="50"/>
        <v>-0.28964572642681025</v>
      </c>
      <c r="E708" s="1">
        <f t="shared" si="54"/>
        <v>-0.28964572642681025</v>
      </c>
      <c r="F708" s="1">
        <f t="shared" si="51"/>
        <v>-4.2273075939273527E-2</v>
      </c>
    </row>
    <row r="709" spans="2:6" x14ac:dyDescent="0.25">
      <c r="B709" s="1">
        <f t="shared" si="52"/>
        <v>139.80000000000061</v>
      </c>
      <c r="C709" s="1">
        <f t="shared" si="53"/>
        <v>3.2894634450661178</v>
      </c>
      <c r="D709" s="1">
        <f t="shared" si="50"/>
        <v>-0.29810034161466498</v>
      </c>
      <c r="E709" s="1">
        <f t="shared" si="54"/>
        <v>-0.29810034161466498</v>
      </c>
      <c r="F709" s="1">
        <f t="shared" si="51"/>
        <v>-4.0913041475750936E-2</v>
      </c>
    </row>
    <row r="710" spans="2:6" x14ac:dyDescent="0.25">
      <c r="B710" s="1">
        <f t="shared" si="52"/>
        <v>140.0000000000006</v>
      </c>
      <c r="C710" s="1">
        <f t="shared" si="53"/>
        <v>3.2298433767431849</v>
      </c>
      <c r="D710" s="1">
        <f t="shared" si="50"/>
        <v>-0.30628294990981514</v>
      </c>
      <c r="E710" s="1">
        <f t="shared" si="54"/>
        <v>-0.30628294990981514</v>
      </c>
      <c r="F710" s="1">
        <f t="shared" si="51"/>
        <v>-3.9537518616595047E-2</v>
      </c>
    </row>
    <row r="711" spans="2:6" x14ac:dyDescent="0.25">
      <c r="B711" s="1">
        <f t="shared" si="52"/>
        <v>140.20000000000059</v>
      </c>
      <c r="C711" s="1">
        <f t="shared" si="53"/>
        <v>3.1685867867612219</v>
      </c>
      <c r="D711" s="1">
        <f t="shared" si="50"/>
        <v>-0.31419045363313414</v>
      </c>
      <c r="E711" s="1">
        <f t="shared" si="54"/>
        <v>-0.31419045363313414</v>
      </c>
      <c r="F711" s="1">
        <f t="shared" si="51"/>
        <v>-3.8147558609807439E-2</v>
      </c>
    </row>
    <row r="712" spans="2:6" x14ac:dyDescent="0.25">
      <c r="B712" s="1">
        <f t="shared" si="52"/>
        <v>140.40000000000057</v>
      </c>
      <c r="C712" s="1">
        <f t="shared" si="53"/>
        <v>3.105748696034595</v>
      </c>
      <c r="D712" s="1">
        <f t="shared" si="50"/>
        <v>-0.32181996535509561</v>
      </c>
      <c r="E712" s="1">
        <f t="shared" si="54"/>
        <v>-0.32181996535509561</v>
      </c>
      <c r="F712" s="1">
        <f t="shared" si="51"/>
        <v>-3.6744213217338798E-2</v>
      </c>
    </row>
    <row r="713" spans="2:6" x14ac:dyDescent="0.25">
      <c r="B713" s="1">
        <f t="shared" si="52"/>
        <v>140.60000000000056</v>
      </c>
      <c r="C713" s="1">
        <f t="shared" si="53"/>
        <v>3.0413847029635761</v>
      </c>
      <c r="D713" s="1">
        <f t="shared" si="50"/>
        <v>-0.32916880799856335</v>
      </c>
      <c r="E713" s="1">
        <f t="shared" si="54"/>
        <v>-0.32916880799856335</v>
      </c>
      <c r="F713" s="1">
        <f t="shared" si="51"/>
        <v>-3.5328534009459983E-2</v>
      </c>
    </row>
    <row r="714" spans="2:6" x14ac:dyDescent="0.25">
      <c r="B714" s="1">
        <f t="shared" si="52"/>
        <v>140.80000000000055</v>
      </c>
      <c r="C714" s="1">
        <f t="shared" si="53"/>
        <v>2.9755509413638634</v>
      </c>
      <c r="D714" s="1">
        <f t="shared" ref="D714:D777" si="55">E714</f>
        <v>-0.33623451480045535</v>
      </c>
      <c r="E714" s="1">
        <f t="shared" si="54"/>
        <v>-0.33623451480045535</v>
      </c>
      <c r="F714" s="1">
        <f t="shared" ref="F714:F777" si="56">-$C$3*C714/$C$4-$C$2/$C$4*E714</f>
        <v>-3.3901571665376481E-2</v>
      </c>
    </row>
    <row r="715" spans="2:6" x14ac:dyDescent="0.25">
      <c r="B715" s="1">
        <f t="shared" ref="B715:B778" si="57">B714+$C$7</f>
        <v>141.00000000000054</v>
      </c>
      <c r="C715" s="1">
        <f t="shared" ref="C715:C778" si="58">C714+D714*$C$7</f>
        <v>2.9083040384037724</v>
      </c>
      <c r="D715" s="1">
        <f t="shared" si="55"/>
        <v>-0.34301482913353065</v>
      </c>
      <c r="E715" s="1">
        <f t="shared" ref="E715:E778" si="59">E714+F714*$C$7</f>
        <v>-0.34301482913353065</v>
      </c>
      <c r="F715" s="1">
        <f t="shared" si="56"/>
        <v>-3.2464375280498108E-2</v>
      </c>
    </row>
    <row r="716" spans="2:6" x14ac:dyDescent="0.25">
      <c r="B716" s="1">
        <f t="shared" si="57"/>
        <v>141.20000000000053</v>
      </c>
      <c r="C716" s="1">
        <f t="shared" si="58"/>
        <v>2.8397010725770664</v>
      </c>
      <c r="D716" s="1">
        <f t="shared" si="55"/>
        <v>-0.34950770418963029</v>
      </c>
      <c r="E716" s="1">
        <f t="shared" si="59"/>
        <v>-0.34950770418963029</v>
      </c>
      <c r="F716" s="1">
        <f t="shared" si="56"/>
        <v>-3.1017991680768364E-2</v>
      </c>
    </row>
    <row r="717" spans="2:6" x14ac:dyDescent="0.25">
      <c r="B717" s="1">
        <f t="shared" si="57"/>
        <v>141.40000000000052</v>
      </c>
      <c r="C717" s="1">
        <f t="shared" si="58"/>
        <v>2.7697995317391402</v>
      </c>
      <c r="D717" s="1">
        <f t="shared" si="55"/>
        <v>-0.35571130252578398</v>
      </c>
      <c r="E717" s="1">
        <f t="shared" si="59"/>
        <v>-0.35571130252578398</v>
      </c>
      <c r="F717" s="1">
        <f t="shared" si="56"/>
        <v>-2.9563464744449087E-2</v>
      </c>
    </row>
    <row r="718" spans="2:6" x14ac:dyDescent="0.25">
      <c r="B718" s="1">
        <f t="shared" si="57"/>
        <v>141.60000000000051</v>
      </c>
      <c r="C718" s="1">
        <f t="shared" si="58"/>
        <v>2.6986572712339836</v>
      </c>
      <c r="D718" s="1">
        <f t="shared" si="55"/>
        <v>-0.36162399547467378</v>
      </c>
      <c r="E718" s="1">
        <f t="shared" si="59"/>
        <v>-0.36162399547467378</v>
      </c>
      <c r="F718" s="1">
        <f t="shared" si="56"/>
        <v>-2.8101834731748279E-2</v>
      </c>
    </row>
    <row r="719" spans="2:6" x14ac:dyDescent="0.25">
      <c r="B719" s="1">
        <f t="shared" si="57"/>
        <v>141.80000000000049</v>
      </c>
      <c r="C719" s="1">
        <f t="shared" si="58"/>
        <v>2.6263324721390489</v>
      </c>
      <c r="D719" s="1">
        <f t="shared" si="55"/>
        <v>-0.36724436242102343</v>
      </c>
      <c r="E719" s="1">
        <f t="shared" si="59"/>
        <v>-0.36724436242102343</v>
      </c>
      <c r="F719" s="1">
        <f t="shared" si="56"/>
        <v>-2.663413762266972E-2</v>
      </c>
    </row>
    <row r="720" spans="2:6" x14ac:dyDescent="0.25">
      <c r="B720" s="1">
        <f t="shared" si="57"/>
        <v>142.00000000000048</v>
      </c>
      <c r="C720" s="1">
        <f t="shared" si="58"/>
        <v>2.552883599654844</v>
      </c>
      <c r="D720" s="1">
        <f t="shared" si="55"/>
        <v>-0.37257118994555738</v>
      </c>
      <c r="E720" s="1">
        <f t="shared" si="59"/>
        <v>-0.37257118994555738</v>
      </c>
      <c r="F720" s="1">
        <f t="shared" si="56"/>
        <v>-2.5161404463454728E-2</v>
      </c>
    </row>
    <row r="721" spans="2:6" x14ac:dyDescent="0.25">
      <c r="B721" s="1">
        <f t="shared" si="57"/>
        <v>142.20000000000047</v>
      </c>
      <c r="C721" s="1">
        <f t="shared" si="58"/>
        <v>2.4783693616657327</v>
      </c>
      <c r="D721" s="1">
        <f t="shared" si="55"/>
        <v>-0.3776034708382483</v>
      </c>
      <c r="E721" s="1">
        <f t="shared" si="59"/>
        <v>-0.3776034708382483</v>
      </c>
      <c r="F721" s="1">
        <f t="shared" si="56"/>
        <v>-2.368466072197729E-2</v>
      </c>
    </row>
    <row r="722" spans="2:6" x14ac:dyDescent="0.25">
      <c r="B722" s="1">
        <f t="shared" si="57"/>
        <v>142.40000000000046</v>
      </c>
      <c r="C722" s="1">
        <f t="shared" si="58"/>
        <v>2.4028486674980831</v>
      </c>
      <c r="D722" s="1">
        <f t="shared" si="55"/>
        <v>-0.38234040298264377</v>
      </c>
      <c r="E722" s="1">
        <f t="shared" si="59"/>
        <v>-0.38234040298264377</v>
      </c>
      <c r="F722" s="1">
        <f t="shared" si="56"/>
        <v>-2.2204925652444679E-2</v>
      </c>
    </row>
    <row r="723" spans="2:6" x14ac:dyDescent="0.25">
      <c r="B723" s="1">
        <f t="shared" si="57"/>
        <v>142.60000000000045</v>
      </c>
      <c r="C723" s="1">
        <f t="shared" si="58"/>
        <v>2.3263805869015544</v>
      </c>
      <c r="D723" s="1">
        <f t="shared" si="55"/>
        <v>-0.38678138811313273</v>
      </c>
      <c r="E723" s="1">
        <f t="shared" si="59"/>
        <v>-0.38678138811313273</v>
      </c>
      <c r="F723" s="1">
        <f t="shared" si="56"/>
        <v>-2.0723211669746382E-2</v>
      </c>
    </row>
    <row r="724" spans="2:6" x14ac:dyDescent="0.25">
      <c r="B724" s="1">
        <f t="shared" si="57"/>
        <v>142.80000000000044</v>
      </c>
      <c r="C724" s="1">
        <f t="shared" si="58"/>
        <v>2.2490243092789277</v>
      </c>
      <c r="D724" s="1">
        <f t="shared" si="55"/>
        <v>-0.39092603044708202</v>
      </c>
      <c r="E724" s="1">
        <f t="shared" si="59"/>
        <v>-0.39092603044708202</v>
      </c>
      <c r="F724" s="1">
        <f t="shared" si="56"/>
        <v>-1.9240523733784969E-2</v>
      </c>
    </row>
    <row r="725" spans="2:6" x14ac:dyDescent="0.25">
      <c r="B725" s="1">
        <f t="shared" si="57"/>
        <v>143.00000000000043</v>
      </c>
      <c r="C725" s="1">
        <f t="shared" si="58"/>
        <v>2.1708391031895111</v>
      </c>
      <c r="D725" s="1">
        <f t="shared" si="55"/>
        <v>-0.39477413519383903</v>
      </c>
      <c r="E725" s="1">
        <f t="shared" si="59"/>
        <v>-0.39477413519383903</v>
      </c>
      <c r="F725" s="1">
        <f t="shared" si="56"/>
        <v>-1.7757858744112696E-2</v>
      </c>
    </row>
    <row r="726" spans="2:6" x14ac:dyDescent="0.25">
      <c r="B726" s="1">
        <f t="shared" si="57"/>
        <v>143.20000000000041</v>
      </c>
      <c r="C726" s="1">
        <f t="shared" si="58"/>
        <v>2.0918842761507435</v>
      </c>
      <c r="D726" s="1">
        <f t="shared" si="55"/>
        <v>-0.39832570694266156</v>
      </c>
      <c r="E726" s="1">
        <f t="shared" si="59"/>
        <v>-0.39832570694266156</v>
      </c>
      <c r="F726" s="1">
        <f t="shared" si="56"/>
        <v>-1.6276204945188187E-2</v>
      </c>
    </row>
    <row r="727" spans="2:6" x14ac:dyDescent="0.25">
      <c r="B727" s="1">
        <f t="shared" si="57"/>
        <v>143.4000000000004</v>
      </c>
      <c r="C727" s="1">
        <f t="shared" si="58"/>
        <v>2.0122191347622111</v>
      </c>
      <c r="D727" s="1">
        <f t="shared" si="55"/>
        <v>-0.40158094793169918</v>
      </c>
      <c r="E727" s="1">
        <f t="shared" si="59"/>
        <v>-0.40158094793169918</v>
      </c>
      <c r="F727" s="1">
        <f t="shared" si="56"/>
        <v>-1.4796541342557559E-2</v>
      </c>
    </row>
    <row r="728" spans="2:6" x14ac:dyDescent="0.25">
      <c r="B728" s="1">
        <f t="shared" si="57"/>
        <v>143.60000000000039</v>
      </c>
      <c r="C728" s="1">
        <f t="shared" si="58"/>
        <v>1.9319029451758714</v>
      </c>
      <c r="D728" s="1">
        <f t="shared" si="55"/>
        <v>-0.40454025620021067</v>
      </c>
      <c r="E728" s="1">
        <f t="shared" si="59"/>
        <v>-0.40454025620021067</v>
      </c>
      <c r="F728" s="1">
        <f t="shared" si="56"/>
        <v>-1.3319837130254697E-2</v>
      </c>
    </row>
    <row r="729" spans="2:6" x14ac:dyDescent="0.25">
      <c r="B729" s="1">
        <f t="shared" si="57"/>
        <v>143.80000000000038</v>
      </c>
      <c r="C729" s="1">
        <f t="shared" si="58"/>
        <v>1.8509948939358292</v>
      </c>
      <c r="D729" s="1">
        <f t="shared" si="55"/>
        <v>-0.40720422362626163</v>
      </c>
      <c r="E729" s="1">
        <f t="shared" si="59"/>
        <v>-0.40720422362626163</v>
      </c>
      <c r="F729" s="1">
        <f t="shared" si="56"/>
        <v>-1.1847051129704946E-2</v>
      </c>
    </row>
    <row r="730" spans="2:6" x14ac:dyDescent="0.25">
      <c r="B730" s="1">
        <f t="shared" si="57"/>
        <v>144.00000000000037</v>
      </c>
      <c r="C730" s="1">
        <f t="shared" si="58"/>
        <v>1.7695540492105768</v>
      </c>
      <c r="D730" s="1">
        <f t="shared" si="55"/>
        <v>-0.40957363385220263</v>
      </c>
      <c r="E730" s="1">
        <f t="shared" si="59"/>
        <v>-0.40957363385220263</v>
      </c>
      <c r="F730" s="1">
        <f t="shared" si="56"/>
        <v>-1.0379131240406826E-2</v>
      </c>
    </row>
    <row r="731" spans="2:6" x14ac:dyDescent="0.25">
      <c r="B731" s="1">
        <f t="shared" si="57"/>
        <v>144.20000000000036</v>
      </c>
      <c r="C731" s="1">
        <f t="shared" si="58"/>
        <v>1.6876393224401363</v>
      </c>
      <c r="D731" s="1">
        <f t="shared" si="55"/>
        <v>-0.41164946010028403</v>
      </c>
      <c r="E731" s="1">
        <f t="shared" si="59"/>
        <v>-0.41164946010028403</v>
      </c>
      <c r="F731" s="1">
        <f t="shared" si="56"/>
        <v>-8.9170139026556842E-3</v>
      </c>
    </row>
    <row r="732" spans="2:6" x14ac:dyDescent="0.25">
      <c r="B732" s="1">
        <f t="shared" si="57"/>
        <v>144.40000000000035</v>
      </c>
      <c r="C732" s="1">
        <f t="shared" si="58"/>
        <v>1.6053094304200795</v>
      </c>
      <c r="D732" s="1">
        <f t="shared" si="55"/>
        <v>-0.41343286288081516</v>
      </c>
      <c r="E732" s="1">
        <f t="shared" si="59"/>
        <v>-0.41343286288081516</v>
      </c>
      <c r="F732" s="1">
        <f t="shared" si="56"/>
        <v>-7.4616235725632855E-3</v>
      </c>
    </row>
    <row r="733" spans="2:6" x14ac:dyDescent="0.25">
      <c r="B733" s="1">
        <f t="shared" si="57"/>
        <v>144.60000000000034</v>
      </c>
      <c r="C733" s="1">
        <f t="shared" si="58"/>
        <v>1.5226228578439165</v>
      </c>
      <c r="D733" s="1">
        <f t="shared" si="55"/>
        <v>-0.41492518759532782</v>
      </c>
      <c r="E733" s="1">
        <f t="shared" si="59"/>
        <v>-0.41492518759532782</v>
      </c>
      <c r="F733" s="1">
        <f t="shared" si="56"/>
        <v>-6.0138722096166435E-3</v>
      </c>
    </row>
    <row r="734" spans="2:6" x14ac:dyDescent="0.25">
      <c r="B734" s="1">
        <f t="shared" si="57"/>
        <v>144.80000000000032</v>
      </c>
      <c r="C734" s="1">
        <f t="shared" si="58"/>
        <v>1.439637820324851</v>
      </c>
      <c r="D734" s="1">
        <f t="shared" si="55"/>
        <v>-0.41612796203725116</v>
      </c>
      <c r="E734" s="1">
        <f t="shared" si="59"/>
        <v>-0.41612796203725116</v>
      </c>
      <c r="F734" s="1">
        <f t="shared" si="56"/>
        <v>-4.5746587770091295E-3</v>
      </c>
    </row>
    <row r="735" spans="2:6" x14ac:dyDescent="0.25">
      <c r="B735" s="1">
        <f t="shared" si="57"/>
        <v>145.00000000000031</v>
      </c>
      <c r="C735" s="1">
        <f t="shared" si="58"/>
        <v>1.3564122279174007</v>
      </c>
      <c r="D735" s="1">
        <f t="shared" si="55"/>
        <v>-0.41704289379265297</v>
      </c>
      <c r="E735" s="1">
        <f t="shared" si="59"/>
        <v>-0.41704289379265297</v>
      </c>
      <c r="F735" s="1">
        <f t="shared" si="56"/>
        <v>-3.1448687549662062E-3</v>
      </c>
    </row>
    <row r="736" spans="2:6" x14ac:dyDescent="0.25">
      <c r="B736" s="1">
        <f t="shared" si="57"/>
        <v>145.2000000000003</v>
      </c>
      <c r="C736" s="1">
        <f t="shared" si="58"/>
        <v>1.2730036491588701</v>
      </c>
      <c r="D736" s="1">
        <f t="shared" si="55"/>
        <v>-0.41767186754364621</v>
      </c>
      <c r="E736" s="1">
        <f t="shared" si="59"/>
        <v>-0.41767186754364621</v>
      </c>
      <c r="F736" s="1">
        <f t="shared" si="56"/>
        <v>-1.7253736672776764E-3</v>
      </c>
    </row>
    <row r="737" spans="2:6" x14ac:dyDescent="0.25">
      <c r="B737" s="1">
        <f t="shared" si="57"/>
        <v>145.40000000000029</v>
      </c>
      <c r="C737" s="1">
        <f t="shared" si="58"/>
        <v>1.1894692756501408</v>
      </c>
      <c r="D737" s="1">
        <f t="shared" si="55"/>
        <v>-0.41801694227710173</v>
      </c>
      <c r="E737" s="1">
        <f t="shared" si="59"/>
        <v>-0.41801694227710173</v>
      </c>
      <c r="F737" s="1">
        <f t="shared" si="56"/>
        <v>-3.1703062123759895E-4</v>
      </c>
    </row>
    <row r="738" spans="2:6" x14ac:dyDescent="0.25">
      <c r="B738" s="1">
        <f t="shared" si="57"/>
        <v>145.60000000000028</v>
      </c>
      <c r="C738" s="1">
        <f t="shared" si="58"/>
        <v>1.1058658871947205</v>
      </c>
      <c r="D738" s="1">
        <f t="shared" si="55"/>
        <v>-0.41808034840134928</v>
      </c>
      <c r="E738" s="1">
        <f t="shared" si="59"/>
        <v>-0.41808034840134928</v>
      </c>
      <c r="F738" s="1">
        <f t="shared" si="56"/>
        <v>1.0793181388176268E-3</v>
      </c>
    </row>
    <row r="739" spans="2:6" x14ac:dyDescent="0.25">
      <c r="B739" s="1">
        <f t="shared" si="57"/>
        <v>145.80000000000027</v>
      </c>
      <c r="C739" s="1">
        <f t="shared" si="58"/>
        <v>1.0222498175144505</v>
      </c>
      <c r="D739" s="1">
        <f t="shared" si="55"/>
        <v>-0.41786448477358573</v>
      </c>
      <c r="E739" s="1">
        <f t="shared" si="59"/>
        <v>-0.41786448477358573</v>
      </c>
      <c r="F739" s="1">
        <f t="shared" si="56"/>
        <v>2.462845664193157E-3</v>
      </c>
    </row>
    <row r="740" spans="2:6" x14ac:dyDescent="0.25">
      <c r="B740" s="1">
        <f t="shared" si="57"/>
        <v>146.00000000000026</v>
      </c>
      <c r="C740" s="1">
        <f t="shared" si="58"/>
        <v>0.9386769205597334</v>
      </c>
      <c r="D740" s="1">
        <f t="shared" si="55"/>
        <v>-0.4173719156407471</v>
      </c>
      <c r="E740" s="1">
        <f t="shared" si="59"/>
        <v>-0.4173719156407471</v>
      </c>
      <c r="F740" s="1">
        <f t="shared" si="56"/>
        <v>3.8327407205726444E-3</v>
      </c>
    </row>
    <row r="741" spans="2:6" x14ac:dyDescent="0.25">
      <c r="B741" s="1">
        <f t="shared" si="57"/>
        <v>146.20000000000024</v>
      </c>
      <c r="C741" s="1">
        <f t="shared" si="58"/>
        <v>0.85520253743158392</v>
      </c>
      <c r="D741" s="1">
        <f t="shared" si="55"/>
        <v>-0.41660536749663257</v>
      </c>
      <c r="E741" s="1">
        <f t="shared" si="59"/>
        <v>-0.41660536749663257</v>
      </c>
      <c r="F741" s="1">
        <f t="shared" si="56"/>
        <v>5.1882081926497882E-3</v>
      </c>
    </row>
    <row r="742" spans="2:6" x14ac:dyDescent="0.25">
      <c r="B742" s="1">
        <f t="shared" si="57"/>
        <v>146.40000000000023</v>
      </c>
      <c r="C742" s="1">
        <f t="shared" si="58"/>
        <v>0.77188146393225743</v>
      </c>
      <c r="D742" s="1">
        <f t="shared" si="55"/>
        <v>-0.41556772585810259</v>
      </c>
      <c r="E742" s="1">
        <f t="shared" si="59"/>
        <v>-0.41556772585810259</v>
      </c>
      <c r="F742" s="1">
        <f t="shared" si="56"/>
        <v>6.5284694745071665E-3</v>
      </c>
    </row>
    <row r="743" spans="2:6" x14ac:dyDescent="0.25">
      <c r="B743" s="1">
        <f t="shared" si="57"/>
        <v>146.60000000000022</v>
      </c>
      <c r="C743" s="1">
        <f t="shared" si="58"/>
        <v>0.68876791876063692</v>
      </c>
      <c r="D743" s="1">
        <f t="shared" si="55"/>
        <v>-0.41426203196320116</v>
      </c>
      <c r="E743" s="1">
        <f t="shared" si="59"/>
        <v>-0.41426203196320116</v>
      </c>
      <c r="F743" s="1">
        <f t="shared" si="56"/>
        <v>7.8527628456054373E-3</v>
      </c>
    </row>
    <row r="744" spans="2:6" x14ac:dyDescent="0.25">
      <c r="B744" s="1">
        <f t="shared" si="57"/>
        <v>146.80000000000021</v>
      </c>
      <c r="C744" s="1">
        <f t="shared" si="58"/>
        <v>0.60591551236799668</v>
      </c>
      <c r="D744" s="1">
        <f t="shared" si="55"/>
        <v>-0.41269147939408007</v>
      </c>
      <c r="E744" s="1">
        <f t="shared" si="59"/>
        <v>-0.41269147939408007</v>
      </c>
      <c r="F744" s="1">
        <f t="shared" si="56"/>
        <v>9.1603438322571239E-3</v>
      </c>
    </row>
    <row r="745" spans="2:6" x14ac:dyDescent="0.25">
      <c r="B745" s="1">
        <f t="shared" si="57"/>
        <v>147.0000000000002</v>
      </c>
      <c r="C745" s="1">
        <f t="shared" si="58"/>
        <v>0.52337721648918067</v>
      </c>
      <c r="D745" s="1">
        <f t="shared" si="55"/>
        <v>-0.41085941062762865</v>
      </c>
      <c r="E745" s="1">
        <f t="shared" si="59"/>
        <v>-0.41085941062762865</v>
      </c>
      <c r="F745" s="1">
        <f t="shared" si="56"/>
        <v>1.0450485554469662E-2</v>
      </c>
    </row>
    <row r="746" spans="2:6" x14ac:dyDescent="0.25">
      <c r="B746" s="1">
        <f t="shared" si="57"/>
        <v>147.20000000000019</v>
      </c>
      <c r="C746" s="1">
        <f t="shared" si="58"/>
        <v>0.44120533436365494</v>
      </c>
      <c r="D746" s="1">
        <f t="shared" si="55"/>
        <v>-0.40876931351673473</v>
      </c>
      <c r="E746" s="1">
        <f t="shared" si="59"/>
        <v>-0.40876931351673473</v>
      </c>
      <c r="F746" s="1">
        <f t="shared" si="56"/>
        <v>1.1722479058053372E-2</v>
      </c>
    </row>
    <row r="747" spans="2:6" x14ac:dyDescent="0.25">
      <c r="B747" s="1">
        <f t="shared" si="57"/>
        <v>147.40000000000018</v>
      </c>
      <c r="C747" s="1">
        <f t="shared" si="58"/>
        <v>0.359451471660308</v>
      </c>
      <c r="D747" s="1">
        <f t="shared" si="55"/>
        <v>-0.40642481770512406</v>
      </c>
      <c r="E747" s="1">
        <f t="shared" si="59"/>
        <v>-0.40642481770512406</v>
      </c>
      <c r="F747" s="1">
        <f t="shared" si="56"/>
        <v>1.2975633631900657E-2</v>
      </c>
    </row>
    <row r="748" spans="2:6" x14ac:dyDescent="0.25">
      <c r="B748" s="1">
        <f t="shared" si="57"/>
        <v>147.60000000000016</v>
      </c>
      <c r="C748" s="1">
        <f t="shared" si="58"/>
        <v>0.27816650811928317</v>
      </c>
      <c r="D748" s="1">
        <f t="shared" si="55"/>
        <v>-0.40382969097874394</v>
      </c>
      <c r="E748" s="1">
        <f t="shared" si="59"/>
        <v>-0.40382969097874394</v>
      </c>
      <c r="F748" s="1">
        <f t="shared" si="56"/>
        <v>1.4209277110353333E-2</v>
      </c>
    </row>
    <row r="749" spans="2:6" x14ac:dyDescent="0.25">
      <c r="B749" s="1">
        <f t="shared" si="57"/>
        <v>147.80000000000015</v>
      </c>
      <c r="C749" s="1">
        <f t="shared" si="58"/>
        <v>0.19740056992353439</v>
      </c>
      <c r="D749" s="1">
        <f t="shared" si="55"/>
        <v>-0.40098783555667328</v>
      </c>
      <c r="E749" s="1">
        <f t="shared" si="59"/>
        <v>-0.40098783555667328</v>
      </c>
      <c r="F749" s="1">
        <f t="shared" si="56"/>
        <v>1.5422756160585848E-2</v>
      </c>
    </row>
    <row r="750" spans="2:6" x14ac:dyDescent="0.25">
      <c r="B750" s="1">
        <f t="shared" si="57"/>
        <v>148.00000000000014</v>
      </c>
      <c r="C750" s="1">
        <f t="shared" si="58"/>
        <v>0.11720300281219972</v>
      </c>
      <c r="D750" s="1">
        <f t="shared" si="55"/>
        <v>-0.39790328432455613</v>
      </c>
      <c r="E750" s="1">
        <f t="shared" si="59"/>
        <v>-0.39790328432455613</v>
      </c>
      <c r="F750" s="1">
        <f t="shared" si="56"/>
        <v>1.6615436554942624E-2</v>
      </c>
    </row>
    <row r="751" spans="2:6" x14ac:dyDescent="0.25">
      <c r="B751" s="1">
        <f t="shared" si="57"/>
        <v>148.20000000000013</v>
      </c>
      <c r="C751" s="1">
        <f t="shared" si="58"/>
        <v>3.7622345947288499E-2</v>
      </c>
      <c r="D751" s="1">
        <f t="shared" si="55"/>
        <v>-0.39458019701356761</v>
      </c>
      <c r="E751" s="1">
        <f t="shared" si="59"/>
        <v>-0.39458019701356761</v>
      </c>
      <c r="F751" s="1">
        <f t="shared" si="56"/>
        <v>1.7786703428178348E-2</v>
      </c>
    </row>
    <row r="752" spans="2:6" x14ac:dyDescent="0.25">
      <c r="B752" s="1">
        <f t="shared" si="57"/>
        <v>148.40000000000012</v>
      </c>
      <c r="C752" s="1">
        <f t="shared" si="58"/>
        <v>-4.1293693455425023E-2</v>
      </c>
      <c r="D752" s="1">
        <f t="shared" si="55"/>
        <v>-0.39102285632793193</v>
      </c>
      <c r="E752" s="1">
        <f t="shared" si="59"/>
        <v>-0.39102285632793193</v>
      </c>
      <c r="F752" s="1">
        <f t="shared" si="56"/>
        <v>1.8935961519560576E-2</v>
      </c>
    </row>
    <row r="753" spans="2:6" x14ac:dyDescent="0.25">
      <c r="B753" s="1">
        <f t="shared" si="57"/>
        <v>148.60000000000011</v>
      </c>
      <c r="C753" s="1">
        <f t="shared" si="58"/>
        <v>-0.11949826472101141</v>
      </c>
      <c r="D753" s="1">
        <f t="shared" si="55"/>
        <v>-0.38723566402401982</v>
      </c>
      <c r="E753" s="1">
        <f t="shared" si="59"/>
        <v>-0.38723566402401982</v>
      </c>
      <c r="F753" s="1">
        <f t="shared" si="56"/>
        <v>2.0062635399804449E-2</v>
      </c>
    </row>
    <row r="754" spans="2:6" x14ac:dyDescent="0.25">
      <c r="B754" s="1">
        <f t="shared" si="57"/>
        <v>148.8000000000001</v>
      </c>
      <c r="C754" s="1">
        <f t="shared" si="58"/>
        <v>-0.19694539752581539</v>
      </c>
      <c r="D754" s="1">
        <f t="shared" si="55"/>
        <v>-0.38322313694405891</v>
      </c>
      <c r="E754" s="1">
        <f t="shared" si="59"/>
        <v>-0.38322313694405891</v>
      </c>
      <c r="F754" s="1">
        <f t="shared" si="56"/>
        <v>2.1166169682819671E-2</v>
      </c>
    </row>
    <row r="755" spans="2:6" x14ac:dyDescent="0.25">
      <c r="B755" s="1">
        <f t="shared" si="57"/>
        <v>149.00000000000009</v>
      </c>
      <c r="C755" s="1">
        <f t="shared" si="58"/>
        <v>-0.27359002491462714</v>
      </c>
      <c r="D755" s="1">
        <f t="shared" si="55"/>
        <v>-0.37898990300749497</v>
      </c>
      <c r="E755" s="1">
        <f t="shared" si="59"/>
        <v>-0.37898990300749497</v>
      </c>
      <c r="F755" s="1">
        <f t="shared" si="56"/>
        <v>2.2246029222260218E-2</v>
      </c>
    </row>
    <row r="756" spans="2:6" x14ac:dyDescent="0.25">
      <c r="B756" s="1">
        <f t="shared" si="57"/>
        <v>149.20000000000007</v>
      </c>
      <c r="C756" s="1">
        <f t="shared" si="58"/>
        <v>-0.34938800551612614</v>
      </c>
      <c r="D756" s="1">
        <f t="shared" si="55"/>
        <v>-0.37454069716304295</v>
      </c>
      <c r="E756" s="1">
        <f t="shared" si="59"/>
        <v>-0.37454069716304295</v>
      </c>
      <c r="F756" s="1">
        <f t="shared" si="56"/>
        <v>2.330169929287744E-2</v>
      </c>
    </row>
    <row r="757" spans="2:6" x14ac:dyDescent="0.25">
      <c r="B757" s="1">
        <f t="shared" si="57"/>
        <v>149.40000000000006</v>
      </c>
      <c r="C757" s="1">
        <f t="shared" si="58"/>
        <v>-0.42429614494873474</v>
      </c>
      <c r="D757" s="1">
        <f t="shared" si="55"/>
        <v>-0.36988035730446744</v>
      </c>
      <c r="E757" s="1">
        <f t="shared" si="59"/>
        <v>-0.36988035730446744</v>
      </c>
      <c r="F757" s="1">
        <f t="shared" si="56"/>
        <v>2.4332685756687393E-2</v>
      </c>
    </row>
    <row r="758" spans="2:6" x14ac:dyDescent="0.25">
      <c r="B758" s="1">
        <f t="shared" si="57"/>
        <v>149.60000000000005</v>
      </c>
      <c r="C758" s="1">
        <f t="shared" si="58"/>
        <v>-0.49827221640962827</v>
      </c>
      <c r="D758" s="1">
        <f t="shared" si="55"/>
        <v>-0.36501382015312994</v>
      </c>
      <c r="E758" s="1">
        <f t="shared" si="59"/>
        <v>-0.36501382015312994</v>
      </c>
      <c r="F758" s="1">
        <f t="shared" si="56"/>
        <v>2.5338515213973203E-2</v>
      </c>
    </row>
    <row r="759" spans="2:6" x14ac:dyDescent="0.25">
      <c r="B759" s="1">
        <f t="shared" si="57"/>
        <v>149.80000000000004</v>
      </c>
      <c r="C759" s="1">
        <f t="shared" si="58"/>
        <v>-0.57127498044025427</v>
      </c>
      <c r="D759" s="1">
        <f t="shared" si="55"/>
        <v>-0.35994611711033531</v>
      </c>
      <c r="E759" s="1">
        <f t="shared" si="59"/>
        <v>-0.35994611711033531</v>
      </c>
      <c r="F759" s="1">
        <f t="shared" si="56"/>
        <v>2.631873513915322E-2</v>
      </c>
    </row>
    <row r="760" spans="2:6" x14ac:dyDescent="0.25">
      <c r="B760" s="1">
        <f t="shared" si="57"/>
        <v>150.00000000000003</v>
      </c>
      <c r="C760" s="1">
        <f t="shared" si="58"/>
        <v>-0.6432642038623213</v>
      </c>
      <c r="D760" s="1">
        <f t="shared" si="55"/>
        <v>-0.35468237008250464</v>
      </c>
      <c r="E760" s="1">
        <f t="shared" si="59"/>
        <v>-0.35468237008250464</v>
      </c>
      <c r="F760" s="1">
        <f t="shared" si="56"/>
        <v>2.727291400155557E-2</v>
      </c>
    </row>
    <row r="761" spans="2:6" x14ac:dyDescent="0.25">
      <c r="B761" s="1">
        <f t="shared" si="57"/>
        <v>150.20000000000002</v>
      </c>
      <c r="C761" s="1">
        <f t="shared" si="58"/>
        <v>-0.71420067787882224</v>
      </c>
      <c r="D761" s="1">
        <f t="shared" si="55"/>
        <v>-0.3492277872821935</v>
      </c>
      <c r="E761" s="1">
        <f t="shared" si="59"/>
        <v>-0.3492277872821935</v>
      </c>
      <c r="F761" s="1">
        <f t="shared" si="56"/>
        <v>2.8200641371149401E-2</v>
      </c>
    </row>
    <row r="762" spans="2:6" x14ac:dyDescent="0.25">
      <c r="B762" s="1">
        <f t="shared" si="57"/>
        <v>150.4</v>
      </c>
      <c r="C762" s="1">
        <f t="shared" si="58"/>
        <v>-0.78404623533526097</v>
      </c>
      <c r="D762" s="1">
        <f t="shared" si="55"/>
        <v>-0.34358765900796362</v>
      </c>
      <c r="E762" s="1">
        <f t="shared" si="59"/>
        <v>-0.34358765900796362</v>
      </c>
      <c r="F762" s="1">
        <f t="shared" si="56"/>
        <v>2.9101528009292655E-2</v>
      </c>
    </row>
    <row r="763" spans="2:6" x14ac:dyDescent="0.25">
      <c r="B763" s="1">
        <f t="shared" si="57"/>
        <v>150.6</v>
      </c>
      <c r="C763" s="1">
        <f t="shared" si="58"/>
        <v>-0.85276376713685365</v>
      </c>
      <c r="D763" s="1">
        <f t="shared" si="55"/>
        <v>-0.33776735340610509</v>
      </c>
      <c r="E763" s="1">
        <f t="shared" si="59"/>
        <v>-0.33776735340610509</v>
      </c>
      <c r="F763" s="1">
        <f t="shared" si="56"/>
        <v>2.9975205944565798E-2</v>
      </c>
    </row>
    <row r="764" spans="2:6" x14ac:dyDescent="0.25">
      <c r="B764" s="1">
        <f t="shared" si="57"/>
        <v>150.79999999999998</v>
      </c>
      <c r="C764" s="1">
        <f t="shared" si="58"/>
        <v>-0.92031723781807462</v>
      </c>
      <c r="D764" s="1">
        <f t="shared" si="55"/>
        <v>-0.33177231221719194</v>
      </c>
      <c r="E764" s="1">
        <f t="shared" si="59"/>
        <v>-0.33177231221719194</v>
      </c>
      <c r="F764" s="1">
        <f t="shared" si="56"/>
        <v>3.0821328533770204E-2</v>
      </c>
    </row>
    <row r="765" spans="2:6" x14ac:dyDescent="0.25">
      <c r="B765" s="1">
        <f t="shared" si="57"/>
        <v>150.99999999999997</v>
      </c>
      <c r="C765" s="1">
        <f t="shared" si="58"/>
        <v>-0.98667170026151296</v>
      </c>
      <c r="D765" s="1">
        <f t="shared" si="55"/>
        <v>-0.3256080465104379</v>
      </c>
      <c r="E765" s="1">
        <f t="shared" si="59"/>
        <v>-0.3256080465104379</v>
      </c>
      <c r="F765" s="1">
        <f t="shared" si="56"/>
        <v>3.1639570508178991E-2</v>
      </c>
    </row>
    <row r="766" spans="2:6" x14ac:dyDescent="0.25">
      <c r="B766" s="1">
        <f t="shared" si="57"/>
        <v>151.19999999999996</v>
      </c>
      <c r="C766" s="1">
        <f t="shared" si="58"/>
        <v>-1.0517933095636005</v>
      </c>
      <c r="D766" s="1">
        <f t="shared" si="55"/>
        <v>-0.3192801324088021</v>
      </c>
      <c r="E766" s="1">
        <f t="shared" si="59"/>
        <v>-0.3192801324088021</v>
      </c>
      <c r="F766" s="1">
        <f t="shared" si="56"/>
        <v>3.2429628005137441E-2</v>
      </c>
    </row>
    <row r="767" spans="2:6" x14ac:dyDescent="0.25">
      <c r="B767" s="1">
        <f t="shared" si="57"/>
        <v>151.39999999999995</v>
      </c>
      <c r="C767" s="1">
        <f t="shared" si="58"/>
        <v>-1.115649336045361</v>
      </c>
      <c r="D767" s="1">
        <f t="shared" si="55"/>
        <v>-0.31279420680777459</v>
      </c>
      <c r="E767" s="1">
        <f t="shared" si="59"/>
        <v>-0.31279420680777459</v>
      </c>
      <c r="F767" s="1">
        <f t="shared" si="56"/>
        <v>3.3191218585118837E-2</v>
      </c>
    </row>
    <row r="768" spans="2:6" x14ac:dyDescent="0.25">
      <c r="B768" s="1">
        <f t="shared" si="57"/>
        <v>151.59999999999994</v>
      </c>
      <c r="C768" s="1">
        <f t="shared" si="58"/>
        <v>-1.178208177406916</v>
      </c>
      <c r="D768" s="1">
        <f t="shared" si="55"/>
        <v>-0.30615596309075083</v>
      </c>
      <c r="E768" s="1">
        <f t="shared" si="59"/>
        <v>-0.30615596309075083</v>
      </c>
      <c r="F768" s="1">
        <f t="shared" si="56"/>
        <v>3.3924081234350305E-2</v>
      </c>
    </row>
    <row r="769" spans="2:6" x14ac:dyDescent="0.25">
      <c r="B769" s="1">
        <f t="shared" si="57"/>
        <v>151.79999999999993</v>
      </c>
      <c r="C769" s="1">
        <f t="shared" si="58"/>
        <v>-1.2394393700250661</v>
      </c>
      <c r="D769" s="1">
        <f t="shared" si="55"/>
        <v>-0.29937114684388078</v>
      </c>
      <c r="E769" s="1">
        <f t="shared" si="59"/>
        <v>-0.29937114684388078</v>
      </c>
      <c r="F769" s="1">
        <f t="shared" si="56"/>
        <v>3.4627976353132209E-2</v>
      </c>
    </row>
    <row r="770" spans="2:6" x14ac:dyDescent="0.25">
      <c r="B770" s="1">
        <f t="shared" si="57"/>
        <v>151.99999999999991</v>
      </c>
      <c r="C770" s="1">
        <f t="shared" si="58"/>
        <v>-1.2993135993938423</v>
      </c>
      <c r="D770" s="1">
        <f t="shared" si="55"/>
        <v>-0.29244555157325436</v>
      </c>
      <c r="E770" s="1">
        <f t="shared" si="59"/>
        <v>-0.29244555157325436</v>
      </c>
      <c r="F770" s="1">
        <f t="shared" si="56"/>
        <v>3.5302685729982575E-2</v>
      </c>
    </row>
    <row r="771" spans="2:6" x14ac:dyDescent="0.25">
      <c r="B771" s="1">
        <f t="shared" si="57"/>
        <v>152.1999999999999</v>
      </c>
      <c r="C771" s="1">
        <f t="shared" si="58"/>
        <v>-1.3578027097084933</v>
      </c>
      <c r="D771" s="1">
        <f t="shared" si="55"/>
        <v>-0.28538501442725783</v>
      </c>
      <c r="E771" s="1">
        <f t="shared" si="59"/>
        <v>-0.28538501442725783</v>
      </c>
      <c r="F771" s="1">
        <f t="shared" si="56"/>
        <v>3.5948012501746923E-2</v>
      </c>
    </row>
    <row r="772" spans="2:6" x14ac:dyDescent="0.25">
      <c r="B772" s="1">
        <f t="shared" si="57"/>
        <v>152.39999999999989</v>
      </c>
      <c r="C772" s="1">
        <f t="shared" si="58"/>
        <v>-1.4148797125939447</v>
      </c>
      <c r="D772" s="1">
        <f t="shared" si="55"/>
        <v>-0.27819541192690844</v>
      </c>
      <c r="E772" s="1">
        <f t="shared" si="59"/>
        <v>-0.27819541192690844</v>
      </c>
      <c r="F772" s="1">
        <f t="shared" si="56"/>
        <v>3.6563781099821474E-2</v>
      </c>
    </row>
    <row r="773" spans="2:6" x14ac:dyDescent="0.25">
      <c r="B773" s="1">
        <f t="shared" si="57"/>
        <v>152.59999999999988</v>
      </c>
      <c r="C773" s="1">
        <f t="shared" si="58"/>
        <v>-1.4705187949793264</v>
      </c>
      <c r="D773" s="1">
        <f t="shared" si="55"/>
        <v>-0.27088265570694414</v>
      </c>
      <c r="E773" s="1">
        <f t="shared" si="59"/>
        <v>-0.27088265570694414</v>
      </c>
      <c r="F773" s="1">
        <f t="shared" si="56"/>
        <v>3.7149837182646167E-2</v>
      </c>
    </row>
    <row r="774" spans="2:6" x14ac:dyDescent="0.25">
      <c r="B774" s="1">
        <f t="shared" si="57"/>
        <v>152.79999999999987</v>
      </c>
      <c r="C774" s="1">
        <f t="shared" si="58"/>
        <v>-1.5246953261207152</v>
      </c>
      <c r="D774" s="1">
        <f t="shared" si="55"/>
        <v>-0.2634526882704149</v>
      </c>
      <c r="E774" s="1">
        <f t="shared" si="59"/>
        <v>-0.2634526882704149</v>
      </c>
      <c r="F774" s="1">
        <f t="shared" si="56"/>
        <v>3.7706047554631285E-2</v>
      </c>
    </row>
    <row r="775" spans="2:6" x14ac:dyDescent="0.25">
      <c r="B775" s="1">
        <f t="shared" si="57"/>
        <v>152.99999999999986</v>
      </c>
      <c r="C775" s="1">
        <f t="shared" si="58"/>
        <v>-1.5773858637747982</v>
      </c>
      <c r="D775" s="1">
        <f t="shared" si="55"/>
        <v>-0.25591147875948866</v>
      </c>
      <c r="E775" s="1">
        <f t="shared" si="59"/>
        <v>-0.25591147875948866</v>
      </c>
      <c r="F775" s="1">
        <f t="shared" si="56"/>
        <v>3.8232300071689443E-2</v>
      </c>
    </row>
    <row r="776" spans="2:6" x14ac:dyDescent="0.25">
      <c r="B776" s="1">
        <f t="shared" si="57"/>
        <v>153.19999999999985</v>
      </c>
      <c r="C776" s="1">
        <f t="shared" si="58"/>
        <v>-1.6285681595266959</v>
      </c>
      <c r="D776" s="1">
        <f t="shared" si="55"/>
        <v>-0.24826501874515078</v>
      </c>
      <c r="E776" s="1">
        <f t="shared" si="59"/>
        <v>-0.24826501874515078</v>
      </c>
      <c r="F776" s="1">
        <f t="shared" si="56"/>
        <v>3.8728503533551971E-2</v>
      </c>
    </row>
    <row r="777" spans="2:6" x14ac:dyDescent="0.25">
      <c r="B777" s="1">
        <f t="shared" si="57"/>
        <v>153.39999999999984</v>
      </c>
      <c r="C777" s="1">
        <f t="shared" si="58"/>
        <v>-1.678221163275726</v>
      </c>
      <c r="D777" s="1">
        <f t="shared" si="55"/>
        <v>-0.24051931803844037</v>
      </c>
      <c r="E777" s="1">
        <f t="shared" si="59"/>
        <v>-0.24051931803844037</v>
      </c>
      <c r="F777" s="1">
        <f t="shared" si="56"/>
        <v>3.919458756305598E-2</v>
      </c>
    </row>
    <row r="778" spans="2:6" x14ac:dyDescent="0.25">
      <c r="B778" s="1">
        <f t="shared" si="57"/>
        <v>153.59999999999982</v>
      </c>
      <c r="C778" s="1">
        <f t="shared" si="58"/>
        <v>-1.726325026883414</v>
      </c>
      <c r="D778" s="1">
        <f t="shared" ref="D778:D841" si="60">E778</f>
        <v>-0.23268040052582917</v>
      </c>
      <c r="E778" s="1">
        <f t="shared" si="59"/>
        <v>-0.23268040052582917</v>
      </c>
      <c r="F778" s="1">
        <f t="shared" ref="F778:F841" si="61">-$C$3*C778/$C$4-$C$2/$C$4*E778</f>
        <v>3.96305024725956E-2</v>
      </c>
    </row>
    <row r="779" spans="2:6" x14ac:dyDescent="0.25">
      <c r="B779" s="1">
        <f t="shared" ref="B779:B842" si="62">B778+$C$7</f>
        <v>153.79999999999981</v>
      </c>
      <c r="C779" s="1">
        <f t="shared" ref="C779:C842" si="63">C778+D778*$C$7</f>
        <v>-1.7728611069885798</v>
      </c>
      <c r="D779" s="1">
        <f t="shared" si="60"/>
        <v>-0.22475430003131006</v>
      </c>
      <c r="E779" s="1">
        <f t="shared" ref="E779:E842" si="64">E778+F778*$C$7</f>
        <v>-0.22475430003131006</v>
      </c>
      <c r="F779" s="1">
        <f t="shared" si="61"/>
        <v>4.003621911793747E-2</v>
      </c>
    </row>
    <row r="780" spans="2:6" x14ac:dyDescent="0.25">
      <c r="B780" s="1">
        <f t="shared" si="62"/>
        <v>153.9999999999998</v>
      </c>
      <c r="C780" s="1">
        <f t="shared" si="63"/>
        <v>-1.8178119669948418</v>
      </c>
      <c r="D780" s="1">
        <f t="shared" si="60"/>
        <v>-0.21674705620772255</v>
      </c>
      <c r="E780" s="1">
        <f t="shared" si="64"/>
        <v>-0.21674705620772255</v>
      </c>
      <c r="F780" s="1">
        <f t="shared" si="61"/>
        <v>4.0411728739607751E-2</v>
      </c>
    </row>
    <row r="781" spans="2:6" x14ac:dyDescent="0.25">
      <c r="B781" s="1">
        <f t="shared" si="62"/>
        <v>154.19999999999979</v>
      </c>
      <c r="C781" s="1">
        <f t="shared" si="63"/>
        <v>-1.8611613782363863</v>
      </c>
      <c r="D781" s="1">
        <f t="shared" si="60"/>
        <v>-0.20866471045980101</v>
      </c>
      <c r="E781" s="1">
        <f t="shared" si="64"/>
        <v>-0.20866471045980101</v>
      </c>
      <c r="F781" s="1">
        <f t="shared" si="61"/>
        <v>4.0757042792063825E-2</v>
      </c>
    </row>
    <row r="782" spans="2:6" x14ac:dyDescent="0.25">
      <c r="B782" s="1">
        <f t="shared" si="62"/>
        <v>154.39999999999978</v>
      </c>
      <c r="C782" s="1">
        <f t="shared" si="63"/>
        <v>-1.9028943203283464</v>
      </c>
      <c r="D782" s="1">
        <f t="shared" si="60"/>
        <v>-0.20051330190138825</v>
      </c>
      <c r="E782" s="1">
        <f t="shared" si="64"/>
        <v>-0.20051330190138825</v>
      </c>
      <c r="F782" s="1">
        <f t="shared" si="61"/>
        <v>4.1072192760870561E-2</v>
      </c>
    </row>
    <row r="783" spans="2:6" x14ac:dyDescent="0.25">
      <c r="B783" s="1">
        <f t="shared" si="62"/>
        <v>154.59999999999977</v>
      </c>
      <c r="C783" s="1">
        <f t="shared" si="63"/>
        <v>-1.942996980708624</v>
      </c>
      <c r="D783" s="1">
        <f t="shared" si="60"/>
        <v>-0.19229886334921414</v>
      </c>
      <c r="E783" s="1">
        <f t="shared" si="64"/>
        <v>-0.19229886334921414</v>
      </c>
      <c r="F783" s="1">
        <f t="shared" si="61"/>
        <v>4.1357229968107062E-2</v>
      </c>
    </row>
    <row r="784" spans="2:6" x14ac:dyDescent="0.25">
      <c r="B784" s="1">
        <f t="shared" si="62"/>
        <v>154.79999999999976</v>
      </c>
      <c r="C784" s="1">
        <f t="shared" si="63"/>
        <v>-1.9814567533784668</v>
      </c>
      <c r="D784" s="1">
        <f t="shared" si="60"/>
        <v>-0.18402741735559272</v>
      </c>
      <c r="E784" s="1">
        <f t="shared" si="64"/>
        <v>-0.18402741735559272</v>
      </c>
      <c r="F784" s="1">
        <f t="shared" si="61"/>
        <v>4.161222536623544E-2</v>
      </c>
    </row>
    <row r="785" spans="2:6" x14ac:dyDescent="0.25">
      <c r="B785" s="1">
        <f t="shared" si="62"/>
        <v>154.99999999999974</v>
      </c>
      <c r="C785" s="1">
        <f t="shared" si="63"/>
        <v>-2.0182622368495853</v>
      </c>
      <c r="D785" s="1">
        <f t="shared" si="60"/>
        <v>-0.17570497228234563</v>
      </c>
      <c r="E785" s="1">
        <f t="shared" si="64"/>
        <v>-0.17570497228234563</v>
      </c>
      <c r="F785" s="1">
        <f t="shared" si="61"/>
        <v>4.1837269320669217E-2</v>
      </c>
    </row>
    <row r="786" spans="2:6" x14ac:dyDescent="0.25">
      <c r="B786" s="1">
        <f t="shared" si="62"/>
        <v>155.19999999999973</v>
      </c>
      <c r="C786" s="1">
        <f t="shared" si="63"/>
        <v>-2.0534032313060546</v>
      </c>
      <c r="D786" s="1">
        <f t="shared" si="60"/>
        <v>-0.16733751841821179</v>
      </c>
      <c r="E786" s="1">
        <f t="shared" si="64"/>
        <v>-0.16733751841821179</v>
      </c>
      <c r="F786" s="1">
        <f t="shared" si="61"/>
        <v>4.2032471381284124E-2</v>
      </c>
    </row>
    <row r="787" spans="2:6" x14ac:dyDescent="0.25">
      <c r="B787" s="1">
        <f t="shared" si="62"/>
        <v>155.39999999999972</v>
      </c>
      <c r="C787" s="1">
        <f t="shared" si="63"/>
        <v>-2.0868707349896969</v>
      </c>
      <c r="D787" s="1">
        <f t="shared" si="60"/>
        <v>-0.15893102414195495</v>
      </c>
      <c r="E787" s="1">
        <f t="shared" si="64"/>
        <v>-0.15893102414195495</v>
      </c>
      <c r="F787" s="1">
        <f t="shared" si="61"/>
        <v>4.2197960043119515E-2</v>
      </c>
    </row>
    <row r="788" spans="2:6" x14ac:dyDescent="0.25">
      <c r="B788" s="1">
        <f t="shared" si="62"/>
        <v>155.59999999999971</v>
      </c>
      <c r="C788" s="1">
        <f t="shared" si="63"/>
        <v>-2.1186569398180879</v>
      </c>
      <c r="D788" s="1">
        <f t="shared" si="60"/>
        <v>-0.15049143213333105</v>
      </c>
      <c r="E788" s="1">
        <f t="shared" si="64"/>
        <v>-0.15049143213333105</v>
      </c>
      <c r="F788" s="1">
        <f t="shared" si="61"/>
        <v>4.2333882496523582E-2</v>
      </c>
    </row>
    <row r="789" spans="2:6" x14ac:dyDescent="0.25">
      <c r="B789" s="1">
        <f t="shared" si="62"/>
        <v>155.7999999999997</v>
      </c>
      <c r="C789" s="1">
        <f t="shared" si="63"/>
        <v>-2.148755226244754</v>
      </c>
      <c r="D789" s="1">
        <f t="shared" si="60"/>
        <v>-0.14202465563402633</v>
      </c>
      <c r="E789" s="1">
        <f t="shared" si="64"/>
        <v>-0.14202465563402633</v>
      </c>
      <c r="F789" s="1">
        <f t="shared" si="61"/>
        <v>4.2440404367000459E-2</v>
      </c>
    </row>
    <row r="790" spans="2:6" x14ac:dyDescent="0.25">
      <c r="B790" s="1">
        <f t="shared" si="62"/>
        <v>155.99999999999969</v>
      </c>
      <c r="C790" s="1">
        <f t="shared" si="63"/>
        <v>-2.1771601573715591</v>
      </c>
      <c r="D790" s="1">
        <f t="shared" si="60"/>
        <v>-0.13353657476062625</v>
      </c>
      <c r="E790" s="1">
        <f t="shared" si="64"/>
        <v>-0.13353657476062625</v>
      </c>
      <c r="F790" s="1">
        <f t="shared" si="61"/>
        <v>4.2517709445021881E-2</v>
      </c>
    </row>
    <row r="791" spans="2:6" x14ac:dyDescent="0.25">
      <c r="B791" s="1">
        <f t="shared" si="62"/>
        <v>156.19999999999968</v>
      </c>
      <c r="C791" s="1">
        <f t="shared" si="63"/>
        <v>-2.2038674723236844</v>
      </c>
      <c r="D791" s="1">
        <f t="shared" si="60"/>
        <v>-0.12503303287162187</v>
      </c>
      <c r="E791" s="1">
        <f t="shared" si="64"/>
        <v>-0.12503303287162187</v>
      </c>
      <c r="F791" s="1">
        <f t="shared" si="61"/>
        <v>4.2565999406070427E-2</v>
      </c>
    </row>
    <row r="792" spans="2:6" x14ac:dyDescent="0.25">
      <c r="B792" s="1">
        <f t="shared" si="62"/>
        <v>156.39999999999966</v>
      </c>
      <c r="C792" s="1">
        <f t="shared" si="63"/>
        <v>-2.2288740788980088</v>
      </c>
      <c r="D792" s="1">
        <f t="shared" si="60"/>
        <v>-0.11651983299040779</v>
      </c>
      <c r="E792" s="1">
        <f t="shared" si="64"/>
        <v>-0.11651983299040779</v>
      </c>
      <c r="F792" s="1">
        <f t="shared" si="61"/>
        <v>4.2585493521185847E-2</v>
      </c>
    </row>
    <row r="793" spans="2:6" x14ac:dyDescent="0.25">
      <c r="B793" s="1">
        <f t="shared" si="62"/>
        <v>156.59999999999965</v>
      </c>
      <c r="C793" s="1">
        <f t="shared" si="63"/>
        <v>-2.2521780454960902</v>
      </c>
      <c r="D793" s="1">
        <f t="shared" si="60"/>
        <v>-0.10800273428617062</v>
      </c>
      <c r="E793" s="1">
        <f t="shared" si="64"/>
        <v>-0.10800273428617062</v>
      </c>
      <c r="F793" s="1">
        <f t="shared" si="61"/>
        <v>4.2576428358289467E-2</v>
      </c>
    </row>
    <row r="794" spans="2:6" x14ac:dyDescent="0.25">
      <c r="B794" s="1">
        <f t="shared" si="62"/>
        <v>156.79999999999964</v>
      </c>
      <c r="C794" s="1">
        <f t="shared" si="63"/>
        <v>-2.2737785923533242</v>
      </c>
      <c r="D794" s="1">
        <f t="shared" si="60"/>
        <v>-9.9487448614512725E-2</v>
      </c>
      <c r="E794" s="1">
        <f t="shared" si="64"/>
        <v>-9.9487448614512725E-2</v>
      </c>
      <c r="F794" s="1">
        <f t="shared" si="61"/>
        <v>4.2539057474566003E-2</v>
      </c>
    </row>
    <row r="795" spans="2:6" x14ac:dyDescent="0.25">
      <c r="B795" s="1">
        <f t="shared" si="62"/>
        <v>156.99999999999963</v>
      </c>
      <c r="C795" s="1">
        <f t="shared" si="63"/>
        <v>-2.2936760820762268</v>
      </c>
      <c r="D795" s="1">
        <f t="shared" si="60"/>
        <v>-9.0979637119599527E-2</v>
      </c>
      <c r="E795" s="1">
        <f t="shared" si="64"/>
        <v>-9.0979637119599527E-2</v>
      </c>
      <c r="F795" s="1">
        <f t="shared" si="61"/>
        <v>4.2473651100185097E-2</v>
      </c>
    </row>
    <row r="796" spans="2:6" x14ac:dyDescent="0.25">
      <c r="B796" s="1">
        <f t="shared" si="62"/>
        <v>157.19999999999962</v>
      </c>
      <c r="C796" s="1">
        <f t="shared" si="63"/>
        <v>-2.3118720095001466</v>
      </c>
      <c r="D796" s="1">
        <f t="shared" si="60"/>
        <v>-8.2484906899562505E-2</v>
      </c>
      <c r="E796" s="1">
        <f t="shared" si="64"/>
        <v>-8.2484906899562505E-2</v>
      </c>
      <c r="F796" s="1">
        <f t="shared" si="61"/>
        <v>4.2380495813648694E-2</v>
      </c>
    </row>
    <row r="797" spans="2:6" x14ac:dyDescent="0.25">
      <c r="B797" s="1">
        <f t="shared" si="62"/>
        <v>157.39999999999961</v>
      </c>
      <c r="C797" s="1">
        <f t="shared" si="63"/>
        <v>-2.3283689908800591</v>
      </c>
      <c r="D797" s="1">
        <f t="shared" si="60"/>
        <v>-7.4008807736832771E-2</v>
      </c>
      <c r="E797" s="1">
        <f t="shared" si="64"/>
        <v>-7.4008807736832771E-2</v>
      </c>
      <c r="F797" s="1">
        <f t="shared" si="61"/>
        <v>4.2259894209053184E-2</v>
      </c>
    </row>
    <row r="798" spans="2:6" x14ac:dyDescent="0.25">
      <c r="B798" s="1">
        <f t="shared" si="62"/>
        <v>157.5999999999996</v>
      </c>
      <c r="C798" s="1">
        <f t="shared" si="63"/>
        <v>-2.3431707524274255</v>
      </c>
      <c r="D798" s="1">
        <f t="shared" si="60"/>
        <v>-6.5556828895022137E-2</v>
      </c>
      <c r="E798" s="1">
        <f t="shared" si="64"/>
        <v>-6.5556828895022137E-2</v>
      </c>
      <c r="F798" s="1">
        <f t="shared" si="61"/>
        <v>4.2112164555558121E-2</v>
      </c>
    </row>
    <row r="799" spans="2:6" x14ac:dyDescent="0.25">
      <c r="B799" s="1">
        <f t="shared" si="62"/>
        <v>157.79999999999959</v>
      </c>
      <c r="C799" s="1">
        <f t="shared" si="63"/>
        <v>-2.3562821182064297</v>
      </c>
      <c r="D799" s="1">
        <f t="shared" si="60"/>
        <v>-5.7134395983910513E-2</v>
      </c>
      <c r="E799" s="1">
        <f t="shared" si="64"/>
        <v>-5.7134395983910513E-2</v>
      </c>
      <c r="F799" s="1">
        <f t="shared" si="61"/>
        <v>4.1937640449356321E-2</v>
      </c>
    </row>
    <row r="800" spans="2:6" x14ac:dyDescent="0.25">
      <c r="B800" s="1">
        <f t="shared" si="62"/>
        <v>157.99999999999957</v>
      </c>
      <c r="C800" s="1">
        <f t="shared" si="63"/>
        <v>-2.3677089974032119</v>
      </c>
      <c r="D800" s="1">
        <f t="shared" si="60"/>
        <v>-4.8746867894039245E-2</v>
      </c>
      <c r="E800" s="1">
        <f t="shared" si="64"/>
        <v>-4.8746867894039245E-2</v>
      </c>
      <c r="F800" s="1">
        <f t="shared" si="61"/>
        <v>4.1736670458442031E-2</v>
      </c>
    </row>
    <row r="801" spans="2:6" x14ac:dyDescent="0.25">
      <c r="B801" s="1">
        <f t="shared" si="62"/>
        <v>158.19999999999956</v>
      </c>
      <c r="C801" s="1">
        <f t="shared" si="63"/>
        <v>-2.3774583709820196</v>
      </c>
      <c r="D801" s="1">
        <f t="shared" si="60"/>
        <v>-4.039953380235084E-2</v>
      </c>
      <c r="E801" s="1">
        <f t="shared" si="64"/>
        <v>-4.039953380235084E-2</v>
      </c>
      <c r="F801" s="1">
        <f t="shared" si="61"/>
        <v>4.1509617760476701E-2</v>
      </c>
    </row>
    <row r="802" spans="2:6" x14ac:dyDescent="0.25">
      <c r="B802" s="1">
        <f t="shared" si="62"/>
        <v>158.39999999999955</v>
      </c>
      <c r="C802" s="1">
        <f t="shared" si="63"/>
        <v>-2.3855382777424898</v>
      </c>
      <c r="D802" s="1">
        <f t="shared" si="60"/>
        <v>-3.2097610250255496E-2</v>
      </c>
      <c r="E802" s="1">
        <f t="shared" si="64"/>
        <v>-3.2097610250255496E-2</v>
      </c>
      <c r="F802" s="1">
        <f t="shared" si="61"/>
        <v>4.1256859774053418E-2</v>
      </c>
    </row>
    <row r="803" spans="2:6" x14ac:dyDescent="0.25">
      <c r="B803" s="1">
        <f t="shared" si="62"/>
        <v>158.59999999999954</v>
      </c>
      <c r="C803" s="1">
        <f t="shared" si="63"/>
        <v>-2.3919577997925408</v>
      </c>
      <c r="D803" s="1">
        <f t="shared" si="60"/>
        <v>-2.3846238295444813E-2</v>
      </c>
      <c r="E803" s="1">
        <f t="shared" si="64"/>
        <v>-2.3846238295444813E-2</v>
      </c>
      <c r="F803" s="1">
        <f t="shared" si="61"/>
        <v>4.0978787783663102E-2</v>
      </c>
    </row>
    <row r="804" spans="2:6" x14ac:dyDescent="0.25">
      <c r="B804" s="1">
        <f t="shared" si="62"/>
        <v>158.79999999999953</v>
      </c>
      <c r="C804" s="1">
        <f t="shared" si="63"/>
        <v>-2.3967270474516296</v>
      </c>
      <c r="D804" s="1">
        <f t="shared" si="60"/>
        <v>-1.565048073871219E-2</v>
      </c>
      <c r="E804" s="1">
        <f t="shared" si="64"/>
        <v>-1.565048073871219E-2</v>
      </c>
      <c r="F804" s="1">
        <f t="shared" si="61"/>
        <v>4.0675806558667066E-2</v>
      </c>
    </row>
    <row r="805" spans="2:6" x14ac:dyDescent="0.25">
      <c r="B805" s="1">
        <f t="shared" si="62"/>
        <v>158.99999999999952</v>
      </c>
      <c r="C805" s="1">
        <f t="shared" si="63"/>
        <v>-2.3998571435993719</v>
      </c>
      <c r="D805" s="1">
        <f t="shared" si="60"/>
        <v>-7.5153194269787765E-3</v>
      </c>
      <c r="E805" s="1">
        <f t="shared" si="64"/>
        <v>-7.5153194269787765E-3</v>
      </c>
      <c r="F805" s="1">
        <f t="shared" si="61"/>
        <v>4.0348333966581877E-2</v>
      </c>
    </row>
    <row r="806" spans="2:6" x14ac:dyDescent="0.25">
      <c r="B806" s="1">
        <f t="shared" si="62"/>
        <v>159.19999999999951</v>
      </c>
      <c r="C806" s="1">
        <f t="shared" si="63"/>
        <v>-2.4013602074847675</v>
      </c>
      <c r="D806" s="1">
        <f t="shared" si="60"/>
        <v>5.5434736633759932E-4</v>
      </c>
      <c r="E806" s="1">
        <f t="shared" si="64"/>
        <v>5.5434736633759932E-4</v>
      </c>
      <c r="F806" s="1">
        <f t="shared" si="61"/>
        <v>3.9996800580983705E-2</v>
      </c>
    </row>
    <row r="807" spans="2:6" x14ac:dyDescent="0.25">
      <c r="B807" s="1">
        <f t="shared" si="62"/>
        <v>159.39999999999949</v>
      </c>
      <c r="C807" s="1">
        <f t="shared" si="63"/>
        <v>-2.4012493380115001</v>
      </c>
      <c r="D807" s="1">
        <f t="shared" si="60"/>
        <v>8.5537074825343413E-3</v>
      </c>
      <c r="E807" s="1">
        <f t="shared" si="64"/>
        <v>8.5537074825343413E-3</v>
      </c>
      <c r="F807" s="1">
        <f t="shared" si="61"/>
        <v>3.9621649284340067E-2</v>
      </c>
    </row>
    <row r="808" spans="2:6" x14ac:dyDescent="0.25">
      <c r="B808" s="1">
        <f t="shared" si="62"/>
        <v>159.59999999999948</v>
      </c>
      <c r="C808" s="1">
        <f t="shared" si="63"/>
        <v>-2.3995385965149931</v>
      </c>
      <c r="D808" s="1">
        <f t="shared" si="60"/>
        <v>1.6478037339402354E-2</v>
      </c>
      <c r="E808" s="1">
        <f t="shared" si="64"/>
        <v>1.6478037339402354E-2</v>
      </c>
      <c r="F808" s="1">
        <f t="shared" si="61"/>
        <v>3.9223334866077778E-2</v>
      </c>
    </row>
    <row r="809" spans="2:6" x14ac:dyDescent="0.25">
      <c r="B809" s="1">
        <f t="shared" si="62"/>
        <v>159.79999999999947</v>
      </c>
      <c r="C809" s="1">
        <f t="shared" si="63"/>
        <v>-2.3962429890471126</v>
      </c>
      <c r="D809" s="1">
        <f t="shared" si="60"/>
        <v>2.4322704312617911E-2</v>
      </c>
      <c r="E809" s="1">
        <f t="shared" si="64"/>
        <v>2.4322704312617911E-2</v>
      </c>
      <c r="F809" s="1">
        <f t="shared" si="61"/>
        <v>3.8802323616196371E-2</v>
      </c>
    </row>
    <row r="810" spans="2:6" x14ac:dyDescent="0.25">
      <c r="B810" s="1">
        <f t="shared" si="62"/>
        <v>159.99999999999946</v>
      </c>
      <c r="C810" s="1">
        <f t="shared" si="63"/>
        <v>-2.391378448184589</v>
      </c>
      <c r="D810" s="1">
        <f t="shared" si="60"/>
        <v>3.2083169035857187E-2</v>
      </c>
      <c r="E810" s="1">
        <f t="shared" si="64"/>
        <v>3.2083169035857187E-2</v>
      </c>
      <c r="F810" s="1">
        <f t="shared" si="61"/>
        <v>3.8359092914736478E-2</v>
      </c>
    </row>
    <row r="811" spans="2:6" x14ac:dyDescent="0.25">
      <c r="B811" s="1">
        <f t="shared" si="62"/>
        <v>160.19999999999945</v>
      </c>
      <c r="C811" s="1">
        <f t="shared" si="63"/>
        <v>-2.3849618143774176</v>
      </c>
      <c r="D811" s="1">
        <f t="shared" si="60"/>
        <v>3.9754987618804485E-2</v>
      </c>
      <c r="E811" s="1">
        <f t="shared" si="64"/>
        <v>3.9754987618804485E-2</v>
      </c>
      <c r="F811" s="1">
        <f t="shared" si="61"/>
        <v>3.7894130817412754E-2</v>
      </c>
    </row>
    <row r="812" spans="2:6" x14ac:dyDescent="0.25">
      <c r="B812" s="1">
        <f t="shared" si="62"/>
        <v>160.39999999999944</v>
      </c>
      <c r="C812" s="1">
        <f t="shared" si="63"/>
        <v>-2.3770108168536566</v>
      </c>
      <c r="D812" s="1">
        <f t="shared" si="60"/>
        <v>4.7333813782287036E-2</v>
      </c>
      <c r="E812" s="1">
        <f t="shared" si="64"/>
        <v>4.7333813782287036E-2</v>
      </c>
      <c r="F812" s="1">
        <f t="shared" si="61"/>
        <v>3.7407935637720879E-2</v>
      </c>
    </row>
    <row r="813" spans="2:6" x14ac:dyDescent="0.25">
      <c r="B813" s="1">
        <f t="shared" si="62"/>
        <v>160.59999999999943</v>
      </c>
      <c r="C813" s="1">
        <f t="shared" si="63"/>
        <v>-2.3675440540971993</v>
      </c>
      <c r="D813" s="1">
        <f t="shared" si="60"/>
        <v>5.4815400909831211E-2</v>
      </c>
      <c r="E813" s="1">
        <f t="shared" si="64"/>
        <v>5.4815400909831211E-2</v>
      </c>
      <c r="F813" s="1">
        <f t="shared" si="61"/>
        <v>3.6901015525827863E-2</v>
      </c>
    </row>
    <row r="814" spans="2:6" x14ac:dyDescent="0.25">
      <c r="B814" s="1">
        <f t="shared" si="62"/>
        <v>160.79999999999941</v>
      </c>
      <c r="C814" s="1">
        <f t="shared" si="63"/>
        <v>-2.356580973915233</v>
      </c>
      <c r="D814" s="1">
        <f t="shared" si="60"/>
        <v>6.2195604014996783E-2</v>
      </c>
      <c r="E814" s="1">
        <f t="shared" si="64"/>
        <v>6.2195604014996783E-2</v>
      </c>
      <c r="F814" s="1">
        <f t="shared" si="61"/>
        <v>3.6373888044554034E-2</v>
      </c>
    </row>
    <row r="815" spans="2:6" x14ac:dyDescent="0.25">
      <c r="B815" s="1">
        <f t="shared" si="62"/>
        <v>160.9999999999994</v>
      </c>
      <c r="C815" s="1">
        <f t="shared" si="63"/>
        <v>-2.3441418531122338</v>
      </c>
      <c r="D815" s="1">
        <f t="shared" si="60"/>
        <v>6.947038162390759E-2</v>
      </c>
      <c r="E815" s="1">
        <f t="shared" si="64"/>
        <v>6.947038162390759E-2</v>
      </c>
      <c r="F815" s="1">
        <f t="shared" si="61"/>
        <v>3.5827079742754869E-2</v>
      </c>
    </row>
    <row r="816" spans="2:6" x14ac:dyDescent="0.25">
      <c r="B816" s="1">
        <f t="shared" si="62"/>
        <v>161.19999999999939</v>
      </c>
      <c r="C816" s="1">
        <f t="shared" si="63"/>
        <v>-2.3302477767874521</v>
      </c>
      <c r="D816" s="1">
        <f t="shared" si="60"/>
        <v>7.6635797572458558E-2</v>
      </c>
      <c r="E816" s="1">
        <f t="shared" si="64"/>
        <v>7.6635797572458558E-2</v>
      </c>
      <c r="F816" s="1">
        <f t="shared" si="61"/>
        <v>3.5261125726409465E-2</v>
      </c>
    </row>
    <row r="817" spans="2:6" x14ac:dyDescent="0.25">
      <c r="B817" s="1">
        <f t="shared" si="62"/>
        <v>161.39999999999938</v>
      </c>
      <c r="C817" s="1">
        <f t="shared" si="63"/>
        <v>-2.3149206172729602</v>
      </c>
      <c r="D817" s="1">
        <f t="shared" si="60"/>
        <v>8.3688022717740451E-2</v>
      </c>
      <c r="E817" s="1">
        <f t="shared" si="64"/>
        <v>8.3688022717740451E-2</v>
      </c>
      <c r="F817" s="1">
        <f t="shared" si="61"/>
        <v>3.467656922772145E-2</v>
      </c>
    </row>
    <row r="818" spans="2:6" x14ac:dyDescent="0.25">
      <c r="B818" s="1">
        <f t="shared" si="62"/>
        <v>161.59999999999937</v>
      </c>
      <c r="C818" s="1">
        <f t="shared" si="63"/>
        <v>-2.2981830127294121</v>
      </c>
      <c r="D818" s="1">
        <f t="shared" si="60"/>
        <v>9.0623336563284737E-2</v>
      </c>
      <c r="E818" s="1">
        <f t="shared" si="64"/>
        <v>9.0623336563284737E-2</v>
      </c>
      <c r="F818" s="1">
        <f t="shared" si="61"/>
        <v>3.4073961172536915E-2</v>
      </c>
    </row>
    <row r="819" spans="2:6" x14ac:dyDescent="0.25">
      <c r="B819" s="1">
        <f t="shared" si="62"/>
        <v>161.79999999999936</v>
      </c>
      <c r="C819" s="1">
        <f t="shared" si="63"/>
        <v>-2.2800583454167551</v>
      </c>
      <c r="D819" s="1">
        <f t="shared" si="60"/>
        <v>9.7438128797792123E-2</v>
      </c>
      <c r="E819" s="1">
        <f t="shared" si="64"/>
        <v>9.7438128797792123E-2</v>
      </c>
      <c r="F819" s="1">
        <f t="shared" si="61"/>
        <v>3.3453859746382292E-2</v>
      </c>
    </row>
    <row r="820" spans="2:6" x14ac:dyDescent="0.25">
      <c r="B820" s="1">
        <f t="shared" si="62"/>
        <v>161.99999999999935</v>
      </c>
      <c r="C820" s="1">
        <f t="shared" si="63"/>
        <v>-2.2605707196571965</v>
      </c>
      <c r="D820" s="1">
        <f t="shared" si="60"/>
        <v>0.10412890074706858</v>
      </c>
      <c r="E820" s="1">
        <f t="shared" si="64"/>
        <v>0.10412890074706858</v>
      </c>
      <c r="F820" s="1">
        <f t="shared" si="61"/>
        <v>3.2816829959423408E-2</v>
      </c>
    </row>
    <row r="821" spans="2:6" x14ac:dyDescent="0.25">
      <c r="B821" s="1">
        <f t="shared" si="62"/>
        <v>162.19999999999933</v>
      </c>
      <c r="C821" s="1">
        <f t="shared" si="63"/>
        <v>-2.2397449395077826</v>
      </c>
      <c r="D821" s="1">
        <f t="shared" si="60"/>
        <v>0.11069226673895327</v>
      </c>
      <c r="E821" s="1">
        <f t="shared" si="64"/>
        <v>0.11069226673895327</v>
      </c>
      <c r="F821" s="1">
        <f t="shared" si="61"/>
        <v>3.216344321064523E-2</v>
      </c>
    </row>
    <row r="822" spans="2:6" x14ac:dyDescent="0.25">
      <c r="B822" s="1">
        <f t="shared" si="62"/>
        <v>162.39999999999932</v>
      </c>
      <c r="C822" s="1">
        <f t="shared" si="63"/>
        <v>-2.2176064861599918</v>
      </c>
      <c r="D822" s="1">
        <f t="shared" si="60"/>
        <v>0.11712495538108232</v>
      </c>
      <c r="E822" s="1">
        <f t="shared" si="64"/>
        <v>0.11712495538108232</v>
      </c>
      <c r="F822" s="1">
        <f t="shared" si="61"/>
        <v>3.149427685154936E-2</v>
      </c>
    </row>
    <row r="823" spans="2:6" x14ac:dyDescent="0.25">
      <c r="B823" s="1">
        <f t="shared" si="62"/>
        <v>162.59999999999931</v>
      </c>
      <c r="C823" s="1">
        <f t="shared" si="63"/>
        <v>-2.1941814950837752</v>
      </c>
      <c r="D823" s="1">
        <f t="shared" si="60"/>
        <v>0.12342381075139219</v>
      </c>
      <c r="E823" s="1">
        <f t="shared" si="64"/>
        <v>0.12342381075139219</v>
      </c>
      <c r="F823" s="1">
        <f t="shared" si="61"/>
        <v>3.0809913749664623E-2</v>
      </c>
    </row>
    <row r="824" spans="2:6" x14ac:dyDescent="0.25">
      <c r="B824" s="1">
        <f t="shared" si="62"/>
        <v>162.7999999999993</v>
      </c>
      <c r="C824" s="1">
        <f t="shared" si="63"/>
        <v>-2.1694967329334967</v>
      </c>
      <c r="D824" s="1">
        <f t="shared" si="60"/>
        <v>0.12958579350132512</v>
      </c>
      <c r="E824" s="1">
        <f t="shared" si="64"/>
        <v>0.12958579350132512</v>
      </c>
      <c r="F824" s="1">
        <f t="shared" si="61"/>
        <v>3.011094185216311E-2</v>
      </c>
    </row>
    <row r="825" spans="2:6" x14ac:dyDescent="0.25">
      <c r="B825" s="1">
        <f t="shared" si="62"/>
        <v>162.99999999999929</v>
      </c>
      <c r="C825" s="1">
        <f t="shared" si="63"/>
        <v>-2.1435795742332315</v>
      </c>
      <c r="D825" s="1">
        <f t="shared" si="60"/>
        <v>0.13560798187175774</v>
      </c>
      <c r="E825" s="1">
        <f t="shared" si="64"/>
        <v>0.13560798187175774</v>
      </c>
      <c r="F825" s="1">
        <f t="shared" si="61"/>
        <v>2.9397953749871836E-2</v>
      </c>
    </row>
    <row r="826" spans="2:6" x14ac:dyDescent="0.25">
      <c r="B826" s="1">
        <f t="shared" si="62"/>
        <v>163.19999999999928</v>
      </c>
      <c r="C826" s="1">
        <f t="shared" si="63"/>
        <v>-2.1164579778588801</v>
      </c>
      <c r="D826" s="1">
        <f t="shared" si="60"/>
        <v>0.14148757262173212</v>
      </c>
      <c r="E826" s="1">
        <f t="shared" si="64"/>
        <v>0.14148757262173212</v>
      </c>
      <c r="F826" s="1">
        <f t="shared" si="61"/>
        <v>2.8671546241967175E-2</v>
      </c>
    </row>
    <row r="827" spans="2:6" x14ac:dyDescent="0.25">
      <c r="B827" s="1">
        <f t="shared" si="62"/>
        <v>163.39999999999927</v>
      </c>
      <c r="C827" s="1">
        <f t="shared" si="63"/>
        <v>-2.0881604633345336</v>
      </c>
      <c r="D827" s="1">
        <f t="shared" si="60"/>
        <v>0.14722188187012555</v>
      </c>
      <c r="E827" s="1">
        <f t="shared" si="64"/>
        <v>0.14722188187012555</v>
      </c>
      <c r="F827" s="1">
        <f t="shared" si="61"/>
        <v>2.793231990163637E-2</v>
      </c>
    </row>
    <row r="828" spans="2:6" x14ac:dyDescent="0.25">
      <c r="B828" s="1">
        <f t="shared" si="62"/>
        <v>163.59999999999926</v>
      </c>
      <c r="C828" s="1">
        <f t="shared" si="63"/>
        <v>-2.0587160869605086</v>
      </c>
      <c r="D828" s="1">
        <f t="shared" si="60"/>
        <v>0.15280834585045283</v>
      </c>
      <c r="E828" s="1">
        <f t="shared" si="64"/>
        <v>0.15280834585045283</v>
      </c>
      <c r="F828" s="1">
        <f t="shared" si="61"/>
        <v>2.7180878642987343E-2</v>
      </c>
    </row>
    <row r="829" spans="2:6" x14ac:dyDescent="0.25">
      <c r="B829" s="1">
        <f t="shared" si="62"/>
        <v>163.79999999999924</v>
      </c>
      <c r="C829" s="1">
        <f t="shared" si="63"/>
        <v>-2.0281544177904181</v>
      </c>
      <c r="D829" s="1">
        <f t="shared" si="60"/>
        <v>0.15824452157905031</v>
      </c>
      <c r="E829" s="1">
        <f t="shared" si="64"/>
        <v>0.15824452157905031</v>
      </c>
      <c r="F829" s="1">
        <f t="shared" si="61"/>
        <v>2.6417829289484621E-2</v>
      </c>
    </row>
    <row r="830" spans="2:6" x14ac:dyDescent="0.25">
      <c r="B830" s="1">
        <f t="shared" si="62"/>
        <v>163.99999999999923</v>
      </c>
      <c r="C830" s="1">
        <f t="shared" si="63"/>
        <v>-1.9965055134746079</v>
      </c>
      <c r="D830" s="1">
        <f t="shared" si="60"/>
        <v>0.16352808743694724</v>
      </c>
      <c r="E830" s="1">
        <f t="shared" si="64"/>
        <v>0.16352808743694724</v>
      </c>
      <c r="F830" s="1">
        <f t="shared" si="61"/>
        <v>2.5643781144185928E-2</v>
      </c>
    </row>
    <row r="831" spans="2:6" x14ac:dyDescent="0.25">
      <c r="B831" s="1">
        <f t="shared" si="62"/>
        <v>164.19999999999922</v>
      </c>
      <c r="C831" s="1">
        <f t="shared" si="63"/>
        <v>-1.9637998959872185</v>
      </c>
      <c r="D831" s="1">
        <f t="shared" si="60"/>
        <v>0.16865684366578443</v>
      </c>
      <c r="E831" s="1">
        <f t="shared" si="64"/>
        <v>0.16865684366578443</v>
      </c>
      <c r="F831" s="1">
        <f t="shared" si="61"/>
        <v>2.4859345562050366E-2</v>
      </c>
    </row>
    <row r="832" spans="2:6" x14ac:dyDescent="0.25">
      <c r="B832" s="1">
        <f t="shared" si="62"/>
        <v>164.39999999999921</v>
      </c>
      <c r="C832" s="1">
        <f t="shared" si="63"/>
        <v>-1.9300685272540616</v>
      </c>
      <c r="D832" s="1">
        <f t="shared" si="60"/>
        <v>0.1736287127781945</v>
      </c>
      <c r="E832" s="1">
        <f t="shared" si="64"/>
        <v>0.1736287127781945</v>
      </c>
      <c r="F832" s="1">
        <f t="shared" si="61"/>
        <v>2.4065135524585286E-2</v>
      </c>
    </row>
    <row r="833" spans="2:6" x14ac:dyDescent="0.25">
      <c r="B833" s="1">
        <f t="shared" si="62"/>
        <v>164.5999999999992</v>
      </c>
      <c r="C833" s="1">
        <f t="shared" si="63"/>
        <v>-1.8953427846984228</v>
      </c>
      <c r="D833" s="1">
        <f t="shared" si="60"/>
        <v>0.17844173988311154</v>
      </c>
      <c r="E833" s="1">
        <f t="shared" si="64"/>
        <v>0.17844173988311154</v>
      </c>
      <c r="F833" s="1">
        <f t="shared" si="61"/>
        <v>2.3261765217095172E-2</v>
      </c>
    </row>
    <row r="834" spans="2:6" x14ac:dyDescent="0.25">
      <c r="B834" s="1">
        <f t="shared" si="62"/>
        <v>164.79999999999919</v>
      </c>
      <c r="C834" s="1">
        <f t="shared" si="63"/>
        <v>-1.8596544367218004</v>
      </c>
      <c r="D834" s="1">
        <f t="shared" si="60"/>
        <v>0.18309409292653059</v>
      </c>
      <c r="E834" s="1">
        <f t="shared" si="64"/>
        <v>0.18309409292653059</v>
      </c>
      <c r="F834" s="1">
        <f t="shared" si="61"/>
        <v>2.2449849608791914E-2</v>
      </c>
    </row>
    <row r="835" spans="2:6" x14ac:dyDescent="0.25">
      <c r="B835" s="1">
        <f t="shared" si="62"/>
        <v>164.99999999999918</v>
      </c>
      <c r="C835" s="1">
        <f t="shared" si="63"/>
        <v>-1.8230356181364944</v>
      </c>
      <c r="D835" s="1">
        <f t="shared" si="60"/>
        <v>0.18758406284828896</v>
      </c>
      <c r="E835" s="1">
        <f t="shared" si="64"/>
        <v>0.18758406284828896</v>
      </c>
      <c r="F835" s="1">
        <f t="shared" si="61"/>
        <v>2.1630004036021423E-2</v>
      </c>
    </row>
    <row r="836" spans="2:6" x14ac:dyDescent="0.25">
      <c r="B836" s="1">
        <f t="shared" si="62"/>
        <v>165.19999999999916</v>
      </c>
      <c r="C836" s="1">
        <f t="shared" si="63"/>
        <v>-1.7855188055668365</v>
      </c>
      <c r="D836" s="1">
        <f t="shared" si="60"/>
        <v>0.19191006365549323</v>
      </c>
      <c r="E836" s="1">
        <f t="shared" si="64"/>
        <v>0.19191006365549323</v>
      </c>
      <c r="F836" s="1">
        <f t="shared" si="61"/>
        <v>2.0802843788857592E-2</v>
      </c>
    </row>
    <row r="837" spans="2:6" x14ac:dyDescent="0.25">
      <c r="B837" s="1">
        <f t="shared" si="62"/>
        <v>165.39999999999915</v>
      </c>
      <c r="C837" s="1">
        <f t="shared" si="63"/>
        <v>-1.7471367928357378</v>
      </c>
      <c r="D837" s="1">
        <f t="shared" si="60"/>
        <v>0.19607063241326475</v>
      </c>
      <c r="E837" s="1">
        <f t="shared" si="64"/>
        <v>0.19607063241326475</v>
      </c>
      <c r="F837" s="1">
        <f t="shared" si="61"/>
        <v>1.9968983701309943E-2</v>
      </c>
    </row>
    <row r="838" spans="2:6" x14ac:dyDescent="0.25">
      <c r="B838" s="1">
        <f t="shared" si="62"/>
        <v>165.59999999999914</v>
      </c>
      <c r="C838" s="1">
        <f t="shared" si="63"/>
        <v>-1.7079226663530849</v>
      </c>
      <c r="D838" s="1">
        <f t="shared" si="60"/>
        <v>0.20006442915352673</v>
      </c>
      <c r="E838" s="1">
        <f t="shared" si="64"/>
        <v>0.20006442915352673</v>
      </c>
      <c r="F838" s="1">
        <f t="shared" si="61"/>
        <v>1.9129037745386834E-2</v>
      </c>
    </row>
    <row r="839" spans="2:6" x14ac:dyDescent="0.25">
      <c r="B839" s="1">
        <f t="shared" si="62"/>
        <v>165.79999999999913</v>
      </c>
      <c r="C839" s="1">
        <f t="shared" si="63"/>
        <v>-1.6679097805223795</v>
      </c>
      <c r="D839" s="1">
        <f t="shared" si="60"/>
        <v>0.20389023670260409</v>
      </c>
      <c r="E839" s="1">
        <f t="shared" si="64"/>
        <v>0.20389023670260409</v>
      </c>
      <c r="F839" s="1">
        <f t="shared" si="61"/>
        <v>1.8283618629251472E-2</v>
      </c>
    </row>
    <row r="840" spans="2:6" x14ac:dyDescent="0.25">
      <c r="B840" s="1">
        <f t="shared" si="62"/>
        <v>165.99999999999912</v>
      </c>
      <c r="C840" s="1">
        <f t="shared" si="63"/>
        <v>-1.6271317331818587</v>
      </c>
      <c r="D840" s="1">
        <f t="shared" si="60"/>
        <v>0.20754696042845439</v>
      </c>
      <c r="E840" s="1">
        <f t="shared" si="64"/>
        <v>0.20754696042845439</v>
      </c>
      <c r="F840" s="1">
        <f t="shared" si="61"/>
        <v>1.7433337399703108E-2</v>
      </c>
    </row>
    <row r="841" spans="2:6" x14ac:dyDescent="0.25">
      <c r="B841" s="1">
        <f t="shared" si="62"/>
        <v>166.19999999999911</v>
      </c>
      <c r="C841" s="1">
        <f t="shared" si="63"/>
        <v>-1.5856223410961678</v>
      </c>
      <c r="D841" s="1">
        <f t="shared" si="60"/>
        <v>0.211033627908395</v>
      </c>
      <c r="E841" s="1">
        <f t="shared" si="64"/>
        <v>0.211033627908395</v>
      </c>
      <c r="F841" s="1">
        <f t="shared" si="61"/>
        <v>1.6578803049211031E-2</v>
      </c>
    </row>
    <row r="842" spans="2:6" x14ac:dyDescent="0.25">
      <c r="B842" s="1">
        <f t="shared" si="62"/>
        <v>166.3999999999991</v>
      </c>
      <c r="C842" s="1">
        <f t="shared" si="63"/>
        <v>-1.5434156155144889</v>
      </c>
      <c r="D842" s="1">
        <f t="shared" ref="D842:D905" si="65">E842</f>
        <v>0.2143493885182372</v>
      </c>
      <c r="E842" s="1">
        <f t="shared" si="64"/>
        <v>0.2143493885182372</v>
      </c>
      <c r="F842" s="1">
        <f t="shared" ref="F842:F905" si="66">-$C$3*C842/$C$4-$C$2/$C$4*E842</f>
        <v>1.5720622127723745E-2</v>
      </c>
    </row>
    <row r="843" spans="2:6" x14ac:dyDescent="0.25">
      <c r="B843" s="1">
        <f t="shared" ref="B843:B906" si="67">B842+$C$7</f>
        <v>166.59999999999908</v>
      </c>
      <c r="C843" s="1">
        <f t="shared" ref="C843:C906" si="68">C842+D842*$C$7</f>
        <v>-1.5005457378108416</v>
      </c>
      <c r="D843" s="1">
        <f t="shared" si="65"/>
        <v>0.21749351294378194</v>
      </c>
      <c r="E843" s="1">
        <f t="shared" ref="E843:E906" si="69">E842+F842*$C$7</f>
        <v>0.21749351294378194</v>
      </c>
      <c r="F843" s="1">
        <f t="shared" si="66"/>
        <v>1.4859398359470871E-2</v>
      </c>
    </row>
    <row r="844" spans="2:6" x14ac:dyDescent="0.25">
      <c r="B844" s="1">
        <f t="shared" si="67"/>
        <v>166.79999999999907</v>
      </c>
      <c r="C844" s="1">
        <f t="shared" si="68"/>
        <v>-1.4570470352220852</v>
      </c>
      <c r="D844" s="1">
        <f t="shared" si="65"/>
        <v>0.2204653926156761</v>
      </c>
      <c r="E844" s="1">
        <f t="shared" si="69"/>
        <v>0.2204653926156761</v>
      </c>
      <c r="F844" s="1">
        <f t="shared" si="66"/>
        <v>1.3995732264969866E-2</v>
      </c>
    </row>
    <row r="845" spans="2:6" x14ac:dyDescent="0.25">
      <c r="B845" s="1">
        <f t="shared" si="67"/>
        <v>166.99999999999906</v>
      </c>
      <c r="C845" s="1">
        <f t="shared" si="68"/>
        <v>-1.41295395669895</v>
      </c>
      <c r="D845" s="1">
        <f t="shared" si="65"/>
        <v>0.22326453906867008</v>
      </c>
      <c r="E845" s="1">
        <f t="shared" si="69"/>
        <v>0.22326453906867008</v>
      </c>
      <c r="F845" s="1">
        <f t="shared" si="66"/>
        <v>1.3130220788444561E-2</v>
      </c>
    </row>
    <row r="846" spans="2:6" x14ac:dyDescent="0.25">
      <c r="B846" s="1">
        <f t="shared" si="67"/>
        <v>167.19999999999905</v>
      </c>
      <c r="C846" s="1">
        <f t="shared" si="68"/>
        <v>-1.3683010488852159</v>
      </c>
      <c r="D846" s="1">
        <f t="shared" si="65"/>
        <v>0.22589058322635899</v>
      </c>
      <c r="E846" s="1">
        <f t="shared" si="69"/>
        <v>0.22589058322635899</v>
      </c>
      <c r="F846" s="1">
        <f t="shared" si="66"/>
        <v>1.2263456930856845E-2</v>
      </c>
    </row>
    <row r="847" spans="2:6" x14ac:dyDescent="0.25">
      <c r="B847" s="1">
        <f t="shared" si="67"/>
        <v>167.39999999999904</v>
      </c>
      <c r="C847" s="1">
        <f t="shared" si="68"/>
        <v>-1.323122932239944</v>
      </c>
      <c r="D847" s="1">
        <f t="shared" si="65"/>
        <v>0.22834327461253037</v>
      </c>
      <c r="E847" s="1">
        <f t="shared" si="69"/>
        <v>0.22834327461253037</v>
      </c>
      <c r="F847" s="1">
        <f t="shared" si="66"/>
        <v>1.1396029388747651E-2</v>
      </c>
    </row>
    <row r="848" spans="2:6" x14ac:dyDescent="0.25">
      <c r="B848" s="1">
        <f t="shared" si="67"/>
        <v>167.59999999999903</v>
      </c>
      <c r="C848" s="1">
        <f t="shared" si="68"/>
        <v>-1.277454277317438</v>
      </c>
      <c r="D848" s="1">
        <f t="shared" si="65"/>
        <v>0.23062248049027989</v>
      </c>
      <c r="E848" s="1">
        <f t="shared" si="69"/>
        <v>0.23062248049027989</v>
      </c>
      <c r="F848" s="1">
        <f t="shared" si="66"/>
        <v>1.0528522199077572E-2</v>
      </c>
    </row>
    <row r="849" spans="2:6" x14ac:dyDescent="0.25">
      <c r="B849" s="1">
        <f t="shared" si="67"/>
        <v>167.79999999999902</v>
      </c>
      <c r="C849" s="1">
        <f t="shared" si="68"/>
        <v>-1.231329781219382</v>
      </c>
      <c r="D849" s="1">
        <f t="shared" si="65"/>
        <v>0.23272818493009539</v>
      </c>
      <c r="E849" s="1">
        <f t="shared" si="69"/>
        <v>0.23272818493009539</v>
      </c>
      <c r="F849" s="1">
        <f t="shared" si="66"/>
        <v>9.6615143902519154E-3</v>
      </c>
    </row>
    <row r="850" spans="2:6" x14ac:dyDescent="0.25">
      <c r="B850" s="1">
        <f t="shared" si="67"/>
        <v>167.99999999999901</v>
      </c>
      <c r="C850" s="1">
        <f t="shared" si="68"/>
        <v>-1.1847841442333629</v>
      </c>
      <c r="D850" s="1">
        <f t="shared" si="65"/>
        <v>0.23466048780814577</v>
      </c>
      <c r="E850" s="1">
        <f t="shared" si="69"/>
        <v>0.23466048780814577</v>
      </c>
      <c r="F850" s="1">
        <f t="shared" si="66"/>
        <v>8.7955796395092437E-3</v>
      </c>
    </row>
    <row r="851" spans="2:6" x14ac:dyDescent="0.25">
      <c r="B851" s="1">
        <f t="shared" si="67"/>
        <v>168.19999999999899</v>
      </c>
      <c r="C851" s="1">
        <f t="shared" si="68"/>
        <v>-1.1378520466717337</v>
      </c>
      <c r="D851" s="1">
        <f t="shared" si="65"/>
        <v>0.23641960373604762</v>
      </c>
      <c r="E851" s="1">
        <f t="shared" si="69"/>
        <v>0.23641960373604762</v>
      </c>
      <c r="F851" s="1">
        <f t="shared" si="66"/>
        <v>7.9312859368466746E-3</v>
      </c>
    </row>
    <row r="852" spans="2:6" x14ac:dyDescent="0.25">
      <c r="B852" s="1">
        <f t="shared" si="67"/>
        <v>168.39999999999898</v>
      </c>
      <c r="C852" s="1">
        <f t="shared" si="68"/>
        <v>-1.0905681259245241</v>
      </c>
      <c r="D852" s="1">
        <f t="shared" si="65"/>
        <v>0.23800586092341694</v>
      </c>
      <c r="E852" s="1">
        <f t="shared" si="69"/>
        <v>0.23800586092341694</v>
      </c>
      <c r="F852" s="1">
        <f t="shared" si="66"/>
        <v>7.0691952556492781E-3</v>
      </c>
    </row>
    <row r="853" spans="2:6" x14ac:dyDescent="0.25">
      <c r="B853" s="1">
        <f t="shared" si="67"/>
        <v>168.59999999999897</v>
      </c>
      <c r="C853" s="1">
        <f t="shared" si="68"/>
        <v>-1.0429669537398407</v>
      </c>
      <c r="D853" s="1">
        <f t="shared" si="65"/>
        <v>0.23941969997454679</v>
      </c>
      <c r="E853" s="1">
        <f t="shared" si="69"/>
        <v>0.23941969997454679</v>
      </c>
      <c r="F853" s="1">
        <f t="shared" si="66"/>
        <v>6.2098632301851604E-3</v>
      </c>
    </row>
    <row r="854" spans="2:6" x14ac:dyDescent="0.25">
      <c r="B854" s="1">
        <f t="shared" si="67"/>
        <v>168.79999999999896</v>
      </c>
      <c r="C854" s="1">
        <f t="shared" si="68"/>
        <v>-0.99508301374493136</v>
      </c>
      <c r="D854" s="1">
        <f t="shared" si="65"/>
        <v>0.24066167262058383</v>
      </c>
      <c r="E854" s="1">
        <f t="shared" si="69"/>
        <v>0.24066167262058383</v>
      </c>
      <c r="F854" s="1">
        <f t="shared" si="66"/>
        <v>5.3538388401216108E-3</v>
      </c>
    </row>
    <row r="855" spans="2:6" x14ac:dyDescent="0.25">
      <c r="B855" s="1">
        <f t="shared" si="67"/>
        <v>168.99999999999895</v>
      </c>
      <c r="C855" s="1">
        <f t="shared" si="68"/>
        <v>-0.94695067922081455</v>
      </c>
      <c r="D855" s="1">
        <f t="shared" si="65"/>
        <v>0.24173244038860814</v>
      </c>
      <c r="E855" s="1">
        <f t="shared" si="69"/>
        <v>0.24173244038860814</v>
      </c>
      <c r="F855" s="1">
        <f t="shared" si="66"/>
        <v>4.5016641022118647E-3</v>
      </c>
    </row>
    <row r="856" spans="2:6" x14ac:dyDescent="0.25">
      <c r="B856" s="1">
        <f t="shared" si="67"/>
        <v>169.19999999999894</v>
      </c>
      <c r="C856" s="1">
        <f t="shared" si="68"/>
        <v>-0.89860419114309287</v>
      </c>
      <c r="D856" s="1">
        <f t="shared" si="65"/>
        <v>0.24263277320905052</v>
      </c>
      <c r="E856" s="1">
        <f t="shared" si="69"/>
        <v>0.24263277320905052</v>
      </c>
      <c r="F856" s="1">
        <f t="shared" si="66"/>
        <v>3.6538737692958581E-3</v>
      </c>
    </row>
    <row r="857" spans="2:6" x14ac:dyDescent="0.25">
      <c r="B857" s="1">
        <f t="shared" si="67"/>
        <v>169.39999999999893</v>
      </c>
      <c r="C857" s="1">
        <f t="shared" si="68"/>
        <v>-0.85007763650128276</v>
      </c>
      <c r="D857" s="1">
        <f t="shared" si="65"/>
        <v>0.24336354796290968</v>
      </c>
      <c r="E857" s="1">
        <f t="shared" si="69"/>
        <v>0.24336354796290968</v>
      </c>
      <c r="F857" s="1">
        <f t="shared" si="66"/>
        <v>2.8109950367522611E-3</v>
      </c>
    </row>
    <row r="858" spans="2:6" x14ac:dyDescent="0.25">
      <c r="B858" s="1">
        <f t="shared" si="67"/>
        <v>169.59999999999891</v>
      </c>
      <c r="C858" s="1">
        <f t="shared" si="68"/>
        <v>-0.8014049269087008</v>
      </c>
      <c r="D858" s="1">
        <f t="shared" si="65"/>
        <v>0.24392574697026012</v>
      </c>
      <c r="E858" s="1">
        <f t="shared" si="69"/>
        <v>0.24392574697026012</v>
      </c>
      <c r="F858" s="1">
        <f t="shared" si="66"/>
        <v>1.9735472565328756E-3</v>
      </c>
    </row>
    <row r="859" spans="2:6" x14ac:dyDescent="0.25">
      <c r="B859" s="1">
        <f t="shared" si="67"/>
        <v>169.7999999999989</v>
      </c>
      <c r="C859" s="1">
        <f t="shared" si="68"/>
        <v>-0.75261977751464881</v>
      </c>
      <c r="D859" s="1">
        <f t="shared" si="65"/>
        <v>0.24432045642156669</v>
      </c>
      <c r="E859" s="1">
        <f t="shared" si="69"/>
        <v>0.24432045642156669</v>
      </c>
      <c r="F859" s="1">
        <f t="shared" si="66"/>
        <v>1.1420416589043667E-3</v>
      </c>
    </row>
    <row r="860" spans="2:6" x14ac:dyDescent="0.25">
      <c r="B860" s="1">
        <f t="shared" si="67"/>
        <v>169.99999999999889</v>
      </c>
      <c r="C860" s="1">
        <f t="shared" si="68"/>
        <v>-0.70375568623033546</v>
      </c>
      <c r="D860" s="1">
        <f t="shared" si="65"/>
        <v>0.24454886475334756</v>
      </c>
      <c r="E860" s="1">
        <f t="shared" si="69"/>
        <v>0.24454886475334756</v>
      </c>
      <c r="F860" s="1">
        <f t="shared" si="66"/>
        <v>3.1698108201604069E-4</v>
      </c>
    </row>
    <row r="861" spans="2:6" x14ac:dyDescent="0.25">
      <c r="B861" s="1">
        <f t="shared" si="67"/>
        <v>170.19999999999888</v>
      </c>
      <c r="C861" s="1">
        <f t="shared" si="68"/>
        <v>-0.6548459132796659</v>
      </c>
      <c r="D861" s="1">
        <f t="shared" si="65"/>
        <v>0.24461226096975075</v>
      </c>
      <c r="E861" s="1">
        <f t="shared" si="69"/>
        <v>0.24461226096975075</v>
      </c>
      <c r="F861" s="1">
        <f t="shared" si="66"/>
        <v>-5.0114029059393668E-4</v>
      </c>
    </row>
    <row r="862" spans="2:6" x14ac:dyDescent="0.25">
      <c r="B862" s="1">
        <f t="shared" si="67"/>
        <v>170.39999999999887</v>
      </c>
      <c r="C862" s="1">
        <f t="shared" si="68"/>
        <v>-0.60592346108571571</v>
      </c>
      <c r="D862" s="1">
        <f t="shared" si="65"/>
        <v>0.24451203291163195</v>
      </c>
      <c r="E862" s="1">
        <f t="shared" si="69"/>
        <v>0.24451203291163195</v>
      </c>
      <c r="F862" s="1">
        <f t="shared" si="66"/>
        <v>-1.3118371844475629E-3</v>
      </c>
    </row>
    <row r="863" spans="2:6" x14ac:dyDescent="0.25">
      <c r="B863" s="1">
        <f t="shared" si="67"/>
        <v>170.59999999999886</v>
      </c>
      <c r="C863" s="1">
        <f t="shared" si="68"/>
        <v>-0.55702105450338935</v>
      </c>
      <c r="D863" s="1">
        <f t="shared" si="65"/>
        <v>0.24424966547474244</v>
      </c>
      <c r="E863" s="1">
        <f t="shared" si="69"/>
        <v>0.24424966547474244</v>
      </c>
      <c r="F863" s="1">
        <f t="shared" si="66"/>
        <v>-2.1146334804314926E-3</v>
      </c>
    </row>
    <row r="864" spans="2:6" x14ac:dyDescent="0.25">
      <c r="B864" s="1">
        <f t="shared" si="67"/>
        <v>170.79999999999885</v>
      </c>
      <c r="C864" s="1">
        <f t="shared" si="68"/>
        <v>-0.5081711214084409</v>
      </c>
      <c r="D864" s="1">
        <f t="shared" si="65"/>
        <v>0.24382673877865615</v>
      </c>
      <c r="E864" s="1">
        <f t="shared" si="69"/>
        <v>0.24382673877865615</v>
      </c>
      <c r="F864" s="1">
        <f t="shared" si="66"/>
        <v>-2.9090624528632734E-3</v>
      </c>
    </row>
    <row r="865" spans="2:6" x14ac:dyDescent="0.25">
      <c r="B865" s="1">
        <f t="shared" si="67"/>
        <v>170.99999999999883</v>
      </c>
      <c r="C865" s="1">
        <f t="shared" si="68"/>
        <v>-0.45940577365270968</v>
      </c>
      <c r="D865" s="1">
        <f t="shared" si="65"/>
        <v>0.2432449262880835</v>
      </c>
      <c r="E865" s="1">
        <f t="shared" si="69"/>
        <v>0.2432449262880835</v>
      </c>
      <c r="F865" s="1">
        <f t="shared" si="66"/>
        <v>-3.6946669992320687E-3</v>
      </c>
    </row>
    <row r="866" spans="2:6" x14ac:dyDescent="0.25">
      <c r="B866" s="1">
        <f t="shared" si="67"/>
        <v>171.19999999999882</v>
      </c>
      <c r="C866" s="1">
        <f t="shared" si="68"/>
        <v>-0.410756788395093</v>
      </c>
      <c r="D866" s="1">
        <f t="shared" si="65"/>
        <v>0.2425059928882371</v>
      </c>
      <c r="E866" s="1">
        <f t="shared" si="69"/>
        <v>0.2425059928882371</v>
      </c>
      <c r="F866" s="1">
        <f t="shared" si="66"/>
        <v>-4.4709998615328475E-3</v>
      </c>
    </row>
    <row r="867" spans="2:6" x14ac:dyDescent="0.25">
      <c r="B867" s="1">
        <f t="shared" si="67"/>
        <v>171.39999999999881</v>
      </c>
      <c r="C867" s="1">
        <f t="shared" si="68"/>
        <v>-0.36225558981744554</v>
      </c>
      <c r="D867" s="1">
        <f t="shared" si="65"/>
        <v>0.24161179291593052</v>
      </c>
      <c r="E867" s="1">
        <f t="shared" si="69"/>
        <v>0.24161179291593052</v>
      </c>
      <c r="F867" s="1">
        <f t="shared" si="66"/>
        <v>-5.2376238391193307E-3</v>
      </c>
    </row>
    <row r="868" spans="2:6" x14ac:dyDescent="0.25">
      <c r="B868" s="1">
        <f t="shared" si="67"/>
        <v>171.5999999999988</v>
      </c>
      <c r="C868" s="1">
        <f t="shared" si="68"/>
        <v>-0.31393323123425942</v>
      </c>
      <c r="D868" s="1">
        <f t="shared" si="65"/>
        <v>0.24056426814810666</v>
      </c>
      <c r="E868" s="1">
        <f t="shared" si="69"/>
        <v>0.24056426814810666</v>
      </c>
      <c r="F868" s="1">
        <f t="shared" si="66"/>
        <v>-5.9941119930073212E-3</v>
      </c>
    </row>
    <row r="869" spans="2:6" x14ac:dyDescent="0.25">
      <c r="B869" s="1">
        <f t="shared" si="67"/>
        <v>171.79999999999879</v>
      </c>
      <c r="C869" s="1">
        <f t="shared" si="68"/>
        <v>-0.26582037760463806</v>
      </c>
      <c r="D869" s="1">
        <f t="shared" si="65"/>
        <v>0.23936544574950519</v>
      </c>
      <c r="E869" s="1">
        <f t="shared" si="69"/>
        <v>0.23936544574950519</v>
      </c>
      <c r="F869" s="1">
        <f t="shared" si="66"/>
        <v>-6.7400478415662757E-3</v>
      </c>
    </row>
    <row r="870" spans="2:6" x14ac:dyDescent="0.25">
      <c r="B870" s="1">
        <f t="shared" si="67"/>
        <v>171.99999999999878</v>
      </c>
      <c r="C870" s="1">
        <f t="shared" si="68"/>
        <v>-0.21794728845473701</v>
      </c>
      <c r="D870" s="1">
        <f t="shared" si="65"/>
        <v>0.23801743618119192</v>
      </c>
      <c r="E870" s="1">
        <f t="shared" si="69"/>
        <v>0.23801743618119192</v>
      </c>
      <c r="F870" s="1">
        <f t="shared" si="66"/>
        <v>-7.4750255475433403E-3</v>
      </c>
    </row>
    <row r="871" spans="2:6" x14ac:dyDescent="0.25">
      <c r="B871" s="1">
        <f t="shared" si="67"/>
        <v>172.19999999999877</v>
      </c>
      <c r="C871" s="1">
        <f t="shared" si="68"/>
        <v>-0.17034380121849862</v>
      </c>
      <c r="D871" s="1">
        <f t="shared" si="65"/>
        <v>0.23652243107168325</v>
      </c>
      <c r="E871" s="1">
        <f t="shared" si="69"/>
        <v>0.23652243107168325</v>
      </c>
      <c r="F871" s="1">
        <f t="shared" si="66"/>
        <v>-8.1986500963702417E-3</v>
      </c>
    </row>
    <row r="872" spans="2:6" x14ac:dyDescent="0.25">
      <c r="B872" s="1">
        <f t="shared" si="67"/>
        <v>172.39999999999876</v>
      </c>
      <c r="C872" s="1">
        <f t="shared" si="68"/>
        <v>-0.12303931500416197</v>
      </c>
      <c r="D872" s="1">
        <f t="shared" si="65"/>
        <v>0.23488270105240919</v>
      </c>
      <c r="E872" s="1">
        <f t="shared" si="69"/>
        <v>0.23488270105240919</v>
      </c>
      <c r="F872" s="1">
        <f t="shared" si="66"/>
        <v>-8.9105374657097291E-3</v>
      </c>
    </row>
    <row r="873" spans="2:6" x14ac:dyDescent="0.25">
      <c r="B873" s="1">
        <f t="shared" si="67"/>
        <v>172.59999999999874</v>
      </c>
      <c r="C873" s="1">
        <f t="shared" si="68"/>
        <v>-7.6062774793680135E-2</v>
      </c>
      <c r="D873" s="1">
        <f t="shared" si="65"/>
        <v>0.23310059355926724</v>
      </c>
      <c r="E873" s="1">
        <f t="shared" si="69"/>
        <v>0.23310059355926724</v>
      </c>
      <c r="F873" s="1">
        <f t="shared" si="66"/>
        <v>-9.6103147862044696E-3</v>
      </c>
    </row>
    <row r="874" spans="2:6" x14ac:dyDescent="0.25">
      <c r="B874" s="1">
        <f t="shared" si="67"/>
        <v>172.79999999999873</v>
      </c>
      <c r="C874" s="1">
        <f t="shared" si="68"/>
        <v>-2.9442656081826682E-2</v>
      </c>
      <c r="D874" s="1">
        <f t="shared" si="65"/>
        <v>0.23117853060202634</v>
      </c>
      <c r="E874" s="1">
        <f t="shared" si="69"/>
        <v>0.23117853060202634</v>
      </c>
      <c r="F874" s="1">
        <f t="shared" si="66"/>
        <v>-1.0297620493397452E-2</v>
      </c>
    </row>
    <row r="875" spans="2:6" x14ac:dyDescent="0.25">
      <c r="B875" s="1">
        <f t="shared" si="67"/>
        <v>172.99999999999872</v>
      </c>
      <c r="C875" s="1">
        <f t="shared" si="68"/>
        <v>1.6793050038578589E-2</v>
      </c>
      <c r="D875" s="1">
        <f t="shared" si="65"/>
        <v>0.22911900650334685</v>
      </c>
      <c r="E875" s="1">
        <f t="shared" si="69"/>
        <v>0.22911900650334685</v>
      </c>
      <c r="F875" s="1">
        <f t="shared" si="66"/>
        <v>-1.0972104470799163E-2</v>
      </c>
    </row>
    <row r="876" spans="2:6" x14ac:dyDescent="0.25">
      <c r="B876" s="1">
        <f t="shared" si="67"/>
        <v>173.19999999999871</v>
      </c>
      <c r="C876" s="1">
        <f t="shared" si="68"/>
        <v>6.2616851339247964E-2</v>
      </c>
      <c r="D876" s="1">
        <f t="shared" si="65"/>
        <v>0.22692458560918702</v>
      </c>
      <c r="E876" s="1">
        <f t="shared" si="69"/>
        <v>0.22692458560918702</v>
      </c>
      <c r="F876" s="1">
        <f t="shared" si="66"/>
        <v>-1.1633428184082861E-2</v>
      </c>
    </row>
    <row r="877" spans="2:6" x14ac:dyDescent="0.25">
      <c r="B877" s="1">
        <f t="shared" si="67"/>
        <v>173.3999999999987</v>
      </c>
      <c r="C877" s="1">
        <f t="shared" si="68"/>
        <v>0.10800176846108536</v>
      </c>
      <c r="D877" s="1">
        <f t="shared" si="65"/>
        <v>0.22459789997237045</v>
      </c>
      <c r="E877" s="1">
        <f t="shared" si="69"/>
        <v>0.22459789997237045</v>
      </c>
      <c r="F877" s="1">
        <f t="shared" si="66"/>
        <v>-1.2281264806395378E-2</v>
      </c>
    </row>
    <row r="878" spans="2:6" x14ac:dyDescent="0.25">
      <c r="B878" s="1">
        <f t="shared" si="67"/>
        <v>173.59999999999869</v>
      </c>
      <c r="C878" s="1">
        <f t="shared" si="68"/>
        <v>0.15292134845555946</v>
      </c>
      <c r="D878" s="1">
        <f t="shared" si="65"/>
        <v>0.22214164701109138</v>
      </c>
      <c r="E878" s="1">
        <f t="shared" si="69"/>
        <v>0.22214164701109138</v>
      </c>
      <c r="F878" s="1">
        <f t="shared" si="66"/>
        <v>-1.2915299334776923E-2</v>
      </c>
    </row>
    <row r="879" spans="2:6" x14ac:dyDescent="0.25">
      <c r="B879" s="1">
        <f t="shared" si="67"/>
        <v>173.79999999999868</v>
      </c>
      <c r="C879" s="1">
        <f t="shared" si="68"/>
        <v>0.19734967785777774</v>
      </c>
      <c r="D879" s="1">
        <f t="shared" si="65"/>
        <v>0.21955858714413598</v>
      </c>
      <c r="E879" s="1">
        <f t="shared" si="69"/>
        <v>0.21955858714413598</v>
      </c>
      <c r="F879" s="1">
        <f t="shared" si="66"/>
        <v>-1.3535228697689309E-2</v>
      </c>
    </row>
    <row r="880" spans="2:6" x14ac:dyDescent="0.25">
      <c r="B880" s="1">
        <f t="shared" si="67"/>
        <v>173.99999999999866</v>
      </c>
      <c r="C880" s="1">
        <f t="shared" si="68"/>
        <v>0.24126139528660495</v>
      </c>
      <c r="D880" s="1">
        <f t="shared" si="65"/>
        <v>0.21685154140459811</v>
      </c>
      <c r="E880" s="1">
        <f t="shared" si="69"/>
        <v>0.21685154140459811</v>
      </c>
      <c r="F880" s="1">
        <f t="shared" si="66"/>
        <v>-1.4140761853657997E-2</v>
      </c>
    </row>
    <row r="881" spans="2:6" x14ac:dyDescent="0.25">
      <c r="B881" s="1">
        <f t="shared" si="67"/>
        <v>174.19999999999865</v>
      </c>
      <c r="C881" s="1">
        <f t="shared" si="68"/>
        <v>0.2846317035675246</v>
      </c>
      <c r="D881" s="1">
        <f t="shared" si="65"/>
        <v>0.2140233890338665</v>
      </c>
      <c r="E881" s="1">
        <f t="shared" si="69"/>
        <v>0.2140233890338665</v>
      </c>
      <c r="F881" s="1">
        <f t="shared" si="66"/>
        <v>-1.473161988103918E-2</v>
      </c>
    </row>
    <row r="882" spans="2:6" x14ac:dyDescent="0.25">
      <c r="B882" s="1">
        <f t="shared" si="67"/>
        <v>174.39999999999864</v>
      </c>
      <c r="C882" s="1">
        <f t="shared" si="68"/>
        <v>0.32743638137429787</v>
      </c>
      <c r="D882" s="1">
        <f t="shared" si="65"/>
        <v>0.21107706505765866</v>
      </c>
      <c r="E882" s="1">
        <f t="shared" si="69"/>
        <v>0.21107706505765866</v>
      </c>
      <c r="F882" s="1">
        <f t="shared" si="66"/>
        <v>-1.5307536058929035E-2</v>
      </c>
    </row>
    <row r="883" spans="2:6" x14ac:dyDescent="0.25">
      <c r="B883" s="1">
        <f t="shared" si="67"/>
        <v>174.59999999999863</v>
      </c>
      <c r="C883" s="1">
        <f t="shared" si="68"/>
        <v>0.36965179438582962</v>
      </c>
      <c r="D883" s="1">
        <f t="shared" si="65"/>
        <v>0.20801555784587286</v>
      </c>
      <c r="E883" s="1">
        <f t="shared" si="69"/>
        <v>0.20801555784587286</v>
      </c>
      <c r="F883" s="1">
        <f t="shared" si="66"/>
        <v>-1.5868255939237894E-2</v>
      </c>
    </row>
    <row r="884" spans="2:6" x14ac:dyDescent="0.25">
      <c r="B884" s="1">
        <f t="shared" si="67"/>
        <v>174.79999999999862</v>
      </c>
      <c r="C884" s="1">
        <f t="shared" si="68"/>
        <v>0.41125490595500419</v>
      </c>
      <c r="D884" s="1">
        <f t="shared" si="65"/>
        <v>0.20484190665802529</v>
      </c>
      <c r="E884" s="1">
        <f t="shared" si="69"/>
        <v>0.20484190665802529</v>
      </c>
      <c r="F884" s="1">
        <f t="shared" si="66"/>
        <v>-1.6413537409957917E-2</v>
      </c>
    </row>
    <row r="885" spans="2:6" x14ac:dyDescent="0.25">
      <c r="B885" s="1">
        <f t="shared" si="67"/>
        <v>174.99999999999861</v>
      </c>
      <c r="C885" s="1">
        <f t="shared" si="68"/>
        <v>0.45222328728660927</v>
      </c>
      <c r="D885" s="1">
        <f t="shared" si="65"/>
        <v>0.20155919917603371</v>
      </c>
      <c r="E885" s="1">
        <f t="shared" si="69"/>
        <v>0.20155919917603371</v>
      </c>
      <c r="F885" s="1">
        <f t="shared" si="66"/>
        <v>-1.6943150749658395E-2</v>
      </c>
    </row>
    <row r="886" spans="2:6" x14ac:dyDescent="0.25">
      <c r="B886" s="1">
        <f t="shared" si="67"/>
        <v>175.1999999999986</v>
      </c>
      <c r="C886" s="1">
        <f t="shared" si="68"/>
        <v>0.49253512712181602</v>
      </c>
      <c r="D886" s="1">
        <f t="shared" si="65"/>
        <v>0.19817056902610203</v>
      </c>
      <c r="E886" s="1">
        <f t="shared" si="69"/>
        <v>0.19817056902610203</v>
      </c>
      <c r="F886" s="1">
        <f t="shared" si="66"/>
        <v>-1.7456878673248362E-2</v>
      </c>
    </row>
    <row r="887" spans="2:6" x14ac:dyDescent="0.25">
      <c r="B887" s="1">
        <f t="shared" si="67"/>
        <v>175.39999999999858</v>
      </c>
      <c r="C887" s="1">
        <f t="shared" si="68"/>
        <v>0.53216924092703644</v>
      </c>
      <c r="D887" s="1">
        <f t="shared" si="65"/>
        <v>0.19467919329145236</v>
      </c>
      <c r="E887" s="1">
        <f t="shared" si="69"/>
        <v>0.19467919329145236</v>
      </c>
      <c r="F887" s="1">
        <f t="shared" si="66"/>
        <v>-1.7954516369051716E-2</v>
      </c>
    </row>
    <row r="888" spans="2:6" x14ac:dyDescent="0.25">
      <c r="B888" s="1">
        <f t="shared" si="67"/>
        <v>175.59999999999857</v>
      </c>
      <c r="C888" s="1">
        <f t="shared" si="68"/>
        <v>0.57110507958532697</v>
      </c>
      <c r="D888" s="1">
        <f t="shared" si="65"/>
        <v>0.19108829001764202</v>
      </c>
      <c r="E888" s="1">
        <f t="shared" si="69"/>
        <v>0.19108829001764202</v>
      </c>
      <c r="F888" s="1">
        <f t="shared" si="66"/>
        <v>-1.8435871527245414E-2</v>
      </c>
    </row>
    <row r="889" spans="2:6" x14ac:dyDescent="0.25">
      <c r="B889" s="1">
        <f t="shared" si="67"/>
        <v>175.79999999999856</v>
      </c>
      <c r="C889" s="1">
        <f t="shared" si="68"/>
        <v>0.60932273758885536</v>
      </c>
      <c r="D889" s="1">
        <f t="shared" si="65"/>
        <v>0.18740111571219295</v>
      </c>
      <c r="E889" s="1">
        <f t="shared" si="69"/>
        <v>0.18740111571219295</v>
      </c>
      <c r="F889" s="1">
        <f t="shared" si="66"/>
        <v>-1.8900764359716597E-2</v>
      </c>
    </row>
    <row r="890" spans="2:6" x14ac:dyDescent="0.25">
      <c r="B890" s="1">
        <f t="shared" si="67"/>
        <v>175.99999999999855</v>
      </c>
      <c r="C890" s="1">
        <f t="shared" si="68"/>
        <v>0.64680296073129395</v>
      </c>
      <c r="D890" s="1">
        <f t="shared" si="65"/>
        <v>0.18362096284024962</v>
      </c>
      <c r="E890" s="1">
        <f t="shared" si="69"/>
        <v>0.18362096284024962</v>
      </c>
      <c r="F890" s="1">
        <f t="shared" si="66"/>
        <v>-1.9349027611399883E-2</v>
      </c>
    </row>
    <row r="891" spans="2:6" x14ac:dyDescent="0.25">
      <c r="B891" s="1">
        <f t="shared" si="67"/>
        <v>176.19999999999854</v>
      </c>
      <c r="C891" s="1">
        <f t="shared" si="68"/>
        <v>0.68352715329934388</v>
      </c>
      <c r="D891" s="1">
        <f t="shared" si="65"/>
        <v>0.17975115731796965</v>
      </c>
      <c r="E891" s="1">
        <f t="shared" si="69"/>
        <v>0.17975115731796965</v>
      </c>
      <c r="F891" s="1">
        <f t="shared" si="66"/>
        <v>-1.9780506563160983E-2</v>
      </c>
    </row>
    <row r="892" spans="2:6" x14ac:dyDescent="0.25">
      <c r="B892" s="1">
        <f t="shared" si="67"/>
        <v>176.39999999999853</v>
      </c>
      <c r="C892" s="1">
        <f t="shared" si="68"/>
        <v>0.71947738476293777</v>
      </c>
      <c r="D892" s="1">
        <f t="shared" si="65"/>
        <v>0.17579505600533746</v>
      </c>
      <c r="E892" s="1">
        <f t="shared" si="69"/>
        <v>0.17579505600533746</v>
      </c>
      <c r="F892" s="1">
        <f t="shared" si="66"/>
        <v>-2.0195059026298045E-2</v>
      </c>
    </row>
    <row r="893" spans="2:6" x14ac:dyDescent="0.25">
      <c r="B893" s="1">
        <f t="shared" si="67"/>
        <v>176.59999999999852</v>
      </c>
      <c r="C893" s="1">
        <f t="shared" si="68"/>
        <v>0.75463639596400522</v>
      </c>
      <c r="D893" s="1">
        <f t="shared" si="65"/>
        <v>0.17175604420007784</v>
      </c>
      <c r="E893" s="1">
        <f t="shared" si="69"/>
        <v>0.17175604420007784</v>
      </c>
      <c r="F893" s="1">
        <f t="shared" si="66"/>
        <v>-2.0592555328737053E-2</v>
      </c>
    </row>
    <row r="894" spans="2:6" x14ac:dyDescent="0.25">
      <c r="B894" s="1">
        <f t="shared" si="67"/>
        <v>176.79999999999851</v>
      </c>
      <c r="C894" s="1">
        <f t="shared" si="68"/>
        <v>0.78898760480402075</v>
      </c>
      <c r="D894" s="1">
        <f t="shared" si="65"/>
        <v>0.16763753313433044</v>
      </c>
      <c r="E894" s="1">
        <f t="shared" si="69"/>
        <v>0.16763753313433044</v>
      </c>
      <c r="F894" s="1">
        <f t="shared" si="66"/>
        <v>-2.0972878293002435E-2</v>
      </c>
    </row>
    <row r="895" spans="2:6" x14ac:dyDescent="0.25">
      <c r="B895" s="1">
        <f t="shared" si="67"/>
        <v>176.99999999999849</v>
      </c>
      <c r="C895" s="1">
        <f t="shared" si="68"/>
        <v>0.82251511143088685</v>
      </c>
      <c r="D895" s="1">
        <f t="shared" si="65"/>
        <v>0.16344295747572996</v>
      </c>
      <c r="E895" s="1">
        <f t="shared" si="69"/>
        <v>0.16344295747572996</v>
      </c>
      <c r="F895" s="1">
        <f t="shared" si="66"/>
        <v>-2.1335923206048848E-2</v>
      </c>
    </row>
    <row r="896" spans="2:6" x14ac:dyDescent="0.25">
      <c r="B896" s="1">
        <f t="shared" si="67"/>
        <v>177.19999999999848</v>
      </c>
      <c r="C896" s="1">
        <f t="shared" si="68"/>
        <v>0.85520370292603287</v>
      </c>
      <c r="D896" s="1">
        <f t="shared" si="65"/>
        <v>0.1591757728345202</v>
      </c>
      <c r="E896" s="1">
        <f t="shared" si="69"/>
        <v>0.1591757728345202</v>
      </c>
      <c r="F896" s="1">
        <f t="shared" si="66"/>
        <v>-2.1681597781044823E-2</v>
      </c>
    </row>
    <row r="897" spans="2:6" x14ac:dyDescent="0.25">
      <c r="B897" s="1">
        <f t="shared" si="67"/>
        <v>177.39999999999847</v>
      </c>
      <c r="C897" s="1">
        <f t="shared" si="68"/>
        <v>0.88703885749293687</v>
      </c>
      <c r="D897" s="1">
        <f t="shared" si="65"/>
        <v>0.15483945327831122</v>
      </c>
      <c r="E897" s="1">
        <f t="shared" si="69"/>
        <v>0.15483945327831122</v>
      </c>
      <c r="F897" s="1">
        <f t="shared" si="66"/>
        <v>-2.2009822111203472E-2</v>
      </c>
    </row>
    <row r="898" spans="2:6" x14ac:dyDescent="0.25">
      <c r="B898" s="1">
        <f t="shared" si="67"/>
        <v>177.59999999999846</v>
      </c>
      <c r="C898" s="1">
        <f t="shared" si="68"/>
        <v>0.91800674814859917</v>
      </c>
      <c r="D898" s="1">
        <f t="shared" si="65"/>
        <v>0.15043748885607053</v>
      </c>
      <c r="E898" s="1">
        <f t="shared" si="69"/>
        <v>0.15043748885607053</v>
      </c>
      <c r="F898" s="1">
        <f t="shared" si="66"/>
        <v>-2.2320528615759946E-2</v>
      </c>
    </row>
    <row r="899" spans="2:6" x14ac:dyDescent="0.25">
      <c r="B899" s="1">
        <f t="shared" si="67"/>
        <v>177.79999999999845</v>
      </c>
      <c r="C899" s="1">
        <f t="shared" si="68"/>
        <v>0.94809424591981328</v>
      </c>
      <c r="D899" s="1">
        <f t="shared" si="65"/>
        <v>0.14597338313291855</v>
      </c>
      <c r="E899" s="1">
        <f t="shared" si="69"/>
        <v>0.14597338313291855</v>
      </c>
      <c r="F899" s="1">
        <f t="shared" si="66"/>
        <v>-2.2613661978199754E-2</v>
      </c>
    </row>
    <row r="900" spans="2:6" x14ac:dyDescent="0.25">
      <c r="B900" s="1">
        <f t="shared" si="67"/>
        <v>177.99999999999844</v>
      </c>
      <c r="C900" s="1">
        <f t="shared" si="68"/>
        <v>0.97728892254639699</v>
      </c>
      <c r="D900" s="1">
        <f t="shared" si="65"/>
        <v>0.14145065073727861</v>
      </c>
      <c r="E900" s="1">
        <f t="shared" si="69"/>
        <v>0.14145065073727861</v>
      </c>
      <c r="F900" s="1">
        <f t="shared" si="66"/>
        <v>-2.2889179076846289E-2</v>
      </c>
    </row>
    <row r="901" spans="2:6" x14ac:dyDescent="0.25">
      <c r="B901" s="1">
        <f t="shared" si="67"/>
        <v>178.19999999999843</v>
      </c>
      <c r="C901" s="1">
        <f t="shared" si="68"/>
        <v>1.0055790526938526</v>
      </c>
      <c r="D901" s="1">
        <f t="shared" si="65"/>
        <v>0.13687281492190936</v>
      </c>
      <c r="E901" s="1">
        <f t="shared" si="69"/>
        <v>0.13687281492190936</v>
      </c>
      <c r="F901" s="1">
        <f t="shared" si="66"/>
        <v>-2.3147048907919982E-2</v>
      </c>
    </row>
    <row r="902" spans="2:6" x14ac:dyDescent="0.25">
      <c r="B902" s="1">
        <f t="shared" si="67"/>
        <v>178.39999999999841</v>
      </c>
      <c r="C902" s="1">
        <f t="shared" si="68"/>
        <v>1.0329536156782344</v>
      </c>
      <c r="D902" s="1">
        <f t="shared" si="65"/>
        <v>0.13224340514032537</v>
      </c>
      <c r="E902" s="1">
        <f t="shared" si="69"/>
        <v>0.13224340514032537</v>
      </c>
      <c r="F902" s="1">
        <f t="shared" si="66"/>
        <v>-2.338725250118576E-2</v>
      </c>
    </row>
    <row r="903" spans="2:6" x14ac:dyDescent="0.25">
      <c r="B903" s="1">
        <f t="shared" si="67"/>
        <v>178.5999999999984</v>
      </c>
      <c r="C903" s="1">
        <f t="shared" si="68"/>
        <v>1.0594022967062995</v>
      </c>
      <c r="D903" s="1">
        <f t="shared" si="65"/>
        <v>0.12756595464008821</v>
      </c>
      <c r="E903" s="1">
        <f t="shared" si="69"/>
        <v>0.12756595464008821</v>
      </c>
      <c r="F903" s="1">
        <f t="shared" si="66"/>
        <v>-2.3609782828309112E-2</v>
      </c>
    </row>
    <row r="904" spans="2:6" x14ac:dyDescent="0.25">
      <c r="B904" s="1">
        <f t="shared" si="67"/>
        <v>178.79999999999839</v>
      </c>
      <c r="C904" s="1">
        <f t="shared" si="68"/>
        <v>1.0849154876343172</v>
      </c>
      <c r="D904" s="1">
        <f t="shared" si="65"/>
        <v>0.12284399807442639</v>
      </c>
      <c r="E904" s="1">
        <f t="shared" si="69"/>
        <v>0.12284399807442639</v>
      </c>
      <c r="F904" s="1">
        <f t="shared" si="66"/>
        <v>-2.3814644704045186E-2</v>
      </c>
    </row>
    <row r="905" spans="2:6" x14ac:dyDescent="0.25">
      <c r="B905" s="1">
        <f t="shared" si="67"/>
        <v>178.99999999999838</v>
      </c>
      <c r="C905" s="1">
        <f t="shared" si="68"/>
        <v>1.1094842872492026</v>
      </c>
      <c r="D905" s="1">
        <f t="shared" si="65"/>
        <v>0.11808106913361735</v>
      </c>
      <c r="E905" s="1">
        <f t="shared" si="69"/>
        <v>0.11808106913361735</v>
      </c>
      <c r="F905" s="1">
        <f t="shared" si="66"/>
        <v>-2.4001854680388852E-2</v>
      </c>
    </row>
    <row r="906" spans="2:6" x14ac:dyDescent="0.25">
      <c r="B906" s="1">
        <f t="shared" si="67"/>
        <v>179.19999999999837</v>
      </c>
      <c r="C906" s="1">
        <f t="shared" si="68"/>
        <v>1.1331005010759261</v>
      </c>
      <c r="D906" s="1">
        <f t="shared" ref="D906:D969" si="70">E906</f>
        <v>0.11328069819753958</v>
      </c>
      <c r="E906" s="1">
        <f t="shared" si="69"/>
        <v>0.11328069819753958</v>
      </c>
      <c r="F906" s="1">
        <f t="shared" ref="F906:F969" si="71">-$C$3*C906/$C$4-$C$2/$C$4*E906</f>
        <v>-2.4171440933817283E-2</v>
      </c>
    </row>
    <row r="907" spans="2:6" x14ac:dyDescent="0.25">
      <c r="B907" s="1">
        <f t="shared" ref="B907:B970" si="72">B906+$C$7</f>
        <v>179.39999999999836</v>
      </c>
      <c r="C907" s="1">
        <f t="shared" ref="C907:C970" si="73">C906+D906*$C$7</f>
        <v>1.155756640715434</v>
      </c>
      <c r="D907" s="1">
        <f t="shared" si="70"/>
        <v>0.10844641001077612</v>
      </c>
      <c r="E907" s="1">
        <f t="shared" ref="E907:E970" si="74">E906+F906*$C$7</f>
        <v>0.10844641001077612</v>
      </c>
      <c r="F907" s="1">
        <f t="shared" si="71"/>
        <v>-2.4323443145760119E-2</v>
      </c>
    </row>
    <row r="908" spans="2:6" x14ac:dyDescent="0.25">
      <c r="B908" s="1">
        <f t="shared" si="72"/>
        <v>179.59999999999835</v>
      </c>
      <c r="C908" s="1">
        <f t="shared" si="73"/>
        <v>1.1774459227175893</v>
      </c>
      <c r="D908" s="1">
        <f t="shared" si="70"/>
        <v>0.1035817213816241</v>
      </c>
      <c r="E908" s="1">
        <f t="shared" si="74"/>
        <v>0.1035817213816241</v>
      </c>
      <c r="F908" s="1">
        <f t="shared" si="71"/>
        <v>-2.445791237643561E-2</v>
      </c>
    </row>
    <row r="909" spans="2:6" x14ac:dyDescent="0.25">
      <c r="B909" s="1">
        <f t="shared" si="72"/>
        <v>179.79999999999833</v>
      </c>
      <c r="C909" s="1">
        <f t="shared" si="73"/>
        <v>1.198162266993914</v>
      </c>
      <c r="D909" s="1">
        <f t="shared" si="70"/>
        <v>9.8690138906336974E-2</v>
      </c>
      <c r="E909" s="1">
        <f t="shared" si="74"/>
        <v>9.8690138906336974E-2</v>
      </c>
      <c r="F909" s="1">
        <f t="shared" si="71"/>
        <v>-2.4574910932194292E-2</v>
      </c>
    </row>
    <row r="910" spans="2:6" x14ac:dyDescent="0.25">
      <c r="B910" s="1">
        <f t="shared" si="72"/>
        <v>179.99999999999832</v>
      </c>
      <c r="C910" s="1">
        <f t="shared" si="73"/>
        <v>1.2179002947751814</v>
      </c>
      <c r="D910" s="1">
        <f t="shared" si="70"/>
        <v>9.3775156719898112E-2</v>
      </c>
      <c r="E910" s="1">
        <f t="shared" si="74"/>
        <v>9.3775156719898112E-2</v>
      </c>
      <c r="F910" s="1">
        <f t="shared" si="71"/>
        <v>-2.4674512226514934E-2</v>
      </c>
    </row>
    <row r="911" spans="2:6" x14ac:dyDescent="0.25">
      <c r="B911" s="1">
        <f t="shared" si="72"/>
        <v>180.19999999999831</v>
      </c>
      <c r="C911" s="1">
        <f t="shared" si="73"/>
        <v>1.2366553261191611</v>
      </c>
      <c r="D911" s="1">
        <f t="shared" si="70"/>
        <v>8.8840254274595132E-2</v>
      </c>
      <c r="E911" s="1">
        <f t="shared" si="74"/>
        <v>8.8840254274595132E-2</v>
      </c>
      <c r="F911" s="1">
        <f t="shared" si="71"/>
        <v>-2.4756800634800458E-2</v>
      </c>
    </row>
    <row r="912" spans="2:6" x14ac:dyDescent="0.25">
      <c r="B912" s="1">
        <f t="shared" si="72"/>
        <v>180.3999999999983</v>
      </c>
      <c r="C912" s="1">
        <f t="shared" si="73"/>
        <v>1.25442337697408</v>
      </c>
      <c r="D912" s="1">
        <f t="shared" si="70"/>
        <v>8.3888894147635035E-2</v>
      </c>
      <c r="E912" s="1">
        <f t="shared" si="74"/>
        <v>8.3888894147635035E-2</v>
      </c>
      <c r="F912" s="1">
        <f t="shared" si="71"/>
        <v>-2.4821871343124302E-2</v>
      </c>
    </row>
    <row r="913" spans="2:6" x14ac:dyDescent="0.25">
      <c r="B913" s="1">
        <f t="shared" si="72"/>
        <v>180.59999999999829</v>
      </c>
      <c r="C913" s="1">
        <f t="shared" si="73"/>
        <v>1.2712011558036069</v>
      </c>
      <c r="D913" s="1">
        <f t="shared" si="70"/>
        <v>7.8924519879010169E-2</v>
      </c>
      <c r="E913" s="1">
        <f t="shared" si="74"/>
        <v>7.8924519879010169E-2</v>
      </c>
      <c r="F913" s="1">
        <f t="shared" si="71"/>
        <v>-2.4869830191080595E-2</v>
      </c>
    </row>
    <row r="914" spans="2:6" x14ac:dyDescent="0.25">
      <c r="B914" s="1">
        <f t="shared" si="72"/>
        <v>180.79999999999828</v>
      </c>
      <c r="C914" s="1">
        <f t="shared" si="73"/>
        <v>1.2869860597794089</v>
      </c>
      <c r="D914" s="1">
        <f t="shared" si="70"/>
        <v>7.3950553840794048E-2</v>
      </c>
      <c r="E914" s="1">
        <f t="shared" si="74"/>
        <v>7.3950553840794048E-2</v>
      </c>
      <c r="F914" s="1">
        <f t="shared" si="71"/>
        <v>-2.4900793508893869E-2</v>
      </c>
    </row>
    <row r="915" spans="2:6" x14ac:dyDescent="0.25">
      <c r="B915" s="1">
        <f t="shared" si="72"/>
        <v>180.99999999999827</v>
      </c>
      <c r="C915" s="1">
        <f t="shared" si="73"/>
        <v>1.3017761705475677</v>
      </c>
      <c r="D915" s="1">
        <f t="shared" si="70"/>
        <v>6.8970395139015275E-2</v>
      </c>
      <c r="E915" s="1">
        <f t="shared" si="74"/>
        <v>6.8970395139015275E-2</v>
      </c>
      <c r="F915" s="1">
        <f t="shared" si="71"/>
        <v>-2.4914887948946845E-2</v>
      </c>
    </row>
    <row r="916" spans="2:6" x14ac:dyDescent="0.25">
      <c r="B916" s="1">
        <f t="shared" si="72"/>
        <v>181.19999999999825</v>
      </c>
      <c r="C916" s="1">
        <f t="shared" si="73"/>
        <v>1.3155702495753707</v>
      </c>
      <c r="D916" s="1">
        <f t="shared" si="70"/>
        <v>6.3987417549225906E-2</v>
      </c>
      <c r="E916" s="1">
        <f t="shared" si="74"/>
        <v>6.3987417549225906E-2</v>
      </c>
      <c r="F916" s="1">
        <f t="shared" si="71"/>
        <v>-2.4912250311886722E-2</v>
      </c>
    </row>
    <row r="917" spans="2:6" x14ac:dyDescent="0.25">
      <c r="B917" s="1">
        <f t="shared" si="72"/>
        <v>181.39999999999824</v>
      </c>
      <c r="C917" s="1">
        <f t="shared" si="73"/>
        <v>1.3283677330852159</v>
      </c>
      <c r="D917" s="1">
        <f t="shared" si="70"/>
        <v>5.900496748684856E-2</v>
      </c>
      <c r="E917" s="1">
        <f t="shared" si="74"/>
        <v>5.900496748684856E-2</v>
      </c>
      <c r="F917" s="1">
        <f t="shared" si="71"/>
        <v>-2.4893027367473199E-2</v>
      </c>
    </row>
    <row r="918" spans="2:6" x14ac:dyDescent="0.25">
      <c r="B918" s="1">
        <f t="shared" si="72"/>
        <v>181.59999999999823</v>
      </c>
      <c r="C918" s="1">
        <f t="shared" si="73"/>
        <v>1.3401687265825857</v>
      </c>
      <c r="D918" s="1">
        <f t="shared" si="70"/>
        <v>5.4026362013353924E-2</v>
      </c>
      <c r="E918" s="1">
        <f t="shared" si="74"/>
        <v>5.4026362013353924E-2</v>
      </c>
      <c r="F918" s="1">
        <f t="shared" si="71"/>
        <v>-2.4857375670332943E-2</v>
      </c>
    </row>
    <row r="919" spans="2:6" x14ac:dyDescent="0.25">
      <c r="B919" s="1">
        <f t="shared" si="72"/>
        <v>181.79999999999822</v>
      </c>
      <c r="C919" s="1">
        <f t="shared" si="73"/>
        <v>1.3509739989852565</v>
      </c>
      <c r="D919" s="1">
        <f t="shared" si="70"/>
        <v>4.9054886879287336E-2</v>
      </c>
      <c r="E919" s="1">
        <f t="shared" si="74"/>
        <v>4.9054886879287336E-2</v>
      </c>
      <c r="F919" s="1">
        <f t="shared" si="71"/>
        <v>-2.4805461370787683E-2</v>
      </c>
    </row>
    <row r="920" spans="2:6" x14ac:dyDescent="0.25">
      <c r="B920" s="1">
        <f t="shared" si="72"/>
        <v>181.99999999999821</v>
      </c>
      <c r="C920" s="1">
        <f t="shared" si="73"/>
        <v>1.360784976361114</v>
      </c>
      <c r="D920" s="1">
        <f t="shared" si="70"/>
        <v>4.4093794605129799E-2</v>
      </c>
      <c r="E920" s="1">
        <f t="shared" si="74"/>
        <v>4.4093794605129799E-2</v>
      </c>
      <c r="F920" s="1">
        <f t="shared" si="71"/>
        <v>-2.4737460020924626E-2</v>
      </c>
    </row>
    <row r="921" spans="2:6" x14ac:dyDescent="0.25">
      <c r="B921" s="1">
        <f t="shared" si="72"/>
        <v>182.1999999999982</v>
      </c>
      <c r="C921" s="1">
        <f t="shared" si="73"/>
        <v>1.36960373528214</v>
      </c>
      <c r="D921" s="1">
        <f t="shared" si="70"/>
        <v>3.9146302600944871E-2</v>
      </c>
      <c r="E921" s="1">
        <f t="shared" si="74"/>
        <v>3.9146302600944871E-2</v>
      </c>
      <c r="F921" s="1">
        <f t="shared" si="71"/>
        <v>-2.4653556376079761E-2</v>
      </c>
    </row>
    <row r="922" spans="2:6" x14ac:dyDescent="0.25">
      <c r="B922" s="1">
        <f t="shared" si="72"/>
        <v>182.39999999999819</v>
      </c>
      <c r="C922" s="1">
        <f t="shared" si="73"/>
        <v>1.377432995802329</v>
      </c>
      <c r="D922" s="1">
        <f t="shared" si="70"/>
        <v>3.421559132572892E-2</v>
      </c>
      <c r="E922" s="1">
        <f t="shared" si="74"/>
        <v>3.421559132572892E-2</v>
      </c>
      <c r="F922" s="1">
        <f t="shared" si="71"/>
        <v>-2.4553944191906166E-2</v>
      </c>
    </row>
    <row r="923" spans="2:6" x14ac:dyDescent="0.25">
      <c r="B923" s="1">
        <f t="shared" si="72"/>
        <v>182.59999999999818</v>
      </c>
      <c r="C923" s="1">
        <f t="shared" si="73"/>
        <v>1.3842761140674749</v>
      </c>
      <c r="D923" s="1">
        <f t="shared" si="70"/>
        <v>2.9304802487347688E-2</v>
      </c>
      <c r="E923" s="1">
        <f t="shared" si="74"/>
        <v>2.9304802487347688E-2</v>
      </c>
      <c r="F923" s="1">
        <f t="shared" si="71"/>
        <v>-2.4438826017200811E-2</v>
      </c>
    </row>
    <row r="924" spans="2:6" x14ac:dyDescent="0.25">
      <c r="B924" s="1">
        <f t="shared" si="72"/>
        <v>182.79999999999816</v>
      </c>
      <c r="C924" s="1">
        <f t="shared" si="73"/>
        <v>1.3901370745649444</v>
      </c>
      <c r="D924" s="1">
        <f t="shared" si="70"/>
        <v>2.4417037283907525E-2</v>
      </c>
      <c r="E924" s="1">
        <f t="shared" si="74"/>
        <v>2.4417037283907525E-2</v>
      </c>
      <c r="F924" s="1">
        <f t="shared" si="71"/>
        <v>-2.430841298266476E-2</v>
      </c>
    </row>
    <row r="925" spans="2:6" x14ac:dyDescent="0.25">
      <c r="B925" s="1">
        <f t="shared" si="72"/>
        <v>182.99999999999815</v>
      </c>
      <c r="C925" s="1">
        <f t="shared" si="73"/>
        <v>1.3950204820217258</v>
      </c>
      <c r="D925" s="1">
        <f t="shared" si="70"/>
        <v>1.9555354687374571E-2</v>
      </c>
      <c r="E925" s="1">
        <f t="shared" si="74"/>
        <v>1.9555354687374571E-2</v>
      </c>
      <c r="F925" s="1">
        <f t="shared" si="71"/>
        <v>-2.4162924585772908E-2</v>
      </c>
    </row>
    <row r="926" spans="2:6" x14ac:dyDescent="0.25">
      <c r="B926" s="1">
        <f t="shared" si="72"/>
        <v>183.19999999999814</v>
      </c>
      <c r="C926" s="1">
        <f t="shared" si="73"/>
        <v>1.3989315529592008</v>
      </c>
      <c r="D926" s="1">
        <f t="shared" si="70"/>
        <v>1.4722769770219989E-2</v>
      </c>
      <c r="E926" s="1">
        <f t="shared" si="74"/>
        <v>1.4722769770219989E-2</v>
      </c>
      <c r="F926" s="1">
        <f t="shared" si="71"/>
        <v>-2.4002588471930278E-2</v>
      </c>
    </row>
    <row r="927" spans="2:6" x14ac:dyDescent="0.25">
      <c r="B927" s="1">
        <f t="shared" si="72"/>
        <v>183.39999999999813</v>
      </c>
      <c r="C927" s="1">
        <f t="shared" si="73"/>
        <v>1.4018761069132448</v>
      </c>
      <c r="D927" s="1">
        <f t="shared" si="70"/>
        <v>9.9222520758339323E-3</v>
      </c>
      <c r="E927" s="1">
        <f t="shared" si="74"/>
        <v>9.9222520758339323E-3</v>
      </c>
      <c r="F927" s="1">
        <f t="shared" si="71"/>
        <v>-2.3827640212092997E-2</v>
      </c>
    </row>
    <row r="928" spans="2:6" x14ac:dyDescent="0.25">
      <c r="B928" s="1">
        <f t="shared" si="72"/>
        <v>183.59999999999812</v>
      </c>
      <c r="C928" s="1">
        <f t="shared" si="73"/>
        <v>1.4038605573284115</v>
      </c>
      <c r="D928" s="1">
        <f t="shared" si="70"/>
        <v>5.1567240334153327E-3</v>
      </c>
      <c r="E928" s="1">
        <f t="shared" si="74"/>
        <v>5.1567240334153327E-3</v>
      </c>
      <c r="F928" s="1">
        <f t="shared" si="71"/>
        <v>-2.3638323077032907E-2</v>
      </c>
    </row>
    <row r="929" spans="2:6" x14ac:dyDescent="0.25">
      <c r="B929" s="1">
        <f t="shared" si="72"/>
        <v>183.79999999999811</v>
      </c>
      <c r="C929" s="1">
        <f t="shared" si="73"/>
        <v>1.4048919021350945</v>
      </c>
      <c r="D929" s="1">
        <f t="shared" si="70"/>
        <v>4.2905941800875074E-4</v>
      </c>
      <c r="E929" s="1">
        <f t="shared" si="74"/>
        <v>4.2905941800875074E-4</v>
      </c>
      <c r="F929" s="1">
        <f t="shared" si="71"/>
        <v>-2.3434887808425314E-2</v>
      </c>
    </row>
    <row r="930" spans="2:6" x14ac:dyDescent="0.25">
      <c r="B930" s="1">
        <f t="shared" si="72"/>
        <v>183.9999999999981</v>
      </c>
      <c r="C930" s="1">
        <f t="shared" si="73"/>
        <v>1.4049777140186963</v>
      </c>
      <c r="D930" s="1">
        <f t="shared" si="70"/>
        <v>-4.2579181436763125E-3</v>
      </c>
      <c r="E930" s="1">
        <f t="shared" si="74"/>
        <v>-4.2579181436763125E-3</v>
      </c>
      <c r="F930" s="1">
        <f t="shared" si="71"/>
        <v>-2.3217592386940045E-2</v>
      </c>
    </row>
    <row r="931" spans="2:6" x14ac:dyDescent="0.25">
      <c r="B931" s="1">
        <f t="shared" si="72"/>
        <v>184.19999999999808</v>
      </c>
      <c r="C931" s="1">
        <f t="shared" si="73"/>
        <v>1.404126130389961</v>
      </c>
      <c r="D931" s="1">
        <f t="shared" si="70"/>
        <v>-8.9014366210643219E-3</v>
      </c>
      <c r="E931" s="1">
        <f t="shared" si="74"/>
        <v>-8.9014366210643219E-3</v>
      </c>
      <c r="F931" s="1">
        <f t="shared" si="71"/>
        <v>-2.298670179751635E-2</v>
      </c>
    </row>
    <row r="932" spans="2:6" x14ac:dyDescent="0.25">
      <c r="B932" s="1">
        <f t="shared" si="72"/>
        <v>184.39999999999807</v>
      </c>
      <c r="C932" s="1">
        <f t="shared" si="73"/>
        <v>1.4023458430657483</v>
      </c>
      <c r="D932" s="1">
        <f t="shared" si="70"/>
        <v>-1.3498776980567593E-2</v>
      </c>
      <c r="E932" s="1">
        <f t="shared" si="74"/>
        <v>-1.3498776980567593E-2</v>
      </c>
      <c r="F932" s="1">
        <f t="shared" si="71"/>
        <v>-2.2742487792002653E-2</v>
      </c>
    </row>
    <row r="933" spans="2:6" x14ac:dyDescent="0.25">
      <c r="B933" s="1">
        <f t="shared" si="72"/>
        <v>184.59999999999806</v>
      </c>
      <c r="C933" s="1">
        <f t="shared" si="73"/>
        <v>1.3996460876696348</v>
      </c>
      <c r="D933" s="1">
        <f t="shared" si="70"/>
        <v>-1.8047274538968122E-2</v>
      </c>
      <c r="E933" s="1">
        <f t="shared" si="74"/>
        <v>-1.8047274538968122E-2</v>
      </c>
      <c r="F933" s="1">
        <f t="shared" si="71"/>
        <v>-2.2485228649342066E-2</v>
      </c>
    </row>
    <row r="934" spans="2:6" x14ac:dyDescent="0.25">
      <c r="B934" s="1">
        <f t="shared" si="72"/>
        <v>184.79999999999805</v>
      </c>
      <c r="C934" s="1">
        <f t="shared" si="73"/>
        <v>1.3960366327618412</v>
      </c>
      <c r="D934" s="1">
        <f t="shared" si="70"/>
        <v>-2.2544320268836536E-2</v>
      </c>
      <c r="E934" s="1">
        <f t="shared" si="74"/>
        <v>-2.2544320268836536E-2</v>
      </c>
      <c r="F934" s="1">
        <f t="shared" si="71"/>
        <v>-2.221520893348498E-2</v>
      </c>
    </row>
    <row r="935" spans="2:6" x14ac:dyDescent="0.25">
      <c r="B935" s="1">
        <f t="shared" si="72"/>
        <v>184.99999999999804</v>
      </c>
      <c r="C935" s="1">
        <f t="shared" si="73"/>
        <v>1.3915277687080738</v>
      </c>
      <c r="D935" s="1">
        <f t="shared" si="70"/>
        <v>-2.6987362055533533E-2</v>
      </c>
      <c r="E935" s="1">
        <f t="shared" si="74"/>
        <v>-2.6987362055533533E-2</v>
      </c>
      <c r="F935" s="1">
        <f t="shared" si="71"/>
        <v>-2.1932719249209663E-2</v>
      </c>
    </row>
    <row r="936" spans="2:6" x14ac:dyDescent="0.25">
      <c r="B936" s="1">
        <f t="shared" si="72"/>
        <v>185.19999999999803</v>
      </c>
      <c r="C936" s="1">
        <f t="shared" si="73"/>
        <v>1.386130296296967</v>
      </c>
      <c r="D936" s="1">
        <f t="shared" si="70"/>
        <v>-3.1373905905375463E-2</v>
      </c>
      <c r="E936" s="1">
        <f t="shared" si="74"/>
        <v>-3.1373905905375463E-2</v>
      </c>
      <c r="F936" s="1">
        <f t="shared" si="71"/>
        <v>-2.163805599603193E-2</v>
      </c>
    </row>
    <row r="937" spans="2:6" x14ac:dyDescent="0.25">
      <c r="B937" s="1">
        <f t="shared" si="72"/>
        <v>185.39999999999802</v>
      </c>
      <c r="C937" s="1">
        <f t="shared" si="73"/>
        <v>1.379855515115892</v>
      </c>
      <c r="D937" s="1">
        <f t="shared" si="70"/>
        <v>-3.5701517104581845E-2</v>
      </c>
      <c r="E937" s="1">
        <f t="shared" si="74"/>
        <v>-3.5701517104581845E-2</v>
      </c>
      <c r="F937" s="1">
        <f t="shared" si="71"/>
        <v>-2.1331521120384379E-2</v>
      </c>
    </row>
    <row r="938" spans="2:6" x14ac:dyDescent="0.25">
      <c r="B938" s="1">
        <f t="shared" si="72"/>
        <v>185.599999999998</v>
      </c>
      <c r="C938" s="1">
        <f t="shared" si="73"/>
        <v>1.3727152116949757</v>
      </c>
      <c r="D938" s="1">
        <f t="shared" si="70"/>
        <v>-3.9967821328658719E-2</v>
      </c>
      <c r="E938" s="1">
        <f t="shared" si="74"/>
        <v>-3.9967821328658719E-2</v>
      </c>
      <c r="F938" s="1">
        <f t="shared" si="71"/>
        <v>-2.1013421866245517E-2</v>
      </c>
    </row>
    <row r="939" spans="2:6" x14ac:dyDescent="0.25">
      <c r="B939" s="1">
        <f t="shared" si="72"/>
        <v>185.79999999999799</v>
      </c>
      <c r="C939" s="1">
        <f t="shared" si="73"/>
        <v>1.3647216474292438</v>
      </c>
      <c r="D939" s="1">
        <f t="shared" si="70"/>
        <v>-4.4170505701907822E-2</v>
      </c>
      <c r="E939" s="1">
        <f t="shared" si="74"/>
        <v>-4.4170505701907822E-2</v>
      </c>
      <c r="F939" s="1">
        <f t="shared" si="71"/>
        <v>-2.0684070524398367E-2</v>
      </c>
    </row>
    <row r="940" spans="2:6" x14ac:dyDescent="0.25">
      <c r="B940" s="1">
        <f t="shared" si="72"/>
        <v>185.99999999999798</v>
      </c>
      <c r="C940" s="1">
        <f t="shared" si="73"/>
        <v>1.3558875462888622</v>
      </c>
      <c r="D940" s="1">
        <f t="shared" si="70"/>
        <v>-4.8307319806787499E-2</v>
      </c>
      <c r="E940" s="1">
        <f t="shared" si="74"/>
        <v>-4.8307319806787499E-2</v>
      </c>
      <c r="F940" s="1">
        <f t="shared" si="71"/>
        <v>-2.034378418049762E-2</v>
      </c>
    </row>
    <row r="941" spans="2:6" x14ac:dyDescent="0.25">
      <c r="B941" s="1">
        <f t="shared" si="72"/>
        <v>186.19999999999797</v>
      </c>
      <c r="C941" s="1">
        <f t="shared" si="73"/>
        <v>1.3462260823275047</v>
      </c>
      <c r="D941" s="1">
        <f t="shared" si="70"/>
        <v>-5.2376076642887022E-2</v>
      </c>
      <c r="E941" s="1">
        <f t="shared" si="74"/>
        <v>-5.2376076642887022E-2</v>
      </c>
      <c r="F941" s="1">
        <f t="shared" si="71"/>
        <v>-1.9992884462123689E-2</v>
      </c>
    </row>
    <row r="942" spans="2:6" x14ac:dyDescent="0.25">
      <c r="B942" s="1">
        <f t="shared" si="72"/>
        <v>186.39999999999796</v>
      </c>
      <c r="C942" s="1">
        <f t="shared" si="73"/>
        <v>1.3357508669989273</v>
      </c>
      <c r="D942" s="1">
        <f t="shared" si="70"/>
        <v>-5.6374653535311757E-2</v>
      </c>
      <c r="E942" s="1">
        <f t="shared" si="74"/>
        <v>-5.6374653535311757E-2</v>
      </c>
      <c r="F942" s="1">
        <f t="shared" si="71"/>
        <v>-1.9631697285000905E-2</v>
      </c>
    </row>
    <row r="943" spans="2:6" x14ac:dyDescent="0.25">
      <c r="B943" s="1">
        <f t="shared" si="72"/>
        <v>186.59999999999795</v>
      </c>
      <c r="C943" s="1">
        <f t="shared" si="73"/>
        <v>1.324475936291865</v>
      </c>
      <c r="D943" s="1">
        <f t="shared" si="70"/>
        <v>-6.0300992992311939E-2</v>
      </c>
      <c r="E943" s="1">
        <f t="shared" si="74"/>
        <v>-6.0300992992311939E-2</v>
      </c>
      <c r="F943" s="1">
        <f t="shared" si="71"/>
        <v>-1.9260552598556531E-2</v>
      </c>
    </row>
    <row r="944" spans="2:6" x14ac:dyDescent="0.25">
      <c r="B944" s="1">
        <f t="shared" si="72"/>
        <v>186.79999999999794</v>
      </c>
      <c r="C944" s="1">
        <f t="shared" si="73"/>
        <v>1.3124157376934027</v>
      </c>
      <c r="D944" s="1">
        <f t="shared" si="70"/>
        <v>-6.4153103512023246E-2</v>
      </c>
      <c r="E944" s="1">
        <f t="shared" si="74"/>
        <v>-6.4153103512023246E-2</v>
      </c>
      <c r="F944" s="1">
        <f t="shared" si="71"/>
        <v>-1.8879784130995631E-2</v>
      </c>
    </row>
    <row r="945" spans="2:6" x14ac:dyDescent="0.25">
      <c r="B945" s="1">
        <f t="shared" si="72"/>
        <v>186.99999999999793</v>
      </c>
      <c r="C945" s="1">
        <f t="shared" si="73"/>
        <v>1.299585116990998</v>
      </c>
      <c r="D945" s="1">
        <f t="shared" si="70"/>
        <v>-6.7929060338222366E-2</v>
      </c>
      <c r="E945" s="1">
        <f t="shared" si="74"/>
        <v>-6.7929060338222366E-2</v>
      </c>
      <c r="F945" s="1">
        <f t="shared" si="71"/>
        <v>-1.8489729134066258E-2</v>
      </c>
    </row>
    <row r="946" spans="2:6" x14ac:dyDescent="0.25">
      <c r="B946" s="1">
        <f t="shared" si="72"/>
        <v>187.19999999999791</v>
      </c>
      <c r="C946" s="1">
        <f t="shared" si="73"/>
        <v>1.2859993049233536</v>
      </c>
      <c r="D946" s="1">
        <f t="shared" si="70"/>
        <v>-7.1627006165035617E-2</v>
      </c>
      <c r="E946" s="1">
        <f t="shared" si="74"/>
        <v>-7.1627006165035617E-2</v>
      </c>
      <c r="F946" s="1">
        <f t="shared" si="71"/>
        <v>-1.8090728127687566E-2</v>
      </c>
    </row>
    <row r="947" spans="2:6" x14ac:dyDescent="0.25">
      <c r="B947" s="1">
        <f t="shared" si="72"/>
        <v>187.3999999999979</v>
      </c>
      <c r="C947" s="1">
        <f t="shared" si="73"/>
        <v>1.2716739036903464</v>
      </c>
      <c r="D947" s="1">
        <f t="shared" si="70"/>
        <v>-7.5245151790573131E-2</v>
      </c>
      <c r="E947" s="1">
        <f t="shared" si="74"/>
        <v>-7.5245151790573131E-2</v>
      </c>
      <c r="F947" s="1">
        <f t="shared" si="71"/>
        <v>-1.7683124644612361E-2</v>
      </c>
    </row>
    <row r="948" spans="2:6" x14ac:dyDescent="0.25">
      <c r="B948" s="1">
        <f t="shared" si="72"/>
        <v>187.59999999999789</v>
      </c>
      <c r="C948" s="1">
        <f t="shared" si="73"/>
        <v>1.2566248733322318</v>
      </c>
      <c r="D948" s="1">
        <f t="shared" si="70"/>
        <v>-7.87817767194956E-2</v>
      </c>
      <c r="E948" s="1">
        <f t="shared" si="74"/>
        <v>-7.87817767194956E-2</v>
      </c>
      <c r="F948" s="1">
        <f t="shared" si="71"/>
        <v>-1.7267264975294069E-2</v>
      </c>
    </row>
    <row r="949" spans="2:6" x14ac:dyDescent="0.25">
      <c r="B949" s="1">
        <f t="shared" si="72"/>
        <v>187.79999999999788</v>
      </c>
      <c r="C949" s="1">
        <f t="shared" si="73"/>
        <v>1.2408685179883328</v>
      </c>
      <c r="D949" s="1">
        <f t="shared" si="70"/>
        <v>-8.2235229714554409E-2</v>
      </c>
      <c r="E949" s="1">
        <f t="shared" si="74"/>
        <v>-8.2235229714554409E-2</v>
      </c>
      <c r="F949" s="1">
        <f t="shared" si="71"/>
        <v>-1.6843497913126337E-2</v>
      </c>
    </row>
    <row r="950" spans="2:6" x14ac:dyDescent="0.25">
      <c r="B950" s="1">
        <f t="shared" si="72"/>
        <v>187.99999999999787</v>
      </c>
      <c r="C950" s="1">
        <f t="shared" si="73"/>
        <v>1.2244214720454218</v>
      </c>
      <c r="D950" s="1">
        <f t="shared" si="70"/>
        <v>-8.5603929297179679E-2</v>
      </c>
      <c r="E950" s="1">
        <f t="shared" si="74"/>
        <v>-8.5603929297179679E-2</v>
      </c>
      <c r="F950" s="1">
        <f t="shared" si="71"/>
        <v>-1.641217450022198E-2</v>
      </c>
    </row>
    <row r="951" spans="2:6" x14ac:dyDescent="0.25">
      <c r="B951" s="1">
        <f t="shared" si="72"/>
        <v>188.19999999999786</v>
      </c>
      <c r="C951" s="1">
        <f t="shared" si="73"/>
        <v>1.2073006861859858</v>
      </c>
      <c r="D951" s="1">
        <f t="shared" si="70"/>
        <v>-8.888636419722408E-2</v>
      </c>
      <c r="E951" s="1">
        <f t="shared" si="74"/>
        <v>-8.888636419722408E-2</v>
      </c>
      <c r="F951" s="1">
        <f t="shared" si="71"/>
        <v>-1.5973647773895976E-2</v>
      </c>
    </row>
    <row r="952" spans="2:6" x14ac:dyDescent="0.25">
      <c r="B952" s="1">
        <f t="shared" si="72"/>
        <v>188.39999999999785</v>
      </c>
      <c r="C952" s="1">
        <f t="shared" si="73"/>
        <v>1.1895234133465411</v>
      </c>
      <c r="D952" s="1">
        <f t="shared" si="70"/>
        <v>-9.2081093752003268E-2</v>
      </c>
      <c r="E952" s="1">
        <f t="shared" si="74"/>
        <v>-9.2081093752003268E-2</v>
      </c>
      <c r="F952" s="1">
        <f t="shared" si="71"/>
        <v>-1.5528272514015531E-2</v>
      </c>
    </row>
    <row r="953" spans="2:6" x14ac:dyDescent="0.25">
      <c r="B953" s="1">
        <f t="shared" si="72"/>
        <v>188.59999999999783</v>
      </c>
      <c r="C953" s="1">
        <f t="shared" si="73"/>
        <v>1.1711071945961404</v>
      </c>
      <c r="D953" s="1">
        <f t="shared" si="70"/>
        <v>-9.5186748254806372E-2</v>
      </c>
      <c r="E953" s="1">
        <f t="shared" si="74"/>
        <v>-9.5186748254806372E-2</v>
      </c>
      <c r="F953" s="1">
        <f t="shared" si="71"/>
        <v>-1.5076404991378044E-2</v>
      </c>
    </row>
    <row r="954" spans="2:6" x14ac:dyDescent="0.25">
      <c r="B954" s="1">
        <f t="shared" si="72"/>
        <v>188.79999999999782</v>
      </c>
      <c r="C954" s="1">
        <f t="shared" si="73"/>
        <v>1.1520698449451792</v>
      </c>
      <c r="D954" s="1">
        <f t="shared" si="70"/>
        <v>-9.8202029253081982E-2</v>
      </c>
      <c r="E954" s="1">
        <f t="shared" si="74"/>
        <v>-9.8202029253081982E-2</v>
      </c>
      <c r="F954" s="1">
        <f t="shared" si="71"/>
        <v>-1.4618402717275828E-2</v>
      </c>
    </row>
    <row r="955" spans="2:6" x14ac:dyDescent="0.25">
      <c r="B955" s="1">
        <f t="shared" si="72"/>
        <v>188.99999999999781</v>
      </c>
      <c r="C955" s="1">
        <f t="shared" si="73"/>
        <v>1.1324294390945628</v>
      </c>
      <c r="D955" s="1">
        <f t="shared" si="70"/>
        <v>-0.10112570979653715</v>
      </c>
      <c r="E955" s="1">
        <f t="shared" si="74"/>
        <v>-0.10112570979653715</v>
      </c>
      <c r="F955" s="1">
        <f t="shared" si="71"/>
        <v>-1.4154624194404313E-2</v>
      </c>
    </row>
    <row r="956" spans="2:6" x14ac:dyDescent="0.25">
      <c r="B956" s="1">
        <f t="shared" si="72"/>
        <v>189.1999999999978</v>
      </c>
      <c r="C956" s="1">
        <f t="shared" si="73"/>
        <v>1.1122042971352555</v>
      </c>
      <c r="D956" s="1">
        <f t="shared" si="70"/>
        <v>-0.10395663463541802</v>
      </c>
      <c r="E956" s="1">
        <f t="shared" si="74"/>
        <v>-0.10395663463541802</v>
      </c>
      <c r="F956" s="1">
        <f t="shared" si="71"/>
        <v>-1.3685428669268085E-2</v>
      </c>
    </row>
    <row r="957" spans="2:6" x14ac:dyDescent="0.25">
      <c r="B957" s="1">
        <f t="shared" si="72"/>
        <v>189.39999999999779</v>
      </c>
      <c r="C957" s="1">
        <f t="shared" si="73"/>
        <v>1.0914129702081719</v>
      </c>
      <c r="D957" s="1">
        <f t="shared" si="70"/>
        <v>-0.10669372036927163</v>
      </c>
      <c r="E957" s="1">
        <f t="shared" si="74"/>
        <v>-0.10669372036927163</v>
      </c>
      <c r="F957" s="1">
        <f t="shared" si="71"/>
        <v>-1.3211175886236857E-2</v>
      </c>
    </row>
    <row r="958" spans="2:6" x14ac:dyDescent="0.25">
      <c r="B958" s="1">
        <f t="shared" si="72"/>
        <v>189.59999999999778</v>
      </c>
      <c r="C958" s="1">
        <f t="shared" si="73"/>
        <v>1.0700742261343175</v>
      </c>
      <c r="D958" s="1">
        <f t="shared" si="70"/>
        <v>-0.10933595554651901</v>
      </c>
      <c r="E958" s="1">
        <f t="shared" si="74"/>
        <v>-0.10933595554651901</v>
      </c>
      <c r="F958" s="1">
        <f t="shared" si="71"/>
        <v>-1.2732225843401071E-2</v>
      </c>
    </row>
    <row r="959" spans="2:6" x14ac:dyDescent="0.25">
      <c r="B959" s="1">
        <f t="shared" si="72"/>
        <v>189.79999999999777</v>
      </c>
      <c r="C959" s="1">
        <f t="shared" si="73"/>
        <v>1.0482070350250137</v>
      </c>
      <c r="D959" s="1">
        <f t="shared" si="70"/>
        <v>-0.11188240071519923</v>
      </c>
      <c r="E959" s="1">
        <f t="shared" si="74"/>
        <v>-0.11188240071519923</v>
      </c>
      <c r="F959" s="1">
        <f t="shared" si="71"/>
        <v>-1.2248938550374264E-2</v>
      </c>
    </row>
    <row r="960" spans="2:6" x14ac:dyDescent="0.25">
      <c r="B960" s="1">
        <f t="shared" si="72"/>
        <v>189.99999999999775</v>
      </c>
      <c r="C960" s="1">
        <f t="shared" si="73"/>
        <v>1.0258305548819737</v>
      </c>
      <c r="D960" s="1">
        <f t="shared" si="70"/>
        <v>-0.11433218842527408</v>
      </c>
      <c r="E960" s="1">
        <f t="shared" si="74"/>
        <v>-0.11433218842527408</v>
      </c>
      <c r="F960" s="1">
        <f t="shared" si="71"/>
        <v>-1.1761673788186771E-2</v>
      </c>
    </row>
    <row r="961" spans="2:6" x14ac:dyDescent="0.25">
      <c r="B961" s="1">
        <f t="shared" si="72"/>
        <v>190.19999999999774</v>
      </c>
      <c r="C961" s="1">
        <f t="shared" si="73"/>
        <v>1.0029641171969188</v>
      </c>
      <c r="D961" s="1">
        <f t="shared" si="70"/>
        <v>-0.11668452318291143</v>
      </c>
      <c r="E961" s="1">
        <f t="shared" si="74"/>
        <v>-0.11668452318291143</v>
      </c>
      <c r="F961" s="1">
        <f t="shared" si="71"/>
        <v>-1.1270790871412781E-2</v>
      </c>
    </row>
    <row r="962" spans="2:6" x14ac:dyDescent="0.25">
      <c r="B962" s="1">
        <f t="shared" si="72"/>
        <v>190.39999999999773</v>
      </c>
      <c r="C962" s="1">
        <f t="shared" si="73"/>
        <v>0.97962721256033647</v>
      </c>
      <c r="D962" s="1">
        <f t="shared" si="70"/>
        <v>-0.11893868135719399</v>
      </c>
      <c r="E962" s="1">
        <f t="shared" si="74"/>
        <v>-0.11893868135719399</v>
      </c>
      <c r="F962" s="1">
        <f t="shared" si="71"/>
        <v>-1.0776648412669889E-2</v>
      </c>
    </row>
    <row r="963" spans="2:6" x14ac:dyDescent="0.25">
      <c r="B963" s="1">
        <f t="shared" si="72"/>
        <v>190.59999999999772</v>
      </c>
      <c r="C963" s="1">
        <f t="shared" si="73"/>
        <v>0.95583947628889765</v>
      </c>
      <c r="D963" s="1">
        <f t="shared" si="70"/>
        <v>-0.12109401103972796</v>
      </c>
      <c r="E963" s="1">
        <f t="shared" si="74"/>
        <v>-0.12109401103972796</v>
      </c>
      <c r="F963" s="1">
        <f t="shared" si="71"/>
        <v>-1.0279604089627657E-2</v>
      </c>
    </row>
    <row r="964" spans="2:6" x14ac:dyDescent="0.25">
      <c r="B964" s="1">
        <f t="shared" si="72"/>
        <v>190.79999999999771</v>
      </c>
      <c r="C964" s="1">
        <f t="shared" si="73"/>
        <v>0.93162067408095206</v>
      </c>
      <c r="D964" s="1">
        <f t="shared" si="70"/>
        <v>-0.12314993185765349</v>
      </c>
      <c r="E964" s="1">
        <f t="shared" si="74"/>
        <v>-0.12314993185765349</v>
      </c>
      <c r="F964" s="1">
        <f t="shared" si="71"/>
        <v>-9.7800144146587067E-3</v>
      </c>
    </row>
    <row r="965" spans="2:6" x14ac:dyDescent="0.25">
      <c r="B965" s="1">
        <f t="shared" si="72"/>
        <v>190.9999999999977</v>
      </c>
      <c r="C965" s="1">
        <f t="shared" si="73"/>
        <v>0.90699068770942137</v>
      </c>
      <c r="D965" s="1">
        <f t="shared" si="70"/>
        <v>-0.12510593474058523</v>
      </c>
      <c r="E965" s="1">
        <f t="shared" si="74"/>
        <v>-0.12510593474058523</v>
      </c>
      <c r="F965" s="1">
        <f t="shared" si="71"/>
        <v>-9.2782345072630439E-3</v>
      </c>
    </row>
    <row r="966" spans="2:6" x14ac:dyDescent="0.25">
      <c r="B966" s="1">
        <f t="shared" si="72"/>
        <v>191.19999999999769</v>
      </c>
      <c r="C966" s="1">
        <f t="shared" si="73"/>
        <v>0.88196950076130431</v>
      </c>
      <c r="D966" s="1">
        <f t="shared" si="70"/>
        <v>-0.12696158164203783</v>
      </c>
      <c r="E966" s="1">
        <f t="shared" si="74"/>
        <v>-0.12696158164203783</v>
      </c>
      <c r="F966" s="1">
        <f t="shared" si="71"/>
        <v>-8.7746178693933058E-3</v>
      </c>
    </row>
    <row r="967" spans="2:6" x14ac:dyDescent="0.25">
      <c r="B967" s="1">
        <f t="shared" si="72"/>
        <v>191.39999999999768</v>
      </c>
      <c r="C967" s="1">
        <f t="shared" si="73"/>
        <v>0.85657718443289677</v>
      </c>
      <c r="D967" s="1">
        <f t="shared" si="70"/>
        <v>-0.12871650521591649</v>
      </c>
      <c r="E967" s="1">
        <f t="shared" si="74"/>
        <v>-0.12871650521591649</v>
      </c>
      <c r="F967" s="1">
        <f t="shared" si="71"/>
        <v>-8.2695161638055101E-3</v>
      </c>
    </row>
    <row r="968" spans="2:6" x14ac:dyDescent="0.25">
      <c r="B968" s="1">
        <f t="shared" si="72"/>
        <v>191.59999999999766</v>
      </c>
      <c r="C968" s="1">
        <f t="shared" si="73"/>
        <v>0.83083388338971342</v>
      </c>
      <c r="D968" s="1">
        <f t="shared" si="70"/>
        <v>-0.13037040844867759</v>
      </c>
      <c r="E968" s="1">
        <f t="shared" si="74"/>
        <v>-0.13037040844867759</v>
      </c>
      <c r="F968" s="1">
        <f t="shared" si="71"/>
        <v>-7.7632789955569374E-3</v>
      </c>
    </row>
    <row r="969" spans="2:6" x14ac:dyDescent="0.25">
      <c r="B969" s="1">
        <f t="shared" si="72"/>
        <v>191.79999999999765</v>
      </c>
      <c r="C969" s="1">
        <f t="shared" si="73"/>
        <v>0.80475980169997796</v>
      </c>
      <c r="D969" s="1">
        <f t="shared" si="70"/>
        <v>-0.13192306424778896</v>
      </c>
      <c r="E969" s="1">
        <f t="shared" si="74"/>
        <v>-0.13192306424778896</v>
      </c>
      <c r="F969" s="1">
        <f t="shared" si="71"/>
        <v>-7.2562536967694805E-3</v>
      </c>
    </row>
    <row r="970" spans="2:6" x14ac:dyDescent="0.25">
      <c r="B970" s="1">
        <f t="shared" si="72"/>
        <v>191.99999999999764</v>
      </c>
      <c r="C970" s="1">
        <f t="shared" si="73"/>
        <v>0.77837518885042012</v>
      </c>
      <c r="D970" s="1">
        <f t="shared" ref="D970:D1033" si="75">E970</f>
        <v>-0.13337431498714286</v>
      </c>
      <c r="E970" s="1">
        <f t="shared" si="74"/>
        <v>-0.13337431498714286</v>
      </c>
      <c r="F970" s="1">
        <f t="shared" ref="F970:F1033" si="76">-$C$3*C970/$C$4-$C$2/$C$4*E970</f>
        <v>-6.7487851147736699E-3</v>
      </c>
    </row>
    <row r="971" spans="2:6" x14ac:dyDescent="0.25">
      <c r="B971" s="1">
        <f t="shared" ref="B971:B1010" si="77">B970+$C$7</f>
        <v>192.19999999999763</v>
      </c>
      <c r="C971" s="1">
        <f t="shared" ref="C971:C1010" si="78">C970+D970*$C$7</f>
        <v>0.75170032585299151</v>
      </c>
      <c r="D971" s="1">
        <f t="shared" si="75"/>
        <v>-0.13472407201009759</v>
      </c>
      <c r="E971" s="1">
        <f t="shared" ref="E971:E1010" si="79">E970+F970*$C$7</f>
        <v>-0.13472407201009759</v>
      </c>
      <c r="F971" s="1">
        <f t="shared" si="76"/>
        <v>-6.2412154037453042E-3</v>
      </c>
    </row>
    <row r="972" spans="2:6" x14ac:dyDescent="0.25">
      <c r="B972" s="1">
        <f t="shared" si="77"/>
        <v>192.39999999999762</v>
      </c>
      <c r="C972" s="1">
        <f t="shared" si="78"/>
        <v>0.72475551145097195</v>
      </c>
      <c r="D972" s="1">
        <f t="shared" si="75"/>
        <v>-0.13597231509084665</v>
      </c>
      <c r="E972" s="1">
        <f t="shared" si="79"/>
        <v>-0.13597231509084665</v>
      </c>
      <c r="F972" s="1">
        <f t="shared" si="76"/>
        <v>-5.7338838199433558E-3</v>
      </c>
    </row>
    <row r="973" spans="2:6" x14ac:dyDescent="0.25">
      <c r="B973" s="1">
        <f t="shared" si="77"/>
        <v>192.59999999999761</v>
      </c>
      <c r="C973" s="1">
        <f t="shared" si="78"/>
        <v>0.69756104843280264</v>
      </c>
      <c r="D973" s="1">
        <f t="shared" si="75"/>
        <v>-0.13711909185483531</v>
      </c>
      <c r="E973" s="1">
        <f t="shared" si="79"/>
        <v>-0.13711909185483531</v>
      </c>
      <c r="F973" s="1">
        <f t="shared" si="76"/>
        <v>-5.2271265206543949E-3</v>
      </c>
    </row>
    <row r="974" spans="2:6" x14ac:dyDescent="0.25">
      <c r="B974" s="1">
        <f t="shared" si="77"/>
        <v>192.7999999999976</v>
      </c>
      <c r="C974" s="1">
        <f t="shared" si="78"/>
        <v>0.67013723006183556</v>
      </c>
      <c r="D974" s="1">
        <f t="shared" si="75"/>
        <v>-0.13816451715896619</v>
      </c>
      <c r="E974" s="1">
        <f t="shared" si="79"/>
        <v>-0.13816451715896619</v>
      </c>
      <c r="F974" s="1">
        <f t="shared" si="76"/>
        <v>-4.7212763669455052E-3</v>
      </c>
    </row>
    <row r="975" spans="2:6" x14ac:dyDescent="0.25">
      <c r="B975" s="1">
        <f t="shared" si="77"/>
        <v>192.99999999999758</v>
      </c>
      <c r="C975" s="1">
        <f t="shared" si="78"/>
        <v>0.64250432663004231</v>
      </c>
      <c r="D975" s="1">
        <f t="shared" si="75"/>
        <v>-0.13910877243235528</v>
      </c>
      <c r="E975" s="1">
        <f t="shared" si="79"/>
        <v>-0.13910877243235528</v>
      </c>
      <c r="F975" s="1">
        <f t="shared" si="76"/>
        <v>-4.2166627303241245E-3</v>
      </c>
    </row>
    <row r="976" spans="2:6" x14ac:dyDescent="0.25">
      <c r="B976" s="1">
        <f t="shared" si="77"/>
        <v>193.19999999999757</v>
      </c>
      <c r="C976" s="1">
        <f t="shared" si="78"/>
        <v>0.61468257214357125</v>
      </c>
      <c r="D976" s="1">
        <f t="shared" si="75"/>
        <v>-0.13995210497842012</v>
      </c>
      <c r="E976" s="1">
        <f t="shared" si="79"/>
        <v>-0.13995210497842012</v>
      </c>
      <c r="F976" s="1">
        <f t="shared" si="76"/>
        <v>-3.7136113033999158E-3</v>
      </c>
    </row>
    <row r="977" spans="2:6" x14ac:dyDescent="0.25">
      <c r="B977" s="1">
        <f t="shared" si="77"/>
        <v>193.39999999999756</v>
      </c>
      <c r="C977" s="1">
        <f t="shared" si="78"/>
        <v>0.5866921511478872</v>
      </c>
      <c r="D977" s="1">
        <f t="shared" si="75"/>
        <v>-0.1406948272391001</v>
      </c>
      <c r="E977" s="1">
        <f t="shared" si="79"/>
        <v>-0.1406948272391001</v>
      </c>
      <c r="F977" s="1">
        <f t="shared" si="76"/>
        <v>-3.2124439146401168E-3</v>
      </c>
    </row>
    <row r="978" spans="2:6" x14ac:dyDescent="0.25">
      <c r="B978" s="1">
        <f t="shared" si="77"/>
        <v>193.59999999999755</v>
      </c>
      <c r="C978" s="1">
        <f t="shared" si="78"/>
        <v>0.55855318570006718</v>
      </c>
      <c r="D978" s="1">
        <f t="shared" si="75"/>
        <v>-0.14133731602202812</v>
      </c>
      <c r="E978" s="1">
        <f t="shared" si="79"/>
        <v>-0.14133731602202812</v>
      </c>
      <c r="F978" s="1">
        <f t="shared" si="76"/>
        <v>-2.7134783473064744E-3</v>
      </c>
    </row>
    <row r="979" spans="2:6" x14ac:dyDescent="0.25">
      <c r="B979" s="1">
        <f t="shared" si="77"/>
        <v>193.79999999999754</v>
      </c>
      <c r="C979" s="1">
        <f t="shared" si="78"/>
        <v>0.53028572249566153</v>
      </c>
      <c r="D979" s="1">
        <f t="shared" si="75"/>
        <v>-0.14188001169148942</v>
      </c>
      <c r="E979" s="1">
        <f t="shared" si="79"/>
        <v>-0.14188001169148942</v>
      </c>
      <c r="F979" s="1">
        <f t="shared" si="76"/>
        <v>-2.2170281626581858E-3</v>
      </c>
    </row>
    <row r="980" spans="2:6" x14ac:dyDescent="0.25">
      <c r="B980" s="1">
        <f t="shared" si="77"/>
        <v>193.99999999999753</v>
      </c>
      <c r="C980" s="1">
        <f t="shared" si="78"/>
        <v>0.50190972015736368</v>
      </c>
      <c r="D980" s="1">
        <f t="shared" si="75"/>
        <v>-0.14232341732402107</v>
      </c>
      <c r="E980" s="1">
        <f t="shared" si="79"/>
        <v>-0.14232341732402107</v>
      </c>
      <c r="F980" s="1">
        <f t="shared" si="76"/>
        <v>-1.723402527501746E-3</v>
      </c>
    </row>
    <row r="981" spans="2:6" x14ac:dyDescent="0.25">
      <c r="B981" s="1">
        <f t="shared" si="77"/>
        <v>194.19999999999752</v>
      </c>
      <c r="C981" s="1">
        <f t="shared" si="78"/>
        <v>0.47344503669255944</v>
      </c>
      <c r="D981" s="1">
        <f t="shared" si="75"/>
        <v>-0.14266809782952142</v>
      </c>
      <c r="E981" s="1">
        <f t="shared" si="79"/>
        <v>-0.14266809782952142</v>
      </c>
      <c r="F981" s="1">
        <f t="shared" si="76"/>
        <v>-1.2329060461649909E-3</v>
      </c>
    </row>
    <row r="982" spans="2:6" x14ac:dyDescent="0.25">
      <c r="B982" s="1">
        <f t="shared" si="77"/>
        <v>194.3999999999975</v>
      </c>
      <c r="C982" s="1">
        <f t="shared" si="78"/>
        <v>0.44491141712665516</v>
      </c>
      <c r="D982" s="1">
        <f t="shared" si="75"/>
        <v>-0.14291467903875441</v>
      </c>
      <c r="E982" s="1">
        <f t="shared" si="79"/>
        <v>-0.14291467903875441</v>
      </c>
      <c r="F982" s="1">
        <f t="shared" si="76"/>
        <v>-7.4583859696904752E-4</v>
      </c>
    </row>
    <row r="983" spans="2:6" x14ac:dyDescent="0.25">
      <c r="B983" s="1">
        <f t="shared" si="77"/>
        <v>194.59999999999749</v>
      </c>
      <c r="C983" s="1">
        <f t="shared" si="78"/>
        <v>0.41632848131890426</v>
      </c>
      <c r="D983" s="1">
        <f t="shared" si="75"/>
        <v>-0.14306384675814821</v>
      </c>
      <c r="E983" s="1">
        <f t="shared" si="79"/>
        <v>-0.14306384675814821</v>
      </c>
      <c r="F983" s="1">
        <f t="shared" si="76"/>
        <v>-2.6249517326815477E-4</v>
      </c>
    </row>
    <row r="984" spans="2:6" x14ac:dyDescent="0.25">
      <c r="B984" s="1">
        <f t="shared" si="77"/>
        <v>194.79999999999748</v>
      </c>
      <c r="C984" s="1">
        <f t="shared" si="78"/>
        <v>0.38771571196727461</v>
      </c>
      <c r="D984" s="1">
        <f t="shared" si="75"/>
        <v>-0.14311634579280183</v>
      </c>
      <c r="E984" s="1">
        <f t="shared" si="79"/>
        <v>-0.14311634579280183</v>
      </c>
      <c r="F984" s="1">
        <f t="shared" si="76"/>
        <v>2.1683427087617474E-4</v>
      </c>
    </row>
    <row r="985" spans="2:6" x14ac:dyDescent="0.25">
      <c r="B985" s="1">
        <f t="shared" si="77"/>
        <v>194.99999999999747</v>
      </c>
      <c r="C985" s="1">
        <f t="shared" si="78"/>
        <v>0.35909244280871422</v>
      </c>
      <c r="D985" s="1">
        <f t="shared" si="75"/>
        <v>-0.14307297893862658</v>
      </c>
      <c r="E985" s="1">
        <f t="shared" si="79"/>
        <v>-0.14307297893862658</v>
      </c>
      <c r="F985" s="1">
        <f t="shared" si="76"/>
        <v>6.9186497032400381E-4</v>
      </c>
    </row>
    <row r="986" spans="2:6" x14ac:dyDescent="0.25">
      <c r="B986" s="1">
        <f t="shared" si="77"/>
        <v>195.19999999999746</v>
      </c>
      <c r="C986" s="1">
        <f t="shared" si="78"/>
        <v>0.33047784702098892</v>
      </c>
      <c r="D986" s="1">
        <f t="shared" si="75"/>
        <v>-0.14293460594456178</v>
      </c>
      <c r="E986" s="1">
        <f t="shared" si="79"/>
        <v>-0.14293460594456178</v>
      </c>
      <c r="F986" s="1">
        <f t="shared" si="76"/>
        <v>1.1623174937297337E-3</v>
      </c>
    </row>
    <row r="987" spans="2:6" x14ac:dyDescent="0.25">
      <c r="B987" s="1">
        <f t="shared" si="77"/>
        <v>195.39999999999745</v>
      </c>
      <c r="C987" s="1">
        <f t="shared" si="78"/>
        <v>0.30189092583207655</v>
      </c>
      <c r="D987" s="1">
        <f t="shared" si="75"/>
        <v>-0.14270214244581583</v>
      </c>
      <c r="E987" s="1">
        <f t="shared" si="79"/>
        <v>-0.14270214244581583</v>
      </c>
      <c r="F987" s="1">
        <f t="shared" si="76"/>
        <v>1.6279178836034634E-3</v>
      </c>
    </row>
    <row r="988" spans="2:6" x14ac:dyDescent="0.25">
      <c r="B988" s="1">
        <f t="shared" si="77"/>
        <v>195.59999999999744</v>
      </c>
      <c r="C988" s="1">
        <f t="shared" si="78"/>
        <v>0.27335049734291339</v>
      </c>
      <c r="D988" s="1">
        <f t="shared" si="75"/>
        <v>-0.14237655886909514</v>
      </c>
      <c r="E988" s="1">
        <f t="shared" si="79"/>
        <v>-0.14237655886909514</v>
      </c>
      <c r="F988" s="1">
        <f t="shared" si="76"/>
        <v>2.0883977915092172E-3</v>
      </c>
    </row>
    <row r="989" spans="2:6" x14ac:dyDescent="0.25">
      <c r="B989" s="1">
        <f t="shared" si="77"/>
        <v>195.79999999999742</v>
      </c>
      <c r="C989" s="1">
        <f t="shared" si="78"/>
        <v>0.24487518556909435</v>
      </c>
      <c r="D989" s="1">
        <f t="shared" si="75"/>
        <v>-0.14195887931079329</v>
      </c>
      <c r="E989" s="1">
        <f t="shared" si="79"/>
        <v>-0.14195887931079329</v>
      </c>
      <c r="F989" s="1">
        <f t="shared" si="76"/>
        <v>2.5434946083521147E-3</v>
      </c>
    </row>
    <row r="990" spans="2:6" x14ac:dyDescent="0.25">
      <c r="B990" s="1">
        <f t="shared" si="77"/>
        <v>195.99999999999741</v>
      </c>
      <c r="C990" s="1">
        <f t="shared" si="78"/>
        <v>0.21648340970693569</v>
      </c>
      <c r="D990" s="1">
        <f t="shared" si="75"/>
        <v>-0.14145018038912285</v>
      </c>
      <c r="E990" s="1">
        <f t="shared" si="79"/>
        <v>-0.14145018038912285</v>
      </c>
      <c r="F990" s="1">
        <f t="shared" si="76"/>
        <v>2.9929515897101386E-3</v>
      </c>
    </row>
    <row r="991" spans="2:6" x14ac:dyDescent="0.25">
      <c r="B991" s="1">
        <f t="shared" si="77"/>
        <v>196.1999999999974</v>
      </c>
      <c r="C991" s="1">
        <f t="shared" si="78"/>
        <v>0.18819337362911112</v>
      </c>
      <c r="D991" s="1">
        <f t="shared" si="75"/>
        <v>-0.14085159007118084</v>
      </c>
      <c r="E991" s="1">
        <f t="shared" si="79"/>
        <v>-0.14085159007118084</v>
      </c>
      <c r="F991" s="1">
        <f t="shared" si="76"/>
        <v>3.4365179761699205E-3</v>
      </c>
    </row>
    <row r="992" spans="2:6" x14ac:dyDescent="0.25">
      <c r="B992" s="1">
        <f t="shared" si="77"/>
        <v>196.39999999999739</v>
      </c>
      <c r="C992" s="1">
        <f t="shared" si="78"/>
        <v>0.16002305561487495</v>
      </c>
      <c r="D992" s="1">
        <f t="shared" si="75"/>
        <v>-0.14016428647594686</v>
      </c>
      <c r="E992" s="1">
        <f t="shared" si="79"/>
        <v>-0.14016428647594686</v>
      </c>
      <c r="F992" s="1">
        <f t="shared" si="76"/>
        <v>3.8739491086296047E-3</v>
      </c>
    </row>
    <row r="993" spans="2:6" x14ac:dyDescent="0.25">
      <c r="B993" s="1">
        <f t="shared" si="77"/>
        <v>196.59999999999738</v>
      </c>
      <c r="C993" s="1">
        <f t="shared" si="78"/>
        <v>0.13199019831968559</v>
      </c>
      <c r="D993" s="1">
        <f t="shared" si="75"/>
        <v>-0.13938949665422096</v>
      </c>
      <c r="E993" s="1">
        <f t="shared" si="79"/>
        <v>-0.13938949665422096</v>
      </c>
      <c r="F993" s="1">
        <f t="shared" si="76"/>
        <v>4.3050065385355513E-3</v>
      </c>
    </row>
    <row r="994" spans="2:6" x14ac:dyDescent="0.25">
      <c r="B994" s="1">
        <f t="shared" si="77"/>
        <v>196.79999999999737</v>
      </c>
      <c r="C994" s="1">
        <f t="shared" si="78"/>
        <v>0.10411229898884139</v>
      </c>
      <c r="D994" s="1">
        <f t="shared" si="75"/>
        <v>-0.13852849534651385</v>
      </c>
      <c r="E994" s="1">
        <f t="shared" si="79"/>
        <v>-0.13852849534651385</v>
      </c>
      <c r="F994" s="1">
        <f t="shared" si="76"/>
        <v>4.7294581330232901E-3</v>
      </c>
    </row>
    <row r="995" spans="2:6" x14ac:dyDescent="0.25">
      <c r="B995" s="1">
        <f t="shared" si="77"/>
        <v>196.99999999999736</v>
      </c>
      <c r="C995" s="1">
        <f t="shared" si="78"/>
        <v>7.6406599919538618E-2</v>
      </c>
      <c r="D995" s="1">
        <f t="shared" si="75"/>
        <v>-0.13758260371990919</v>
      </c>
      <c r="E995" s="1">
        <f t="shared" si="79"/>
        <v>-0.13758260371990919</v>
      </c>
      <c r="F995" s="1">
        <f t="shared" si="76"/>
        <v>5.1470781749367849E-3</v>
      </c>
    </row>
    <row r="996" spans="2:6" x14ac:dyDescent="0.25">
      <c r="B996" s="1">
        <f t="shared" si="77"/>
        <v>197.19999999999735</v>
      </c>
      <c r="C996" s="1">
        <f t="shared" si="78"/>
        <v>4.889007917555678E-2</v>
      </c>
      <c r="D996" s="1">
        <f t="shared" si="75"/>
        <v>-0.13655318808492184</v>
      </c>
      <c r="E996" s="1">
        <f t="shared" si="79"/>
        <v>-0.13655318808492184</v>
      </c>
      <c r="F996" s="1">
        <f t="shared" si="76"/>
        <v>5.5576474577037401E-3</v>
      </c>
    </row>
    <row r="997" spans="2:6" x14ac:dyDescent="0.25">
      <c r="B997" s="1">
        <f t="shared" si="77"/>
        <v>197.39999999999733</v>
      </c>
      <c r="C997" s="1">
        <f t="shared" si="78"/>
        <v>2.1579441558572412E-2</v>
      </c>
      <c r="D997" s="1">
        <f t="shared" si="75"/>
        <v>-0.13544165859338109</v>
      </c>
      <c r="E997" s="1">
        <f t="shared" si="79"/>
        <v>-0.13544165859338109</v>
      </c>
      <c r="F997" s="1">
        <f t="shared" si="76"/>
        <v>5.9609533750482439E-3</v>
      </c>
    </row>
    <row r="998" spans="2:6" x14ac:dyDescent="0.25">
      <c r="B998" s="1">
        <f t="shared" si="77"/>
        <v>197.59999999999732</v>
      </c>
      <c r="C998" s="1">
        <f t="shared" si="78"/>
        <v>-5.5088901601038076E-3</v>
      </c>
      <c r="D998" s="1">
        <f t="shared" si="75"/>
        <v>-0.13424946791837145</v>
      </c>
      <c r="E998" s="1">
        <f t="shared" si="79"/>
        <v>-0.13424946791837145</v>
      </c>
      <c r="F998" s="1">
        <f t="shared" si="76"/>
        <v>6.356790005525732E-3</v>
      </c>
    </row>
    <row r="999" spans="2:6" x14ac:dyDescent="0.25">
      <c r="B999" s="1">
        <f t="shared" si="77"/>
        <v>197.79999999999731</v>
      </c>
      <c r="C999" s="1">
        <f t="shared" si="78"/>
        <v>-3.2358783743778097E-2</v>
      </c>
      <c r="D999" s="1">
        <f t="shared" si="75"/>
        <v>-0.1329781099172663</v>
      </c>
      <c r="E999" s="1">
        <f t="shared" si="79"/>
        <v>-0.1329781099172663</v>
      </c>
      <c r="F999" s="1">
        <f t="shared" si="76"/>
        <v>6.7449581918687289E-3</v>
      </c>
    </row>
    <row r="1000" spans="2:6" x14ac:dyDescent="0.25">
      <c r="B1000" s="1">
        <f t="shared" si="77"/>
        <v>197.9999999999973</v>
      </c>
      <c r="C1000" s="1">
        <f t="shared" si="78"/>
        <v>-5.895440572723136E-2</v>
      </c>
      <c r="D1000" s="1">
        <f t="shared" si="75"/>
        <v>-0.13162911827889257</v>
      </c>
      <c r="E1000" s="1">
        <f t="shared" si="79"/>
        <v>-0.13162911827889257</v>
      </c>
      <c r="F1000" s="1">
        <f t="shared" si="76"/>
        <v>7.1252656151355098E-3</v>
      </c>
    </row>
    <row r="1001" spans="2:6" x14ac:dyDescent="0.25">
      <c r="B1001" s="1">
        <f t="shared" si="77"/>
        <v>198.19999999999729</v>
      </c>
      <c r="C1001" s="1">
        <f t="shared" si="78"/>
        <v>-8.5280229383009873E-2</v>
      </c>
      <c r="D1001" s="1">
        <f t="shared" si="75"/>
        <v>-0.13020406515586547</v>
      </c>
      <c r="E1001" s="1">
        <f t="shared" si="79"/>
        <v>-0.13020406515586547</v>
      </c>
      <c r="F1001" s="1">
        <f t="shared" si="76"/>
        <v>7.4975268636572204E-3</v>
      </c>
    </row>
    <row r="1002" spans="2:6" x14ac:dyDescent="0.25">
      <c r="B1002" s="1">
        <f t="shared" si="77"/>
        <v>198.39999999999728</v>
      </c>
      <c r="C1002" s="1">
        <f t="shared" si="78"/>
        <v>-0.11132104241418297</v>
      </c>
      <c r="D1002" s="1">
        <f t="shared" si="75"/>
        <v>-0.12870455978313403</v>
      </c>
      <c r="E1002" s="1">
        <f t="shared" si="79"/>
        <v>-0.12870455978313403</v>
      </c>
      <c r="F1002" s="1">
        <f t="shared" si="76"/>
        <v>7.8615634967826378E-3</v>
      </c>
    </row>
    <row r="1003" spans="2:6" x14ac:dyDescent="0.25">
      <c r="B1003" s="1">
        <f t="shared" si="77"/>
        <v>198.59999999999727</v>
      </c>
      <c r="C1003" s="1">
        <f t="shared" si="78"/>
        <v>-0.13706195437080979</v>
      </c>
      <c r="D1003" s="1">
        <f t="shared" si="75"/>
        <v>-0.12713224708377749</v>
      </c>
      <c r="E1003" s="1">
        <f t="shared" si="79"/>
        <v>-0.12713224708377749</v>
      </c>
      <c r="F1003" s="1">
        <f t="shared" si="76"/>
        <v>8.2172041034231126E-3</v>
      </c>
    </row>
    <row r="1004" spans="2:6" x14ac:dyDescent="0.25">
      <c r="B1004" s="1">
        <f t="shared" si="77"/>
        <v>198.79999999999725</v>
      </c>
      <c r="C1004" s="1">
        <f t="shared" si="78"/>
        <v>-0.16248840378756529</v>
      </c>
      <c r="D1004" s="1">
        <f t="shared" si="75"/>
        <v>-0.12548880626309286</v>
      </c>
      <c r="E1004" s="1">
        <f t="shared" si="79"/>
        <v>-0.12548880626309286</v>
      </c>
      <c r="F1004" s="1">
        <f t="shared" si="76"/>
        <v>8.5642843554037552E-3</v>
      </c>
    </row>
    <row r="1005" spans="2:6" x14ac:dyDescent="0.25">
      <c r="B1005" s="1">
        <f t="shared" si="77"/>
        <v>198.99999999999724</v>
      </c>
      <c r="C1005" s="1">
        <f t="shared" si="78"/>
        <v>-0.18758616504018388</v>
      </c>
      <c r="D1005" s="1">
        <f t="shared" si="75"/>
        <v>-0.12377594939201211</v>
      </c>
      <c r="E1005" s="1">
        <f t="shared" si="79"/>
        <v>-0.12377594939201211</v>
      </c>
      <c r="F1005" s="1">
        <f t="shared" si="76"/>
        <v>8.9026470556302969E-3</v>
      </c>
    </row>
    <row r="1006" spans="2:6" x14ac:dyDescent="0.25">
      <c r="B1006" s="1">
        <f t="shared" si="77"/>
        <v>199.19999999999723</v>
      </c>
      <c r="C1006" s="1">
        <f t="shared" si="78"/>
        <v>-0.2123413549185863</v>
      </c>
      <c r="D1006" s="1">
        <f t="shared" si="75"/>
        <v>-0.12199541998088606</v>
      </c>
      <c r="E1006" s="1">
        <f t="shared" si="79"/>
        <v>-0.12199541998088606</v>
      </c>
      <c r="F1006" s="1">
        <f t="shared" si="76"/>
        <v>9.2321421810844552E-3</v>
      </c>
    </row>
    <row r="1007" spans="2:6" x14ac:dyDescent="0.25">
      <c r="B1007" s="1">
        <f t="shared" si="77"/>
        <v>199.39999999999722</v>
      </c>
      <c r="C1007" s="1">
        <f t="shared" si="78"/>
        <v>-0.23674043891476351</v>
      </c>
      <c r="D1007" s="1">
        <f t="shared" si="75"/>
        <v>-0.12014899154466917</v>
      </c>
      <c r="E1007" s="1">
        <f t="shared" si="79"/>
        <v>-0.12014899154466917</v>
      </c>
      <c r="F1007" s="1">
        <f t="shared" si="76"/>
        <v>9.5526269206639529E-3</v>
      </c>
    </row>
    <row r="1008" spans="2:6" x14ac:dyDescent="0.25">
      <c r="B1008" s="1">
        <f t="shared" si="77"/>
        <v>199.59999999999721</v>
      </c>
      <c r="C1008" s="1">
        <f t="shared" si="78"/>
        <v>-0.26077023722369735</v>
      </c>
      <c r="D1008" s="1">
        <f t="shared" si="75"/>
        <v>-0.11823846616053638</v>
      </c>
      <c r="E1008" s="1">
        <f t="shared" si="79"/>
        <v>-0.11823846616053638</v>
      </c>
      <c r="F1008" s="1">
        <f t="shared" si="76"/>
        <v>9.8639657078866544E-3</v>
      </c>
    </row>
    <row r="1009" spans="2:6" x14ac:dyDescent="0.25">
      <c r="B1009" s="1">
        <f t="shared" si="77"/>
        <v>199.7999999999972</v>
      </c>
      <c r="C1009" s="1">
        <f t="shared" si="78"/>
        <v>-0.28441793045580466</v>
      </c>
      <c r="D1009" s="1">
        <f t="shared" si="75"/>
        <v>-0.11626567301895904</v>
      </c>
      <c r="E1009" s="1">
        <f t="shared" si="79"/>
        <v>-0.11626567301895904</v>
      </c>
      <c r="F1009" s="1">
        <f t="shared" si="76"/>
        <v>1.0166030248481499E-2</v>
      </c>
    </row>
    <row r="1010" spans="2:6" x14ac:dyDescent="0.25">
      <c r="B1010" s="1">
        <f t="shared" si="77"/>
        <v>199.99999999999719</v>
      </c>
      <c r="C1010" s="1">
        <f t="shared" si="78"/>
        <v>-0.30767106505959646</v>
      </c>
      <c r="D1010" s="1">
        <f t="shared" si="75"/>
        <v>-0.11423246696926274</v>
      </c>
      <c r="E1010" s="1">
        <f t="shared" si="79"/>
        <v>-0.11423246696926274</v>
      </c>
      <c r="F1010" s="1">
        <f t="shared" si="76"/>
        <v>1.0458699542892204E-2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Scroll Bar 1">
              <controlPr defaultSize="0" autoPict="0">
                <anchor moveWithCells="1">
                  <from>
                    <xdr:col>6</xdr:col>
                    <xdr:colOff>276225</xdr:colOff>
                    <xdr:row>7</xdr:row>
                    <xdr:rowOff>0</xdr:rowOff>
                  </from>
                  <to>
                    <xdr:col>11</xdr:col>
                    <xdr:colOff>0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A1:T1010"/>
  <sheetViews>
    <sheetView zoomScale="140" zoomScaleNormal="140" workbookViewId="0"/>
  </sheetViews>
  <sheetFormatPr defaultRowHeight="15" x14ac:dyDescent="0.25"/>
  <cols>
    <col min="1" max="1" width="2.85546875" customWidth="1"/>
    <col min="7" max="7" width="4.42578125" customWidth="1"/>
    <col min="21" max="21" width="3.140625" customWidth="1"/>
  </cols>
  <sheetData>
    <row r="1" spans="1:20" x14ac:dyDescent="0.25">
      <c r="A1" s="5" t="s">
        <v>37</v>
      </c>
    </row>
    <row r="2" spans="1:20" x14ac:dyDescent="0.25">
      <c r="B2" s="3" t="s">
        <v>31</v>
      </c>
      <c r="C2">
        <f>D2/100</f>
        <v>0</v>
      </c>
      <c r="D2">
        <v>0</v>
      </c>
      <c r="K2" t="s">
        <v>36</v>
      </c>
      <c r="L2" t="s">
        <v>4</v>
      </c>
      <c r="R2" t="s">
        <v>36</v>
      </c>
      <c r="S2" t="s">
        <v>4</v>
      </c>
      <c r="T2" t="s">
        <v>1</v>
      </c>
    </row>
    <row r="3" spans="1:20" x14ac:dyDescent="0.25">
      <c r="B3" s="3" t="s">
        <v>30</v>
      </c>
      <c r="C3">
        <v>0.1</v>
      </c>
      <c r="E3" t="s">
        <v>29</v>
      </c>
      <c r="K3" s="6">
        <v>1</v>
      </c>
      <c r="L3" s="6">
        <f>VLOOKUP(K3,$H$10:$I$1010,2)</f>
        <v>28.700000000000138</v>
      </c>
      <c r="M3" s="6" t="s">
        <v>35</v>
      </c>
      <c r="N3" t="s">
        <v>34</v>
      </c>
      <c r="R3" s="6">
        <f t="shared" ref="R3:S9" si="0">K3</f>
        <v>1</v>
      </c>
      <c r="S3" s="6">
        <f t="shared" si="0"/>
        <v>28.700000000000138</v>
      </c>
      <c r="T3" s="6">
        <f t="shared" ref="T3:T12" si="1">VLOOKUP(S3,$B$10:$C$1010,2)</f>
        <v>-331.79458238534988</v>
      </c>
    </row>
    <row r="4" spans="1:20" x14ac:dyDescent="0.25">
      <c r="B4" s="3" t="s">
        <v>28</v>
      </c>
      <c r="C4">
        <v>4</v>
      </c>
      <c r="D4" t="s">
        <v>27</v>
      </c>
      <c r="K4" s="6">
        <v>2</v>
      </c>
      <c r="L4" s="6">
        <f>VLOOKUP(K4,$H$10:$I$1010,2)</f>
        <v>48.500000000000419</v>
      </c>
      <c r="M4" s="6">
        <f>L4-L3</f>
        <v>19.800000000000281</v>
      </c>
      <c r="N4">
        <f>M4*2</f>
        <v>39.600000000000563</v>
      </c>
      <c r="R4" s="6">
        <f t="shared" si="0"/>
        <v>2</v>
      </c>
      <c r="S4" s="6">
        <f t="shared" si="0"/>
        <v>48.500000000000419</v>
      </c>
      <c r="T4" s="6">
        <f t="shared" si="1"/>
        <v>340.01770692866825</v>
      </c>
    </row>
    <row r="5" spans="1:20" x14ac:dyDescent="0.25">
      <c r="B5" s="3" t="s">
        <v>26</v>
      </c>
      <c r="C5">
        <v>50</v>
      </c>
      <c r="D5" s="2" t="s">
        <v>15</v>
      </c>
      <c r="E5" t="s">
        <v>25</v>
      </c>
      <c r="K5" s="6">
        <v>3</v>
      </c>
      <c r="L5" s="6">
        <f>VLOOKUP(K5,$H$10:$I$1010,2)</f>
        <v>68.400000000000389</v>
      </c>
      <c r="M5" s="6">
        <f>L5-L4</f>
        <v>19.89999999999997</v>
      </c>
      <c r="R5" s="6">
        <f t="shared" si="0"/>
        <v>3</v>
      </c>
      <c r="S5" s="6">
        <f t="shared" si="0"/>
        <v>68.400000000000389</v>
      </c>
      <c r="T5" s="6">
        <f t="shared" si="1"/>
        <v>-348.62401299856697</v>
      </c>
    </row>
    <row r="6" spans="1:20" x14ac:dyDescent="0.25">
      <c r="B6" s="3" t="s">
        <v>24</v>
      </c>
      <c r="C6">
        <v>50</v>
      </c>
      <c r="D6" t="s">
        <v>23</v>
      </c>
      <c r="E6" t="s">
        <v>22</v>
      </c>
      <c r="K6" s="6">
        <v>4</v>
      </c>
      <c r="L6" s="6">
        <f>VLOOKUP(K6,$H$10:$I$1010,2)</f>
        <v>88.299999999999258</v>
      </c>
      <c r="M6" s="6">
        <f>L6-L5</f>
        <v>19.899999999998869</v>
      </c>
      <c r="R6" s="6">
        <f t="shared" si="0"/>
        <v>4</v>
      </c>
      <c r="S6" s="6">
        <f t="shared" si="0"/>
        <v>88.299999999999258</v>
      </c>
      <c r="T6" s="6">
        <f t="shared" si="1"/>
        <v>357.44055038082723</v>
      </c>
    </row>
    <row r="7" spans="1:20" x14ac:dyDescent="0.25">
      <c r="B7" s="3" t="s">
        <v>7</v>
      </c>
      <c r="C7">
        <v>0.1</v>
      </c>
      <c r="K7" s="6">
        <v>5</v>
      </c>
      <c r="L7" s="6">
        <f>VLOOKUP(K7,$H$10:$I$1010,2)</f>
        <v>99.999999999998593</v>
      </c>
      <c r="M7" s="6">
        <f>L7-L6</f>
        <v>11.699999999999335</v>
      </c>
      <c r="R7" s="6">
        <f t="shared" si="0"/>
        <v>5</v>
      </c>
      <c r="S7" s="6">
        <f t="shared" si="0"/>
        <v>99.999999999998593</v>
      </c>
      <c r="T7" s="6">
        <f t="shared" si="1"/>
        <v>-92.885856928609726</v>
      </c>
    </row>
    <row r="8" spans="1:20" x14ac:dyDescent="0.25">
      <c r="K8" s="6"/>
      <c r="L8" s="6"/>
      <c r="M8" s="6"/>
      <c r="R8" s="6">
        <f t="shared" si="0"/>
        <v>0</v>
      </c>
      <c r="S8" s="6">
        <f t="shared" si="0"/>
        <v>0</v>
      </c>
      <c r="T8" s="6">
        <f t="shared" si="1"/>
        <v>50</v>
      </c>
    </row>
    <row r="9" spans="1:20" x14ac:dyDescent="0.25">
      <c r="B9" t="s">
        <v>4</v>
      </c>
      <c r="C9" t="s">
        <v>21</v>
      </c>
      <c r="D9" t="s">
        <v>20</v>
      </c>
      <c r="E9" t="s">
        <v>19</v>
      </c>
      <c r="F9" t="s">
        <v>18</v>
      </c>
      <c r="H9" t="s">
        <v>33</v>
      </c>
      <c r="I9" t="s">
        <v>4</v>
      </c>
      <c r="K9" s="6"/>
      <c r="L9" s="6"/>
      <c r="M9" s="6"/>
      <c r="R9" s="6">
        <f t="shared" si="0"/>
        <v>0</v>
      </c>
      <c r="S9" s="6">
        <f t="shared" si="0"/>
        <v>0</v>
      </c>
      <c r="T9" s="6">
        <f t="shared" si="1"/>
        <v>50</v>
      </c>
    </row>
    <row r="10" spans="1:20" x14ac:dyDescent="0.25">
      <c r="B10" s="1">
        <v>0</v>
      </c>
      <c r="C10" s="1">
        <f>C5</f>
        <v>50</v>
      </c>
      <c r="D10" s="1">
        <f t="shared" ref="D10:D73" si="2">E10</f>
        <v>50</v>
      </c>
      <c r="E10" s="1">
        <f>C6</f>
        <v>50</v>
      </c>
      <c r="F10" s="1">
        <f t="shared" ref="F10:F73" si="3">-$C$3*C10/$C$4-$C$2/$C$4*E10</f>
        <v>-1.25</v>
      </c>
      <c r="G10" s="1"/>
      <c r="H10">
        <f>(D10*D11&lt;0)*1</f>
        <v>0</v>
      </c>
      <c r="I10" s="1">
        <f t="shared" ref="I10:I73" si="4">B10</f>
        <v>0</v>
      </c>
      <c r="K10" s="6"/>
      <c r="L10" s="6"/>
      <c r="M10" s="6"/>
      <c r="R10" s="6">
        <v>8</v>
      </c>
      <c r="S10" s="6">
        <f>L10</f>
        <v>0</v>
      </c>
      <c r="T10" s="6">
        <f t="shared" si="1"/>
        <v>50</v>
      </c>
    </row>
    <row r="11" spans="1:20" x14ac:dyDescent="0.25">
      <c r="B11" s="1">
        <f t="shared" ref="B11:B74" si="5">B10+$C$7</f>
        <v>0.1</v>
      </c>
      <c r="C11" s="1">
        <f t="shared" ref="C11:C74" si="6">C10+D10*$C$7</f>
        <v>55</v>
      </c>
      <c r="D11" s="1">
        <f t="shared" si="2"/>
        <v>49.875</v>
      </c>
      <c r="E11" s="1">
        <f t="shared" ref="E11:E74" si="7">E10+F10*$C$7</f>
        <v>49.875</v>
      </c>
      <c r="F11" s="1">
        <f t="shared" si="3"/>
        <v>-1.375</v>
      </c>
      <c r="G11" s="1"/>
      <c r="H11">
        <f t="shared" ref="H11:H74" si="8">H10+(D11*D12&lt;0)*1</f>
        <v>0</v>
      </c>
      <c r="I11" s="1">
        <f t="shared" si="4"/>
        <v>0.1</v>
      </c>
      <c r="K11" s="6"/>
      <c r="L11" s="6"/>
      <c r="M11" s="6"/>
      <c r="R11" s="6">
        <f>K11</f>
        <v>0</v>
      </c>
      <c r="S11" s="6">
        <f>L11</f>
        <v>0</v>
      </c>
      <c r="T11" s="6">
        <f t="shared" si="1"/>
        <v>50</v>
      </c>
    </row>
    <row r="12" spans="1:20" x14ac:dyDescent="0.25">
      <c r="B12" s="1">
        <f t="shared" si="5"/>
        <v>0.2</v>
      </c>
      <c r="C12" s="1">
        <f t="shared" si="6"/>
        <v>59.987499999999997</v>
      </c>
      <c r="D12" s="1">
        <f t="shared" si="2"/>
        <v>49.737499999999997</v>
      </c>
      <c r="E12" s="1">
        <f t="shared" si="7"/>
        <v>49.737499999999997</v>
      </c>
      <c r="F12" s="1">
        <f t="shared" si="3"/>
        <v>-1.4996875000000001</v>
      </c>
      <c r="G12" s="1"/>
      <c r="H12">
        <f t="shared" si="8"/>
        <v>0</v>
      </c>
      <c r="I12" s="1">
        <f t="shared" si="4"/>
        <v>0.2</v>
      </c>
      <c r="K12" s="6"/>
      <c r="L12" s="6"/>
      <c r="M12" s="6"/>
      <c r="R12" s="6">
        <v>10</v>
      </c>
      <c r="S12" s="6">
        <f>L12</f>
        <v>0</v>
      </c>
      <c r="T12" s="6">
        <f t="shared" si="1"/>
        <v>50</v>
      </c>
    </row>
    <row r="13" spans="1:20" x14ac:dyDescent="0.25">
      <c r="B13" s="1">
        <f t="shared" si="5"/>
        <v>0.30000000000000004</v>
      </c>
      <c r="C13" s="1">
        <f t="shared" si="6"/>
        <v>64.961249999999993</v>
      </c>
      <c r="D13" s="1">
        <f t="shared" si="2"/>
        <v>49.587531249999998</v>
      </c>
      <c r="E13" s="1">
        <f t="shared" si="7"/>
        <v>49.587531249999998</v>
      </c>
      <c r="F13" s="1">
        <f t="shared" si="3"/>
        <v>-1.6240312499999998</v>
      </c>
      <c r="G13" s="1"/>
      <c r="H13">
        <f t="shared" si="8"/>
        <v>0</v>
      </c>
      <c r="I13" s="1">
        <f t="shared" si="4"/>
        <v>0.30000000000000004</v>
      </c>
    </row>
    <row r="14" spans="1:20" x14ac:dyDescent="0.25">
      <c r="B14" s="1">
        <f t="shared" si="5"/>
        <v>0.4</v>
      </c>
      <c r="C14" s="1">
        <f t="shared" si="6"/>
        <v>69.920003124999994</v>
      </c>
      <c r="D14" s="1">
        <f t="shared" si="2"/>
        <v>49.425128125000001</v>
      </c>
      <c r="E14" s="1">
        <f t="shared" si="7"/>
        <v>49.425128125000001</v>
      </c>
      <c r="F14" s="1">
        <f t="shared" si="3"/>
        <v>-1.748000078125</v>
      </c>
      <c r="G14" s="1"/>
      <c r="H14">
        <f t="shared" si="8"/>
        <v>0</v>
      </c>
      <c r="I14" s="1">
        <f t="shared" si="4"/>
        <v>0.4</v>
      </c>
    </row>
    <row r="15" spans="1:20" x14ac:dyDescent="0.25">
      <c r="B15" s="1">
        <f t="shared" si="5"/>
        <v>0.5</v>
      </c>
      <c r="C15" s="1">
        <f t="shared" si="6"/>
        <v>74.862515937499992</v>
      </c>
      <c r="D15" s="1">
        <f t="shared" si="2"/>
        <v>49.2503281171875</v>
      </c>
      <c r="E15" s="1">
        <f t="shared" si="7"/>
        <v>49.2503281171875</v>
      </c>
      <c r="F15" s="1">
        <f t="shared" si="3"/>
        <v>-1.8715628984374999</v>
      </c>
      <c r="G15" s="1"/>
      <c r="H15">
        <f t="shared" si="8"/>
        <v>0</v>
      </c>
      <c r="I15" s="1">
        <f t="shared" si="4"/>
        <v>0.5</v>
      </c>
    </row>
    <row r="16" spans="1:20" x14ac:dyDescent="0.25">
      <c r="B16" s="1">
        <f t="shared" si="5"/>
        <v>0.6</v>
      </c>
      <c r="C16" s="1">
        <f t="shared" si="6"/>
        <v>79.787548749218743</v>
      </c>
      <c r="D16" s="1">
        <f t="shared" si="2"/>
        <v>49.063171827343751</v>
      </c>
      <c r="E16" s="1">
        <f t="shared" si="7"/>
        <v>49.063171827343751</v>
      </c>
      <c r="F16" s="1">
        <f t="shared" si="3"/>
        <v>-1.9946887187304687</v>
      </c>
      <c r="G16" s="1"/>
      <c r="H16">
        <f t="shared" si="8"/>
        <v>0</v>
      </c>
      <c r="I16" s="1">
        <f t="shared" si="4"/>
        <v>0.6</v>
      </c>
    </row>
    <row r="17" spans="2:9" x14ac:dyDescent="0.25">
      <c r="B17" s="1">
        <f t="shared" si="5"/>
        <v>0.7</v>
      </c>
      <c r="C17" s="1">
        <f t="shared" si="6"/>
        <v>84.693865931953113</v>
      </c>
      <c r="D17" s="1">
        <f t="shared" si="2"/>
        <v>48.863702955470707</v>
      </c>
      <c r="E17" s="1">
        <f t="shared" si="7"/>
        <v>48.863702955470707</v>
      </c>
      <c r="F17" s="1">
        <f t="shared" si="3"/>
        <v>-2.1173466482988279</v>
      </c>
      <c r="G17" s="1"/>
      <c r="H17">
        <f t="shared" si="8"/>
        <v>0</v>
      </c>
      <c r="I17" s="1">
        <f t="shared" si="4"/>
        <v>0.7</v>
      </c>
    </row>
    <row r="18" spans="2:9" x14ac:dyDescent="0.25">
      <c r="B18" s="1">
        <f t="shared" si="5"/>
        <v>0.79999999999999993</v>
      </c>
      <c r="C18" s="1">
        <f t="shared" si="6"/>
        <v>89.58023622750018</v>
      </c>
      <c r="D18" s="1">
        <f t="shared" si="2"/>
        <v>48.651968290640824</v>
      </c>
      <c r="E18" s="1">
        <f t="shared" si="7"/>
        <v>48.651968290640824</v>
      </c>
      <c r="F18" s="1">
        <f t="shared" si="3"/>
        <v>-2.2395059056875044</v>
      </c>
      <c r="G18" s="1"/>
      <c r="H18">
        <f t="shared" si="8"/>
        <v>0</v>
      </c>
      <c r="I18" s="1">
        <f t="shared" si="4"/>
        <v>0.79999999999999993</v>
      </c>
    </row>
    <row r="19" spans="2:9" x14ac:dyDescent="0.25">
      <c r="B19" s="1">
        <f t="shared" si="5"/>
        <v>0.89999999999999991</v>
      </c>
      <c r="C19" s="1">
        <f t="shared" si="6"/>
        <v>94.445433056564269</v>
      </c>
      <c r="D19" s="1">
        <f t="shared" si="2"/>
        <v>48.428017700072076</v>
      </c>
      <c r="E19" s="1">
        <f t="shared" si="7"/>
        <v>48.428017700072076</v>
      </c>
      <c r="F19" s="1">
        <f t="shared" si="3"/>
        <v>-2.3611358264141069</v>
      </c>
      <c r="G19" s="1"/>
      <c r="H19">
        <f t="shared" si="8"/>
        <v>0</v>
      </c>
      <c r="I19" s="1">
        <f t="shared" si="4"/>
        <v>0.89999999999999991</v>
      </c>
    </row>
    <row r="20" spans="2:9" x14ac:dyDescent="0.25">
      <c r="B20" s="1">
        <f t="shared" si="5"/>
        <v>0.99999999999999989</v>
      </c>
      <c r="C20" s="1">
        <f t="shared" si="6"/>
        <v>99.288234826571482</v>
      </c>
      <c r="D20" s="1">
        <f t="shared" si="2"/>
        <v>48.191904117430667</v>
      </c>
      <c r="E20" s="1">
        <f t="shared" si="7"/>
        <v>48.191904117430667</v>
      </c>
      <c r="F20" s="1">
        <f t="shared" si="3"/>
        <v>-2.4822058706642873</v>
      </c>
      <c r="G20" s="1"/>
      <c r="H20">
        <f t="shared" si="8"/>
        <v>0</v>
      </c>
      <c r="I20" s="1">
        <f t="shared" si="4"/>
        <v>0.99999999999999989</v>
      </c>
    </row>
    <row r="21" spans="2:9" x14ac:dyDescent="0.25">
      <c r="B21" s="1">
        <f t="shared" si="5"/>
        <v>1.0999999999999999</v>
      </c>
      <c r="C21" s="1">
        <f t="shared" si="6"/>
        <v>104.10742523831455</v>
      </c>
      <c r="D21" s="1">
        <f t="shared" si="2"/>
        <v>47.94368353036424</v>
      </c>
      <c r="E21" s="1">
        <f t="shared" si="7"/>
        <v>47.94368353036424</v>
      </c>
      <c r="F21" s="1">
        <f t="shared" si="3"/>
        <v>-2.6026856309578639</v>
      </c>
      <c r="G21" s="1"/>
      <c r="H21">
        <f t="shared" si="8"/>
        <v>0</v>
      </c>
      <c r="I21" s="1">
        <f t="shared" si="4"/>
        <v>1.0999999999999999</v>
      </c>
    </row>
    <row r="22" spans="2:9" x14ac:dyDescent="0.25">
      <c r="B22" s="1">
        <f t="shared" si="5"/>
        <v>1.2</v>
      </c>
      <c r="C22" s="1">
        <f t="shared" si="6"/>
        <v>108.90179359135097</v>
      </c>
      <c r="D22" s="1">
        <f t="shared" si="2"/>
        <v>47.683414967268455</v>
      </c>
      <c r="E22" s="1">
        <f t="shared" si="7"/>
        <v>47.683414967268455</v>
      </c>
      <c r="F22" s="1">
        <f t="shared" si="3"/>
        <v>-2.7225448397837742</v>
      </c>
      <c r="G22" s="1"/>
      <c r="H22">
        <f t="shared" si="8"/>
        <v>0</v>
      </c>
      <c r="I22" s="1">
        <f t="shared" si="4"/>
        <v>1.2</v>
      </c>
    </row>
    <row r="23" spans="2:9" x14ac:dyDescent="0.25">
      <c r="B23" s="1">
        <f t="shared" si="5"/>
        <v>1.3</v>
      </c>
      <c r="C23" s="1">
        <f t="shared" si="6"/>
        <v>113.67013508807781</v>
      </c>
      <c r="D23" s="1">
        <f t="shared" si="2"/>
        <v>47.411160483290075</v>
      </c>
      <c r="E23" s="1">
        <f t="shared" si="7"/>
        <v>47.411160483290075</v>
      </c>
      <c r="F23" s="1">
        <f t="shared" si="3"/>
        <v>-2.8417533772019454</v>
      </c>
      <c r="G23" s="1"/>
      <c r="H23">
        <f t="shared" si="8"/>
        <v>0</v>
      </c>
      <c r="I23" s="1">
        <f t="shared" si="4"/>
        <v>1.3</v>
      </c>
    </row>
    <row r="24" spans="2:9" x14ac:dyDescent="0.25">
      <c r="B24" s="1">
        <f t="shared" si="5"/>
        <v>1.4000000000000001</v>
      </c>
      <c r="C24" s="1">
        <f t="shared" si="6"/>
        <v>118.41125113640682</v>
      </c>
      <c r="D24" s="1">
        <f t="shared" si="2"/>
        <v>47.126985145569883</v>
      </c>
      <c r="E24" s="1">
        <f t="shared" si="7"/>
        <v>47.126985145569883</v>
      </c>
      <c r="F24" s="1">
        <f t="shared" si="3"/>
        <v>-2.9602812784101706</v>
      </c>
      <c r="G24" s="1"/>
      <c r="H24">
        <f t="shared" si="8"/>
        <v>0</v>
      </c>
      <c r="I24" s="1">
        <f t="shared" si="4"/>
        <v>1.4000000000000001</v>
      </c>
    </row>
    <row r="25" spans="2:9" x14ac:dyDescent="0.25">
      <c r="B25" s="1">
        <f t="shared" si="5"/>
        <v>1.5000000000000002</v>
      </c>
      <c r="C25" s="1">
        <f t="shared" si="6"/>
        <v>123.12394965096381</v>
      </c>
      <c r="D25" s="1">
        <f t="shared" si="2"/>
        <v>46.830957017728863</v>
      </c>
      <c r="E25" s="1">
        <f t="shared" si="7"/>
        <v>46.830957017728863</v>
      </c>
      <c r="F25" s="1">
        <f t="shared" si="3"/>
        <v>-3.0780987412740952</v>
      </c>
      <c r="G25" s="1"/>
      <c r="H25">
        <f t="shared" si="8"/>
        <v>0</v>
      </c>
      <c r="I25" s="1">
        <f t="shared" si="4"/>
        <v>1.5000000000000002</v>
      </c>
    </row>
    <row r="26" spans="2:9" x14ac:dyDescent="0.25">
      <c r="B26" s="1">
        <f t="shared" si="5"/>
        <v>1.6000000000000003</v>
      </c>
      <c r="C26" s="1">
        <f t="shared" si="6"/>
        <v>127.80704535273669</v>
      </c>
      <c r="D26" s="1">
        <f t="shared" si="2"/>
        <v>46.523147143601456</v>
      </c>
      <c r="E26" s="1">
        <f t="shared" si="7"/>
        <v>46.523147143601456</v>
      </c>
      <c r="F26" s="1">
        <f t="shared" si="3"/>
        <v>-3.1951761338184177</v>
      </c>
      <c r="G26" s="1"/>
      <c r="H26">
        <f t="shared" si="8"/>
        <v>0</v>
      </c>
      <c r="I26" s="1">
        <f t="shared" si="4"/>
        <v>1.6000000000000003</v>
      </c>
    </row>
    <row r="27" spans="2:9" x14ac:dyDescent="0.25">
      <c r="B27" s="1">
        <f t="shared" si="5"/>
        <v>1.7000000000000004</v>
      </c>
      <c r="C27" s="1">
        <f t="shared" si="6"/>
        <v>132.45936006709684</v>
      </c>
      <c r="D27" s="1">
        <f t="shared" si="2"/>
        <v>46.203629530219615</v>
      </c>
      <c r="E27" s="1">
        <f t="shared" si="7"/>
        <v>46.203629530219615</v>
      </c>
      <c r="F27" s="1">
        <f t="shared" si="3"/>
        <v>-3.311484001677421</v>
      </c>
      <c r="G27" s="1"/>
      <c r="H27">
        <f t="shared" si="8"/>
        <v>0</v>
      </c>
      <c r="I27" s="1">
        <f t="shared" si="4"/>
        <v>1.7000000000000004</v>
      </c>
    </row>
    <row r="28" spans="2:9" x14ac:dyDescent="0.25">
      <c r="B28" s="1">
        <f t="shared" si="5"/>
        <v>1.8000000000000005</v>
      </c>
      <c r="C28" s="1">
        <f t="shared" si="6"/>
        <v>137.07972302011879</v>
      </c>
      <c r="D28" s="1">
        <f t="shared" si="2"/>
        <v>45.872481130051874</v>
      </c>
      <c r="E28" s="1">
        <f t="shared" si="7"/>
        <v>45.872481130051874</v>
      </c>
      <c r="F28" s="1">
        <f t="shared" si="3"/>
        <v>-3.4269930755029701</v>
      </c>
      <c r="G28" s="1"/>
      <c r="H28">
        <f t="shared" si="8"/>
        <v>0</v>
      </c>
      <c r="I28" s="1">
        <f t="shared" si="4"/>
        <v>1.8000000000000005</v>
      </c>
    </row>
    <row r="29" spans="2:9" x14ac:dyDescent="0.25">
      <c r="B29" s="1">
        <f t="shared" si="5"/>
        <v>1.9000000000000006</v>
      </c>
      <c r="C29" s="1">
        <f t="shared" si="6"/>
        <v>141.66697113312398</v>
      </c>
      <c r="D29" s="1">
        <f t="shared" si="2"/>
        <v>45.529781822501576</v>
      </c>
      <c r="E29" s="1">
        <f t="shared" si="7"/>
        <v>45.529781822501576</v>
      </c>
      <c r="F29" s="1">
        <f t="shared" si="3"/>
        <v>-3.5416742783280997</v>
      </c>
      <c r="G29" s="1"/>
      <c r="H29">
        <f t="shared" si="8"/>
        <v>0</v>
      </c>
      <c r="I29" s="1">
        <f t="shared" si="4"/>
        <v>1.9000000000000006</v>
      </c>
    </row>
    <row r="30" spans="2:9" x14ac:dyDescent="0.25">
      <c r="B30" s="1">
        <f t="shared" si="5"/>
        <v>2.0000000000000004</v>
      </c>
      <c r="C30" s="1">
        <f t="shared" si="6"/>
        <v>146.21994931537415</v>
      </c>
      <c r="D30" s="1">
        <f t="shared" si="2"/>
        <v>45.175614394668763</v>
      </c>
      <c r="E30" s="1">
        <f t="shared" si="7"/>
        <v>45.175614394668763</v>
      </c>
      <c r="F30" s="1">
        <f t="shared" si="3"/>
        <v>-3.6554987328843538</v>
      </c>
      <c r="G30" s="1"/>
      <c r="H30">
        <f t="shared" si="8"/>
        <v>0</v>
      </c>
      <c r="I30" s="1">
        <f t="shared" si="4"/>
        <v>2.0000000000000004</v>
      </c>
    </row>
    <row r="31" spans="2:9" x14ac:dyDescent="0.25">
      <c r="B31" s="1">
        <f t="shared" si="5"/>
        <v>2.1000000000000005</v>
      </c>
      <c r="C31" s="1">
        <f t="shared" si="6"/>
        <v>150.73751075484103</v>
      </c>
      <c r="D31" s="1">
        <f t="shared" si="2"/>
        <v>44.810064521380326</v>
      </c>
      <c r="E31" s="1">
        <f t="shared" si="7"/>
        <v>44.810064521380326</v>
      </c>
      <c r="F31" s="1">
        <f t="shared" si="3"/>
        <v>-3.768437768871026</v>
      </c>
      <c r="G31" s="1"/>
      <c r="H31">
        <f t="shared" si="8"/>
        <v>0</v>
      </c>
      <c r="I31" s="1">
        <f t="shared" si="4"/>
        <v>2.1000000000000005</v>
      </c>
    </row>
    <row r="32" spans="2:9" x14ac:dyDescent="0.25">
      <c r="B32" s="1">
        <f t="shared" si="5"/>
        <v>2.2000000000000006</v>
      </c>
      <c r="C32" s="1">
        <f t="shared" si="6"/>
        <v>155.21851720697907</v>
      </c>
      <c r="D32" s="1">
        <f t="shared" si="2"/>
        <v>44.433220744493227</v>
      </c>
      <c r="E32" s="1">
        <f t="shared" si="7"/>
        <v>44.433220744493227</v>
      </c>
      <c r="F32" s="1">
        <f t="shared" si="3"/>
        <v>-3.8804629301744771</v>
      </c>
      <c r="G32" s="1"/>
      <c r="H32">
        <f t="shared" si="8"/>
        <v>0</v>
      </c>
      <c r="I32" s="1">
        <f t="shared" si="4"/>
        <v>2.2000000000000006</v>
      </c>
    </row>
    <row r="33" spans="2:9" x14ac:dyDescent="0.25">
      <c r="B33" s="1">
        <f t="shared" si="5"/>
        <v>2.3000000000000007</v>
      </c>
      <c r="C33" s="1">
        <f t="shared" si="6"/>
        <v>159.6618392814284</v>
      </c>
      <c r="D33" s="1">
        <f t="shared" si="2"/>
        <v>44.045174451475781</v>
      </c>
      <c r="E33" s="1">
        <f t="shared" si="7"/>
        <v>44.045174451475781</v>
      </c>
      <c r="F33" s="1">
        <f t="shared" si="3"/>
        <v>-3.99154598203571</v>
      </c>
      <c r="G33" s="1"/>
      <c r="H33">
        <f t="shared" si="8"/>
        <v>0</v>
      </c>
      <c r="I33" s="1">
        <f t="shared" si="4"/>
        <v>2.3000000000000007</v>
      </c>
    </row>
    <row r="34" spans="2:9" x14ac:dyDescent="0.25">
      <c r="B34" s="1">
        <f t="shared" si="5"/>
        <v>2.4000000000000008</v>
      </c>
      <c r="C34" s="1">
        <f t="shared" si="6"/>
        <v>164.06635672657598</v>
      </c>
      <c r="D34" s="1">
        <f t="shared" si="2"/>
        <v>43.646019853272207</v>
      </c>
      <c r="E34" s="1">
        <f t="shared" si="7"/>
        <v>43.646019853272207</v>
      </c>
      <c r="F34" s="1">
        <f t="shared" si="3"/>
        <v>-4.1016589181643992</v>
      </c>
      <c r="G34" s="1"/>
      <c r="H34">
        <f t="shared" si="8"/>
        <v>0</v>
      </c>
      <c r="I34" s="1">
        <f t="shared" si="4"/>
        <v>2.4000000000000008</v>
      </c>
    </row>
    <row r="35" spans="2:9" x14ac:dyDescent="0.25">
      <c r="B35" s="1">
        <f t="shared" si="5"/>
        <v>2.5000000000000009</v>
      </c>
      <c r="C35" s="1">
        <f t="shared" si="6"/>
        <v>168.4309587119032</v>
      </c>
      <c r="D35" s="1">
        <f t="shared" si="2"/>
        <v>43.235853961455767</v>
      </c>
      <c r="E35" s="1">
        <f t="shared" si="7"/>
        <v>43.235853961455767</v>
      </c>
      <c r="F35" s="1">
        <f t="shared" si="3"/>
        <v>-4.2107739677975804</v>
      </c>
      <c r="G35" s="1"/>
      <c r="H35">
        <f t="shared" si="8"/>
        <v>0</v>
      </c>
      <c r="I35" s="1">
        <f t="shared" si="4"/>
        <v>2.5000000000000009</v>
      </c>
    </row>
    <row r="36" spans="2:9" x14ac:dyDescent="0.25">
      <c r="B36" s="1">
        <f t="shared" si="5"/>
        <v>2.600000000000001</v>
      </c>
      <c r="C36" s="1">
        <f t="shared" si="6"/>
        <v>172.75454410804878</v>
      </c>
      <c r="D36" s="1">
        <f t="shared" si="2"/>
        <v>42.814776564676009</v>
      </c>
      <c r="E36" s="1">
        <f t="shared" si="7"/>
        <v>42.814776564676009</v>
      </c>
      <c r="F36" s="1">
        <f t="shared" si="3"/>
        <v>-4.3188636027012199</v>
      </c>
      <c r="G36" s="1"/>
      <c r="H36">
        <f t="shared" si="8"/>
        <v>0</v>
      </c>
      <c r="I36" s="1">
        <f t="shared" si="4"/>
        <v>2.600000000000001</v>
      </c>
    </row>
    <row r="37" spans="2:9" x14ac:dyDescent="0.25">
      <c r="B37" s="1">
        <f t="shared" si="5"/>
        <v>2.7000000000000011</v>
      </c>
      <c r="C37" s="1">
        <f t="shared" si="6"/>
        <v>177.03602176451636</v>
      </c>
      <c r="D37" s="1">
        <f t="shared" si="2"/>
        <v>42.382890204405889</v>
      </c>
      <c r="E37" s="1">
        <f t="shared" si="7"/>
        <v>42.382890204405889</v>
      </c>
      <c r="F37" s="1">
        <f t="shared" si="3"/>
        <v>-4.4259005441129089</v>
      </c>
      <c r="G37" s="1"/>
      <c r="H37">
        <f t="shared" si="8"/>
        <v>0</v>
      </c>
      <c r="I37" s="1">
        <f t="shared" si="4"/>
        <v>2.7000000000000011</v>
      </c>
    </row>
    <row r="38" spans="2:9" x14ac:dyDescent="0.25">
      <c r="B38" s="1">
        <f t="shared" si="5"/>
        <v>2.8000000000000012</v>
      </c>
      <c r="C38" s="1">
        <f t="shared" si="6"/>
        <v>181.27431078495695</v>
      </c>
      <c r="D38" s="1">
        <f t="shared" si="2"/>
        <v>41.940300149994599</v>
      </c>
      <c r="E38" s="1">
        <f t="shared" si="7"/>
        <v>41.940300149994599</v>
      </c>
      <c r="F38" s="1">
        <f t="shared" si="3"/>
        <v>-4.5318577696239242</v>
      </c>
      <c r="G38" s="1"/>
      <c r="H38">
        <f t="shared" si="8"/>
        <v>0</v>
      </c>
      <c r="I38" s="1">
        <f t="shared" si="4"/>
        <v>2.8000000000000012</v>
      </c>
    </row>
    <row r="39" spans="2:9" x14ac:dyDescent="0.25">
      <c r="B39" s="1">
        <f t="shared" si="5"/>
        <v>2.9000000000000012</v>
      </c>
      <c r="C39" s="1">
        <f t="shared" si="6"/>
        <v>185.46834079995642</v>
      </c>
      <c r="D39" s="1">
        <f t="shared" si="2"/>
        <v>41.487114373032206</v>
      </c>
      <c r="E39" s="1">
        <f t="shared" si="7"/>
        <v>41.487114373032206</v>
      </c>
      <c r="F39" s="1">
        <f t="shared" si="3"/>
        <v>-4.6367085199989111</v>
      </c>
      <c r="G39" s="1"/>
      <c r="H39">
        <f t="shared" si="8"/>
        <v>0</v>
      </c>
      <c r="I39" s="1">
        <f t="shared" si="4"/>
        <v>2.9000000000000012</v>
      </c>
    </row>
    <row r="40" spans="2:9" x14ac:dyDescent="0.25">
      <c r="B40" s="1">
        <f t="shared" si="5"/>
        <v>3.0000000000000013</v>
      </c>
      <c r="C40" s="1">
        <f t="shared" si="6"/>
        <v>189.61705223725966</v>
      </c>
      <c r="D40" s="1">
        <f t="shared" si="2"/>
        <v>41.023443521032313</v>
      </c>
      <c r="E40" s="1">
        <f t="shared" si="7"/>
        <v>41.023443521032313</v>
      </c>
      <c r="F40" s="1">
        <f t="shared" si="3"/>
        <v>-4.7404263059314919</v>
      </c>
      <c r="G40" s="1"/>
      <c r="H40">
        <f t="shared" si="8"/>
        <v>0</v>
      </c>
      <c r="I40" s="1">
        <f t="shared" si="4"/>
        <v>3.0000000000000013</v>
      </c>
    </row>
    <row r="41" spans="2:9" x14ac:dyDescent="0.25">
      <c r="B41" s="1">
        <f t="shared" si="5"/>
        <v>3.1000000000000014</v>
      </c>
      <c r="C41" s="1">
        <f t="shared" si="6"/>
        <v>193.7193965893629</v>
      </c>
      <c r="D41" s="1">
        <f t="shared" si="2"/>
        <v>40.549400890439166</v>
      </c>
      <c r="E41" s="1">
        <f t="shared" si="7"/>
        <v>40.549400890439166</v>
      </c>
      <c r="F41" s="1">
        <f t="shared" si="3"/>
        <v>-4.8429849147340729</v>
      </c>
      <c r="G41" s="1"/>
      <c r="H41">
        <f t="shared" si="8"/>
        <v>0</v>
      </c>
      <c r="I41" s="1">
        <f t="shared" si="4"/>
        <v>3.1000000000000014</v>
      </c>
    </row>
    <row r="42" spans="2:9" x14ac:dyDescent="0.25">
      <c r="B42" s="1">
        <f t="shared" si="5"/>
        <v>3.2000000000000015</v>
      </c>
      <c r="C42" s="1">
        <f t="shared" si="6"/>
        <v>197.77433667840683</v>
      </c>
      <c r="D42" s="1">
        <f t="shared" si="2"/>
        <v>40.065102398965756</v>
      </c>
      <c r="E42" s="1">
        <f t="shared" si="7"/>
        <v>40.065102398965756</v>
      </c>
      <c r="F42" s="1">
        <f t="shared" si="3"/>
        <v>-4.9443584169601706</v>
      </c>
      <c r="G42" s="1"/>
      <c r="H42">
        <f t="shared" si="8"/>
        <v>0</v>
      </c>
      <c r="I42" s="1">
        <f t="shared" si="4"/>
        <v>3.2000000000000015</v>
      </c>
    </row>
    <row r="43" spans="2:9" x14ac:dyDescent="0.25">
      <c r="B43" s="1">
        <f t="shared" si="5"/>
        <v>3.3000000000000016</v>
      </c>
      <c r="C43" s="1">
        <f t="shared" si="6"/>
        <v>201.78084691830341</v>
      </c>
      <c r="D43" s="1">
        <f t="shared" si="2"/>
        <v>39.570666557269739</v>
      </c>
      <c r="E43" s="1">
        <f t="shared" si="7"/>
        <v>39.570666557269739</v>
      </c>
      <c r="F43" s="1">
        <f t="shared" si="3"/>
        <v>-5.0445211729575856</v>
      </c>
      <c r="G43" s="1"/>
      <c r="H43">
        <f t="shared" si="8"/>
        <v>0</v>
      </c>
      <c r="I43" s="1">
        <f t="shared" si="4"/>
        <v>3.3000000000000016</v>
      </c>
    </row>
    <row r="44" spans="2:9" x14ac:dyDescent="0.25">
      <c r="B44" s="1">
        <f t="shared" si="5"/>
        <v>3.4000000000000017</v>
      </c>
      <c r="C44" s="1">
        <f t="shared" si="6"/>
        <v>205.73791357403039</v>
      </c>
      <c r="D44" s="1">
        <f t="shared" si="2"/>
        <v>39.066214439973983</v>
      </c>
      <c r="E44" s="1">
        <f t="shared" si="7"/>
        <v>39.066214439973983</v>
      </c>
      <c r="F44" s="1">
        <f t="shared" si="3"/>
        <v>-5.1434478393507597</v>
      </c>
      <c r="G44" s="1"/>
      <c r="H44">
        <f t="shared" si="8"/>
        <v>0</v>
      </c>
      <c r="I44" s="1">
        <f t="shared" si="4"/>
        <v>3.4000000000000017</v>
      </c>
    </row>
    <row r="45" spans="2:9" x14ac:dyDescent="0.25">
      <c r="B45" s="1">
        <f t="shared" si="5"/>
        <v>3.5000000000000018</v>
      </c>
      <c r="C45" s="1">
        <f t="shared" si="6"/>
        <v>209.6445350180278</v>
      </c>
      <c r="D45" s="1">
        <f t="shared" si="2"/>
        <v>38.55186965603891</v>
      </c>
      <c r="E45" s="1">
        <f t="shared" si="7"/>
        <v>38.55186965603891</v>
      </c>
      <c r="F45" s="1">
        <f t="shared" si="3"/>
        <v>-5.2411133754506949</v>
      </c>
      <c r="G45" s="1"/>
      <c r="H45">
        <f t="shared" si="8"/>
        <v>0</v>
      </c>
      <c r="I45" s="1">
        <f t="shared" si="4"/>
        <v>3.5000000000000018</v>
      </c>
    </row>
    <row r="46" spans="2:9" x14ac:dyDescent="0.25">
      <c r="B46" s="1">
        <f t="shared" si="5"/>
        <v>3.6000000000000019</v>
      </c>
      <c r="C46" s="1">
        <f t="shared" si="6"/>
        <v>213.49972198363167</v>
      </c>
      <c r="D46" s="1">
        <f t="shared" si="2"/>
        <v>38.027758318493838</v>
      </c>
      <c r="E46" s="1">
        <f t="shared" si="7"/>
        <v>38.027758318493838</v>
      </c>
      <c r="F46" s="1">
        <f t="shared" si="3"/>
        <v>-5.3374930495907922</v>
      </c>
      <c r="G46" s="1"/>
      <c r="H46">
        <f t="shared" si="8"/>
        <v>0</v>
      </c>
      <c r="I46" s="1">
        <f t="shared" si="4"/>
        <v>3.6000000000000019</v>
      </c>
    </row>
    <row r="47" spans="2:9" x14ac:dyDescent="0.25">
      <c r="B47" s="1">
        <f t="shared" si="5"/>
        <v>3.700000000000002</v>
      </c>
      <c r="C47" s="1">
        <f t="shared" si="6"/>
        <v>217.30249781548105</v>
      </c>
      <c r="D47" s="1">
        <f t="shared" si="2"/>
        <v>37.494009013534757</v>
      </c>
      <c r="E47" s="1">
        <f t="shared" si="7"/>
        <v>37.494009013534757</v>
      </c>
      <c r="F47" s="1">
        <f t="shared" si="3"/>
        <v>-5.4325624453870267</v>
      </c>
      <c r="G47" s="1"/>
      <c r="H47">
        <f t="shared" si="8"/>
        <v>0</v>
      </c>
      <c r="I47" s="1">
        <f t="shared" si="4"/>
        <v>3.700000000000002</v>
      </c>
    </row>
    <row r="48" spans="2:9" x14ac:dyDescent="0.25">
      <c r="B48" s="1">
        <f t="shared" si="5"/>
        <v>3.800000000000002</v>
      </c>
      <c r="C48" s="1">
        <f t="shared" si="6"/>
        <v>221.05189871683453</v>
      </c>
      <c r="D48" s="1">
        <f t="shared" si="2"/>
        <v>36.950752768996054</v>
      </c>
      <c r="E48" s="1">
        <f t="shared" si="7"/>
        <v>36.950752768996054</v>
      </c>
      <c r="F48" s="1">
        <f t="shared" si="3"/>
        <v>-5.5262974679208634</v>
      </c>
      <c r="G48" s="1"/>
      <c r="H48">
        <f t="shared" si="8"/>
        <v>0</v>
      </c>
      <c r="I48" s="1">
        <f t="shared" si="4"/>
        <v>3.800000000000002</v>
      </c>
    </row>
    <row r="49" spans="2:9" x14ac:dyDescent="0.25">
      <c r="B49" s="1">
        <f t="shared" si="5"/>
        <v>3.9000000000000021</v>
      </c>
      <c r="C49" s="1">
        <f t="shared" si="6"/>
        <v>224.74697399373414</v>
      </c>
      <c r="D49" s="1">
        <f t="shared" si="2"/>
        <v>36.398123022203968</v>
      </c>
      <c r="E49" s="1">
        <f t="shared" si="7"/>
        <v>36.398123022203968</v>
      </c>
      <c r="F49" s="1">
        <f t="shared" si="3"/>
        <v>-5.6186743498433538</v>
      </c>
      <c r="G49" s="1"/>
      <c r="H49">
        <f t="shared" si="8"/>
        <v>0</v>
      </c>
      <c r="I49" s="1">
        <f t="shared" si="4"/>
        <v>3.9000000000000021</v>
      </c>
    </row>
    <row r="50" spans="2:9" x14ac:dyDescent="0.25">
      <c r="B50" s="1">
        <f t="shared" si="5"/>
        <v>4.0000000000000018</v>
      </c>
      <c r="C50" s="1">
        <f t="shared" si="6"/>
        <v>228.38678629595455</v>
      </c>
      <c r="D50" s="1">
        <f t="shared" si="2"/>
        <v>35.836255587219632</v>
      </c>
      <c r="E50" s="1">
        <f t="shared" si="7"/>
        <v>35.836255587219632</v>
      </c>
      <c r="F50" s="1">
        <f t="shared" si="3"/>
        <v>-5.7096696573988641</v>
      </c>
      <c r="G50" s="1"/>
      <c r="H50">
        <f t="shared" si="8"/>
        <v>0</v>
      </c>
      <c r="I50" s="1">
        <f t="shared" si="4"/>
        <v>4.0000000000000018</v>
      </c>
    </row>
    <row r="51" spans="2:9" x14ac:dyDescent="0.25">
      <c r="B51" s="1">
        <f t="shared" si="5"/>
        <v>4.1000000000000014</v>
      </c>
      <c r="C51" s="1">
        <f t="shared" si="6"/>
        <v>231.97041185467651</v>
      </c>
      <c r="D51" s="1">
        <f t="shared" si="2"/>
        <v>35.265288621479748</v>
      </c>
      <c r="E51" s="1">
        <f t="shared" si="7"/>
        <v>35.265288621479748</v>
      </c>
      <c r="F51" s="1">
        <f t="shared" si="3"/>
        <v>-5.7992602963669135</v>
      </c>
      <c r="G51" s="1"/>
      <c r="H51">
        <f t="shared" si="8"/>
        <v>0</v>
      </c>
      <c r="I51" s="1">
        <f t="shared" si="4"/>
        <v>4.1000000000000014</v>
      </c>
    </row>
    <row r="52" spans="2:9" x14ac:dyDescent="0.25">
      <c r="B52" s="1">
        <f t="shared" si="5"/>
        <v>4.2000000000000011</v>
      </c>
      <c r="C52" s="1">
        <f t="shared" si="6"/>
        <v>235.4969407168245</v>
      </c>
      <c r="D52" s="1">
        <f t="shared" si="2"/>
        <v>34.685362591843059</v>
      </c>
      <c r="E52" s="1">
        <f t="shared" si="7"/>
        <v>34.685362591843059</v>
      </c>
      <c r="F52" s="1">
        <f t="shared" si="3"/>
        <v>-5.8874235179206131</v>
      </c>
      <c r="G52" s="1"/>
      <c r="H52">
        <f t="shared" si="8"/>
        <v>0</v>
      </c>
      <c r="I52" s="1">
        <f t="shared" si="4"/>
        <v>4.2000000000000011</v>
      </c>
    </row>
    <row r="53" spans="2:9" x14ac:dyDescent="0.25">
      <c r="B53" s="1">
        <f t="shared" si="5"/>
        <v>4.3000000000000007</v>
      </c>
      <c r="C53" s="1">
        <f t="shared" si="6"/>
        <v>238.9654769760088</v>
      </c>
      <c r="D53" s="1">
        <f t="shared" si="2"/>
        <v>34.096620240050996</v>
      </c>
      <c r="E53" s="1">
        <f t="shared" si="7"/>
        <v>34.096620240050996</v>
      </c>
      <c r="F53" s="1">
        <f t="shared" si="3"/>
        <v>-5.97413692440022</v>
      </c>
      <c r="G53" s="1"/>
      <c r="H53">
        <f t="shared" si="8"/>
        <v>0</v>
      </c>
      <c r="I53" s="1">
        <f t="shared" si="4"/>
        <v>4.3000000000000007</v>
      </c>
    </row>
    <row r="54" spans="2:9" x14ac:dyDescent="0.25">
      <c r="B54" s="1">
        <f t="shared" si="5"/>
        <v>4.4000000000000004</v>
      </c>
      <c r="C54" s="1">
        <f t="shared" si="6"/>
        <v>242.37513900001389</v>
      </c>
      <c r="D54" s="1">
        <f t="shared" si="2"/>
        <v>33.499206547610974</v>
      </c>
      <c r="E54" s="1">
        <f t="shared" si="7"/>
        <v>33.499206547610974</v>
      </c>
      <c r="F54" s="1">
        <f t="shared" si="3"/>
        <v>-6.0593784750003472</v>
      </c>
      <c r="G54" s="1"/>
      <c r="H54">
        <f t="shared" si="8"/>
        <v>0</v>
      </c>
      <c r="I54" s="1">
        <f t="shared" si="4"/>
        <v>4.4000000000000004</v>
      </c>
    </row>
    <row r="55" spans="2:9" x14ac:dyDescent="0.25">
      <c r="B55" s="1">
        <f t="shared" si="5"/>
        <v>4.5</v>
      </c>
      <c r="C55" s="1">
        <f t="shared" si="6"/>
        <v>245.72505965477498</v>
      </c>
      <c r="D55" s="1">
        <f t="shared" si="2"/>
        <v>32.893268700110937</v>
      </c>
      <c r="E55" s="1">
        <f t="shared" si="7"/>
        <v>32.893268700110937</v>
      </c>
      <c r="F55" s="1">
        <f t="shared" si="3"/>
        <v>-6.1431264913693751</v>
      </c>
      <c r="G55" s="1"/>
      <c r="H55">
        <f t="shared" si="8"/>
        <v>0</v>
      </c>
      <c r="I55" s="1">
        <f t="shared" si="4"/>
        <v>4.5</v>
      </c>
    </row>
    <row r="56" spans="2:9" x14ac:dyDescent="0.25">
      <c r="B56" s="1">
        <f t="shared" si="5"/>
        <v>4.5999999999999996</v>
      </c>
      <c r="C56" s="1">
        <f t="shared" si="6"/>
        <v>249.01438652478606</v>
      </c>
      <c r="D56" s="1">
        <f t="shared" si="2"/>
        <v>32.278956050974003</v>
      </c>
      <c r="E56" s="1">
        <f t="shared" si="7"/>
        <v>32.278956050974003</v>
      </c>
      <c r="F56" s="1">
        <f t="shared" si="3"/>
        <v>-6.2253596631196517</v>
      </c>
      <c r="G56" s="1"/>
      <c r="H56">
        <f t="shared" si="8"/>
        <v>0</v>
      </c>
      <c r="I56" s="1">
        <f t="shared" si="4"/>
        <v>4.5999999999999996</v>
      </c>
    </row>
    <row r="57" spans="2:9" x14ac:dyDescent="0.25">
      <c r="B57" s="1">
        <f t="shared" si="5"/>
        <v>4.6999999999999993</v>
      </c>
      <c r="C57" s="1">
        <f t="shared" si="6"/>
        <v>252.24228212988345</v>
      </c>
      <c r="D57" s="1">
        <f t="shared" si="2"/>
        <v>31.656420084662038</v>
      </c>
      <c r="E57" s="1">
        <f t="shared" si="7"/>
        <v>31.656420084662038</v>
      </c>
      <c r="F57" s="1">
        <f t="shared" si="3"/>
        <v>-6.3060570532470868</v>
      </c>
      <c r="G57" s="1"/>
      <c r="H57">
        <f t="shared" si="8"/>
        <v>0</v>
      </c>
      <c r="I57" s="1">
        <f t="shared" si="4"/>
        <v>4.6999999999999993</v>
      </c>
    </row>
    <row r="58" spans="2:9" x14ac:dyDescent="0.25">
      <c r="B58" s="1">
        <f t="shared" si="5"/>
        <v>4.7999999999999989</v>
      </c>
      <c r="C58" s="1">
        <f t="shared" si="6"/>
        <v>255.40792413834964</v>
      </c>
      <c r="D58" s="1">
        <f t="shared" si="2"/>
        <v>31.02581437933733</v>
      </c>
      <c r="E58" s="1">
        <f t="shared" si="7"/>
        <v>31.02581437933733</v>
      </c>
      <c r="F58" s="1">
        <f t="shared" si="3"/>
        <v>-6.3851981034587411</v>
      </c>
      <c r="G58" s="1"/>
      <c r="H58">
        <f t="shared" si="8"/>
        <v>0</v>
      </c>
      <c r="I58" s="1">
        <f t="shared" si="4"/>
        <v>4.7999999999999989</v>
      </c>
    </row>
    <row r="59" spans="2:9" x14ac:dyDescent="0.25">
      <c r="B59" s="1">
        <f t="shared" si="5"/>
        <v>4.8999999999999986</v>
      </c>
      <c r="C59" s="1">
        <f t="shared" si="6"/>
        <v>258.51050557628338</v>
      </c>
      <c r="D59" s="1">
        <f t="shared" si="2"/>
        <v>30.387294568991457</v>
      </c>
      <c r="E59" s="1">
        <f t="shared" si="7"/>
        <v>30.387294568991457</v>
      </c>
      <c r="F59" s="1">
        <f t="shared" si="3"/>
        <v>-6.4627626394070852</v>
      </c>
      <c r="G59" s="1"/>
      <c r="H59">
        <f t="shared" si="8"/>
        <v>0</v>
      </c>
      <c r="I59" s="1">
        <f t="shared" si="4"/>
        <v>4.8999999999999986</v>
      </c>
    </row>
    <row r="60" spans="2:9" x14ac:dyDescent="0.25">
      <c r="B60" s="1">
        <f t="shared" si="5"/>
        <v>4.9999999999999982</v>
      </c>
      <c r="C60" s="1">
        <f t="shared" si="6"/>
        <v>261.54923503318253</v>
      </c>
      <c r="D60" s="1">
        <f t="shared" si="2"/>
        <v>29.741018305050748</v>
      </c>
      <c r="E60" s="1">
        <f t="shared" si="7"/>
        <v>29.741018305050748</v>
      </c>
      <c r="F60" s="1">
        <f t="shared" si="3"/>
        <v>-6.5387308758295637</v>
      </c>
      <c r="G60" s="1"/>
      <c r="H60">
        <f t="shared" si="8"/>
        <v>0</v>
      </c>
      <c r="I60" s="1">
        <f t="shared" si="4"/>
        <v>4.9999999999999982</v>
      </c>
    </row>
    <row r="61" spans="2:9" x14ac:dyDescent="0.25">
      <c r="B61" s="1">
        <f t="shared" si="5"/>
        <v>5.0999999999999979</v>
      </c>
      <c r="C61" s="1">
        <f t="shared" si="6"/>
        <v>264.52333686368758</v>
      </c>
      <c r="D61" s="1">
        <f t="shared" si="2"/>
        <v>29.087145217467793</v>
      </c>
      <c r="E61" s="1">
        <f t="shared" si="7"/>
        <v>29.087145217467793</v>
      </c>
      <c r="F61" s="1">
        <f t="shared" si="3"/>
        <v>-6.6130834215921901</v>
      </c>
      <c r="G61" s="1"/>
      <c r="H61">
        <f t="shared" si="8"/>
        <v>0</v>
      </c>
      <c r="I61" s="1">
        <f t="shared" si="4"/>
        <v>5.0999999999999979</v>
      </c>
    </row>
    <row r="62" spans="2:9" x14ac:dyDescent="0.25">
      <c r="B62" s="1">
        <f t="shared" si="5"/>
        <v>5.1999999999999975</v>
      </c>
      <c r="C62" s="1">
        <f t="shared" si="6"/>
        <v>267.43205138543436</v>
      </c>
      <c r="D62" s="1">
        <f t="shared" si="2"/>
        <v>28.425836875308573</v>
      </c>
      <c r="E62" s="1">
        <f t="shared" si="7"/>
        <v>28.425836875308573</v>
      </c>
      <c r="F62" s="1">
        <f t="shared" si="3"/>
        <v>-6.6858012846358594</v>
      </c>
      <c r="G62" s="1"/>
      <c r="H62">
        <f t="shared" si="8"/>
        <v>0</v>
      </c>
      <c r="I62" s="1">
        <f t="shared" si="4"/>
        <v>5.1999999999999975</v>
      </c>
    </row>
    <row r="63" spans="2:9" x14ac:dyDescent="0.25">
      <c r="B63" s="1">
        <f t="shared" si="5"/>
        <v>5.2999999999999972</v>
      </c>
      <c r="C63" s="1">
        <f t="shared" si="6"/>
        <v>270.27463507296522</v>
      </c>
      <c r="D63" s="1">
        <f t="shared" si="2"/>
        <v>27.757256746844988</v>
      </c>
      <c r="E63" s="1">
        <f t="shared" si="7"/>
        <v>27.757256746844988</v>
      </c>
      <c r="F63" s="1">
        <f t="shared" si="3"/>
        <v>-6.756865876824131</v>
      </c>
      <c r="G63" s="1"/>
      <c r="H63">
        <f t="shared" si="8"/>
        <v>0</v>
      </c>
      <c r="I63" s="1">
        <f t="shared" si="4"/>
        <v>5.2999999999999972</v>
      </c>
    </row>
    <row r="64" spans="2:9" x14ac:dyDescent="0.25">
      <c r="B64" s="1">
        <f t="shared" si="5"/>
        <v>5.3999999999999968</v>
      </c>
      <c r="C64" s="1">
        <f t="shared" si="6"/>
        <v>273.05036074764973</v>
      </c>
      <c r="D64" s="1">
        <f t="shared" si="2"/>
        <v>27.081570159162574</v>
      </c>
      <c r="E64" s="1">
        <f t="shared" si="7"/>
        <v>27.081570159162574</v>
      </c>
      <c r="F64" s="1">
        <f t="shared" si="3"/>
        <v>-6.8262590186912435</v>
      </c>
      <c r="G64" s="1"/>
      <c r="H64">
        <f t="shared" si="8"/>
        <v>0</v>
      </c>
      <c r="I64" s="1">
        <f t="shared" si="4"/>
        <v>5.3999999999999968</v>
      </c>
    </row>
    <row r="65" spans="2:9" x14ac:dyDescent="0.25">
      <c r="B65" s="1">
        <f t="shared" si="5"/>
        <v>5.4999999999999964</v>
      </c>
      <c r="C65" s="1">
        <f t="shared" si="6"/>
        <v>275.75851776356598</v>
      </c>
      <c r="D65" s="1">
        <f t="shared" si="2"/>
        <v>26.398944257293451</v>
      </c>
      <c r="E65" s="1">
        <f t="shared" si="7"/>
        <v>26.398944257293451</v>
      </c>
      <c r="F65" s="1">
        <f t="shared" si="3"/>
        <v>-6.8939629440891501</v>
      </c>
      <c r="G65" s="1"/>
      <c r="H65">
        <f t="shared" si="8"/>
        <v>0</v>
      </c>
      <c r="I65" s="1">
        <f t="shared" si="4"/>
        <v>5.4999999999999964</v>
      </c>
    </row>
    <row r="66" spans="2:9" x14ac:dyDescent="0.25">
      <c r="B66" s="1">
        <f t="shared" si="5"/>
        <v>5.5999999999999961</v>
      </c>
      <c r="C66" s="1">
        <f t="shared" si="6"/>
        <v>278.3984121892953</v>
      </c>
      <c r="D66" s="1">
        <f t="shared" si="2"/>
        <v>25.709547962884535</v>
      </c>
      <c r="E66" s="1">
        <f t="shared" si="7"/>
        <v>25.709547962884535</v>
      </c>
      <c r="F66" s="1">
        <f t="shared" si="3"/>
        <v>-6.959960304732383</v>
      </c>
      <c r="G66" s="1"/>
      <c r="H66">
        <f t="shared" si="8"/>
        <v>0</v>
      </c>
      <c r="I66" s="1">
        <f t="shared" si="4"/>
        <v>5.5999999999999961</v>
      </c>
    </row>
    <row r="67" spans="2:9" x14ac:dyDescent="0.25">
      <c r="B67" s="1">
        <f t="shared" si="5"/>
        <v>5.6999999999999957</v>
      </c>
      <c r="C67" s="1">
        <f t="shared" si="6"/>
        <v>280.96936698558375</v>
      </c>
      <c r="D67" s="1">
        <f t="shared" si="2"/>
        <v>25.013551932411296</v>
      </c>
      <c r="E67" s="1">
        <f t="shared" si="7"/>
        <v>25.013551932411296</v>
      </c>
      <c r="F67" s="1">
        <f t="shared" si="3"/>
        <v>-7.0242341746395942</v>
      </c>
      <c r="G67" s="1"/>
      <c r="H67">
        <f t="shared" si="8"/>
        <v>0</v>
      </c>
      <c r="I67" s="1">
        <f t="shared" si="4"/>
        <v>5.6999999999999957</v>
      </c>
    </row>
    <row r="68" spans="2:9" x14ac:dyDescent="0.25">
      <c r="B68" s="1">
        <f t="shared" si="5"/>
        <v>5.7999999999999954</v>
      </c>
      <c r="C68" s="1">
        <f t="shared" si="6"/>
        <v>283.47072217882487</v>
      </c>
      <c r="D68" s="1">
        <f t="shared" si="2"/>
        <v>24.311128514947338</v>
      </c>
      <c r="E68" s="1">
        <f t="shared" si="7"/>
        <v>24.311128514947338</v>
      </c>
      <c r="F68" s="1">
        <f t="shared" si="3"/>
        <v>-7.086768054470622</v>
      </c>
      <c r="G68" s="1"/>
      <c r="H68">
        <f t="shared" si="8"/>
        <v>0</v>
      </c>
      <c r="I68" s="1">
        <f t="shared" si="4"/>
        <v>5.7999999999999954</v>
      </c>
    </row>
    <row r="69" spans="2:9" x14ac:dyDescent="0.25">
      <c r="B69" s="1">
        <f t="shared" si="5"/>
        <v>5.899999999999995</v>
      </c>
      <c r="C69" s="1">
        <f t="shared" si="6"/>
        <v>285.9018350303196</v>
      </c>
      <c r="D69" s="1">
        <f t="shared" si="2"/>
        <v>23.602451709500276</v>
      </c>
      <c r="E69" s="1">
        <f t="shared" si="7"/>
        <v>23.602451709500276</v>
      </c>
      <c r="F69" s="1">
        <f t="shared" si="3"/>
        <v>-7.1475458757579906</v>
      </c>
      <c r="G69" s="1"/>
      <c r="H69">
        <f t="shared" si="8"/>
        <v>0</v>
      </c>
      <c r="I69" s="1">
        <f t="shared" si="4"/>
        <v>5.899999999999995</v>
      </c>
    </row>
    <row r="70" spans="2:9" x14ac:dyDescent="0.25">
      <c r="B70" s="1">
        <f t="shared" si="5"/>
        <v>5.9999999999999947</v>
      </c>
      <c r="C70" s="1">
        <f t="shared" si="6"/>
        <v>288.26208020126961</v>
      </c>
      <c r="D70" s="1">
        <f t="shared" si="2"/>
        <v>22.887697121924475</v>
      </c>
      <c r="E70" s="1">
        <f t="shared" si="7"/>
        <v>22.887697121924475</v>
      </c>
      <c r="F70" s="1">
        <f t="shared" si="3"/>
        <v>-7.2065520050317406</v>
      </c>
      <c r="G70" s="1"/>
      <c r="H70">
        <f t="shared" si="8"/>
        <v>0</v>
      </c>
      <c r="I70" s="1">
        <f t="shared" si="4"/>
        <v>5.9999999999999947</v>
      </c>
    </row>
    <row r="71" spans="2:9" x14ac:dyDescent="0.25">
      <c r="B71" s="1">
        <f t="shared" si="5"/>
        <v>6.0999999999999943</v>
      </c>
      <c r="C71" s="1">
        <f t="shared" si="6"/>
        <v>290.55084991346206</v>
      </c>
      <c r="D71" s="1">
        <f t="shared" si="2"/>
        <v>22.167041921421301</v>
      </c>
      <c r="E71" s="1">
        <f t="shared" si="7"/>
        <v>22.167041921421301</v>
      </c>
      <c r="F71" s="1">
        <f t="shared" si="3"/>
        <v>-7.2637712478365515</v>
      </c>
      <c r="G71" s="1"/>
      <c r="H71">
        <f t="shared" si="8"/>
        <v>0</v>
      </c>
      <c r="I71" s="1">
        <f t="shared" si="4"/>
        <v>6.0999999999999943</v>
      </c>
    </row>
    <row r="72" spans="2:9" x14ac:dyDescent="0.25">
      <c r="B72" s="1">
        <f t="shared" si="5"/>
        <v>6.199999999999994</v>
      </c>
      <c r="C72" s="1">
        <f t="shared" si="6"/>
        <v>292.76755410560418</v>
      </c>
      <c r="D72" s="1">
        <f t="shared" si="2"/>
        <v>21.440664796637645</v>
      </c>
      <c r="E72" s="1">
        <f t="shared" si="7"/>
        <v>21.440664796637645</v>
      </c>
      <c r="F72" s="1">
        <f t="shared" si="3"/>
        <v>-7.3191888526401048</v>
      </c>
      <c r="G72" s="1"/>
      <c r="H72">
        <f t="shared" si="8"/>
        <v>0</v>
      </c>
      <c r="I72" s="1">
        <f t="shared" si="4"/>
        <v>6.199999999999994</v>
      </c>
    </row>
    <row r="73" spans="2:9" x14ac:dyDescent="0.25">
      <c r="B73" s="1">
        <f t="shared" si="5"/>
        <v>6.2999999999999936</v>
      </c>
      <c r="C73" s="1">
        <f t="shared" si="6"/>
        <v>294.91162058526794</v>
      </c>
      <c r="D73" s="1">
        <f t="shared" si="2"/>
        <v>20.708745911373633</v>
      </c>
      <c r="E73" s="1">
        <f t="shared" si="7"/>
        <v>20.708745911373633</v>
      </c>
      <c r="F73" s="1">
        <f t="shared" si="3"/>
        <v>-7.3727905146316992</v>
      </c>
      <c r="G73" s="1"/>
      <c r="H73">
        <f t="shared" si="8"/>
        <v>0</v>
      </c>
      <c r="I73" s="1">
        <f t="shared" si="4"/>
        <v>6.2999999999999936</v>
      </c>
    </row>
    <row r="74" spans="2:9" x14ac:dyDescent="0.25">
      <c r="B74" s="1">
        <f t="shared" si="5"/>
        <v>6.3999999999999932</v>
      </c>
      <c r="C74" s="1">
        <f t="shared" si="6"/>
        <v>296.98249517640528</v>
      </c>
      <c r="D74" s="1">
        <f t="shared" ref="D74:D137" si="9">E74</f>
        <v>19.971466859910464</v>
      </c>
      <c r="E74" s="1">
        <f t="shared" si="7"/>
        <v>19.971466859910464</v>
      </c>
      <c r="F74" s="1">
        <f t="shared" ref="F74:F137" si="10">-$C$3*C74/$C$4-$C$2/$C$4*E74</f>
        <v>-7.4245623794101325</v>
      </c>
      <c r="G74" s="1"/>
      <c r="H74">
        <f t="shared" si="8"/>
        <v>0</v>
      </c>
      <c r="I74" s="1">
        <f t="shared" ref="I74:I137" si="11">B74</f>
        <v>6.3999999999999932</v>
      </c>
    </row>
    <row r="75" spans="2:9" x14ac:dyDescent="0.25">
      <c r="B75" s="1">
        <f t="shared" ref="B75:B138" si="12">B74+$C$7</f>
        <v>6.4999999999999929</v>
      </c>
      <c r="C75" s="1">
        <f t="shared" ref="C75:C138" si="13">C74+D74*$C$7</f>
        <v>298.97964186239631</v>
      </c>
      <c r="D75" s="1">
        <f t="shared" si="9"/>
        <v>19.229010621969451</v>
      </c>
      <c r="E75" s="1">
        <f t="shared" ref="E75:E138" si="14">E74+F74*$C$7</f>
        <v>19.229010621969451</v>
      </c>
      <c r="F75" s="1">
        <f t="shared" si="10"/>
        <v>-7.4744910465599084</v>
      </c>
      <c r="G75" s="1"/>
      <c r="H75">
        <f t="shared" ref="H75:H138" si="15">H74+(D75*D76&lt;0)*1</f>
        <v>0</v>
      </c>
      <c r="I75" s="1">
        <f t="shared" si="11"/>
        <v>6.4999999999999929</v>
      </c>
    </row>
    <row r="76" spans="2:9" x14ac:dyDescent="0.25">
      <c r="B76" s="1">
        <f t="shared" si="12"/>
        <v>6.5999999999999925</v>
      </c>
      <c r="C76" s="1">
        <f t="shared" si="13"/>
        <v>300.90254292459326</v>
      </c>
      <c r="D76" s="1">
        <f t="shared" si="9"/>
        <v>18.481561517313459</v>
      </c>
      <c r="E76" s="1">
        <f t="shared" si="14"/>
        <v>18.481561517313459</v>
      </c>
      <c r="F76" s="1">
        <f t="shared" si="10"/>
        <v>-7.5225635731148319</v>
      </c>
      <c r="G76" s="1"/>
      <c r="H76">
        <f t="shared" si="15"/>
        <v>0</v>
      </c>
      <c r="I76" s="1">
        <f t="shared" si="11"/>
        <v>6.5999999999999925</v>
      </c>
    </row>
    <row r="77" spans="2:9" x14ac:dyDescent="0.25">
      <c r="B77" s="1">
        <f t="shared" si="12"/>
        <v>6.6999999999999922</v>
      </c>
      <c r="C77" s="1">
        <f t="shared" si="13"/>
        <v>302.75069907632462</v>
      </c>
      <c r="D77" s="1">
        <f t="shared" si="9"/>
        <v>17.729305160001974</v>
      </c>
      <c r="E77" s="1">
        <f t="shared" si="14"/>
        <v>17.729305160001974</v>
      </c>
      <c r="F77" s="1">
        <f t="shared" si="10"/>
        <v>-7.5687674769081159</v>
      </c>
      <c r="G77" s="1"/>
      <c r="H77">
        <f t="shared" si="15"/>
        <v>0</v>
      </c>
      <c r="I77" s="1">
        <f t="shared" si="11"/>
        <v>6.6999999999999922</v>
      </c>
    </row>
    <row r="78" spans="2:9" x14ac:dyDescent="0.25">
      <c r="B78" s="1">
        <f t="shared" si="12"/>
        <v>6.7999999999999918</v>
      </c>
      <c r="C78" s="1">
        <f t="shared" si="13"/>
        <v>304.52362959232482</v>
      </c>
      <c r="D78" s="1">
        <f t="shared" si="9"/>
        <v>16.972428412311164</v>
      </c>
      <c r="E78" s="1">
        <f t="shared" si="14"/>
        <v>16.972428412311164</v>
      </c>
      <c r="F78" s="1">
        <f t="shared" si="10"/>
        <v>-7.6130907398081211</v>
      </c>
      <c r="G78" s="1"/>
      <c r="H78">
        <f t="shared" si="15"/>
        <v>0</v>
      </c>
      <c r="I78" s="1">
        <f t="shared" si="11"/>
        <v>6.7999999999999918</v>
      </c>
    </row>
    <row r="79" spans="2:9" x14ac:dyDescent="0.25">
      <c r="B79" s="1">
        <f t="shared" si="12"/>
        <v>6.8999999999999915</v>
      </c>
      <c r="C79" s="1">
        <f t="shared" si="13"/>
        <v>306.22087243355594</v>
      </c>
      <c r="D79" s="1">
        <f t="shared" si="9"/>
        <v>16.211119338330352</v>
      </c>
      <c r="E79" s="1">
        <f t="shared" si="14"/>
        <v>16.211119338330352</v>
      </c>
      <c r="F79" s="1">
        <f t="shared" si="10"/>
        <v>-7.6555218108388985</v>
      </c>
      <c r="G79" s="1"/>
      <c r="H79">
        <f t="shared" si="15"/>
        <v>0</v>
      </c>
      <c r="I79" s="1">
        <f t="shared" si="11"/>
        <v>6.8999999999999915</v>
      </c>
    </row>
    <row r="80" spans="2:9" x14ac:dyDescent="0.25">
      <c r="B80" s="1">
        <f t="shared" si="12"/>
        <v>6.9999999999999911</v>
      </c>
      <c r="C80" s="1">
        <f t="shared" si="13"/>
        <v>307.84198436738899</v>
      </c>
      <c r="D80" s="1">
        <f t="shared" si="9"/>
        <v>15.445567157246462</v>
      </c>
      <c r="E80" s="1">
        <f t="shared" si="14"/>
        <v>15.445567157246462</v>
      </c>
      <c r="F80" s="1">
        <f t="shared" si="10"/>
        <v>-7.6960496091847252</v>
      </c>
      <c r="G80" s="1"/>
      <c r="H80">
        <f t="shared" si="15"/>
        <v>0</v>
      </c>
      <c r="I80" s="1">
        <f t="shared" si="11"/>
        <v>6.9999999999999911</v>
      </c>
    </row>
    <row r="81" spans="2:9" x14ac:dyDescent="0.25">
      <c r="B81" s="1">
        <f t="shared" si="12"/>
        <v>7.0999999999999908</v>
      </c>
      <c r="C81" s="1">
        <f t="shared" si="13"/>
        <v>309.38654108311363</v>
      </c>
      <c r="D81" s="1">
        <f t="shared" si="9"/>
        <v>14.675962196327989</v>
      </c>
      <c r="E81" s="1">
        <f t="shared" si="14"/>
        <v>14.675962196327989</v>
      </c>
      <c r="F81" s="1">
        <f t="shared" si="10"/>
        <v>-7.7346635270778412</v>
      </c>
      <c r="G81" s="1"/>
      <c r="H81">
        <f t="shared" si="15"/>
        <v>0</v>
      </c>
      <c r="I81" s="1">
        <f t="shared" si="11"/>
        <v>7.0999999999999908</v>
      </c>
    </row>
    <row r="82" spans="2:9" x14ac:dyDescent="0.25">
      <c r="B82" s="1">
        <f t="shared" si="12"/>
        <v>7.1999999999999904</v>
      </c>
      <c r="C82" s="1">
        <f t="shared" si="13"/>
        <v>310.85413730274644</v>
      </c>
      <c r="D82" s="1">
        <f t="shared" si="9"/>
        <v>13.902495843620205</v>
      </c>
      <c r="E82" s="1">
        <f t="shared" si="14"/>
        <v>13.902495843620205</v>
      </c>
      <c r="F82" s="1">
        <f t="shared" si="10"/>
        <v>-7.7713534325686613</v>
      </c>
      <c r="G82" s="1"/>
      <c r="H82">
        <f t="shared" si="15"/>
        <v>0</v>
      </c>
      <c r="I82" s="1">
        <f t="shared" si="11"/>
        <v>7.1999999999999904</v>
      </c>
    </row>
    <row r="83" spans="2:9" x14ac:dyDescent="0.25">
      <c r="B83" s="1">
        <f t="shared" si="12"/>
        <v>7.2999999999999901</v>
      </c>
      <c r="C83" s="1">
        <f t="shared" si="13"/>
        <v>312.24438688710848</v>
      </c>
      <c r="D83" s="1">
        <f t="shared" si="9"/>
        <v>13.125360500363339</v>
      </c>
      <c r="E83" s="1">
        <f t="shared" si="14"/>
        <v>13.125360500363339</v>
      </c>
      <c r="F83" s="1">
        <f t="shared" si="10"/>
        <v>-7.8061096721777119</v>
      </c>
      <c r="G83" s="1"/>
      <c r="H83">
        <f t="shared" si="15"/>
        <v>0</v>
      </c>
      <c r="I83" s="1">
        <f t="shared" si="11"/>
        <v>7.2999999999999901</v>
      </c>
    </row>
    <row r="84" spans="2:9" x14ac:dyDescent="0.25">
      <c r="B84" s="1">
        <f t="shared" si="12"/>
        <v>7.3999999999999897</v>
      </c>
      <c r="C84" s="1">
        <f t="shared" si="13"/>
        <v>313.5569229371448</v>
      </c>
      <c r="D84" s="1">
        <f t="shared" si="9"/>
        <v>12.344749533145567</v>
      </c>
      <c r="E84" s="1">
        <f t="shared" si="14"/>
        <v>12.344749533145567</v>
      </c>
      <c r="F84" s="1">
        <f t="shared" si="10"/>
        <v>-7.8389230734286208</v>
      </c>
      <c r="G84" s="1"/>
      <c r="H84">
        <f t="shared" si="15"/>
        <v>0</v>
      </c>
      <c r="I84" s="1">
        <f t="shared" si="11"/>
        <v>7.3999999999999897</v>
      </c>
    </row>
    <row r="85" spans="2:9" x14ac:dyDescent="0.25">
      <c r="B85" s="1">
        <f t="shared" si="12"/>
        <v>7.4999999999999893</v>
      </c>
      <c r="C85" s="1">
        <f t="shared" si="13"/>
        <v>314.79139789045934</v>
      </c>
      <c r="D85" s="1">
        <f t="shared" si="9"/>
        <v>11.560857225802705</v>
      </c>
      <c r="E85" s="1">
        <f t="shared" si="14"/>
        <v>11.560857225802705</v>
      </c>
      <c r="F85" s="1">
        <f t="shared" si="10"/>
        <v>-7.8697849472614836</v>
      </c>
      <c r="G85" s="1"/>
      <c r="H85">
        <f t="shared" si="15"/>
        <v>0</v>
      </c>
      <c r="I85" s="1">
        <f t="shared" si="11"/>
        <v>7.4999999999999893</v>
      </c>
    </row>
    <row r="86" spans="2:9" x14ac:dyDescent="0.25">
      <c r="B86" s="1">
        <f t="shared" si="12"/>
        <v>7.599999999999989</v>
      </c>
      <c r="C86" s="1">
        <f t="shared" si="13"/>
        <v>315.94748361303959</v>
      </c>
      <c r="D86" s="1">
        <f t="shared" si="9"/>
        <v>10.773878731076557</v>
      </c>
      <c r="E86" s="1">
        <f t="shared" si="14"/>
        <v>10.773878731076557</v>
      </c>
      <c r="F86" s="1">
        <f t="shared" si="10"/>
        <v>-7.89868709032599</v>
      </c>
      <c r="G86" s="1"/>
      <c r="H86">
        <f t="shared" si="15"/>
        <v>0</v>
      </c>
      <c r="I86" s="1">
        <f t="shared" si="11"/>
        <v>7.599999999999989</v>
      </c>
    </row>
    <row r="87" spans="2:9" x14ac:dyDescent="0.25">
      <c r="B87" s="1">
        <f t="shared" si="12"/>
        <v>7.6999999999999886</v>
      </c>
      <c r="C87" s="1">
        <f t="shared" si="13"/>
        <v>317.02487148614728</v>
      </c>
      <c r="D87" s="1">
        <f t="shared" si="9"/>
        <v>9.9840100220439574</v>
      </c>
      <c r="E87" s="1">
        <f t="shared" si="14"/>
        <v>9.9840100220439574</v>
      </c>
      <c r="F87" s="1">
        <f t="shared" si="10"/>
        <v>-7.9256217871536823</v>
      </c>
      <c r="G87" s="1"/>
      <c r="H87">
        <f t="shared" si="15"/>
        <v>0</v>
      </c>
      <c r="I87" s="1">
        <f t="shared" si="11"/>
        <v>7.6999999999999886</v>
      </c>
    </row>
    <row r="88" spans="2:9" x14ac:dyDescent="0.25">
      <c r="B88" s="1">
        <f t="shared" si="12"/>
        <v>7.7999999999999883</v>
      </c>
      <c r="C88" s="1">
        <f t="shared" si="13"/>
        <v>318.02327248835167</v>
      </c>
      <c r="D88" s="1">
        <f t="shared" si="9"/>
        <v>9.1914478433285893</v>
      </c>
      <c r="E88" s="1">
        <f t="shared" si="14"/>
        <v>9.1914478433285893</v>
      </c>
      <c r="F88" s="1">
        <f t="shared" si="10"/>
        <v>-7.9505818122087923</v>
      </c>
      <c r="G88" s="1"/>
      <c r="H88">
        <f t="shared" si="15"/>
        <v>0</v>
      </c>
      <c r="I88" s="1">
        <f t="shared" si="11"/>
        <v>7.7999999999999883</v>
      </c>
    </row>
    <row r="89" spans="2:9" x14ac:dyDescent="0.25">
      <c r="B89" s="1">
        <f t="shared" si="12"/>
        <v>7.8999999999999879</v>
      </c>
      <c r="C89" s="1">
        <f t="shared" si="13"/>
        <v>318.94241727268451</v>
      </c>
      <c r="D89" s="1">
        <f t="shared" si="9"/>
        <v>8.3963896621077101</v>
      </c>
      <c r="E89" s="1">
        <f t="shared" si="14"/>
        <v>8.3963896621077101</v>
      </c>
      <c r="F89" s="1">
        <f t="shared" si="10"/>
        <v>-7.9735604318171127</v>
      </c>
      <c r="G89" s="1"/>
      <c r="H89">
        <f t="shared" si="15"/>
        <v>0</v>
      </c>
      <c r="I89" s="1">
        <f t="shared" si="11"/>
        <v>7.8999999999999879</v>
      </c>
    </row>
    <row r="90" spans="2:9" x14ac:dyDescent="0.25">
      <c r="B90" s="1">
        <f t="shared" si="12"/>
        <v>7.9999999999999876</v>
      </c>
      <c r="C90" s="1">
        <f t="shared" si="13"/>
        <v>319.78205623889528</v>
      </c>
      <c r="D90" s="1">
        <f t="shared" si="9"/>
        <v>7.5990336189259988</v>
      </c>
      <c r="E90" s="1">
        <f t="shared" si="14"/>
        <v>7.5990336189259988</v>
      </c>
      <c r="F90" s="1">
        <f t="shared" si="10"/>
        <v>-7.9945514059723823</v>
      </c>
      <c r="G90" s="1"/>
      <c r="H90">
        <f t="shared" si="15"/>
        <v>0</v>
      </c>
      <c r="I90" s="1">
        <f t="shared" si="11"/>
        <v>7.9999999999999876</v>
      </c>
    </row>
    <row r="91" spans="2:9" x14ac:dyDescent="0.25">
      <c r="B91" s="1">
        <f t="shared" si="12"/>
        <v>8.0999999999999872</v>
      </c>
      <c r="C91" s="1">
        <f t="shared" si="13"/>
        <v>320.54195960078789</v>
      </c>
      <c r="D91" s="1">
        <f t="shared" si="9"/>
        <v>6.7995784783287601</v>
      </c>
      <c r="E91" s="1">
        <f t="shared" si="14"/>
        <v>6.7995784783287601</v>
      </c>
      <c r="F91" s="1">
        <f t="shared" si="10"/>
        <v>-8.0135489900196983</v>
      </c>
      <c r="G91" s="1"/>
      <c r="H91">
        <f t="shared" si="15"/>
        <v>0</v>
      </c>
      <c r="I91" s="1">
        <f t="shared" si="11"/>
        <v>8.0999999999999872</v>
      </c>
    </row>
    <row r="92" spans="2:9" x14ac:dyDescent="0.25">
      <c r="B92" s="1">
        <f t="shared" si="12"/>
        <v>8.1999999999999869</v>
      </c>
      <c r="C92" s="1">
        <f t="shared" si="13"/>
        <v>321.22191744862079</v>
      </c>
      <c r="D92" s="1">
        <f t="shared" si="9"/>
        <v>5.9982235793267904</v>
      </c>
      <c r="E92" s="1">
        <f t="shared" si="14"/>
        <v>5.9982235793267904</v>
      </c>
      <c r="F92" s="1">
        <f t="shared" si="10"/>
        <v>-8.0305479362155197</v>
      </c>
      <c r="G92" s="1"/>
      <c r="H92">
        <f t="shared" si="15"/>
        <v>0</v>
      </c>
      <c r="I92" s="1">
        <f t="shared" si="11"/>
        <v>8.1999999999999869</v>
      </c>
    </row>
    <row r="93" spans="2:9" x14ac:dyDescent="0.25">
      <c r="B93" s="1">
        <f t="shared" si="12"/>
        <v>8.2999999999999865</v>
      </c>
      <c r="C93" s="1">
        <f t="shared" si="13"/>
        <v>321.82173980655347</v>
      </c>
      <c r="D93" s="1">
        <f t="shared" si="9"/>
        <v>5.1951687857052384</v>
      </c>
      <c r="E93" s="1">
        <f t="shared" si="14"/>
        <v>5.1951687857052384</v>
      </c>
      <c r="F93" s="1">
        <f t="shared" si="10"/>
        <v>-8.0455434951638374</v>
      </c>
      <c r="G93" s="1"/>
      <c r="H93">
        <f t="shared" si="15"/>
        <v>0</v>
      </c>
      <c r="I93" s="1">
        <f t="shared" si="11"/>
        <v>8.2999999999999865</v>
      </c>
    </row>
    <row r="94" spans="2:9" x14ac:dyDescent="0.25">
      <c r="B94" s="1">
        <f t="shared" si="12"/>
        <v>8.3999999999999861</v>
      </c>
      <c r="C94" s="1">
        <f t="shared" si="13"/>
        <v>322.34125668512399</v>
      </c>
      <c r="D94" s="1">
        <f t="shared" si="9"/>
        <v>4.3906144361888551</v>
      </c>
      <c r="E94" s="1">
        <f t="shared" si="14"/>
        <v>4.3906144361888551</v>
      </c>
      <c r="F94" s="1">
        <f t="shared" si="10"/>
        <v>-8.0585314171280995</v>
      </c>
      <c r="G94" s="1"/>
      <c r="H94">
        <f t="shared" si="15"/>
        <v>0</v>
      </c>
      <c r="I94" s="1">
        <f t="shared" si="11"/>
        <v>8.3999999999999861</v>
      </c>
    </row>
    <row r="95" spans="2:9" x14ac:dyDescent="0.25">
      <c r="B95" s="1">
        <f t="shared" si="12"/>
        <v>8.4999999999999858</v>
      </c>
      <c r="C95" s="1">
        <f t="shared" si="13"/>
        <v>322.78031812874286</v>
      </c>
      <c r="D95" s="1">
        <f t="shared" si="9"/>
        <v>3.5847612944760452</v>
      </c>
      <c r="E95" s="1">
        <f t="shared" si="14"/>
        <v>3.5847612944760452</v>
      </c>
      <c r="F95" s="1">
        <f t="shared" si="10"/>
        <v>-8.0695079532185723</v>
      </c>
      <c r="G95" s="1"/>
      <c r="H95">
        <f t="shared" si="15"/>
        <v>0</v>
      </c>
      <c r="I95" s="1">
        <f t="shared" si="11"/>
        <v>8.4999999999999858</v>
      </c>
    </row>
    <row r="96" spans="2:9" x14ac:dyDescent="0.25">
      <c r="B96" s="1">
        <f t="shared" si="12"/>
        <v>8.5999999999999854</v>
      </c>
      <c r="C96" s="1">
        <f t="shared" si="13"/>
        <v>323.13879425819044</v>
      </c>
      <c r="D96" s="1">
        <f t="shared" si="9"/>
        <v>2.7778104991541879</v>
      </c>
      <c r="E96" s="1">
        <f t="shared" si="14"/>
        <v>2.7778104991541879</v>
      </c>
      <c r="F96" s="1">
        <f t="shared" si="10"/>
        <v>-8.0784698564547615</v>
      </c>
      <c r="G96" s="1"/>
      <c r="H96">
        <f t="shared" si="15"/>
        <v>0</v>
      </c>
      <c r="I96" s="1">
        <f t="shared" si="11"/>
        <v>8.5999999999999854</v>
      </c>
    </row>
    <row r="97" spans="2:9" x14ac:dyDescent="0.25">
      <c r="B97" s="1">
        <f t="shared" si="12"/>
        <v>8.6999999999999851</v>
      </c>
      <c r="C97" s="1">
        <f t="shared" si="13"/>
        <v>323.41657530810585</v>
      </c>
      <c r="D97" s="1">
        <f t="shared" si="9"/>
        <v>1.9699635135087117</v>
      </c>
      <c r="E97" s="1">
        <f t="shared" si="14"/>
        <v>1.9699635135087117</v>
      </c>
      <c r="F97" s="1">
        <f t="shared" si="10"/>
        <v>-8.0854143827026466</v>
      </c>
      <c r="G97" s="1"/>
      <c r="H97">
        <f t="shared" si="15"/>
        <v>0</v>
      </c>
      <c r="I97" s="1">
        <f t="shared" si="11"/>
        <v>8.6999999999999851</v>
      </c>
    </row>
    <row r="98" spans="2:9" x14ac:dyDescent="0.25">
      <c r="B98" s="1">
        <f t="shared" si="12"/>
        <v>8.7999999999999847</v>
      </c>
      <c r="C98" s="1">
        <f t="shared" si="13"/>
        <v>323.61357165945674</v>
      </c>
      <c r="D98" s="1">
        <f t="shared" si="9"/>
        <v>1.161422075238447</v>
      </c>
      <c r="E98" s="1">
        <f t="shared" si="14"/>
        <v>1.161422075238447</v>
      </c>
      <c r="F98" s="1">
        <f t="shared" si="10"/>
        <v>-8.0903392914864192</v>
      </c>
      <c r="G98" s="1"/>
      <c r="H98">
        <f t="shared" si="15"/>
        <v>0</v>
      </c>
      <c r="I98" s="1">
        <f t="shared" si="11"/>
        <v>8.7999999999999847</v>
      </c>
    </row>
    <row r="99" spans="2:9" x14ac:dyDescent="0.25">
      <c r="B99" s="1">
        <f t="shared" si="12"/>
        <v>8.8999999999999844</v>
      </c>
      <c r="C99" s="1">
        <f t="shared" si="13"/>
        <v>323.7297138669806</v>
      </c>
      <c r="D99" s="1">
        <f t="shared" si="9"/>
        <v>0.35238814608980507</v>
      </c>
      <c r="E99" s="1">
        <f t="shared" si="14"/>
        <v>0.35238814608980507</v>
      </c>
      <c r="F99" s="1">
        <f t="shared" si="10"/>
        <v>-8.0932428466745154</v>
      </c>
      <c r="G99" s="1"/>
      <c r="H99">
        <f t="shared" si="15"/>
        <v>1</v>
      </c>
      <c r="I99" s="1">
        <f t="shared" si="11"/>
        <v>8.8999999999999844</v>
      </c>
    </row>
    <row r="100" spans="2:9" x14ac:dyDescent="0.25">
      <c r="B100" s="1">
        <f t="shared" si="12"/>
        <v>8.999999999999984</v>
      </c>
      <c r="C100" s="1">
        <f t="shared" si="13"/>
        <v>323.76495268158959</v>
      </c>
      <c r="D100" s="1">
        <f t="shared" si="9"/>
        <v>-0.45693613857764648</v>
      </c>
      <c r="E100" s="1">
        <f t="shared" si="14"/>
        <v>-0.45693613857764648</v>
      </c>
      <c r="F100" s="1">
        <f t="shared" si="10"/>
        <v>-8.0941238170397405</v>
      </c>
      <c r="G100" s="1"/>
      <c r="H100">
        <f t="shared" si="15"/>
        <v>1</v>
      </c>
      <c r="I100" s="1">
        <f t="shared" si="11"/>
        <v>8.999999999999984</v>
      </c>
    </row>
    <row r="101" spans="2:9" x14ac:dyDescent="0.25">
      <c r="B101" s="1">
        <f t="shared" si="12"/>
        <v>9.0999999999999837</v>
      </c>
      <c r="C101" s="1">
        <f t="shared" si="13"/>
        <v>323.7192590677318</v>
      </c>
      <c r="D101" s="1">
        <f t="shared" si="9"/>
        <v>-1.2663485202816207</v>
      </c>
      <c r="E101" s="1">
        <f t="shared" si="14"/>
        <v>-1.2663485202816207</v>
      </c>
      <c r="F101" s="1">
        <f t="shared" si="10"/>
        <v>-8.0929814766932946</v>
      </c>
      <c r="G101" s="1"/>
      <c r="H101">
        <f t="shared" si="15"/>
        <v>1</v>
      </c>
      <c r="I101" s="1">
        <f t="shared" si="11"/>
        <v>9.0999999999999837</v>
      </c>
    </row>
    <row r="102" spans="2:9" x14ac:dyDescent="0.25">
      <c r="B102" s="1">
        <f t="shared" si="12"/>
        <v>9.1999999999999833</v>
      </c>
      <c r="C102" s="1">
        <f t="shared" si="13"/>
        <v>323.59262421570361</v>
      </c>
      <c r="D102" s="1">
        <f t="shared" si="9"/>
        <v>-2.0756466679509504</v>
      </c>
      <c r="E102" s="1">
        <f t="shared" si="14"/>
        <v>-2.0756466679509504</v>
      </c>
      <c r="F102" s="1">
        <f t="shared" si="10"/>
        <v>-8.0898156053925909</v>
      </c>
      <c r="G102" s="1"/>
      <c r="H102">
        <f t="shared" si="15"/>
        <v>1</v>
      </c>
      <c r="I102" s="1">
        <f t="shared" si="11"/>
        <v>9.1999999999999833</v>
      </c>
    </row>
    <row r="103" spans="2:9" x14ac:dyDescent="0.25">
      <c r="B103" s="1">
        <f t="shared" si="12"/>
        <v>9.2999999999999829</v>
      </c>
      <c r="C103" s="1">
        <f t="shared" si="13"/>
        <v>323.38505954890849</v>
      </c>
      <c r="D103" s="1">
        <f t="shared" si="9"/>
        <v>-2.8846282284902096</v>
      </c>
      <c r="E103" s="1">
        <f t="shared" si="14"/>
        <v>-2.8846282284902096</v>
      </c>
      <c r="F103" s="1">
        <f t="shared" si="10"/>
        <v>-8.0846264887227122</v>
      </c>
      <c r="G103" s="1"/>
      <c r="H103">
        <f t="shared" si="15"/>
        <v>1</v>
      </c>
      <c r="I103" s="1">
        <f t="shared" si="11"/>
        <v>9.2999999999999829</v>
      </c>
    </row>
    <row r="104" spans="2:9" x14ac:dyDescent="0.25">
      <c r="B104" s="1">
        <f t="shared" si="12"/>
        <v>9.3999999999999826</v>
      </c>
      <c r="C104" s="1">
        <f t="shared" si="13"/>
        <v>323.09659672605949</v>
      </c>
      <c r="D104" s="1">
        <f t="shared" si="9"/>
        <v>-3.6930908773624811</v>
      </c>
      <c r="E104" s="1">
        <f t="shared" si="14"/>
        <v>-3.6930908773624811</v>
      </c>
      <c r="F104" s="1">
        <f t="shared" si="10"/>
        <v>-8.0774149181514883</v>
      </c>
      <c r="G104" s="1"/>
      <c r="H104">
        <f t="shared" si="15"/>
        <v>1</v>
      </c>
      <c r="I104" s="1">
        <f t="shared" si="11"/>
        <v>9.3999999999999826</v>
      </c>
    </row>
    <row r="105" spans="2:9" x14ac:dyDescent="0.25">
      <c r="B105" s="1">
        <f t="shared" si="12"/>
        <v>9.4999999999999822</v>
      </c>
      <c r="C105" s="1">
        <f t="shared" si="13"/>
        <v>322.72728763832322</v>
      </c>
      <c r="D105" s="1">
        <f t="shared" si="9"/>
        <v>-4.5008323691776297</v>
      </c>
      <c r="E105" s="1">
        <f t="shared" si="14"/>
        <v>-4.5008323691776297</v>
      </c>
      <c r="F105" s="1">
        <f t="shared" si="10"/>
        <v>-8.0681821909580815</v>
      </c>
      <c r="G105" s="1"/>
      <c r="H105">
        <f t="shared" si="15"/>
        <v>1</v>
      </c>
      <c r="I105" s="1">
        <f t="shared" si="11"/>
        <v>9.4999999999999822</v>
      </c>
    </row>
    <row r="106" spans="2:9" x14ac:dyDescent="0.25">
      <c r="B106" s="1">
        <f t="shared" si="12"/>
        <v>9.5999999999999819</v>
      </c>
      <c r="C106" s="1">
        <f t="shared" si="13"/>
        <v>322.27720440140547</v>
      </c>
      <c r="D106" s="1">
        <f t="shared" si="9"/>
        <v>-5.3076505882734377</v>
      </c>
      <c r="E106" s="1">
        <f t="shared" si="14"/>
        <v>-5.3076505882734377</v>
      </c>
      <c r="F106" s="1">
        <f t="shared" si="10"/>
        <v>-8.0569301100351378</v>
      </c>
      <c r="G106" s="1"/>
      <c r="H106">
        <f t="shared" si="15"/>
        <v>1</v>
      </c>
      <c r="I106" s="1">
        <f t="shared" si="11"/>
        <v>9.5999999999999819</v>
      </c>
    </row>
    <row r="107" spans="2:9" x14ac:dyDescent="0.25">
      <c r="B107" s="1">
        <f t="shared" si="12"/>
        <v>9.6999999999999815</v>
      </c>
      <c r="C107" s="1">
        <f t="shared" si="13"/>
        <v>321.74643934257813</v>
      </c>
      <c r="D107" s="1">
        <f t="shared" si="9"/>
        <v>-6.113343599276952</v>
      </c>
      <c r="E107" s="1">
        <f t="shared" si="14"/>
        <v>-6.113343599276952</v>
      </c>
      <c r="F107" s="1">
        <f t="shared" si="10"/>
        <v>-8.0436609835644539</v>
      </c>
      <c r="G107" s="1"/>
      <c r="H107">
        <f t="shared" si="15"/>
        <v>1</v>
      </c>
      <c r="I107" s="1">
        <f t="shared" si="11"/>
        <v>9.6999999999999815</v>
      </c>
    </row>
    <row r="108" spans="2:9" x14ac:dyDescent="0.25">
      <c r="B108" s="1">
        <f t="shared" si="12"/>
        <v>9.7999999999999812</v>
      </c>
      <c r="C108" s="1">
        <f t="shared" si="13"/>
        <v>321.13510498265043</v>
      </c>
      <c r="D108" s="1">
        <f t="shared" si="9"/>
        <v>-6.9177096976333976</v>
      </c>
      <c r="E108" s="1">
        <f t="shared" si="14"/>
        <v>-6.9177096976333976</v>
      </c>
      <c r="F108" s="1">
        <f t="shared" si="10"/>
        <v>-8.0283776245662608</v>
      </c>
      <c r="G108" s="1"/>
      <c r="H108">
        <f t="shared" si="15"/>
        <v>1</v>
      </c>
      <c r="I108" s="1">
        <f t="shared" si="11"/>
        <v>9.7999999999999812</v>
      </c>
    </row>
    <row r="109" spans="2:9" x14ac:dyDescent="0.25">
      <c r="B109" s="1">
        <f t="shared" si="12"/>
        <v>9.8999999999999808</v>
      </c>
      <c r="C109" s="1">
        <f t="shared" si="13"/>
        <v>320.44333401288708</v>
      </c>
      <c r="D109" s="1">
        <f t="shared" si="9"/>
        <v>-7.7205474600900237</v>
      </c>
      <c r="E109" s="1">
        <f t="shared" si="14"/>
        <v>-7.7205474600900237</v>
      </c>
      <c r="F109" s="1">
        <f t="shared" si="10"/>
        <v>-8.0110833503221777</v>
      </c>
      <c r="G109" s="1"/>
      <c r="H109">
        <f t="shared" si="15"/>
        <v>1</v>
      </c>
      <c r="I109" s="1">
        <f t="shared" si="11"/>
        <v>9.8999999999999808</v>
      </c>
    </row>
    <row r="110" spans="2:9" x14ac:dyDescent="0.25">
      <c r="B110" s="1">
        <f t="shared" si="12"/>
        <v>9.9999999999999805</v>
      </c>
      <c r="C110" s="1">
        <f t="shared" si="13"/>
        <v>319.67127926687806</v>
      </c>
      <c r="D110" s="1">
        <f t="shared" si="9"/>
        <v>-8.5216557951222409</v>
      </c>
      <c r="E110" s="1">
        <f t="shared" si="14"/>
        <v>-8.5216557951222409</v>
      </c>
      <c r="F110" s="1">
        <f t="shared" si="10"/>
        <v>-7.9917819816719522</v>
      </c>
      <c r="G110" s="1"/>
      <c r="H110">
        <f t="shared" si="15"/>
        <v>1</v>
      </c>
      <c r="I110" s="1">
        <f t="shared" si="11"/>
        <v>9.9999999999999805</v>
      </c>
    </row>
    <row r="111" spans="2:9" x14ac:dyDescent="0.25">
      <c r="B111" s="1">
        <f t="shared" si="12"/>
        <v>10.09999999999998</v>
      </c>
      <c r="C111" s="1">
        <f t="shared" si="13"/>
        <v>318.81911368736581</v>
      </c>
      <c r="D111" s="1">
        <f t="shared" si="9"/>
        <v>-9.3208339932894368</v>
      </c>
      <c r="E111" s="1">
        <f t="shared" si="14"/>
        <v>-9.3208339932894368</v>
      </c>
      <c r="F111" s="1">
        <f t="shared" si="10"/>
        <v>-7.9704778421841453</v>
      </c>
      <c r="G111" s="1"/>
      <c r="H111">
        <f t="shared" si="15"/>
        <v>1</v>
      </c>
      <c r="I111" s="1">
        <f t="shared" si="11"/>
        <v>10.09999999999998</v>
      </c>
    </row>
    <row r="112" spans="2:9" x14ac:dyDescent="0.25">
      <c r="B112" s="1">
        <f t="shared" si="12"/>
        <v>10.19999999999998</v>
      </c>
      <c r="C112" s="1">
        <f t="shared" si="13"/>
        <v>317.8870302880369</v>
      </c>
      <c r="D112" s="1">
        <f t="shared" si="9"/>
        <v>-10.117881777507851</v>
      </c>
      <c r="E112" s="1">
        <f t="shared" si="14"/>
        <v>-10.117881777507851</v>
      </c>
      <c r="F112" s="1">
        <f t="shared" si="10"/>
        <v>-7.947175757200923</v>
      </c>
      <c r="G112" s="1"/>
      <c r="H112">
        <f t="shared" si="15"/>
        <v>1</v>
      </c>
      <c r="I112" s="1">
        <f t="shared" si="11"/>
        <v>10.19999999999998</v>
      </c>
    </row>
    <row r="113" spans="2:9" x14ac:dyDescent="0.25">
      <c r="B113" s="1">
        <f t="shared" si="12"/>
        <v>10.299999999999979</v>
      </c>
      <c r="C113" s="1">
        <f t="shared" si="13"/>
        <v>316.87524211028614</v>
      </c>
      <c r="D113" s="1">
        <f t="shared" si="9"/>
        <v>-10.912599353227943</v>
      </c>
      <c r="E113" s="1">
        <f t="shared" si="14"/>
        <v>-10.912599353227943</v>
      </c>
      <c r="F113" s="1">
        <f t="shared" si="10"/>
        <v>-7.9218810527571542</v>
      </c>
      <c r="G113" s="1"/>
      <c r="H113">
        <f t="shared" si="15"/>
        <v>1</v>
      </c>
      <c r="I113" s="1">
        <f t="shared" si="11"/>
        <v>10.299999999999979</v>
      </c>
    </row>
    <row r="114" spans="2:9" x14ac:dyDescent="0.25">
      <c r="B114" s="1">
        <f t="shared" si="12"/>
        <v>10.399999999999979</v>
      </c>
      <c r="C114" s="1">
        <f t="shared" si="13"/>
        <v>315.78398217496334</v>
      </c>
      <c r="D114" s="1">
        <f t="shared" si="9"/>
        <v>-11.704787458503658</v>
      </c>
      <c r="E114" s="1">
        <f t="shared" si="14"/>
        <v>-11.704787458503658</v>
      </c>
      <c r="F114" s="1">
        <f t="shared" si="10"/>
        <v>-7.8945995543740839</v>
      </c>
      <c r="G114" s="1"/>
      <c r="H114">
        <f t="shared" si="15"/>
        <v>1</v>
      </c>
      <c r="I114" s="1">
        <f t="shared" si="11"/>
        <v>10.399999999999979</v>
      </c>
    </row>
    <row r="115" spans="2:9" x14ac:dyDescent="0.25">
      <c r="B115" s="1">
        <f t="shared" si="12"/>
        <v>10.499999999999979</v>
      </c>
      <c r="C115" s="1">
        <f t="shared" si="13"/>
        <v>314.613503429113</v>
      </c>
      <c r="D115" s="1">
        <f t="shared" si="9"/>
        <v>-12.494247413941066</v>
      </c>
      <c r="E115" s="1">
        <f t="shared" si="14"/>
        <v>-12.494247413941066</v>
      </c>
      <c r="F115" s="1">
        <f t="shared" si="10"/>
        <v>-7.8653375857278256</v>
      </c>
      <c r="G115" s="1"/>
      <c r="H115">
        <f t="shared" si="15"/>
        <v>1</v>
      </c>
      <c r="I115" s="1">
        <f t="shared" si="11"/>
        <v>10.499999999999979</v>
      </c>
    </row>
    <row r="116" spans="2:9" x14ac:dyDescent="0.25">
      <c r="B116" s="1">
        <f t="shared" si="12"/>
        <v>10.599999999999978</v>
      </c>
      <c r="C116" s="1">
        <f t="shared" si="13"/>
        <v>313.36407868771892</v>
      </c>
      <c r="D116" s="1">
        <f t="shared" si="9"/>
        <v>-13.280781172513848</v>
      </c>
      <c r="E116" s="1">
        <f t="shared" si="14"/>
        <v>-13.280781172513848</v>
      </c>
      <c r="F116" s="1">
        <f t="shared" si="10"/>
        <v>-7.8341019671929732</v>
      </c>
      <c r="G116" s="1"/>
      <c r="H116">
        <f t="shared" si="15"/>
        <v>1</v>
      </c>
      <c r="I116" s="1">
        <f t="shared" si="11"/>
        <v>10.599999999999978</v>
      </c>
    </row>
    <row r="117" spans="2:9" x14ac:dyDescent="0.25">
      <c r="B117" s="1">
        <f t="shared" si="12"/>
        <v>10.699999999999978</v>
      </c>
      <c r="C117" s="1">
        <f t="shared" si="13"/>
        <v>312.03600057046754</v>
      </c>
      <c r="D117" s="1">
        <f t="shared" si="9"/>
        <v>-14.064191369233145</v>
      </c>
      <c r="E117" s="1">
        <f t="shared" si="14"/>
        <v>-14.064191369233145</v>
      </c>
      <c r="F117" s="1">
        <f t="shared" si="10"/>
        <v>-7.8009000142616891</v>
      </c>
      <c r="G117" s="1"/>
      <c r="H117">
        <f t="shared" si="15"/>
        <v>1</v>
      </c>
      <c r="I117" s="1">
        <f t="shared" si="11"/>
        <v>10.699999999999978</v>
      </c>
    </row>
    <row r="118" spans="2:9" x14ac:dyDescent="0.25">
      <c r="B118" s="1">
        <f t="shared" si="12"/>
        <v>10.799999999999978</v>
      </c>
      <c r="C118" s="1">
        <f t="shared" si="13"/>
        <v>310.62958143354422</v>
      </c>
      <c r="D118" s="1">
        <f t="shared" si="9"/>
        <v>-14.844281370659314</v>
      </c>
      <c r="E118" s="1">
        <f t="shared" si="14"/>
        <v>-14.844281370659314</v>
      </c>
      <c r="F118" s="1">
        <f t="shared" si="10"/>
        <v>-7.7657395358386054</v>
      </c>
      <c r="G118" s="1"/>
      <c r="H118">
        <f t="shared" si="15"/>
        <v>1</v>
      </c>
      <c r="I118" s="1">
        <f t="shared" si="11"/>
        <v>10.799999999999978</v>
      </c>
    </row>
    <row r="119" spans="2:9" x14ac:dyDescent="0.25">
      <c r="B119" s="1">
        <f t="shared" si="12"/>
        <v>10.899999999999977</v>
      </c>
      <c r="C119" s="1">
        <f t="shared" si="13"/>
        <v>309.14515329647827</v>
      </c>
      <c r="D119" s="1">
        <f t="shared" si="9"/>
        <v>-15.620855324243173</v>
      </c>
      <c r="E119" s="1">
        <f t="shared" si="14"/>
        <v>-15.620855324243173</v>
      </c>
      <c r="F119" s="1">
        <f t="shared" si="10"/>
        <v>-7.7286288324119568</v>
      </c>
      <c r="G119" s="1"/>
      <c r="H119">
        <f t="shared" si="15"/>
        <v>1</v>
      </c>
      <c r="I119" s="1">
        <f t="shared" si="11"/>
        <v>10.899999999999977</v>
      </c>
    </row>
    <row r="120" spans="2:9" x14ac:dyDescent="0.25">
      <c r="B120" s="1">
        <f t="shared" si="12"/>
        <v>10.999999999999977</v>
      </c>
      <c r="C120" s="1">
        <f t="shared" si="13"/>
        <v>307.58306776405396</v>
      </c>
      <c r="D120" s="1">
        <f t="shared" si="9"/>
        <v>-16.393718207484369</v>
      </c>
      <c r="E120" s="1">
        <f t="shared" si="14"/>
        <v>-16.393718207484369</v>
      </c>
      <c r="F120" s="1">
        <f t="shared" si="10"/>
        <v>-7.6895766941013495</v>
      </c>
      <c r="G120" s="1"/>
      <c r="H120">
        <f t="shared" si="15"/>
        <v>1</v>
      </c>
      <c r="I120" s="1">
        <f t="shared" si="11"/>
        <v>10.999999999999977</v>
      </c>
    </row>
    <row r="121" spans="2:9" x14ac:dyDescent="0.25">
      <c r="B121" s="1">
        <f t="shared" si="12"/>
        <v>11.099999999999977</v>
      </c>
      <c r="C121" s="1">
        <f t="shared" si="13"/>
        <v>305.94369594330556</v>
      </c>
      <c r="D121" s="1">
        <f t="shared" si="9"/>
        <v>-17.162675876894504</v>
      </c>
      <c r="E121" s="1">
        <f t="shared" si="14"/>
        <v>-17.162675876894504</v>
      </c>
      <c r="F121" s="1">
        <f t="shared" si="10"/>
        <v>-7.6485923985826396</v>
      </c>
      <c r="G121" s="1"/>
      <c r="H121">
        <f t="shared" si="15"/>
        <v>1</v>
      </c>
      <c r="I121" s="1">
        <f t="shared" si="11"/>
        <v>11.099999999999977</v>
      </c>
    </row>
    <row r="122" spans="2:9" x14ac:dyDescent="0.25">
      <c r="B122" s="1">
        <f t="shared" si="12"/>
        <v>11.199999999999976</v>
      </c>
      <c r="C122" s="1">
        <f t="shared" si="13"/>
        <v>304.2274283556161</v>
      </c>
      <c r="D122" s="1">
        <f t="shared" si="9"/>
        <v>-17.927535116752768</v>
      </c>
      <c r="E122" s="1">
        <f t="shared" si="14"/>
        <v>-17.927535116752768</v>
      </c>
      <c r="F122" s="1">
        <f t="shared" si="10"/>
        <v>-7.6056857088904026</v>
      </c>
      <c r="G122" s="1"/>
      <c r="H122">
        <f t="shared" si="15"/>
        <v>1</v>
      </c>
      <c r="I122" s="1">
        <f t="shared" si="11"/>
        <v>11.199999999999976</v>
      </c>
    </row>
    <row r="123" spans="2:9" x14ac:dyDescent="0.25">
      <c r="B123" s="1">
        <f t="shared" si="12"/>
        <v>11.299999999999976</v>
      </c>
      <c r="C123" s="1">
        <f t="shared" si="13"/>
        <v>302.4346748439408</v>
      </c>
      <c r="D123" s="1">
        <f t="shared" si="9"/>
        <v>-18.68810368764181</v>
      </c>
      <c r="E123" s="1">
        <f t="shared" si="14"/>
        <v>-18.68810368764181</v>
      </c>
      <c r="F123" s="1">
        <f t="shared" si="10"/>
        <v>-7.5608668710985203</v>
      </c>
      <c r="G123" s="1"/>
      <c r="H123">
        <f t="shared" si="15"/>
        <v>1</v>
      </c>
      <c r="I123" s="1">
        <f t="shared" si="11"/>
        <v>11.299999999999976</v>
      </c>
    </row>
    <row r="124" spans="2:9" x14ac:dyDescent="0.25">
      <c r="B124" s="1">
        <f t="shared" si="12"/>
        <v>11.399999999999975</v>
      </c>
      <c r="C124" s="1">
        <f t="shared" si="13"/>
        <v>300.56586447517662</v>
      </c>
      <c r="D124" s="1">
        <f t="shared" si="9"/>
        <v>-19.444190374751663</v>
      </c>
      <c r="E124" s="1">
        <f t="shared" si="14"/>
        <v>-19.444190374751663</v>
      </c>
      <c r="F124" s="1">
        <f t="shared" si="10"/>
        <v>-7.5141466118794158</v>
      </c>
      <c r="G124" s="1"/>
      <c r="H124">
        <f t="shared" si="15"/>
        <v>1</v>
      </c>
      <c r="I124" s="1">
        <f t="shared" si="11"/>
        <v>11.399999999999975</v>
      </c>
    </row>
    <row r="125" spans="2:9" x14ac:dyDescent="0.25">
      <c r="B125" s="1">
        <f t="shared" si="12"/>
        <v>11.499999999999975</v>
      </c>
      <c r="C125" s="1">
        <f t="shared" si="13"/>
        <v>298.62144543770148</v>
      </c>
      <c r="D125" s="1">
        <f t="shared" si="9"/>
        <v>-20.195605035939604</v>
      </c>
      <c r="E125" s="1">
        <f t="shared" si="14"/>
        <v>-20.195605035939604</v>
      </c>
      <c r="F125" s="1">
        <f t="shared" si="10"/>
        <v>-7.4655361359425374</v>
      </c>
      <c r="G125" s="1"/>
      <c r="H125">
        <f t="shared" si="15"/>
        <v>1</v>
      </c>
      <c r="I125" s="1">
        <f t="shared" si="11"/>
        <v>11.499999999999975</v>
      </c>
    </row>
    <row r="126" spans="2:9" x14ac:dyDescent="0.25">
      <c r="B126" s="1">
        <f t="shared" si="12"/>
        <v>11.599999999999975</v>
      </c>
      <c r="C126" s="1">
        <f t="shared" si="13"/>
        <v>296.60188493410755</v>
      </c>
      <c r="D126" s="1">
        <f t="shared" si="9"/>
        <v>-20.942158649533859</v>
      </c>
      <c r="E126" s="1">
        <f t="shared" si="14"/>
        <v>-20.942158649533859</v>
      </c>
      <c r="F126" s="1">
        <f t="shared" si="10"/>
        <v>-7.4150471233526893</v>
      </c>
      <c r="G126" s="1"/>
      <c r="H126">
        <f t="shared" si="15"/>
        <v>1</v>
      </c>
      <c r="I126" s="1">
        <f t="shared" si="11"/>
        <v>11.599999999999975</v>
      </c>
    </row>
    <row r="127" spans="2:9" x14ac:dyDescent="0.25">
      <c r="B127" s="1">
        <f t="shared" si="12"/>
        <v>11.699999999999974</v>
      </c>
      <c r="C127" s="1">
        <f t="shared" si="13"/>
        <v>294.50766906915413</v>
      </c>
      <c r="D127" s="1">
        <f t="shared" si="9"/>
        <v>-21.683663361869129</v>
      </c>
      <c r="E127" s="1">
        <f t="shared" si="14"/>
        <v>-21.683663361869129</v>
      </c>
      <c r="F127" s="1">
        <f t="shared" si="10"/>
        <v>-7.3626917267288539</v>
      </c>
      <c r="G127" s="1"/>
      <c r="H127">
        <f t="shared" si="15"/>
        <v>1</v>
      </c>
      <c r="I127" s="1">
        <f t="shared" si="11"/>
        <v>11.699999999999974</v>
      </c>
    </row>
    <row r="128" spans="2:9" x14ac:dyDescent="0.25">
      <c r="B128" s="1">
        <f t="shared" si="12"/>
        <v>11.799999999999974</v>
      </c>
      <c r="C128" s="1">
        <f t="shared" si="13"/>
        <v>292.33930273296721</v>
      </c>
      <c r="D128" s="1">
        <f t="shared" si="9"/>
        <v>-22.419932534542014</v>
      </c>
      <c r="E128" s="1">
        <f t="shared" si="14"/>
        <v>-22.419932534542014</v>
      </c>
      <c r="F128" s="1">
        <f t="shared" si="10"/>
        <v>-7.3084825683241803</v>
      </c>
      <c r="G128" s="1"/>
      <c r="H128">
        <f t="shared" si="15"/>
        <v>1</v>
      </c>
      <c r="I128" s="1">
        <f t="shared" si="11"/>
        <v>11.799999999999974</v>
      </c>
    </row>
    <row r="129" spans="2:9" x14ac:dyDescent="0.25">
      <c r="B129" s="1">
        <f t="shared" si="12"/>
        <v>11.899999999999974</v>
      </c>
      <c r="C129" s="1">
        <f t="shared" si="13"/>
        <v>290.097309479513</v>
      </c>
      <c r="D129" s="1">
        <f t="shared" si="9"/>
        <v>-23.15078079137443</v>
      </c>
      <c r="E129" s="1">
        <f t="shared" si="14"/>
        <v>-23.15078079137443</v>
      </c>
      <c r="F129" s="1">
        <f t="shared" si="10"/>
        <v>-7.2524327369878252</v>
      </c>
      <c r="G129" s="1"/>
      <c r="H129">
        <f t="shared" si="15"/>
        <v>1</v>
      </c>
      <c r="I129" s="1">
        <f t="shared" si="11"/>
        <v>11.899999999999974</v>
      </c>
    </row>
    <row r="130" spans="2:9" x14ac:dyDescent="0.25">
      <c r="B130" s="1">
        <f t="shared" si="12"/>
        <v>11.999999999999973</v>
      </c>
      <c r="C130" s="1">
        <f t="shared" si="13"/>
        <v>287.78223140037557</v>
      </c>
      <c r="D130" s="1">
        <f t="shared" si="9"/>
        <v>-23.876024065073214</v>
      </c>
      <c r="E130" s="1">
        <f t="shared" si="14"/>
        <v>-23.876024065073214</v>
      </c>
      <c r="F130" s="1">
        <f t="shared" si="10"/>
        <v>-7.1945557850093893</v>
      </c>
      <c r="G130" s="1"/>
      <c r="H130">
        <f t="shared" si="15"/>
        <v>1</v>
      </c>
      <c r="I130" s="1">
        <f t="shared" si="11"/>
        <v>11.999999999999973</v>
      </c>
    </row>
    <row r="131" spans="2:9" x14ac:dyDescent="0.25">
      <c r="B131" s="1">
        <f t="shared" si="12"/>
        <v>12.099999999999973</v>
      </c>
      <c r="C131" s="1">
        <f t="shared" si="13"/>
        <v>285.39462899386825</v>
      </c>
      <c r="D131" s="1">
        <f t="shared" si="9"/>
        <v>-24.595479643574151</v>
      </c>
      <c r="E131" s="1">
        <f t="shared" si="14"/>
        <v>-24.595479643574151</v>
      </c>
      <c r="F131" s="1">
        <f t="shared" si="10"/>
        <v>-7.1348657248467067</v>
      </c>
      <c r="G131" s="1"/>
      <c r="H131">
        <f t="shared" si="15"/>
        <v>1</v>
      </c>
      <c r="I131" s="1">
        <f t="shared" si="11"/>
        <v>12.099999999999973</v>
      </c>
    </row>
    <row r="132" spans="2:9" x14ac:dyDescent="0.25">
      <c r="B132" s="1">
        <f t="shared" si="12"/>
        <v>12.199999999999973</v>
      </c>
      <c r="C132" s="1">
        <f t="shared" si="13"/>
        <v>282.93508102951085</v>
      </c>
      <c r="D132" s="1">
        <f t="shared" si="9"/>
        <v>-25.30896621605882</v>
      </c>
      <c r="E132" s="1">
        <f t="shared" si="14"/>
        <v>-25.30896621605882</v>
      </c>
      <c r="F132" s="1">
        <f t="shared" si="10"/>
        <v>-7.0733770257377717</v>
      </c>
      <c r="G132" s="1"/>
      <c r="H132">
        <f t="shared" si="15"/>
        <v>1</v>
      </c>
      <c r="I132" s="1">
        <f t="shared" si="11"/>
        <v>12.199999999999973</v>
      </c>
    </row>
    <row r="133" spans="2:9" x14ac:dyDescent="0.25">
      <c r="B133" s="1">
        <f t="shared" si="12"/>
        <v>12.299999999999972</v>
      </c>
      <c r="C133" s="1">
        <f t="shared" si="13"/>
        <v>280.40418440790495</v>
      </c>
      <c r="D133" s="1">
        <f t="shared" si="9"/>
        <v>-26.016303918632598</v>
      </c>
      <c r="E133" s="1">
        <f t="shared" si="14"/>
        <v>-26.016303918632598</v>
      </c>
      <c r="F133" s="1">
        <f t="shared" si="10"/>
        <v>-7.0101046101976241</v>
      </c>
      <c r="G133" s="1"/>
      <c r="H133">
        <f t="shared" si="15"/>
        <v>1</v>
      </c>
      <c r="I133" s="1">
        <f t="shared" si="11"/>
        <v>12.299999999999972</v>
      </c>
    </row>
    <row r="134" spans="2:9" x14ac:dyDescent="0.25">
      <c r="B134" s="1">
        <f t="shared" si="12"/>
        <v>12.399999999999972</v>
      </c>
      <c r="C134" s="1">
        <f t="shared" si="13"/>
        <v>277.80255401604171</v>
      </c>
      <c r="D134" s="1">
        <f t="shared" si="9"/>
        <v>-26.717314379652361</v>
      </c>
      <c r="E134" s="1">
        <f t="shared" si="14"/>
        <v>-26.717314379652361</v>
      </c>
      <c r="F134" s="1">
        <f t="shared" si="10"/>
        <v>-6.9450638504010431</v>
      </c>
      <c r="G134" s="1"/>
      <c r="H134">
        <f t="shared" si="15"/>
        <v>1</v>
      </c>
      <c r="I134" s="1">
        <f t="shared" si="11"/>
        <v>12.399999999999972</v>
      </c>
    </row>
    <row r="135" spans="2:9" x14ac:dyDescent="0.25">
      <c r="B135" s="1">
        <f t="shared" si="12"/>
        <v>12.499999999999972</v>
      </c>
      <c r="C135" s="1">
        <f t="shared" si="13"/>
        <v>275.13082257807645</v>
      </c>
      <c r="D135" s="1">
        <f t="shared" si="9"/>
        <v>-27.411820764692465</v>
      </c>
      <c r="E135" s="1">
        <f t="shared" si="14"/>
        <v>-27.411820764692465</v>
      </c>
      <c r="F135" s="1">
        <f t="shared" si="10"/>
        <v>-6.8782705644519115</v>
      </c>
      <c r="G135" s="1"/>
      <c r="H135">
        <f t="shared" si="15"/>
        <v>1</v>
      </c>
      <c r="I135" s="1">
        <f t="shared" si="11"/>
        <v>12.499999999999972</v>
      </c>
    </row>
    <row r="136" spans="2:9" x14ac:dyDescent="0.25">
      <c r="B136" s="1">
        <f t="shared" si="12"/>
        <v>12.599999999999971</v>
      </c>
      <c r="C136" s="1">
        <f t="shared" si="13"/>
        <v>272.38964050160718</v>
      </c>
      <c r="D136" s="1">
        <f t="shared" si="9"/>
        <v>-28.099647821137655</v>
      </c>
      <c r="E136" s="1">
        <f t="shared" si="14"/>
        <v>-28.099647821137655</v>
      </c>
      <c r="F136" s="1">
        <f t="shared" si="10"/>
        <v>-6.8097410125401794</v>
      </c>
      <c r="G136" s="1"/>
      <c r="H136">
        <f t="shared" si="15"/>
        <v>1</v>
      </c>
      <c r="I136" s="1">
        <f t="shared" si="11"/>
        <v>12.599999999999971</v>
      </c>
    </row>
    <row r="137" spans="2:9" x14ac:dyDescent="0.25">
      <c r="B137" s="1">
        <f t="shared" si="12"/>
        <v>12.699999999999971</v>
      </c>
      <c r="C137" s="1">
        <f t="shared" si="13"/>
        <v>269.57967571949342</v>
      </c>
      <c r="D137" s="1">
        <f t="shared" si="9"/>
        <v>-28.780621922391674</v>
      </c>
      <c r="E137" s="1">
        <f t="shared" si="14"/>
        <v>-28.780621922391674</v>
      </c>
      <c r="F137" s="1">
        <f t="shared" si="10"/>
        <v>-6.7394918929873358</v>
      </c>
      <c r="G137" s="1"/>
      <c r="H137">
        <f t="shared" si="15"/>
        <v>1</v>
      </c>
      <c r="I137" s="1">
        <f t="shared" si="11"/>
        <v>12.699999999999971</v>
      </c>
    </row>
    <row r="138" spans="2:9" x14ac:dyDescent="0.25">
      <c r="B138" s="1">
        <f t="shared" si="12"/>
        <v>12.799999999999971</v>
      </c>
      <c r="C138" s="1">
        <f t="shared" si="13"/>
        <v>266.70161352725427</v>
      </c>
      <c r="D138" s="1">
        <f t="shared" ref="D138:D201" si="16">E138</f>
        <v>-29.454571111690409</v>
      </c>
      <c r="E138" s="1">
        <f t="shared" si="14"/>
        <v>-29.454571111690409</v>
      </c>
      <c r="F138" s="1">
        <f t="shared" ref="F138:F201" si="17">-$C$3*C138/$C$4-$C$2/$C$4*E138</f>
        <v>-6.6675403381813574</v>
      </c>
      <c r="G138" s="1"/>
      <c r="H138">
        <f t="shared" si="15"/>
        <v>1</v>
      </c>
      <c r="I138" s="1">
        <f t="shared" ref="I138:I201" si="18">B138</f>
        <v>12.799999999999971</v>
      </c>
    </row>
    <row r="139" spans="2:9" x14ac:dyDescent="0.25">
      <c r="B139" s="1">
        <f t="shared" ref="B139:B202" si="19">B138+$C$7</f>
        <v>12.89999999999997</v>
      </c>
      <c r="C139" s="1">
        <f t="shared" ref="C139:C202" si="20">C138+D138*$C$7</f>
        <v>263.75615641608522</v>
      </c>
      <c r="D139" s="1">
        <f t="shared" si="16"/>
        <v>-30.121325145508546</v>
      </c>
      <c r="E139" s="1">
        <f t="shared" ref="E139:E202" si="21">E138+F138*$C$7</f>
        <v>-30.121325145508546</v>
      </c>
      <c r="F139" s="1">
        <f t="shared" si="17"/>
        <v>-6.5939039104021306</v>
      </c>
      <c r="G139" s="1"/>
      <c r="H139">
        <f t="shared" ref="H139:H202" si="22">H138+(D139*D140&lt;0)*1</f>
        <v>1</v>
      </c>
      <c r="I139" s="1">
        <f t="shared" si="18"/>
        <v>12.89999999999997</v>
      </c>
    </row>
    <row r="140" spans="2:9" x14ac:dyDescent="0.25">
      <c r="B140" s="1">
        <f t="shared" si="19"/>
        <v>12.99999999999997</v>
      </c>
      <c r="C140" s="1">
        <f t="shared" si="20"/>
        <v>260.74402390153438</v>
      </c>
      <c r="D140" s="1">
        <f t="shared" si="16"/>
        <v>-30.780715536548758</v>
      </c>
      <c r="E140" s="1">
        <f t="shared" si="21"/>
        <v>-30.780715536548758</v>
      </c>
      <c r="F140" s="1">
        <f t="shared" si="17"/>
        <v>-6.5186005975383594</v>
      </c>
      <c r="G140" s="1"/>
      <c r="H140">
        <f t="shared" si="22"/>
        <v>1</v>
      </c>
      <c r="I140" s="1">
        <f t="shared" si="18"/>
        <v>12.99999999999997</v>
      </c>
    </row>
    <row r="141" spans="2:9" x14ac:dyDescent="0.25">
      <c r="B141" s="1">
        <f t="shared" si="19"/>
        <v>13.099999999999969</v>
      </c>
      <c r="C141" s="1">
        <f t="shared" si="20"/>
        <v>257.66595234787951</v>
      </c>
      <c r="D141" s="1">
        <f t="shared" si="16"/>
        <v>-31.432575596302595</v>
      </c>
      <c r="E141" s="1">
        <f t="shared" si="21"/>
        <v>-31.432575596302595</v>
      </c>
      <c r="F141" s="1">
        <f t="shared" si="17"/>
        <v>-6.4416488086969883</v>
      </c>
      <c r="G141" s="1"/>
      <c r="H141">
        <f t="shared" si="22"/>
        <v>1</v>
      </c>
      <c r="I141" s="1">
        <f t="shared" si="18"/>
        <v>13.099999999999969</v>
      </c>
    </row>
    <row r="142" spans="2:9" x14ac:dyDescent="0.25">
      <c r="B142" s="1">
        <f t="shared" si="19"/>
        <v>13.199999999999969</v>
      </c>
      <c r="C142" s="1">
        <f t="shared" si="20"/>
        <v>254.52269478824925</v>
      </c>
      <c r="D142" s="1">
        <f t="shared" si="16"/>
        <v>-32.076740477172294</v>
      </c>
      <c r="E142" s="1">
        <f t="shared" si="21"/>
        <v>-32.076740477172294</v>
      </c>
      <c r="F142" s="1">
        <f t="shared" si="17"/>
        <v>-6.3630673697062319</v>
      </c>
      <c r="G142" s="1"/>
      <c r="H142">
        <f t="shared" si="22"/>
        <v>1</v>
      </c>
      <c r="I142" s="1">
        <f t="shared" si="18"/>
        <v>13.199999999999969</v>
      </c>
    </row>
    <row r="143" spans="2:9" x14ac:dyDescent="0.25">
      <c r="B143" s="1">
        <f t="shared" si="19"/>
        <v>13.299999999999969</v>
      </c>
      <c r="C143" s="1">
        <f t="shared" si="20"/>
        <v>251.31502074053202</v>
      </c>
      <c r="D143" s="1">
        <f t="shared" si="16"/>
        <v>-32.713047214142918</v>
      </c>
      <c r="E143" s="1">
        <f t="shared" si="21"/>
        <v>-32.713047214142918</v>
      </c>
      <c r="F143" s="1">
        <f t="shared" si="17"/>
        <v>-6.2828755185133005</v>
      </c>
      <c r="G143" s="1"/>
      <c r="H143">
        <f t="shared" si="22"/>
        <v>1</v>
      </c>
      <c r="I143" s="1">
        <f t="shared" si="18"/>
        <v>13.299999999999969</v>
      </c>
    </row>
    <row r="144" spans="2:9" x14ac:dyDescent="0.25">
      <c r="B144" s="1">
        <f t="shared" si="19"/>
        <v>13.399999999999968</v>
      </c>
      <c r="C144" s="1">
        <f t="shared" si="20"/>
        <v>248.04371601911774</v>
      </c>
      <c r="D144" s="1">
        <f t="shared" si="16"/>
        <v>-33.341334765994247</v>
      </c>
      <c r="E144" s="1">
        <f t="shared" si="21"/>
        <v>-33.341334765994247</v>
      </c>
      <c r="F144" s="1">
        <f t="shared" si="17"/>
        <v>-6.2010929004779438</v>
      </c>
      <c r="G144" s="1"/>
      <c r="H144">
        <f t="shared" si="22"/>
        <v>1</v>
      </c>
      <c r="I144" s="1">
        <f t="shared" si="18"/>
        <v>13.399999999999968</v>
      </c>
    </row>
    <row r="145" spans="2:9" x14ac:dyDescent="0.25">
      <c r="B145" s="1">
        <f t="shared" si="19"/>
        <v>13.499999999999968</v>
      </c>
      <c r="C145" s="1">
        <f t="shared" si="20"/>
        <v>244.70958254251832</v>
      </c>
      <c r="D145" s="1">
        <f t="shared" si="16"/>
        <v>-33.961444056042041</v>
      </c>
      <c r="E145" s="1">
        <f t="shared" si="21"/>
        <v>-33.961444056042041</v>
      </c>
      <c r="F145" s="1">
        <f t="shared" si="17"/>
        <v>-6.1177395635629583</v>
      </c>
      <c r="G145" s="1"/>
      <c r="H145">
        <f t="shared" si="22"/>
        <v>1</v>
      </c>
      <c r="I145" s="1">
        <f t="shared" si="18"/>
        <v>13.499999999999968</v>
      </c>
    </row>
    <row r="146" spans="2:9" x14ac:dyDescent="0.25">
      <c r="B146" s="1">
        <f t="shared" si="19"/>
        <v>13.599999999999968</v>
      </c>
      <c r="C146" s="1">
        <f t="shared" si="20"/>
        <v>241.3134381369141</v>
      </c>
      <c r="D146" s="1">
        <f t="shared" si="16"/>
        <v>-34.573218012398335</v>
      </c>
      <c r="E146" s="1">
        <f t="shared" si="21"/>
        <v>-34.573218012398335</v>
      </c>
      <c r="F146" s="1">
        <f t="shared" si="17"/>
        <v>-6.0328359534228531</v>
      </c>
      <c r="G146" s="1"/>
      <c r="H146">
        <f t="shared" si="22"/>
        <v>1</v>
      </c>
      <c r="I146" s="1">
        <f t="shared" si="18"/>
        <v>13.599999999999968</v>
      </c>
    </row>
    <row r="147" spans="2:9" x14ac:dyDescent="0.25">
      <c r="B147" s="1">
        <f t="shared" si="19"/>
        <v>13.699999999999967</v>
      </c>
      <c r="C147" s="1">
        <f t="shared" si="20"/>
        <v>237.85611633567427</v>
      </c>
      <c r="D147" s="1">
        <f t="shared" si="16"/>
        <v>-35.176501607740619</v>
      </c>
      <c r="E147" s="1">
        <f t="shared" si="21"/>
        <v>-35.176501607740619</v>
      </c>
      <c r="F147" s="1">
        <f t="shared" si="17"/>
        <v>-5.9464029083918568</v>
      </c>
      <c r="G147" s="1"/>
      <c r="H147">
        <f t="shared" si="22"/>
        <v>1</v>
      </c>
      <c r="I147" s="1">
        <f t="shared" si="18"/>
        <v>13.699999999999967</v>
      </c>
    </row>
    <row r="148" spans="2:9" x14ac:dyDescent="0.25">
      <c r="B148" s="1">
        <f t="shared" si="19"/>
        <v>13.799999999999967</v>
      </c>
      <c r="C148" s="1">
        <f t="shared" si="20"/>
        <v>234.33846617490022</v>
      </c>
      <c r="D148" s="1">
        <f t="shared" si="16"/>
        <v>-35.771141898579806</v>
      </c>
      <c r="E148" s="1">
        <f t="shared" si="21"/>
        <v>-35.771141898579806</v>
      </c>
      <c r="F148" s="1">
        <f t="shared" si="17"/>
        <v>-5.8584616543725057</v>
      </c>
      <c r="G148" s="1"/>
      <c r="H148">
        <f t="shared" si="22"/>
        <v>1</v>
      </c>
      <c r="I148" s="1">
        <f t="shared" si="18"/>
        <v>13.799999999999967</v>
      </c>
    </row>
    <row r="149" spans="2:9" x14ac:dyDescent="0.25">
      <c r="B149" s="1">
        <f t="shared" si="19"/>
        <v>13.899999999999967</v>
      </c>
      <c r="C149" s="1">
        <f t="shared" si="20"/>
        <v>230.76135198504224</v>
      </c>
      <c r="D149" s="1">
        <f t="shared" si="16"/>
        <v>-36.35698806401706</v>
      </c>
      <c r="E149" s="1">
        <f t="shared" si="21"/>
        <v>-36.35698806401706</v>
      </c>
      <c r="F149" s="1">
        <f t="shared" si="17"/>
        <v>-5.7690337996260563</v>
      </c>
      <c r="G149" s="1"/>
      <c r="H149">
        <f t="shared" si="22"/>
        <v>1</v>
      </c>
      <c r="I149" s="1">
        <f t="shared" si="18"/>
        <v>13.899999999999967</v>
      </c>
    </row>
    <row r="150" spans="2:9" x14ac:dyDescent="0.25">
      <c r="B150" s="1">
        <f t="shared" si="19"/>
        <v>13.999999999999966</v>
      </c>
      <c r="C150" s="1">
        <f t="shared" si="20"/>
        <v>227.12565317864053</v>
      </c>
      <c r="D150" s="1">
        <f t="shared" si="16"/>
        <v>-36.933891443979668</v>
      </c>
      <c r="E150" s="1">
        <f t="shared" si="21"/>
        <v>-36.933891443979668</v>
      </c>
      <c r="F150" s="1">
        <f t="shared" si="17"/>
        <v>-5.6781413294660137</v>
      </c>
      <c r="G150" s="1"/>
      <c r="H150">
        <f t="shared" si="22"/>
        <v>1</v>
      </c>
      <c r="I150" s="1">
        <f t="shared" si="18"/>
        <v>13.999999999999966</v>
      </c>
    </row>
    <row r="151" spans="2:9" x14ac:dyDescent="0.25">
      <c r="B151" s="1">
        <f t="shared" si="19"/>
        <v>14.099999999999966</v>
      </c>
      <c r="C151" s="1">
        <f t="shared" si="20"/>
        <v>223.43226403424256</v>
      </c>
      <c r="D151" s="1">
        <f t="shared" si="16"/>
        <v>-37.50170557692627</v>
      </c>
      <c r="E151" s="1">
        <f t="shared" si="21"/>
        <v>-37.50170557692627</v>
      </c>
      <c r="F151" s="1">
        <f t="shared" si="17"/>
        <v>-5.5858066008560643</v>
      </c>
      <c r="G151" s="1"/>
      <c r="H151">
        <f t="shared" si="22"/>
        <v>1</v>
      </c>
      <c r="I151" s="1">
        <f t="shared" si="18"/>
        <v>14.099999999999966</v>
      </c>
    </row>
    <row r="152" spans="2:9" x14ac:dyDescent="0.25">
      <c r="B152" s="1">
        <f t="shared" si="19"/>
        <v>14.199999999999966</v>
      </c>
      <c r="C152" s="1">
        <f t="shared" si="20"/>
        <v>219.68209347654994</v>
      </c>
      <c r="D152" s="1">
        <f t="shared" si="16"/>
        <v>-38.060286237011873</v>
      </c>
      <c r="E152" s="1">
        <f t="shared" si="21"/>
        <v>-38.060286237011873</v>
      </c>
      <c r="F152" s="1">
        <f t="shared" si="17"/>
        <v>-5.4920523369137486</v>
      </c>
      <c r="G152" s="1"/>
      <c r="H152">
        <f t="shared" si="22"/>
        <v>1</v>
      </c>
      <c r="I152" s="1">
        <f t="shared" si="18"/>
        <v>14.199999999999966</v>
      </c>
    </row>
    <row r="153" spans="2:9" x14ac:dyDescent="0.25">
      <c r="B153" s="1">
        <f t="shared" si="19"/>
        <v>14.299999999999965</v>
      </c>
      <c r="C153" s="1">
        <f t="shared" si="20"/>
        <v>215.87606485284874</v>
      </c>
      <c r="D153" s="1">
        <f t="shared" si="16"/>
        <v>-38.609491470703247</v>
      </c>
      <c r="E153" s="1">
        <f t="shared" si="21"/>
        <v>-38.609491470703247</v>
      </c>
      <c r="F153" s="1">
        <f t="shared" si="17"/>
        <v>-5.3969016213212191</v>
      </c>
      <c r="G153" s="1"/>
      <c r="H153">
        <f t="shared" si="22"/>
        <v>1</v>
      </c>
      <c r="I153" s="1">
        <f t="shared" si="18"/>
        <v>14.299999999999965</v>
      </c>
    </row>
    <row r="154" spans="2:9" x14ac:dyDescent="0.25">
      <c r="B154" s="1">
        <f t="shared" si="19"/>
        <v>14.399999999999965</v>
      </c>
      <c r="C154" s="1">
        <f t="shared" si="20"/>
        <v>212.01511570577841</v>
      </c>
      <c r="D154" s="1">
        <f t="shared" si="16"/>
        <v>-39.149181632835372</v>
      </c>
      <c r="E154" s="1">
        <f t="shared" si="21"/>
        <v>-39.149181632835372</v>
      </c>
      <c r="F154" s="1">
        <f t="shared" si="17"/>
        <v>-5.3003778926444607</v>
      </c>
      <c r="G154" s="1"/>
      <c r="H154">
        <f t="shared" si="22"/>
        <v>1</v>
      </c>
      <c r="I154" s="1">
        <f t="shared" si="18"/>
        <v>14.399999999999965</v>
      </c>
    </row>
    <row r="155" spans="2:9" x14ac:dyDescent="0.25">
      <c r="B155" s="1">
        <f t="shared" si="19"/>
        <v>14.499999999999964</v>
      </c>
      <c r="C155" s="1">
        <f t="shared" si="20"/>
        <v>208.10019754249487</v>
      </c>
      <c r="D155" s="1">
        <f t="shared" si="16"/>
        <v>-39.67921942209982</v>
      </c>
      <c r="E155" s="1">
        <f t="shared" si="21"/>
        <v>-39.67921942209982</v>
      </c>
      <c r="F155" s="1">
        <f t="shared" si="17"/>
        <v>-5.2025049385623721</v>
      </c>
      <c r="G155" s="1"/>
      <c r="H155">
        <f t="shared" si="22"/>
        <v>1</v>
      </c>
      <c r="I155" s="1">
        <f t="shared" si="18"/>
        <v>14.499999999999964</v>
      </c>
    </row>
    <row r="156" spans="2:9" x14ac:dyDescent="0.25">
      <c r="B156" s="1">
        <f t="shared" si="19"/>
        <v>14.599999999999964</v>
      </c>
      <c r="C156" s="1">
        <f t="shared" si="20"/>
        <v>204.13227560028488</v>
      </c>
      <c r="D156" s="1">
        <f t="shared" si="16"/>
        <v>-40.199469915956058</v>
      </c>
      <c r="E156" s="1">
        <f t="shared" si="21"/>
        <v>-40.199469915956058</v>
      </c>
      <c r="F156" s="1">
        <f t="shared" si="17"/>
        <v>-5.1033068900071221</v>
      </c>
      <c r="G156" s="1"/>
      <c r="H156">
        <f t="shared" si="22"/>
        <v>1</v>
      </c>
      <c r="I156" s="1">
        <f t="shared" si="18"/>
        <v>14.599999999999964</v>
      </c>
    </row>
    <row r="157" spans="2:9" x14ac:dyDescent="0.25">
      <c r="B157" s="1">
        <f t="shared" si="19"/>
        <v>14.699999999999964</v>
      </c>
      <c r="C157" s="1">
        <f t="shared" si="20"/>
        <v>200.11232860868927</v>
      </c>
      <c r="D157" s="1">
        <f t="shared" si="16"/>
        <v>-40.709800604956769</v>
      </c>
      <c r="E157" s="1">
        <f t="shared" si="21"/>
        <v>-40.709800604956769</v>
      </c>
      <c r="F157" s="1">
        <f t="shared" si="17"/>
        <v>-5.0028082152172324</v>
      </c>
      <c r="G157" s="1"/>
      <c r="H157">
        <f t="shared" si="22"/>
        <v>1</v>
      </c>
      <c r="I157" s="1">
        <f t="shared" si="18"/>
        <v>14.699999999999964</v>
      </c>
    </row>
    <row r="158" spans="2:9" x14ac:dyDescent="0.25">
      <c r="B158" s="1">
        <f t="shared" si="19"/>
        <v>14.799999999999963</v>
      </c>
      <c r="C158" s="1">
        <f t="shared" si="20"/>
        <v>196.04134854819358</v>
      </c>
      <c r="D158" s="1">
        <f t="shared" si="16"/>
        <v>-41.210081426478489</v>
      </c>
      <c r="E158" s="1">
        <f t="shared" si="21"/>
        <v>-41.210081426478489</v>
      </c>
      <c r="F158" s="1">
        <f t="shared" si="17"/>
        <v>-4.9010337137048401</v>
      </c>
      <c r="G158" s="1"/>
      <c r="H158">
        <f t="shared" si="22"/>
        <v>1</v>
      </c>
      <c r="I158" s="1">
        <f t="shared" si="18"/>
        <v>14.799999999999963</v>
      </c>
    </row>
    <row r="159" spans="2:9" x14ac:dyDescent="0.25">
      <c r="B159" s="1">
        <f t="shared" si="19"/>
        <v>14.899999999999963</v>
      </c>
      <c r="C159" s="1">
        <f t="shared" si="20"/>
        <v>191.92034040554574</v>
      </c>
      <c r="D159" s="1">
        <f t="shared" si="16"/>
        <v>-41.700184797848969</v>
      </c>
      <c r="E159" s="1">
        <f t="shared" si="21"/>
        <v>-41.700184797848969</v>
      </c>
      <c r="F159" s="1">
        <f t="shared" si="17"/>
        <v>-4.7980085101386436</v>
      </c>
      <c r="G159" s="1"/>
      <c r="H159">
        <f t="shared" si="22"/>
        <v>1</v>
      </c>
      <c r="I159" s="1">
        <f t="shared" si="18"/>
        <v>14.899999999999963</v>
      </c>
    </row>
    <row r="160" spans="2:9" x14ac:dyDescent="0.25">
      <c r="B160" s="1">
        <f t="shared" si="19"/>
        <v>14.999999999999963</v>
      </c>
      <c r="C160" s="1">
        <f t="shared" si="20"/>
        <v>187.75032192576086</v>
      </c>
      <c r="D160" s="1">
        <f t="shared" si="16"/>
        <v>-42.179985648862832</v>
      </c>
      <c r="E160" s="1">
        <f t="shared" si="21"/>
        <v>-42.179985648862832</v>
      </c>
      <c r="F160" s="1">
        <f t="shared" si="17"/>
        <v>-4.693758048144022</v>
      </c>
      <c r="G160" s="1"/>
      <c r="H160">
        <f t="shared" si="22"/>
        <v>1</v>
      </c>
      <c r="I160" s="1">
        <f t="shared" si="18"/>
        <v>14.999999999999963</v>
      </c>
    </row>
    <row r="161" spans="2:9" x14ac:dyDescent="0.25">
      <c r="B161" s="1">
        <f t="shared" si="19"/>
        <v>15.099999999999962</v>
      </c>
      <c r="C161" s="1">
        <f t="shared" si="20"/>
        <v>183.53232336087459</v>
      </c>
      <c r="D161" s="1">
        <f t="shared" si="16"/>
        <v>-42.649361453677237</v>
      </c>
      <c r="E161" s="1">
        <f t="shared" si="21"/>
        <v>-42.649361453677237</v>
      </c>
      <c r="F161" s="1">
        <f t="shared" si="17"/>
        <v>-4.5883080840218646</v>
      </c>
      <c r="G161" s="1"/>
      <c r="H161">
        <f t="shared" si="22"/>
        <v>1</v>
      </c>
      <c r="I161" s="1">
        <f t="shared" si="18"/>
        <v>15.099999999999962</v>
      </c>
    </row>
    <row r="162" spans="2:9" x14ac:dyDescent="0.25">
      <c r="B162" s="1">
        <f t="shared" si="19"/>
        <v>15.199999999999962</v>
      </c>
      <c r="C162" s="1">
        <f t="shared" si="20"/>
        <v>179.26738721550686</v>
      </c>
      <c r="D162" s="1">
        <f t="shared" si="16"/>
        <v>-43.10819226207942</v>
      </c>
      <c r="E162" s="1">
        <f t="shared" si="21"/>
        <v>-43.10819226207942</v>
      </c>
      <c r="F162" s="1">
        <f t="shared" si="17"/>
        <v>-4.481684680387672</v>
      </c>
      <c r="G162" s="1"/>
      <c r="H162">
        <f t="shared" si="22"/>
        <v>1</v>
      </c>
      <c r="I162" s="1">
        <f t="shared" si="18"/>
        <v>15.199999999999962</v>
      </c>
    </row>
    <row r="163" spans="2:9" x14ac:dyDescent="0.25">
      <c r="B163" s="1">
        <f t="shared" si="19"/>
        <v>15.299999999999962</v>
      </c>
      <c r="C163" s="1">
        <f t="shared" si="20"/>
        <v>174.95656798929892</v>
      </c>
      <c r="D163" s="1">
        <f t="shared" si="16"/>
        <v>-43.556360730118186</v>
      </c>
      <c r="E163" s="1">
        <f t="shared" si="21"/>
        <v>-43.556360730118186</v>
      </c>
      <c r="F163" s="1">
        <f t="shared" si="17"/>
        <v>-4.3739141997324733</v>
      </c>
      <c r="G163" s="1"/>
      <c r="H163">
        <f t="shared" si="22"/>
        <v>1</v>
      </c>
      <c r="I163" s="1">
        <f t="shared" si="18"/>
        <v>15.299999999999962</v>
      </c>
    </row>
    <row r="164" spans="2:9" x14ac:dyDescent="0.25">
      <c r="B164" s="1">
        <f t="shared" si="19"/>
        <v>15.399999999999961</v>
      </c>
      <c r="C164" s="1">
        <f t="shared" si="20"/>
        <v>170.6009319162871</v>
      </c>
      <c r="D164" s="1">
        <f t="shared" si="16"/>
        <v>-43.993752150091431</v>
      </c>
      <c r="E164" s="1">
        <f t="shared" si="21"/>
        <v>-43.993752150091431</v>
      </c>
      <c r="F164" s="1">
        <f t="shared" si="17"/>
        <v>-4.2650232979071774</v>
      </c>
      <c r="G164" s="1"/>
      <c r="H164">
        <f t="shared" si="22"/>
        <v>1</v>
      </c>
      <c r="I164" s="1">
        <f t="shared" si="18"/>
        <v>15.399999999999961</v>
      </c>
    </row>
    <row r="165" spans="2:9" x14ac:dyDescent="0.25">
      <c r="B165" s="1">
        <f t="shared" si="19"/>
        <v>15.499999999999961</v>
      </c>
      <c r="C165" s="1">
        <f t="shared" si="20"/>
        <v>166.20155670127795</v>
      </c>
      <c r="D165" s="1">
        <f t="shared" si="16"/>
        <v>-44.420254479882146</v>
      </c>
      <c r="E165" s="1">
        <f t="shared" si="21"/>
        <v>-44.420254479882146</v>
      </c>
      <c r="F165" s="1">
        <f t="shared" si="17"/>
        <v>-4.1550389175319493</v>
      </c>
      <c r="G165" s="1"/>
      <c r="H165">
        <f t="shared" si="22"/>
        <v>1</v>
      </c>
      <c r="I165" s="1">
        <f t="shared" si="18"/>
        <v>15.499999999999961</v>
      </c>
    </row>
    <row r="166" spans="2:9" x14ac:dyDescent="0.25">
      <c r="B166" s="1">
        <f t="shared" si="19"/>
        <v>15.599999999999961</v>
      </c>
      <c r="C166" s="1">
        <f t="shared" si="20"/>
        <v>161.75953125328974</v>
      </c>
      <c r="D166" s="1">
        <f t="shared" si="16"/>
        <v>-44.835758371635343</v>
      </c>
      <c r="E166" s="1">
        <f t="shared" si="21"/>
        <v>-44.835758371635343</v>
      </c>
      <c r="F166" s="1">
        <f t="shared" si="17"/>
        <v>-4.0439882813322434</v>
      </c>
      <c r="G166" s="1"/>
      <c r="H166">
        <f t="shared" si="22"/>
        <v>1</v>
      </c>
      <c r="I166" s="1">
        <f t="shared" si="18"/>
        <v>15.599999999999961</v>
      </c>
    </row>
    <row r="167" spans="2:9" x14ac:dyDescent="0.25">
      <c r="B167" s="1">
        <f t="shared" si="19"/>
        <v>15.69999999999996</v>
      </c>
      <c r="C167" s="1">
        <f t="shared" si="20"/>
        <v>157.27595541612621</v>
      </c>
      <c r="D167" s="1">
        <f t="shared" si="16"/>
        <v>-45.240157199768568</v>
      </c>
      <c r="E167" s="1">
        <f t="shared" si="21"/>
        <v>-45.240157199768568</v>
      </c>
      <c r="F167" s="1">
        <f t="shared" si="17"/>
        <v>-3.9318988854031556</v>
      </c>
      <c r="G167" s="1"/>
      <c r="H167">
        <f t="shared" si="22"/>
        <v>1</v>
      </c>
      <c r="I167" s="1">
        <f t="shared" si="18"/>
        <v>15.69999999999996</v>
      </c>
    </row>
    <row r="168" spans="2:9" x14ac:dyDescent="0.25">
      <c r="B168" s="1">
        <f t="shared" si="19"/>
        <v>15.79999999999996</v>
      </c>
      <c r="C168" s="1">
        <f t="shared" si="20"/>
        <v>152.75193969614935</v>
      </c>
      <c r="D168" s="1">
        <f t="shared" si="16"/>
        <v>-45.633347088308881</v>
      </c>
      <c r="E168" s="1">
        <f t="shared" si="21"/>
        <v>-45.633347088308881</v>
      </c>
      <c r="F168" s="1">
        <f t="shared" si="17"/>
        <v>-3.8187984924037339</v>
      </c>
      <c r="G168" s="1"/>
      <c r="H168">
        <f t="shared" si="22"/>
        <v>1</v>
      </c>
      <c r="I168" s="1">
        <f t="shared" si="18"/>
        <v>15.79999999999996</v>
      </c>
    </row>
    <row r="169" spans="2:9" x14ac:dyDescent="0.25">
      <c r="B169" s="1">
        <f t="shared" si="19"/>
        <v>15.899999999999959</v>
      </c>
      <c r="C169" s="1">
        <f t="shared" si="20"/>
        <v>148.18860498731846</v>
      </c>
      <c r="D169" s="1">
        <f t="shared" si="16"/>
        <v>-46.015226937549251</v>
      </c>
      <c r="E169" s="1">
        <f t="shared" si="21"/>
        <v>-46.015226937549251</v>
      </c>
      <c r="F169" s="1">
        <f t="shared" si="17"/>
        <v>-3.7047151246829615</v>
      </c>
      <c r="G169" s="1"/>
      <c r="H169">
        <f t="shared" si="22"/>
        <v>1</v>
      </c>
      <c r="I169" s="1">
        <f t="shared" si="18"/>
        <v>15.899999999999959</v>
      </c>
    </row>
    <row r="170" spans="2:9" x14ac:dyDescent="0.25">
      <c r="B170" s="1">
        <f t="shared" si="19"/>
        <v>15.999999999999959</v>
      </c>
      <c r="C170" s="1">
        <f t="shared" si="20"/>
        <v>143.58708229356353</v>
      </c>
      <c r="D170" s="1">
        <f t="shared" si="16"/>
        <v>-46.38569845001755</v>
      </c>
      <c r="E170" s="1">
        <f t="shared" si="21"/>
        <v>-46.38569845001755</v>
      </c>
      <c r="F170" s="1">
        <f t="shared" si="17"/>
        <v>-3.5896770573390882</v>
      </c>
      <c r="G170" s="1"/>
      <c r="H170">
        <f t="shared" si="22"/>
        <v>1</v>
      </c>
      <c r="I170" s="1">
        <f t="shared" si="18"/>
        <v>15.999999999999959</v>
      </c>
    </row>
    <row r="171" spans="2:9" x14ac:dyDescent="0.25">
      <c r="B171" s="1">
        <f t="shared" si="19"/>
        <v>16.099999999999959</v>
      </c>
      <c r="C171" s="1">
        <f t="shared" si="20"/>
        <v>138.94851244856176</v>
      </c>
      <c r="D171" s="1">
        <f t="shared" si="16"/>
        <v>-46.74466615575146</v>
      </c>
      <c r="E171" s="1">
        <f t="shared" si="21"/>
        <v>-46.74466615575146</v>
      </c>
      <c r="F171" s="1">
        <f t="shared" si="17"/>
        <v>-3.4737128112140443</v>
      </c>
      <c r="G171" s="1"/>
      <c r="H171">
        <f t="shared" si="22"/>
        <v>1</v>
      </c>
      <c r="I171" s="1">
        <f t="shared" si="18"/>
        <v>16.099999999999959</v>
      </c>
    </row>
    <row r="172" spans="2:9" x14ac:dyDescent="0.25">
      <c r="B172" s="1">
        <f t="shared" si="19"/>
        <v>16.19999999999996</v>
      </c>
      <c r="C172" s="1">
        <f t="shared" si="20"/>
        <v>134.27404583298662</v>
      </c>
      <c r="D172" s="1">
        <f t="shared" si="16"/>
        <v>-47.092037436872864</v>
      </c>
      <c r="E172" s="1">
        <f t="shared" si="21"/>
        <v>-47.092037436872864</v>
      </c>
      <c r="F172" s="1">
        <f t="shared" si="17"/>
        <v>-3.3568511458246655</v>
      </c>
      <c r="G172" s="1"/>
      <c r="H172">
        <f t="shared" si="22"/>
        <v>1</v>
      </c>
      <c r="I172" s="1">
        <f t="shared" si="18"/>
        <v>16.19999999999996</v>
      </c>
    </row>
    <row r="173" spans="2:9" x14ac:dyDescent="0.25">
      <c r="B173" s="1">
        <f t="shared" si="19"/>
        <v>16.299999999999962</v>
      </c>
      <c r="C173" s="1">
        <f t="shared" si="20"/>
        <v>129.56484208929933</v>
      </c>
      <c r="D173" s="1">
        <f t="shared" si="16"/>
        <v>-47.427722551455332</v>
      </c>
      <c r="E173" s="1">
        <f t="shared" si="21"/>
        <v>-47.427722551455332</v>
      </c>
      <c r="F173" s="1">
        <f t="shared" si="17"/>
        <v>-3.2391210522324836</v>
      </c>
      <c r="G173" s="1"/>
      <c r="H173">
        <f t="shared" si="22"/>
        <v>1</v>
      </c>
      <c r="I173" s="1">
        <f t="shared" si="18"/>
        <v>16.299999999999962</v>
      </c>
    </row>
    <row r="174" spans="2:9" x14ac:dyDescent="0.25">
      <c r="B174" s="1">
        <f t="shared" si="19"/>
        <v>16.399999999999963</v>
      </c>
      <c r="C174" s="1">
        <f t="shared" si="20"/>
        <v>124.82206983415379</v>
      </c>
      <c r="D174" s="1">
        <f t="shared" si="16"/>
        <v>-47.751634656678583</v>
      </c>
      <c r="E174" s="1">
        <f t="shared" si="21"/>
        <v>-47.751634656678583</v>
      </c>
      <c r="F174" s="1">
        <f t="shared" si="17"/>
        <v>-3.1205517458538452</v>
      </c>
      <c r="G174" s="1"/>
      <c r="H174">
        <f t="shared" si="22"/>
        <v>1</v>
      </c>
      <c r="I174" s="1">
        <f t="shared" si="18"/>
        <v>16.399999999999963</v>
      </c>
    </row>
    <row r="175" spans="2:9" x14ac:dyDescent="0.25">
      <c r="B175" s="1">
        <f t="shared" si="19"/>
        <v>16.499999999999964</v>
      </c>
      <c r="C175" s="1">
        <f t="shared" si="20"/>
        <v>120.04690636848593</v>
      </c>
      <c r="D175" s="1">
        <f t="shared" si="16"/>
        <v>-48.063689831263964</v>
      </c>
      <c r="E175" s="1">
        <f t="shared" si="21"/>
        <v>-48.063689831263964</v>
      </c>
      <c r="F175" s="1">
        <f t="shared" si="17"/>
        <v>-3.0011726592121484</v>
      </c>
      <c r="G175" s="1"/>
      <c r="H175">
        <f t="shared" si="22"/>
        <v>1</v>
      </c>
      <c r="I175" s="1">
        <f t="shared" si="18"/>
        <v>16.499999999999964</v>
      </c>
    </row>
    <row r="176" spans="2:9" x14ac:dyDescent="0.25">
      <c r="B176" s="1">
        <f t="shared" si="19"/>
        <v>16.599999999999966</v>
      </c>
      <c r="C176" s="1">
        <f t="shared" si="20"/>
        <v>115.24053738535954</v>
      </c>
      <c r="D176" s="1">
        <f t="shared" si="16"/>
        <v>-48.36380709718518</v>
      </c>
      <c r="E176" s="1">
        <f t="shared" si="21"/>
        <v>-48.36380709718518</v>
      </c>
      <c r="F176" s="1">
        <f t="shared" si="17"/>
        <v>-2.8810134346339886</v>
      </c>
      <c r="G176" s="1"/>
      <c r="H176">
        <f t="shared" si="22"/>
        <v>1</v>
      </c>
      <c r="I176" s="1">
        <f t="shared" si="18"/>
        <v>16.599999999999966</v>
      </c>
    </row>
    <row r="177" spans="2:9" x14ac:dyDescent="0.25">
      <c r="B177" s="1">
        <f t="shared" si="19"/>
        <v>16.699999999999967</v>
      </c>
      <c r="C177" s="1">
        <f t="shared" si="20"/>
        <v>110.40415667564102</v>
      </c>
      <c r="D177" s="1">
        <f t="shared" si="16"/>
        <v>-48.651908440648576</v>
      </c>
      <c r="E177" s="1">
        <f t="shared" si="21"/>
        <v>-48.651908440648576</v>
      </c>
      <c r="F177" s="1">
        <f t="shared" si="17"/>
        <v>-2.7601039168910257</v>
      </c>
      <c r="G177" s="1"/>
      <c r="H177">
        <f t="shared" si="22"/>
        <v>1</v>
      </c>
      <c r="I177" s="1">
        <f t="shared" si="18"/>
        <v>16.699999999999967</v>
      </c>
    </row>
    <row r="178" spans="2:9" x14ac:dyDescent="0.25">
      <c r="B178" s="1">
        <f t="shared" si="19"/>
        <v>16.799999999999969</v>
      </c>
      <c r="C178" s="1">
        <f t="shared" si="20"/>
        <v>105.53896583157616</v>
      </c>
      <c r="D178" s="1">
        <f t="shared" si="16"/>
        <v>-48.927918832337681</v>
      </c>
      <c r="E178" s="1">
        <f t="shared" si="21"/>
        <v>-48.927918832337681</v>
      </c>
      <c r="F178" s="1">
        <f t="shared" si="17"/>
        <v>-2.6384741457894041</v>
      </c>
      <c r="G178" s="1"/>
      <c r="H178">
        <f t="shared" si="22"/>
        <v>1</v>
      </c>
      <c r="I178" s="1">
        <f t="shared" si="18"/>
        <v>16.799999999999969</v>
      </c>
    </row>
    <row r="179" spans="2:9" x14ac:dyDescent="0.25">
      <c r="B179" s="1">
        <f t="shared" si="19"/>
        <v>16.89999999999997</v>
      </c>
      <c r="C179" s="1">
        <f t="shared" si="20"/>
        <v>100.64617394834239</v>
      </c>
      <c r="D179" s="1">
        <f t="shared" si="16"/>
        <v>-49.191766246916622</v>
      </c>
      <c r="E179" s="1">
        <f t="shared" si="21"/>
        <v>-49.191766246916622</v>
      </c>
      <c r="F179" s="1">
        <f t="shared" si="17"/>
        <v>-2.51615434870856</v>
      </c>
      <c r="G179" s="1"/>
      <c r="H179">
        <f t="shared" si="22"/>
        <v>1</v>
      </c>
      <c r="I179" s="1">
        <f t="shared" si="18"/>
        <v>16.89999999999997</v>
      </c>
    </row>
    <row r="180" spans="2:9" x14ac:dyDescent="0.25">
      <c r="B180" s="1">
        <f t="shared" si="19"/>
        <v>16.999999999999972</v>
      </c>
      <c r="C180" s="1">
        <f t="shared" si="20"/>
        <v>95.726997323650735</v>
      </c>
      <c r="D180" s="1">
        <f t="shared" si="16"/>
        <v>-49.443381681787478</v>
      </c>
      <c r="E180" s="1">
        <f t="shared" si="21"/>
        <v>-49.443381681787478</v>
      </c>
      <c r="F180" s="1">
        <f t="shared" si="17"/>
        <v>-2.3931749330912684</v>
      </c>
      <c r="G180" s="1"/>
      <c r="H180">
        <f t="shared" si="22"/>
        <v>1</v>
      </c>
      <c r="I180" s="1">
        <f t="shared" si="18"/>
        <v>16.999999999999972</v>
      </c>
    </row>
    <row r="181" spans="2:9" x14ac:dyDescent="0.25">
      <c r="B181" s="1">
        <f t="shared" si="19"/>
        <v>17.099999999999973</v>
      </c>
      <c r="C181" s="1">
        <f t="shared" si="20"/>
        <v>90.78265915547199</v>
      </c>
      <c r="D181" s="1">
        <f t="shared" si="16"/>
        <v>-49.682699175096609</v>
      </c>
      <c r="E181" s="1">
        <f t="shared" si="21"/>
        <v>-49.682699175096609</v>
      </c>
      <c r="F181" s="1">
        <f t="shared" si="17"/>
        <v>-2.2695664788867997</v>
      </c>
      <c r="G181" s="1"/>
      <c r="H181">
        <f t="shared" si="22"/>
        <v>1</v>
      </c>
      <c r="I181" s="1">
        <f t="shared" si="18"/>
        <v>17.099999999999973</v>
      </c>
    </row>
    <row r="182" spans="2:9" x14ac:dyDescent="0.25">
      <c r="B182" s="1">
        <f t="shared" si="19"/>
        <v>17.199999999999974</v>
      </c>
      <c r="C182" s="1">
        <f t="shared" si="20"/>
        <v>85.814389237962331</v>
      </c>
      <c r="D182" s="1">
        <f t="shared" si="16"/>
        <v>-49.909655822985286</v>
      </c>
      <c r="E182" s="1">
        <f t="shared" si="21"/>
        <v>-49.909655822985286</v>
      </c>
      <c r="F182" s="1">
        <f t="shared" si="17"/>
        <v>-2.1453597309490582</v>
      </c>
      <c r="G182" s="1"/>
      <c r="H182">
        <f t="shared" si="22"/>
        <v>1</v>
      </c>
      <c r="I182" s="1">
        <f t="shared" si="18"/>
        <v>17.199999999999974</v>
      </c>
    </row>
    <row r="183" spans="2:9" x14ac:dyDescent="0.25">
      <c r="B183" s="1">
        <f t="shared" si="19"/>
        <v>17.299999999999976</v>
      </c>
      <c r="C183" s="1">
        <f t="shared" si="20"/>
        <v>80.823423655663802</v>
      </c>
      <c r="D183" s="1">
        <f t="shared" si="16"/>
        <v>-50.12419179608019</v>
      </c>
      <c r="E183" s="1">
        <f t="shared" si="21"/>
        <v>-50.12419179608019</v>
      </c>
      <c r="F183" s="1">
        <f t="shared" si="17"/>
        <v>-2.0205855913915953</v>
      </c>
      <c r="G183" s="1"/>
      <c r="H183">
        <f t="shared" si="22"/>
        <v>1</v>
      </c>
      <c r="I183" s="1">
        <f t="shared" si="18"/>
        <v>17.299999999999976</v>
      </c>
    </row>
    <row r="184" spans="2:9" x14ac:dyDescent="0.25">
      <c r="B184" s="1">
        <f t="shared" si="19"/>
        <v>17.399999999999977</v>
      </c>
      <c r="C184" s="1">
        <f t="shared" si="20"/>
        <v>75.811004476055786</v>
      </c>
      <c r="D184" s="1">
        <f t="shared" si="16"/>
        <v>-50.326250355219351</v>
      </c>
      <c r="E184" s="1">
        <f t="shared" si="21"/>
        <v>-50.326250355219351</v>
      </c>
      <c r="F184" s="1">
        <f t="shared" si="17"/>
        <v>-1.8952751119013946</v>
      </c>
      <c r="G184" s="1"/>
      <c r="H184">
        <f t="shared" si="22"/>
        <v>1</v>
      </c>
      <c r="I184" s="1">
        <f t="shared" si="18"/>
        <v>17.399999999999977</v>
      </c>
    </row>
    <row r="185" spans="2:9" x14ac:dyDescent="0.25">
      <c r="B185" s="1">
        <f t="shared" si="19"/>
        <v>17.499999999999979</v>
      </c>
      <c r="C185" s="1">
        <f t="shared" si="20"/>
        <v>70.778379440533854</v>
      </c>
      <c r="D185" s="1">
        <f t="shared" si="16"/>
        <v>-50.515777866409493</v>
      </c>
      <c r="E185" s="1">
        <f t="shared" si="21"/>
        <v>-50.515777866409493</v>
      </c>
      <c r="F185" s="1">
        <f t="shared" si="17"/>
        <v>-1.7694594860133463</v>
      </c>
      <c r="G185" s="1"/>
      <c r="H185">
        <f t="shared" si="22"/>
        <v>1</v>
      </c>
      <c r="I185" s="1">
        <f t="shared" si="18"/>
        <v>17.499999999999979</v>
      </c>
    </row>
    <row r="186" spans="2:9" x14ac:dyDescent="0.25">
      <c r="B186" s="1">
        <f t="shared" si="19"/>
        <v>17.59999999999998</v>
      </c>
      <c r="C186" s="1">
        <f t="shared" si="20"/>
        <v>65.726801653892906</v>
      </c>
      <c r="D186" s="1">
        <f t="shared" si="16"/>
        <v>-50.692723815010829</v>
      </c>
      <c r="E186" s="1">
        <f t="shared" si="21"/>
        <v>-50.692723815010829</v>
      </c>
      <c r="F186" s="1">
        <f t="shared" si="17"/>
        <v>-1.6431700413473227</v>
      </c>
      <c r="G186" s="1"/>
      <c r="H186">
        <f t="shared" si="22"/>
        <v>1</v>
      </c>
      <c r="I186" s="1">
        <f t="shared" si="18"/>
        <v>17.59999999999998</v>
      </c>
    </row>
    <row r="187" spans="2:9" x14ac:dyDescent="0.25">
      <c r="B187" s="1">
        <f t="shared" si="19"/>
        <v>17.699999999999982</v>
      </c>
      <c r="C187" s="1">
        <f t="shared" si="20"/>
        <v>60.657529272391827</v>
      </c>
      <c r="D187" s="1">
        <f t="shared" si="16"/>
        <v>-50.85704081914556</v>
      </c>
      <c r="E187" s="1">
        <f t="shared" si="21"/>
        <v>-50.85704081914556</v>
      </c>
      <c r="F187" s="1">
        <f t="shared" si="17"/>
        <v>-1.5164382318097958</v>
      </c>
      <c r="G187" s="1"/>
      <c r="H187">
        <f t="shared" si="22"/>
        <v>1</v>
      </c>
      <c r="I187" s="1">
        <f t="shared" si="18"/>
        <v>17.699999999999982</v>
      </c>
    </row>
    <row r="188" spans="2:9" x14ac:dyDescent="0.25">
      <c r="B188" s="1">
        <f t="shared" si="19"/>
        <v>17.799999999999983</v>
      </c>
      <c r="C188" s="1">
        <f t="shared" si="20"/>
        <v>55.57182519047727</v>
      </c>
      <c r="D188" s="1">
        <f t="shared" si="16"/>
        <v>-51.008684642326543</v>
      </c>
      <c r="E188" s="1">
        <f t="shared" si="21"/>
        <v>-51.008684642326543</v>
      </c>
      <c r="F188" s="1">
        <f t="shared" si="17"/>
        <v>-1.3892956297619319</v>
      </c>
      <c r="G188" s="1"/>
      <c r="H188">
        <f t="shared" si="22"/>
        <v>1</v>
      </c>
      <c r="I188" s="1">
        <f t="shared" si="18"/>
        <v>17.799999999999983</v>
      </c>
    </row>
    <row r="189" spans="2:9" x14ac:dyDescent="0.25">
      <c r="B189" s="1">
        <f t="shared" si="19"/>
        <v>17.899999999999984</v>
      </c>
      <c r="C189" s="1">
        <f t="shared" si="20"/>
        <v>50.470956726244616</v>
      </c>
      <c r="D189" s="1">
        <f t="shared" si="16"/>
        <v>-51.147614205302737</v>
      </c>
      <c r="E189" s="1">
        <f t="shared" si="21"/>
        <v>-51.147614205302737</v>
      </c>
      <c r="F189" s="1">
        <f t="shared" si="17"/>
        <v>-1.2617739181561154</v>
      </c>
      <c r="G189" s="1"/>
      <c r="H189">
        <f t="shared" si="22"/>
        <v>1</v>
      </c>
      <c r="I189" s="1">
        <f t="shared" si="18"/>
        <v>17.899999999999984</v>
      </c>
    </row>
    <row r="190" spans="2:9" x14ac:dyDescent="0.25">
      <c r="B190" s="1">
        <f t="shared" si="19"/>
        <v>17.999999999999986</v>
      </c>
      <c r="C190" s="1">
        <f t="shared" si="20"/>
        <v>45.356195305714344</v>
      </c>
      <c r="D190" s="1">
        <f t="shared" si="16"/>
        <v>-51.273791597118347</v>
      </c>
      <c r="E190" s="1">
        <f t="shared" si="21"/>
        <v>-51.273791597118347</v>
      </c>
      <c r="F190" s="1">
        <f t="shared" si="17"/>
        <v>-1.1339048826428586</v>
      </c>
      <c r="G190" s="1"/>
      <c r="H190">
        <f t="shared" si="22"/>
        <v>1</v>
      </c>
      <c r="I190" s="1">
        <f t="shared" si="18"/>
        <v>17.999999999999986</v>
      </c>
    </row>
    <row r="191" spans="2:9" x14ac:dyDescent="0.25">
      <c r="B191" s="1">
        <f t="shared" si="19"/>
        <v>18.099999999999987</v>
      </c>
      <c r="C191" s="1">
        <f t="shared" si="20"/>
        <v>40.228816146002508</v>
      </c>
      <c r="D191" s="1">
        <f t="shared" si="16"/>
        <v>-51.387182085382634</v>
      </c>
      <c r="E191" s="1">
        <f t="shared" si="21"/>
        <v>-51.387182085382634</v>
      </c>
      <c r="F191" s="1">
        <f t="shared" si="17"/>
        <v>-1.0057204036500627</v>
      </c>
      <c r="G191" s="1"/>
      <c r="H191">
        <f t="shared" si="22"/>
        <v>1</v>
      </c>
      <c r="I191" s="1">
        <f t="shared" si="18"/>
        <v>18.099999999999987</v>
      </c>
    </row>
    <row r="192" spans="2:9" x14ac:dyDescent="0.25">
      <c r="B192" s="1">
        <f t="shared" si="19"/>
        <v>18.199999999999989</v>
      </c>
      <c r="C192" s="1">
        <f t="shared" si="20"/>
        <v>35.090097937464243</v>
      </c>
      <c r="D192" s="1">
        <f t="shared" si="16"/>
        <v>-51.487754125747642</v>
      </c>
      <c r="E192" s="1">
        <f t="shared" si="21"/>
        <v>-51.487754125747642</v>
      </c>
      <c r="F192" s="1">
        <f t="shared" si="17"/>
        <v>-0.8772524484366061</v>
      </c>
      <c r="G192" s="1"/>
      <c r="H192">
        <f t="shared" si="22"/>
        <v>1</v>
      </c>
      <c r="I192" s="1">
        <f t="shared" si="18"/>
        <v>18.199999999999989</v>
      </c>
    </row>
    <row r="193" spans="2:9" x14ac:dyDescent="0.25">
      <c r="B193" s="1">
        <f t="shared" si="19"/>
        <v>18.29999999999999</v>
      </c>
      <c r="C193" s="1">
        <f t="shared" si="20"/>
        <v>29.941322524889479</v>
      </c>
      <c r="D193" s="1">
        <f t="shared" si="16"/>
        <v>-51.575479370591303</v>
      </c>
      <c r="E193" s="1">
        <f t="shared" si="21"/>
        <v>-51.575479370591303</v>
      </c>
      <c r="F193" s="1">
        <f t="shared" si="17"/>
        <v>-0.748533063122237</v>
      </c>
      <c r="G193" s="1"/>
      <c r="H193">
        <f t="shared" si="22"/>
        <v>1</v>
      </c>
      <c r="I193" s="1">
        <f t="shared" si="18"/>
        <v>18.29999999999999</v>
      </c>
    </row>
    <row r="194" spans="2:9" x14ac:dyDescent="0.25">
      <c r="B194" s="1">
        <f t="shared" si="19"/>
        <v>18.399999999999991</v>
      </c>
      <c r="C194" s="1">
        <f t="shared" si="20"/>
        <v>24.783774587830347</v>
      </c>
      <c r="D194" s="1">
        <f t="shared" si="16"/>
        <v>-51.650332676903524</v>
      </c>
      <c r="E194" s="1">
        <f t="shared" si="21"/>
        <v>-51.650332676903524</v>
      </c>
      <c r="F194" s="1">
        <f t="shared" si="17"/>
        <v>-0.61959436469575868</v>
      </c>
      <c r="G194" s="1"/>
      <c r="H194">
        <f t="shared" si="22"/>
        <v>1</v>
      </c>
      <c r="I194" s="1">
        <f t="shared" si="18"/>
        <v>18.399999999999991</v>
      </c>
    </row>
    <row r="195" spans="2:9" x14ac:dyDescent="0.25">
      <c r="B195" s="1">
        <f t="shared" si="19"/>
        <v>18.499999999999993</v>
      </c>
      <c r="C195" s="1">
        <f t="shared" si="20"/>
        <v>19.618741320139996</v>
      </c>
      <c r="D195" s="1">
        <f t="shared" si="16"/>
        <v>-51.712292113373103</v>
      </c>
      <c r="E195" s="1">
        <f t="shared" si="21"/>
        <v>-51.712292113373103</v>
      </c>
      <c r="F195" s="1">
        <f t="shared" si="17"/>
        <v>-0.49046853300349991</v>
      </c>
      <c r="G195" s="1"/>
      <c r="H195">
        <f t="shared" si="22"/>
        <v>1</v>
      </c>
      <c r="I195" s="1">
        <f t="shared" si="18"/>
        <v>18.499999999999993</v>
      </c>
    </row>
    <row r="196" spans="2:9" x14ac:dyDescent="0.25">
      <c r="B196" s="1">
        <f t="shared" si="19"/>
        <v>18.599999999999994</v>
      </c>
      <c r="C196" s="1">
        <f t="shared" si="20"/>
        <v>14.447512108802686</v>
      </c>
      <c r="D196" s="1">
        <f t="shared" si="16"/>
        <v>-51.761338966673449</v>
      </c>
      <c r="E196" s="1">
        <f t="shared" si="21"/>
        <v>-51.761338966673449</v>
      </c>
      <c r="F196" s="1">
        <f t="shared" si="17"/>
        <v>-0.36118780272006717</v>
      </c>
      <c r="G196" s="1"/>
      <c r="H196">
        <f t="shared" si="22"/>
        <v>1</v>
      </c>
      <c r="I196" s="1">
        <f t="shared" si="18"/>
        <v>18.599999999999994</v>
      </c>
    </row>
    <row r="197" spans="2:9" x14ac:dyDescent="0.25">
      <c r="B197" s="1">
        <f t="shared" si="19"/>
        <v>18.699999999999996</v>
      </c>
      <c r="C197" s="1">
        <f t="shared" si="20"/>
        <v>9.2713782121353407</v>
      </c>
      <c r="D197" s="1">
        <f t="shared" si="16"/>
        <v>-51.797457746945454</v>
      </c>
      <c r="E197" s="1">
        <f t="shared" si="21"/>
        <v>-51.797457746945454</v>
      </c>
      <c r="F197" s="1">
        <f t="shared" si="17"/>
        <v>-0.23178445530338354</v>
      </c>
      <c r="G197" s="1"/>
      <c r="H197">
        <f t="shared" si="22"/>
        <v>1</v>
      </c>
      <c r="I197" s="1">
        <f t="shared" si="18"/>
        <v>18.699999999999996</v>
      </c>
    </row>
    <row r="198" spans="2:9" x14ac:dyDescent="0.25">
      <c r="B198" s="1">
        <f t="shared" si="19"/>
        <v>18.799999999999997</v>
      </c>
      <c r="C198" s="1">
        <f t="shared" si="20"/>
        <v>4.0916324374407953</v>
      </c>
      <c r="D198" s="1">
        <f t="shared" si="16"/>
        <v>-51.820636192475796</v>
      </c>
      <c r="E198" s="1">
        <f t="shared" si="21"/>
        <v>-51.820636192475796</v>
      </c>
      <c r="F198" s="1">
        <f t="shared" si="17"/>
        <v>-0.10229081093601988</v>
      </c>
      <c r="G198" s="1"/>
      <c r="H198">
        <f t="shared" si="22"/>
        <v>1</v>
      </c>
      <c r="I198" s="1">
        <f t="shared" si="18"/>
        <v>18.799999999999997</v>
      </c>
    </row>
    <row r="199" spans="2:9" x14ac:dyDescent="0.25">
      <c r="B199" s="1">
        <f t="shared" si="19"/>
        <v>18.899999999999999</v>
      </c>
      <c r="C199" s="1">
        <f t="shared" si="20"/>
        <v>-1.0904311818067844</v>
      </c>
      <c r="D199" s="1">
        <f t="shared" si="16"/>
        <v>-51.830865273569401</v>
      </c>
      <c r="E199" s="1">
        <f t="shared" si="21"/>
        <v>-51.830865273569401</v>
      </c>
      <c r="F199" s="1">
        <f t="shared" si="17"/>
        <v>2.7260779545169613E-2</v>
      </c>
      <c r="G199" s="1"/>
      <c r="H199">
        <f t="shared" si="22"/>
        <v>1</v>
      </c>
      <c r="I199" s="1">
        <f t="shared" si="18"/>
        <v>18.899999999999999</v>
      </c>
    </row>
    <row r="200" spans="2:9" x14ac:dyDescent="0.25">
      <c r="B200" s="1">
        <f t="shared" si="19"/>
        <v>19</v>
      </c>
      <c r="C200" s="1">
        <f t="shared" si="20"/>
        <v>-6.2735177091637251</v>
      </c>
      <c r="D200" s="1">
        <f t="shared" si="16"/>
        <v>-51.828139195614881</v>
      </c>
      <c r="E200" s="1">
        <f t="shared" si="21"/>
        <v>-51.828139195614881</v>
      </c>
      <c r="F200" s="1">
        <f t="shared" si="17"/>
        <v>0.15683794272909313</v>
      </c>
      <c r="G200" s="1"/>
      <c r="H200">
        <f t="shared" si="22"/>
        <v>1</v>
      </c>
      <c r="I200" s="1">
        <f t="shared" si="18"/>
        <v>19</v>
      </c>
    </row>
    <row r="201" spans="2:9" x14ac:dyDescent="0.25">
      <c r="B201" s="1">
        <f t="shared" si="19"/>
        <v>19.100000000000001</v>
      </c>
      <c r="C201" s="1">
        <f t="shared" si="20"/>
        <v>-11.456331628725213</v>
      </c>
      <c r="D201" s="1">
        <f t="shared" si="16"/>
        <v>-51.812455401341971</v>
      </c>
      <c r="E201" s="1">
        <f t="shared" si="21"/>
        <v>-51.812455401341971</v>
      </c>
      <c r="F201" s="1">
        <f t="shared" si="17"/>
        <v>0.28640829071813034</v>
      </c>
      <c r="G201" s="1"/>
      <c r="H201">
        <f t="shared" si="22"/>
        <v>1</v>
      </c>
      <c r="I201" s="1">
        <f t="shared" si="18"/>
        <v>19.100000000000001</v>
      </c>
    </row>
    <row r="202" spans="2:9" x14ac:dyDescent="0.25">
      <c r="B202" s="1">
        <f t="shared" si="19"/>
        <v>19.200000000000003</v>
      </c>
      <c r="C202" s="1">
        <f t="shared" si="20"/>
        <v>-16.637577168859409</v>
      </c>
      <c r="D202" s="1">
        <f t="shared" ref="D202:D265" si="23">E202</f>
        <v>-51.78381457227016</v>
      </c>
      <c r="E202" s="1">
        <f t="shared" si="21"/>
        <v>-51.78381457227016</v>
      </c>
      <c r="F202" s="1">
        <f t="shared" ref="F202:F265" si="24">-$C$3*C202/$C$4-$C$2/$C$4*E202</f>
        <v>0.41593942922148525</v>
      </c>
      <c r="G202" s="1"/>
      <c r="H202">
        <f t="shared" si="22"/>
        <v>1</v>
      </c>
      <c r="I202" s="1">
        <f t="shared" ref="I202:I265" si="25">B202</f>
        <v>19.200000000000003</v>
      </c>
    </row>
    <row r="203" spans="2:9" x14ac:dyDescent="0.25">
      <c r="B203" s="1">
        <f t="shared" ref="B203:B266" si="26">B202+$C$7</f>
        <v>19.300000000000004</v>
      </c>
      <c r="C203" s="1">
        <f t="shared" ref="C203:C266" si="27">C202+D202*$C$7</f>
        <v>-21.815958626086424</v>
      </c>
      <c r="D203" s="1">
        <f t="shared" si="23"/>
        <v>-51.742220629348012</v>
      </c>
      <c r="E203" s="1">
        <f t="shared" ref="E203:E266" si="28">E202+F202*$C$7</f>
        <v>-51.742220629348012</v>
      </c>
      <c r="F203" s="1">
        <f t="shared" si="24"/>
        <v>0.54539896565216062</v>
      </c>
      <c r="G203" s="1"/>
      <c r="H203">
        <f t="shared" ref="H203:H266" si="29">H202+(D203*D204&lt;0)*1</f>
        <v>1</v>
      </c>
      <c r="I203" s="1">
        <f t="shared" si="25"/>
        <v>19.300000000000004</v>
      </c>
    </row>
    <row r="204" spans="2:9" x14ac:dyDescent="0.25">
      <c r="B204" s="1">
        <f t="shared" si="26"/>
        <v>19.400000000000006</v>
      </c>
      <c r="C204" s="1">
        <f t="shared" si="27"/>
        <v>-26.990180689021226</v>
      </c>
      <c r="D204" s="1">
        <f t="shared" si="23"/>
        <v>-51.687680732782795</v>
      </c>
      <c r="E204" s="1">
        <f t="shared" si="28"/>
        <v>-51.687680732782795</v>
      </c>
      <c r="F204" s="1">
        <f t="shared" si="24"/>
        <v>0.6747545172255307</v>
      </c>
      <c r="G204" s="1"/>
      <c r="H204">
        <f t="shared" si="29"/>
        <v>1</v>
      </c>
      <c r="I204" s="1">
        <f t="shared" si="25"/>
        <v>19.400000000000006</v>
      </c>
    </row>
    <row r="205" spans="2:9" x14ac:dyDescent="0.25">
      <c r="B205" s="1">
        <f t="shared" si="26"/>
        <v>19.500000000000007</v>
      </c>
      <c r="C205" s="1">
        <f t="shared" si="27"/>
        <v>-32.158948762299502</v>
      </c>
      <c r="D205" s="1">
        <f t="shared" si="23"/>
        <v>-51.620205281060244</v>
      </c>
      <c r="E205" s="1">
        <f t="shared" si="28"/>
        <v>-51.620205281060244</v>
      </c>
      <c r="F205" s="1">
        <f t="shared" si="24"/>
        <v>0.8039737190574876</v>
      </c>
      <c r="G205" s="1"/>
      <c r="H205">
        <f t="shared" si="29"/>
        <v>1</v>
      </c>
      <c r="I205" s="1">
        <f t="shared" si="25"/>
        <v>19.500000000000007</v>
      </c>
    </row>
    <row r="206" spans="2:9" x14ac:dyDescent="0.25">
      <c r="B206" s="1">
        <f t="shared" si="26"/>
        <v>19.600000000000009</v>
      </c>
      <c r="C206" s="1">
        <f t="shared" si="27"/>
        <v>-37.320969290405529</v>
      </c>
      <c r="D206" s="1">
        <f t="shared" si="23"/>
        <v>-51.539807909154497</v>
      </c>
      <c r="E206" s="1">
        <f t="shared" si="28"/>
        <v>-51.539807909154497</v>
      </c>
      <c r="F206" s="1">
        <f t="shared" si="24"/>
        <v>0.93302423226013831</v>
      </c>
      <c r="G206" s="1"/>
      <c r="H206">
        <f t="shared" si="29"/>
        <v>1</v>
      </c>
      <c r="I206" s="1">
        <f t="shared" si="25"/>
        <v>19.600000000000009</v>
      </c>
    </row>
    <row r="207" spans="2:9" x14ac:dyDescent="0.25">
      <c r="B207" s="1">
        <f t="shared" si="26"/>
        <v>19.70000000000001</v>
      </c>
      <c r="C207" s="1">
        <f t="shared" si="27"/>
        <v>-42.474950081320976</v>
      </c>
      <c r="D207" s="1">
        <f t="shared" si="23"/>
        <v>-51.446505485928483</v>
      </c>
      <c r="E207" s="1">
        <f t="shared" si="28"/>
        <v>-51.446505485928483</v>
      </c>
      <c r="F207" s="1">
        <f t="shared" si="24"/>
        <v>1.0618737520330244</v>
      </c>
      <c r="G207" s="1"/>
      <c r="H207">
        <f t="shared" si="29"/>
        <v>1</v>
      </c>
      <c r="I207" s="1">
        <f t="shared" si="25"/>
        <v>19.70000000000001</v>
      </c>
    </row>
    <row r="208" spans="2:9" x14ac:dyDescent="0.25">
      <c r="B208" s="1">
        <f t="shared" si="26"/>
        <v>19.800000000000011</v>
      </c>
      <c r="C208" s="1">
        <f t="shared" si="27"/>
        <v>-47.619600629913826</v>
      </c>
      <c r="D208" s="1">
        <f t="shared" si="23"/>
        <v>-51.340318110725178</v>
      </c>
      <c r="E208" s="1">
        <f t="shared" si="28"/>
        <v>-51.340318110725178</v>
      </c>
      <c r="F208" s="1">
        <f t="shared" si="24"/>
        <v>1.1904900157478457</v>
      </c>
      <c r="G208" s="1"/>
      <c r="H208">
        <f t="shared" si="29"/>
        <v>1</v>
      </c>
      <c r="I208" s="1">
        <f t="shared" si="25"/>
        <v>19.800000000000011</v>
      </c>
    </row>
    <row r="209" spans="2:9" x14ac:dyDescent="0.25">
      <c r="B209" s="1">
        <f t="shared" si="26"/>
        <v>19.900000000000013</v>
      </c>
      <c r="C209" s="1">
        <f t="shared" si="27"/>
        <v>-52.753632440986344</v>
      </c>
      <c r="D209" s="1">
        <f t="shared" si="23"/>
        <v>-51.221269109150391</v>
      </c>
      <c r="E209" s="1">
        <f t="shared" si="28"/>
        <v>-51.221269109150391</v>
      </c>
      <c r="F209" s="1">
        <f t="shared" si="24"/>
        <v>1.3188408110246588</v>
      </c>
      <c r="G209" s="1"/>
      <c r="H209">
        <f t="shared" si="29"/>
        <v>1</v>
      </c>
      <c r="I209" s="1">
        <f t="shared" si="25"/>
        <v>19.900000000000013</v>
      </c>
    </row>
    <row r="210" spans="2:9" x14ac:dyDescent="0.25">
      <c r="B210" s="1">
        <f t="shared" si="26"/>
        <v>20.000000000000014</v>
      </c>
      <c r="C210" s="1">
        <f t="shared" si="27"/>
        <v>-57.87575935190138</v>
      </c>
      <c r="D210" s="1">
        <f t="shared" si="23"/>
        <v>-51.089385028047928</v>
      </c>
      <c r="E210" s="1">
        <f t="shared" si="28"/>
        <v>-51.089385028047928</v>
      </c>
      <c r="F210" s="1">
        <f t="shared" si="24"/>
        <v>1.4468939837975345</v>
      </c>
      <c r="G210" s="1"/>
      <c r="H210">
        <f t="shared" si="29"/>
        <v>1</v>
      </c>
      <c r="I210" s="1">
        <f t="shared" si="25"/>
        <v>20.000000000000014</v>
      </c>
    </row>
    <row r="211" spans="2:9" x14ac:dyDescent="0.25">
      <c r="B211" s="1">
        <f t="shared" si="26"/>
        <v>20.100000000000016</v>
      </c>
      <c r="C211" s="1">
        <f t="shared" si="27"/>
        <v>-62.98469785470617</v>
      </c>
      <c r="D211" s="1">
        <f t="shared" si="23"/>
        <v>-50.944695629668175</v>
      </c>
      <c r="E211" s="1">
        <f t="shared" si="28"/>
        <v>-50.944695629668175</v>
      </c>
      <c r="F211" s="1">
        <f t="shared" si="24"/>
        <v>1.5746174463676543</v>
      </c>
      <c r="G211" s="1"/>
      <c r="H211">
        <f t="shared" si="29"/>
        <v>1</v>
      </c>
      <c r="I211" s="1">
        <f t="shared" si="25"/>
        <v>20.100000000000016</v>
      </c>
    </row>
    <row r="212" spans="2:9" x14ac:dyDescent="0.25">
      <c r="B212" s="1">
        <f t="shared" si="26"/>
        <v>20.200000000000017</v>
      </c>
      <c r="C212" s="1">
        <f t="shared" si="27"/>
        <v>-68.079167417672991</v>
      </c>
      <c r="D212" s="1">
        <f t="shared" si="23"/>
        <v>-50.787233885031412</v>
      </c>
      <c r="E212" s="1">
        <f t="shared" si="28"/>
        <v>-50.787233885031412</v>
      </c>
      <c r="F212" s="1">
        <f t="shared" si="24"/>
        <v>1.7019791854418249</v>
      </c>
      <c r="G212" s="1"/>
      <c r="H212">
        <f t="shared" si="29"/>
        <v>1</v>
      </c>
      <c r="I212" s="1">
        <f t="shared" si="25"/>
        <v>20.200000000000017</v>
      </c>
    </row>
    <row r="213" spans="2:9" x14ac:dyDescent="0.25">
      <c r="B213" s="1">
        <f t="shared" si="26"/>
        <v>20.300000000000018</v>
      </c>
      <c r="C213" s="1">
        <f t="shared" si="27"/>
        <v>-73.157890806176127</v>
      </c>
      <c r="D213" s="1">
        <f t="shared" si="23"/>
        <v>-50.617035966487229</v>
      </c>
      <c r="E213" s="1">
        <f t="shared" si="28"/>
        <v>-50.617035966487229</v>
      </c>
      <c r="F213" s="1">
        <f t="shared" si="24"/>
        <v>1.8289472701544032</v>
      </c>
      <c r="G213" s="1"/>
      <c r="H213">
        <f t="shared" si="29"/>
        <v>1</v>
      </c>
      <c r="I213" s="1">
        <f t="shared" si="25"/>
        <v>20.300000000000018</v>
      </c>
    </row>
    <row r="214" spans="2:9" x14ac:dyDescent="0.25">
      <c r="B214" s="1">
        <f t="shared" si="26"/>
        <v>20.40000000000002</v>
      </c>
      <c r="C214" s="1">
        <f t="shared" si="27"/>
        <v>-78.219594402824853</v>
      </c>
      <c r="D214" s="1">
        <f t="shared" si="23"/>
        <v>-50.434141239471792</v>
      </c>
      <c r="E214" s="1">
        <f t="shared" si="28"/>
        <v>-50.434141239471792</v>
      </c>
      <c r="F214" s="1">
        <f t="shared" si="24"/>
        <v>1.9554898600706214</v>
      </c>
      <c r="G214" s="1"/>
      <c r="H214">
        <f t="shared" si="29"/>
        <v>1</v>
      </c>
      <c r="I214" s="1">
        <f t="shared" si="25"/>
        <v>20.40000000000002</v>
      </c>
    </row>
    <row r="215" spans="2:9" x14ac:dyDescent="0.25">
      <c r="B215" s="1">
        <f t="shared" si="26"/>
        <v>20.500000000000021</v>
      </c>
      <c r="C215" s="1">
        <f t="shared" si="27"/>
        <v>-83.26300852677204</v>
      </c>
      <c r="D215" s="1">
        <f t="shared" si="23"/>
        <v>-50.238592253464731</v>
      </c>
      <c r="E215" s="1">
        <f t="shared" si="28"/>
        <v>-50.238592253464731</v>
      </c>
      <c r="F215" s="1">
        <f t="shared" si="24"/>
        <v>2.0815752131693013</v>
      </c>
      <c r="G215" s="1"/>
      <c r="H215">
        <f t="shared" si="29"/>
        <v>1</v>
      </c>
      <c r="I215" s="1">
        <f t="shared" si="25"/>
        <v>20.500000000000021</v>
      </c>
    </row>
    <row r="216" spans="2:9" x14ac:dyDescent="0.25">
      <c r="B216" s="1">
        <f t="shared" si="26"/>
        <v>20.600000000000023</v>
      </c>
      <c r="C216" s="1">
        <f t="shared" si="27"/>
        <v>-88.286867752118511</v>
      </c>
      <c r="D216" s="1">
        <f t="shared" si="23"/>
        <v>-50.030434732147803</v>
      </c>
      <c r="E216" s="1">
        <f t="shared" si="28"/>
        <v>-50.030434732147803</v>
      </c>
      <c r="F216" s="1">
        <f t="shared" si="24"/>
        <v>2.2071716938029629</v>
      </c>
      <c r="G216" s="1"/>
      <c r="H216">
        <f t="shared" si="29"/>
        <v>1</v>
      </c>
      <c r="I216" s="1">
        <f t="shared" si="25"/>
        <v>20.600000000000023</v>
      </c>
    </row>
    <row r="217" spans="2:9" x14ac:dyDescent="0.25">
      <c r="B217" s="1">
        <f t="shared" si="26"/>
        <v>20.700000000000024</v>
      </c>
      <c r="C217" s="1">
        <f t="shared" si="27"/>
        <v>-93.289911225333299</v>
      </c>
      <c r="D217" s="1">
        <f t="shared" si="23"/>
        <v>-49.80971756276751</v>
      </c>
      <c r="E217" s="1">
        <f t="shared" si="28"/>
        <v>-49.80971756276751</v>
      </c>
      <c r="F217" s="1">
        <f t="shared" si="24"/>
        <v>2.3322477806333324</v>
      </c>
      <c r="G217" s="1"/>
      <c r="H217">
        <f t="shared" si="29"/>
        <v>1</v>
      </c>
      <c r="I217" s="1">
        <f t="shared" si="25"/>
        <v>20.700000000000024</v>
      </c>
    </row>
    <row r="218" spans="2:9" x14ac:dyDescent="0.25">
      <c r="B218" s="1">
        <f t="shared" si="26"/>
        <v>20.800000000000026</v>
      </c>
      <c r="C218" s="1">
        <f t="shared" si="27"/>
        <v>-98.270882981610043</v>
      </c>
      <c r="D218" s="1">
        <f t="shared" si="23"/>
        <v>-49.576492784704179</v>
      </c>
      <c r="E218" s="1">
        <f t="shared" si="28"/>
        <v>-49.576492784704179</v>
      </c>
      <c r="F218" s="1">
        <f t="shared" si="24"/>
        <v>2.4567720745402513</v>
      </c>
      <c r="G218" s="1"/>
      <c r="H218">
        <f t="shared" si="29"/>
        <v>1</v>
      </c>
      <c r="I218" s="1">
        <f t="shared" si="25"/>
        <v>20.800000000000026</v>
      </c>
    </row>
    <row r="219" spans="2:9" x14ac:dyDescent="0.25">
      <c r="B219" s="1">
        <f t="shared" si="26"/>
        <v>20.900000000000027</v>
      </c>
      <c r="C219" s="1">
        <f t="shared" si="27"/>
        <v>-103.22853226008046</v>
      </c>
      <c r="D219" s="1">
        <f t="shared" si="23"/>
        <v>-49.330815577250156</v>
      </c>
      <c r="E219" s="1">
        <f t="shared" si="28"/>
        <v>-49.330815577250156</v>
      </c>
      <c r="F219" s="1">
        <f t="shared" si="24"/>
        <v>2.5807133065020116</v>
      </c>
      <c r="G219" s="1"/>
      <c r="H219">
        <f t="shared" si="29"/>
        <v>1</v>
      </c>
      <c r="I219" s="1">
        <f t="shared" si="25"/>
        <v>20.900000000000027</v>
      </c>
    </row>
    <row r="220" spans="2:9" x14ac:dyDescent="0.25">
      <c r="B220" s="1">
        <f t="shared" si="26"/>
        <v>21.000000000000028</v>
      </c>
      <c r="C220" s="1">
        <f t="shared" si="27"/>
        <v>-108.16161381780547</v>
      </c>
      <c r="D220" s="1">
        <f t="shared" si="23"/>
        <v>-49.072744246599953</v>
      </c>
      <c r="E220" s="1">
        <f t="shared" si="28"/>
        <v>-49.072744246599953</v>
      </c>
      <c r="F220" s="1">
        <f t="shared" si="24"/>
        <v>2.7040403454451369</v>
      </c>
      <c r="G220" s="1"/>
      <c r="H220">
        <f t="shared" si="29"/>
        <v>1</v>
      </c>
      <c r="I220" s="1">
        <f t="shared" si="25"/>
        <v>21.000000000000028</v>
      </c>
    </row>
    <row r="221" spans="2:9" x14ac:dyDescent="0.25">
      <c r="B221" s="1">
        <f t="shared" si="26"/>
        <v>21.10000000000003</v>
      </c>
      <c r="C221" s="1">
        <f t="shared" si="27"/>
        <v>-113.06888824246548</v>
      </c>
      <c r="D221" s="1">
        <f t="shared" si="23"/>
        <v>-48.802340212055441</v>
      </c>
      <c r="E221" s="1">
        <f t="shared" si="28"/>
        <v>-48.802340212055441</v>
      </c>
      <c r="F221" s="1">
        <f t="shared" si="24"/>
        <v>2.8267222060616373</v>
      </c>
      <c r="G221" s="1"/>
      <c r="H221">
        <f t="shared" si="29"/>
        <v>1</v>
      </c>
      <c r="I221" s="1">
        <f t="shared" si="25"/>
        <v>21.10000000000003</v>
      </c>
    </row>
    <row r="222" spans="2:9" x14ac:dyDescent="0.25">
      <c r="B222" s="1">
        <f t="shared" si="26"/>
        <v>21.200000000000031</v>
      </c>
      <c r="C222" s="1">
        <f t="shared" si="27"/>
        <v>-117.94912226367101</v>
      </c>
      <c r="D222" s="1">
        <f t="shared" si="23"/>
        <v>-48.519667991449275</v>
      </c>
      <c r="E222" s="1">
        <f t="shared" si="28"/>
        <v>-48.519667991449275</v>
      </c>
      <c r="F222" s="1">
        <f t="shared" si="24"/>
        <v>2.9487280565917757</v>
      </c>
      <c r="G222" s="1"/>
      <c r="H222">
        <f t="shared" si="29"/>
        <v>1</v>
      </c>
      <c r="I222" s="1">
        <f t="shared" si="25"/>
        <v>21.200000000000031</v>
      </c>
    </row>
    <row r="223" spans="2:9" x14ac:dyDescent="0.25">
      <c r="B223" s="1">
        <f t="shared" si="26"/>
        <v>21.300000000000033</v>
      </c>
      <c r="C223" s="1">
        <f t="shared" si="27"/>
        <v>-122.80108906281595</v>
      </c>
      <c r="D223" s="1">
        <f t="shared" si="23"/>
        <v>-48.2247951857901</v>
      </c>
      <c r="E223" s="1">
        <f t="shared" si="28"/>
        <v>-48.2247951857901</v>
      </c>
      <c r="F223" s="1">
        <f t="shared" si="24"/>
        <v>3.0700272265703989</v>
      </c>
      <c r="G223" s="1"/>
      <c r="H223">
        <f t="shared" si="29"/>
        <v>1</v>
      </c>
      <c r="I223" s="1">
        <f t="shared" si="25"/>
        <v>21.300000000000033</v>
      </c>
    </row>
    <row r="224" spans="2:9" x14ac:dyDescent="0.25">
      <c r="B224" s="1">
        <f t="shared" si="26"/>
        <v>21.400000000000034</v>
      </c>
      <c r="C224" s="1">
        <f t="shared" si="27"/>
        <v>-127.62356858139496</v>
      </c>
      <c r="D224" s="1">
        <f t="shared" si="23"/>
        <v>-47.917792463133061</v>
      </c>
      <c r="E224" s="1">
        <f t="shared" si="28"/>
        <v>-47.917792463133061</v>
      </c>
      <c r="F224" s="1">
        <f t="shared" si="24"/>
        <v>3.1905892145348744</v>
      </c>
      <c r="G224" s="1"/>
      <c r="H224">
        <f t="shared" si="29"/>
        <v>1</v>
      </c>
      <c r="I224" s="1">
        <f t="shared" si="25"/>
        <v>21.400000000000034</v>
      </c>
    </row>
    <row r="225" spans="2:9" x14ac:dyDescent="0.25">
      <c r="B225" s="1">
        <f t="shared" si="26"/>
        <v>21.500000000000036</v>
      </c>
      <c r="C225" s="1">
        <f t="shared" si="27"/>
        <v>-132.41534782770827</v>
      </c>
      <c r="D225" s="1">
        <f t="shared" si="23"/>
        <v>-47.598733541679572</v>
      </c>
      <c r="E225" s="1">
        <f t="shared" si="28"/>
        <v>-47.598733541679572</v>
      </c>
      <c r="F225" s="1">
        <f t="shared" si="24"/>
        <v>3.3103836956927069</v>
      </c>
      <c r="G225" s="1"/>
      <c r="H225">
        <f t="shared" si="29"/>
        <v>1</v>
      </c>
      <c r="I225" s="1">
        <f t="shared" si="25"/>
        <v>21.500000000000036</v>
      </c>
    </row>
    <row r="226" spans="2:9" x14ac:dyDescent="0.25">
      <c r="B226" s="1">
        <f t="shared" si="26"/>
        <v>21.600000000000037</v>
      </c>
      <c r="C226" s="1">
        <f t="shared" si="27"/>
        <v>-137.17522118187622</v>
      </c>
      <c r="D226" s="1">
        <f t="shared" si="23"/>
        <v>-47.267695172110301</v>
      </c>
      <c r="E226" s="1">
        <f t="shared" si="28"/>
        <v>-47.267695172110301</v>
      </c>
      <c r="F226" s="1">
        <f t="shared" si="24"/>
        <v>3.429380529546906</v>
      </c>
      <c r="G226" s="1"/>
      <c r="H226">
        <f t="shared" si="29"/>
        <v>1</v>
      </c>
      <c r="I226" s="1">
        <f t="shared" si="25"/>
        <v>21.600000000000037</v>
      </c>
    </row>
    <row r="227" spans="2:9" x14ac:dyDescent="0.25">
      <c r="B227" s="1">
        <f t="shared" si="26"/>
        <v>21.700000000000038</v>
      </c>
      <c r="C227" s="1">
        <f t="shared" si="27"/>
        <v>-141.90199069908726</v>
      </c>
      <c r="D227" s="1">
        <f t="shared" si="23"/>
        <v>-46.924757119155608</v>
      </c>
      <c r="E227" s="1">
        <f t="shared" si="28"/>
        <v>-46.924757119155608</v>
      </c>
      <c r="F227" s="1">
        <f t="shared" si="24"/>
        <v>3.5475497674771819</v>
      </c>
      <c r="G227" s="1"/>
      <c r="H227">
        <f t="shared" si="29"/>
        <v>1</v>
      </c>
      <c r="I227" s="1">
        <f t="shared" si="25"/>
        <v>21.700000000000038</v>
      </c>
    </row>
    <row r="228" spans="2:9" x14ac:dyDescent="0.25">
      <c r="B228" s="1">
        <f t="shared" si="26"/>
        <v>21.80000000000004</v>
      </c>
      <c r="C228" s="1">
        <f t="shared" si="27"/>
        <v>-146.59446641100283</v>
      </c>
      <c r="D228" s="1">
        <f t="shared" si="23"/>
        <v>-46.570002142407887</v>
      </c>
      <c r="E228" s="1">
        <f t="shared" si="28"/>
        <v>-46.570002142407887</v>
      </c>
      <c r="F228" s="1">
        <f t="shared" si="24"/>
        <v>3.6648616602750708</v>
      </c>
      <c r="G228" s="1"/>
      <c r="H228">
        <f t="shared" si="29"/>
        <v>1</v>
      </c>
      <c r="I228" s="1">
        <f t="shared" si="25"/>
        <v>21.80000000000004</v>
      </c>
    </row>
    <row r="229" spans="2:9" x14ac:dyDescent="0.25">
      <c r="B229" s="1">
        <f t="shared" si="26"/>
        <v>21.900000000000041</v>
      </c>
      <c r="C229" s="1">
        <f t="shared" si="27"/>
        <v>-151.25146662524361</v>
      </c>
      <c r="D229" s="1">
        <f t="shared" si="23"/>
        <v>-46.20351597638038</v>
      </c>
      <c r="E229" s="1">
        <f t="shared" si="28"/>
        <v>-46.20351597638038</v>
      </c>
      <c r="F229" s="1">
        <f t="shared" si="24"/>
        <v>3.7812866656310904</v>
      </c>
      <c r="G229" s="1"/>
      <c r="H229">
        <f t="shared" si="29"/>
        <v>1</v>
      </c>
      <c r="I229" s="1">
        <f t="shared" si="25"/>
        <v>21.900000000000041</v>
      </c>
    </row>
    <row r="230" spans="2:9" x14ac:dyDescent="0.25">
      <c r="B230" s="1">
        <f t="shared" si="26"/>
        <v>22.000000000000043</v>
      </c>
      <c r="C230" s="1">
        <f t="shared" si="27"/>
        <v>-155.87181822288164</v>
      </c>
      <c r="D230" s="1">
        <f t="shared" si="23"/>
        <v>-45.825387309817273</v>
      </c>
      <c r="E230" s="1">
        <f t="shared" si="28"/>
        <v>-45.825387309817273</v>
      </c>
      <c r="F230" s="1">
        <f t="shared" si="24"/>
        <v>3.8967954555720414</v>
      </c>
      <c r="G230" s="1"/>
      <c r="H230">
        <f t="shared" si="29"/>
        <v>1</v>
      </c>
      <c r="I230" s="1">
        <f t="shared" si="25"/>
        <v>22.000000000000043</v>
      </c>
    </row>
    <row r="231" spans="2:9" x14ac:dyDescent="0.25">
      <c r="B231" s="1">
        <f t="shared" si="26"/>
        <v>22.100000000000044</v>
      </c>
      <c r="C231" s="1">
        <f t="shared" si="27"/>
        <v>-160.45435695386337</v>
      </c>
      <c r="D231" s="1">
        <f t="shared" si="23"/>
        <v>-45.435707764260066</v>
      </c>
      <c r="E231" s="1">
        <f t="shared" si="28"/>
        <v>-45.435707764260066</v>
      </c>
      <c r="F231" s="1">
        <f t="shared" si="24"/>
        <v>4.0113589238465845</v>
      </c>
      <c r="G231" s="1"/>
      <c r="H231">
        <f t="shared" si="29"/>
        <v>1</v>
      </c>
      <c r="I231" s="1">
        <f t="shared" si="25"/>
        <v>22.100000000000044</v>
      </c>
    </row>
    <row r="232" spans="2:9" x14ac:dyDescent="0.25">
      <c r="B232" s="1">
        <f t="shared" si="26"/>
        <v>22.200000000000045</v>
      </c>
      <c r="C232" s="1">
        <f t="shared" si="27"/>
        <v>-164.99792773028938</v>
      </c>
      <c r="D232" s="1">
        <f t="shared" si="23"/>
        <v>-45.034571871875407</v>
      </c>
      <c r="E232" s="1">
        <f t="shared" si="28"/>
        <v>-45.034571871875407</v>
      </c>
      <c r="F232" s="1">
        <f t="shared" si="24"/>
        <v>4.1249481932572349</v>
      </c>
      <c r="G232" s="1"/>
      <c r="H232">
        <f t="shared" si="29"/>
        <v>1</v>
      </c>
      <c r="I232" s="1">
        <f t="shared" si="25"/>
        <v>22.200000000000045</v>
      </c>
    </row>
    <row r="233" spans="2:9" x14ac:dyDescent="0.25">
      <c r="B233" s="1">
        <f t="shared" si="26"/>
        <v>22.300000000000047</v>
      </c>
      <c r="C233" s="1">
        <f t="shared" si="27"/>
        <v>-169.50138491747691</v>
      </c>
      <c r="D233" s="1">
        <f t="shared" si="23"/>
        <v>-44.622077052549685</v>
      </c>
      <c r="E233" s="1">
        <f t="shared" si="28"/>
        <v>-44.622077052549685</v>
      </c>
      <c r="F233" s="1">
        <f t="shared" si="24"/>
        <v>4.2375346229369226</v>
      </c>
      <c r="G233" s="1"/>
      <c r="H233">
        <f t="shared" si="29"/>
        <v>1</v>
      </c>
      <c r="I233" s="1">
        <f t="shared" si="25"/>
        <v>22.300000000000047</v>
      </c>
    </row>
    <row r="234" spans="2:9" x14ac:dyDescent="0.25">
      <c r="B234" s="1">
        <f t="shared" si="26"/>
        <v>22.400000000000048</v>
      </c>
      <c r="C234" s="1">
        <f t="shared" si="27"/>
        <v>-173.96359262273188</v>
      </c>
      <c r="D234" s="1">
        <f t="shared" si="23"/>
        <v>-44.198323590255995</v>
      </c>
      <c r="E234" s="1">
        <f t="shared" si="28"/>
        <v>-44.198323590255995</v>
      </c>
      <c r="F234" s="1">
        <f t="shared" si="24"/>
        <v>4.3490898155682975</v>
      </c>
      <c r="G234" s="1"/>
      <c r="H234">
        <f t="shared" si="29"/>
        <v>1</v>
      </c>
      <c r="I234" s="1">
        <f t="shared" si="25"/>
        <v>22.400000000000048</v>
      </c>
    </row>
    <row r="235" spans="2:9" x14ac:dyDescent="0.25">
      <c r="B235" s="1">
        <f t="shared" si="26"/>
        <v>22.50000000000005</v>
      </c>
      <c r="C235" s="1">
        <f t="shared" si="27"/>
        <v>-178.38342498175749</v>
      </c>
      <c r="D235" s="1">
        <f t="shared" si="23"/>
        <v>-43.763414608699165</v>
      </c>
      <c r="E235" s="1">
        <f t="shared" si="28"/>
        <v>-43.763414608699165</v>
      </c>
      <c r="F235" s="1">
        <f t="shared" si="24"/>
        <v>4.4595856245439371</v>
      </c>
      <c r="G235" s="1"/>
      <c r="H235">
        <f t="shared" si="29"/>
        <v>1</v>
      </c>
      <c r="I235" s="1">
        <f t="shared" si="25"/>
        <v>22.50000000000005</v>
      </c>
    </row>
    <row r="236" spans="2:9" x14ac:dyDescent="0.25">
      <c r="B236" s="1">
        <f t="shared" si="26"/>
        <v>22.600000000000051</v>
      </c>
      <c r="C236" s="1">
        <f t="shared" si="27"/>
        <v>-182.75976644262741</v>
      </c>
      <c r="D236" s="1">
        <f t="shared" si="23"/>
        <v>-43.317456046244772</v>
      </c>
      <c r="E236" s="1">
        <f t="shared" si="28"/>
        <v>-43.317456046244772</v>
      </c>
      <c r="F236" s="1">
        <f t="shared" si="24"/>
        <v>4.5689941610656852</v>
      </c>
      <c r="G236" s="1"/>
      <c r="H236">
        <f t="shared" si="29"/>
        <v>1</v>
      </c>
      <c r="I236" s="1">
        <f t="shared" si="25"/>
        <v>22.600000000000051</v>
      </c>
    </row>
    <row r="237" spans="2:9" x14ac:dyDescent="0.25">
      <c r="B237" s="1">
        <f t="shared" si="26"/>
        <v>22.700000000000053</v>
      </c>
      <c r="C237" s="1">
        <f t="shared" si="27"/>
        <v>-187.09151204725188</v>
      </c>
      <c r="D237" s="1">
        <f t="shared" si="23"/>
        <v>-42.860556630138205</v>
      </c>
      <c r="E237" s="1">
        <f t="shared" si="28"/>
        <v>-42.860556630138205</v>
      </c>
      <c r="F237" s="1">
        <f t="shared" si="24"/>
        <v>4.6772878011812971</v>
      </c>
      <c r="G237" s="1"/>
      <c r="H237">
        <f t="shared" si="29"/>
        <v>1</v>
      </c>
      <c r="I237" s="1">
        <f t="shared" si="25"/>
        <v>22.700000000000053</v>
      </c>
    </row>
    <row r="238" spans="2:9" x14ac:dyDescent="0.25">
      <c r="B238" s="1">
        <f t="shared" si="26"/>
        <v>22.800000000000054</v>
      </c>
      <c r="C238" s="1">
        <f t="shared" si="27"/>
        <v>-191.37756771026571</v>
      </c>
      <c r="D238" s="1">
        <f t="shared" si="23"/>
        <v>-42.392827850020076</v>
      </c>
      <c r="E238" s="1">
        <f t="shared" si="28"/>
        <v>-42.392827850020076</v>
      </c>
      <c r="F238" s="1">
        <f t="shared" si="24"/>
        <v>4.7844391927566425</v>
      </c>
      <c r="G238" s="1"/>
      <c r="H238">
        <f t="shared" si="29"/>
        <v>1</v>
      </c>
      <c r="I238" s="1">
        <f t="shared" si="25"/>
        <v>22.800000000000054</v>
      </c>
    </row>
    <row r="239" spans="2:9" x14ac:dyDescent="0.25">
      <c r="B239" s="1">
        <f t="shared" si="26"/>
        <v>22.900000000000055</v>
      </c>
      <c r="C239" s="1">
        <f t="shared" si="27"/>
        <v>-195.61685049526773</v>
      </c>
      <c r="D239" s="1">
        <f t="shared" si="23"/>
        <v>-41.914383930744414</v>
      </c>
      <c r="E239" s="1">
        <f t="shared" si="28"/>
        <v>-41.914383930744414</v>
      </c>
      <c r="F239" s="1">
        <f t="shared" si="24"/>
        <v>4.8904212623816932</v>
      </c>
      <c r="G239" s="1"/>
      <c r="H239">
        <f t="shared" si="29"/>
        <v>1</v>
      </c>
      <c r="I239" s="1">
        <f t="shared" si="25"/>
        <v>22.900000000000055</v>
      </c>
    </row>
    <row r="240" spans="2:9" x14ac:dyDescent="0.25">
      <c r="B240" s="1">
        <f t="shared" si="26"/>
        <v>23.000000000000057</v>
      </c>
      <c r="C240" s="1">
        <f t="shared" si="27"/>
        <v>-199.80828888834216</v>
      </c>
      <c r="D240" s="1">
        <f t="shared" si="23"/>
        <v>-41.425341804506246</v>
      </c>
      <c r="E240" s="1">
        <f t="shared" si="28"/>
        <v>-41.425341804506246</v>
      </c>
      <c r="F240" s="1">
        <f t="shared" si="24"/>
        <v>4.9952072222085544</v>
      </c>
      <c r="G240" s="1"/>
      <c r="H240">
        <f t="shared" si="29"/>
        <v>1</v>
      </c>
      <c r="I240" s="1">
        <f t="shared" si="25"/>
        <v>23.000000000000057</v>
      </c>
    </row>
    <row r="241" spans="2:9" x14ac:dyDescent="0.25">
      <c r="B241" s="1">
        <f t="shared" si="26"/>
        <v>23.100000000000058</v>
      </c>
      <c r="C241" s="1">
        <f t="shared" si="27"/>
        <v>-203.95082306879277</v>
      </c>
      <c r="D241" s="1">
        <f t="shared" si="23"/>
        <v>-40.925821082285388</v>
      </c>
      <c r="E241" s="1">
        <f t="shared" si="28"/>
        <v>-40.925821082285388</v>
      </c>
      <c r="F241" s="1">
        <f t="shared" si="24"/>
        <v>5.0987705767198195</v>
      </c>
      <c r="G241" s="1"/>
      <c r="H241">
        <f t="shared" si="29"/>
        <v>1</v>
      </c>
      <c r="I241" s="1">
        <f t="shared" si="25"/>
        <v>23.100000000000058</v>
      </c>
    </row>
    <row r="242" spans="2:9" x14ac:dyDescent="0.25">
      <c r="B242" s="1">
        <f t="shared" si="26"/>
        <v>23.20000000000006</v>
      </c>
      <c r="C242" s="1">
        <f t="shared" si="27"/>
        <v>-208.0434051770213</v>
      </c>
      <c r="D242" s="1">
        <f t="shared" si="23"/>
        <v>-40.41594402461341</v>
      </c>
      <c r="E242" s="1">
        <f t="shared" si="28"/>
        <v>-40.41594402461341</v>
      </c>
      <c r="F242" s="1">
        <f t="shared" si="24"/>
        <v>5.2010851294255325</v>
      </c>
      <c r="G242" s="1"/>
      <c r="H242">
        <f t="shared" si="29"/>
        <v>1</v>
      </c>
      <c r="I242" s="1">
        <f t="shared" si="25"/>
        <v>23.20000000000006</v>
      </c>
    </row>
    <row r="243" spans="2:9" x14ac:dyDescent="0.25">
      <c r="B243" s="1">
        <f t="shared" si="26"/>
        <v>23.300000000000061</v>
      </c>
      <c r="C243" s="1">
        <f t="shared" si="27"/>
        <v>-212.08499957948263</v>
      </c>
      <c r="D243" s="1">
        <f t="shared" si="23"/>
        <v>-39.895835511670853</v>
      </c>
      <c r="E243" s="1">
        <f t="shared" si="28"/>
        <v>-39.895835511670853</v>
      </c>
      <c r="F243" s="1">
        <f t="shared" si="24"/>
        <v>5.3021249894870657</v>
      </c>
      <c r="G243" s="1"/>
      <c r="H243">
        <f t="shared" si="29"/>
        <v>1</v>
      </c>
      <c r="I243" s="1">
        <f t="shared" si="25"/>
        <v>23.300000000000061</v>
      </c>
    </row>
    <row r="244" spans="2:9" x14ac:dyDescent="0.25">
      <c r="B244" s="1">
        <f t="shared" si="26"/>
        <v>23.400000000000063</v>
      </c>
      <c r="C244" s="1">
        <f t="shared" si="27"/>
        <v>-216.0745831306497</v>
      </c>
      <c r="D244" s="1">
        <f t="shared" si="23"/>
        <v>-39.365623012722146</v>
      </c>
      <c r="E244" s="1">
        <f t="shared" si="28"/>
        <v>-39.365623012722146</v>
      </c>
      <c r="F244" s="1">
        <f t="shared" si="24"/>
        <v>5.4018645782662427</v>
      </c>
      <c r="G244" s="1"/>
      <c r="H244">
        <f t="shared" si="29"/>
        <v>1</v>
      </c>
      <c r="I244" s="1">
        <f t="shared" si="25"/>
        <v>23.400000000000063</v>
      </c>
    </row>
    <row r="245" spans="2:9" x14ac:dyDescent="0.25">
      <c r="B245" s="1">
        <f t="shared" si="26"/>
        <v>23.500000000000064</v>
      </c>
      <c r="C245" s="1">
        <f t="shared" si="27"/>
        <v>-220.0111454319219</v>
      </c>
      <c r="D245" s="1">
        <f t="shared" si="23"/>
        <v>-38.825436554895525</v>
      </c>
      <c r="E245" s="1">
        <f t="shared" si="28"/>
        <v>-38.825436554895525</v>
      </c>
      <c r="F245" s="1">
        <f t="shared" si="24"/>
        <v>5.5002786357980478</v>
      </c>
      <c r="G245" s="1"/>
      <c r="H245">
        <f t="shared" si="29"/>
        <v>1</v>
      </c>
      <c r="I245" s="1">
        <f t="shared" si="25"/>
        <v>23.500000000000064</v>
      </c>
    </row>
    <row r="246" spans="2:9" x14ac:dyDescent="0.25">
      <c r="B246" s="1">
        <f t="shared" si="26"/>
        <v>23.600000000000065</v>
      </c>
      <c r="C246" s="1">
        <f t="shared" si="27"/>
        <v>-223.89368908741145</v>
      </c>
      <c r="D246" s="1">
        <f t="shared" si="23"/>
        <v>-38.275408691315718</v>
      </c>
      <c r="E246" s="1">
        <f t="shared" si="28"/>
        <v>-38.275408691315718</v>
      </c>
      <c r="F246" s="1">
        <f t="shared" si="24"/>
        <v>5.5973422271852868</v>
      </c>
      <c r="G246" s="1"/>
      <c r="H246">
        <f t="shared" si="29"/>
        <v>1</v>
      </c>
      <c r="I246" s="1">
        <f t="shared" si="25"/>
        <v>23.600000000000065</v>
      </c>
    </row>
    <row r="247" spans="2:9" x14ac:dyDescent="0.25">
      <c r="B247" s="1">
        <f t="shared" si="26"/>
        <v>23.700000000000067</v>
      </c>
      <c r="C247" s="1">
        <f t="shared" si="27"/>
        <v>-227.72122995654303</v>
      </c>
      <c r="D247" s="1">
        <f t="shared" si="23"/>
        <v>-37.715674468597186</v>
      </c>
      <c r="E247" s="1">
        <f t="shared" si="28"/>
        <v>-37.715674468597186</v>
      </c>
      <c r="F247" s="1">
        <f t="shared" si="24"/>
        <v>5.6930307489135759</v>
      </c>
      <c r="G247" s="1"/>
      <c r="H247">
        <f t="shared" si="29"/>
        <v>1</v>
      </c>
      <c r="I247" s="1">
        <f t="shared" si="25"/>
        <v>23.700000000000067</v>
      </c>
    </row>
    <row r="248" spans="2:9" x14ac:dyDescent="0.25">
      <c r="B248" s="1">
        <f t="shared" si="26"/>
        <v>23.800000000000068</v>
      </c>
      <c r="C248" s="1">
        <f t="shared" si="27"/>
        <v>-231.49279740340273</v>
      </c>
      <c r="D248" s="1">
        <f t="shared" si="23"/>
        <v>-37.146371393705827</v>
      </c>
      <c r="E248" s="1">
        <f t="shared" si="28"/>
        <v>-37.146371393705827</v>
      </c>
      <c r="F248" s="1">
        <f t="shared" si="24"/>
        <v>5.787319935085069</v>
      </c>
      <c r="G248" s="1"/>
      <c r="H248">
        <f t="shared" si="29"/>
        <v>1</v>
      </c>
      <c r="I248" s="1">
        <f t="shared" si="25"/>
        <v>23.800000000000068</v>
      </c>
    </row>
    <row r="249" spans="2:9" x14ac:dyDescent="0.25">
      <c r="B249" s="1">
        <f t="shared" si="26"/>
        <v>23.90000000000007</v>
      </c>
      <c r="C249" s="1">
        <f t="shared" si="27"/>
        <v>-235.20743454277331</v>
      </c>
      <c r="D249" s="1">
        <f t="shared" si="23"/>
        <v>-36.567639400197322</v>
      </c>
      <c r="E249" s="1">
        <f t="shared" si="28"/>
        <v>-36.567639400197322</v>
      </c>
      <c r="F249" s="1">
        <f t="shared" si="24"/>
        <v>5.8801858635693334</v>
      </c>
      <c r="G249" s="1"/>
      <c r="H249">
        <f t="shared" si="29"/>
        <v>1</v>
      </c>
      <c r="I249" s="1">
        <f t="shared" si="25"/>
        <v>23.90000000000007</v>
      </c>
    </row>
    <row r="250" spans="2:9" x14ac:dyDescent="0.25">
      <c r="B250" s="1">
        <f t="shared" si="26"/>
        <v>24.000000000000071</v>
      </c>
      <c r="C250" s="1">
        <f t="shared" si="27"/>
        <v>-238.86419848279306</v>
      </c>
      <c r="D250" s="1">
        <f t="shared" si="23"/>
        <v>-35.979620813840391</v>
      </c>
      <c r="E250" s="1">
        <f t="shared" si="28"/>
        <v>-35.979620813840391</v>
      </c>
      <c r="F250" s="1">
        <f t="shared" si="24"/>
        <v>5.9716049620698266</v>
      </c>
      <c r="G250" s="1"/>
      <c r="H250">
        <f t="shared" si="29"/>
        <v>1</v>
      </c>
      <c r="I250" s="1">
        <f t="shared" si="25"/>
        <v>24.000000000000071</v>
      </c>
    </row>
    <row r="251" spans="2:9" x14ac:dyDescent="0.25">
      <c r="B251" s="1">
        <f t="shared" si="26"/>
        <v>24.100000000000072</v>
      </c>
      <c r="C251" s="1">
        <f t="shared" si="27"/>
        <v>-242.46216056417708</v>
      </c>
      <c r="D251" s="1">
        <f t="shared" si="23"/>
        <v>-35.382460317633409</v>
      </c>
      <c r="E251" s="1">
        <f t="shared" si="28"/>
        <v>-35.382460317633409</v>
      </c>
      <c r="F251" s="1">
        <f t="shared" si="24"/>
        <v>6.0615540141044271</v>
      </c>
      <c r="G251" s="1"/>
      <c r="H251">
        <f t="shared" si="29"/>
        <v>1</v>
      </c>
      <c r="I251" s="1">
        <f t="shared" si="25"/>
        <v>24.100000000000072</v>
      </c>
    </row>
    <row r="252" spans="2:9" x14ac:dyDescent="0.25">
      <c r="B252" s="1">
        <f t="shared" si="26"/>
        <v>24.200000000000074</v>
      </c>
      <c r="C252" s="1">
        <f t="shared" si="27"/>
        <v>-246.00040659594043</v>
      </c>
      <c r="D252" s="1">
        <f t="shared" si="23"/>
        <v>-34.776304916222969</v>
      </c>
      <c r="E252" s="1">
        <f t="shared" si="28"/>
        <v>-34.776304916222969</v>
      </c>
      <c r="F252" s="1">
        <f t="shared" si="24"/>
        <v>6.1500101648985108</v>
      </c>
      <c r="G252" s="1"/>
      <c r="H252">
        <f t="shared" si="29"/>
        <v>1</v>
      </c>
      <c r="I252" s="1">
        <f t="shared" si="25"/>
        <v>24.200000000000074</v>
      </c>
    </row>
    <row r="253" spans="2:9" x14ac:dyDescent="0.25">
      <c r="B253" s="1">
        <f t="shared" si="26"/>
        <v>24.300000000000075</v>
      </c>
      <c r="C253" s="1">
        <f t="shared" si="27"/>
        <v>-249.47803708756274</v>
      </c>
      <c r="D253" s="1">
        <f t="shared" si="23"/>
        <v>-34.16130389973312</v>
      </c>
      <c r="E253" s="1">
        <f t="shared" si="28"/>
        <v>-34.16130389973312</v>
      </c>
      <c r="F253" s="1">
        <f t="shared" si="24"/>
        <v>6.2369509271890688</v>
      </c>
      <c r="G253" s="1"/>
      <c r="H253">
        <f t="shared" si="29"/>
        <v>1</v>
      </c>
      <c r="I253" s="1">
        <f t="shared" si="25"/>
        <v>24.300000000000075</v>
      </c>
    </row>
    <row r="254" spans="2:9" x14ac:dyDescent="0.25">
      <c r="B254" s="1">
        <f t="shared" si="26"/>
        <v>24.400000000000077</v>
      </c>
      <c r="C254" s="1">
        <f t="shared" si="27"/>
        <v>-252.89416747753606</v>
      </c>
      <c r="D254" s="1">
        <f t="shared" si="23"/>
        <v>-33.537608807014216</v>
      </c>
      <c r="E254" s="1">
        <f t="shared" si="28"/>
        <v>-33.537608807014216</v>
      </c>
      <c r="F254" s="1">
        <f t="shared" si="24"/>
        <v>6.3223541869384015</v>
      </c>
      <c r="G254" s="1"/>
      <c r="H254">
        <f t="shared" si="29"/>
        <v>1</v>
      </c>
      <c r="I254" s="1">
        <f t="shared" si="25"/>
        <v>24.400000000000077</v>
      </c>
    </row>
    <row r="255" spans="2:9" x14ac:dyDescent="0.25">
      <c r="B255" s="1">
        <f t="shared" si="26"/>
        <v>24.500000000000078</v>
      </c>
      <c r="C255" s="1">
        <f t="shared" si="27"/>
        <v>-256.24792835823746</v>
      </c>
      <c r="D255" s="1">
        <f t="shared" si="23"/>
        <v>-32.905373388320378</v>
      </c>
      <c r="E255" s="1">
        <f t="shared" si="28"/>
        <v>-32.905373388320378</v>
      </c>
      <c r="F255" s="1">
        <f t="shared" si="24"/>
        <v>6.4061982089559368</v>
      </c>
      <c r="G255" s="1"/>
      <c r="H255">
        <f t="shared" si="29"/>
        <v>1</v>
      </c>
      <c r="I255" s="1">
        <f t="shared" si="25"/>
        <v>24.500000000000078</v>
      </c>
    </row>
    <row r="256" spans="2:9" x14ac:dyDescent="0.25">
      <c r="B256" s="1">
        <f t="shared" si="26"/>
        <v>24.60000000000008</v>
      </c>
      <c r="C256" s="1">
        <f t="shared" si="27"/>
        <v>-259.53846569706951</v>
      </c>
      <c r="D256" s="1">
        <f t="shared" si="23"/>
        <v>-32.264753567424783</v>
      </c>
      <c r="E256" s="1">
        <f t="shared" si="28"/>
        <v>-32.264753567424783</v>
      </c>
      <c r="F256" s="1">
        <f t="shared" si="24"/>
        <v>6.4884616424267385</v>
      </c>
      <c r="G256" s="1"/>
      <c r="H256">
        <f t="shared" si="29"/>
        <v>1</v>
      </c>
      <c r="I256" s="1">
        <f t="shared" si="25"/>
        <v>24.60000000000008</v>
      </c>
    </row>
    <row r="257" spans="2:9" x14ac:dyDescent="0.25">
      <c r="B257" s="1">
        <f t="shared" si="26"/>
        <v>24.700000000000081</v>
      </c>
      <c r="C257" s="1">
        <f t="shared" si="27"/>
        <v>-262.76494105381198</v>
      </c>
      <c r="D257" s="1">
        <f t="shared" si="23"/>
        <v>-31.61590740318211</v>
      </c>
      <c r="E257" s="1">
        <f t="shared" si="28"/>
        <v>-31.61590740318211</v>
      </c>
      <c r="F257" s="1">
        <f t="shared" si="24"/>
        <v>6.5691235263453001</v>
      </c>
      <c r="G257" s="1"/>
      <c r="H257">
        <f t="shared" si="29"/>
        <v>1</v>
      </c>
      <c r="I257" s="1">
        <f t="shared" si="25"/>
        <v>24.700000000000081</v>
      </c>
    </row>
    <row r="258" spans="2:9" x14ac:dyDescent="0.25">
      <c r="B258" s="1">
        <f t="shared" si="26"/>
        <v>24.800000000000082</v>
      </c>
      <c r="C258" s="1">
        <f t="shared" si="27"/>
        <v>-265.9265317941302</v>
      </c>
      <c r="D258" s="1">
        <f t="shared" si="23"/>
        <v>-30.958995050547578</v>
      </c>
      <c r="E258" s="1">
        <f t="shared" si="28"/>
        <v>-30.958995050547578</v>
      </c>
      <c r="F258" s="1">
        <f t="shared" si="24"/>
        <v>6.648163294853255</v>
      </c>
      <c r="G258" s="1"/>
      <c r="H258">
        <f t="shared" si="29"/>
        <v>1</v>
      </c>
      <c r="I258" s="1">
        <f t="shared" si="25"/>
        <v>24.800000000000082</v>
      </c>
    </row>
    <row r="259" spans="2:9" x14ac:dyDescent="0.25">
      <c r="B259" s="1">
        <f t="shared" si="26"/>
        <v>24.900000000000084</v>
      </c>
      <c r="C259" s="1">
        <f t="shared" si="27"/>
        <v>-269.02243129918497</v>
      </c>
      <c r="D259" s="1">
        <f t="shared" si="23"/>
        <v>-30.294178721062252</v>
      </c>
      <c r="E259" s="1">
        <f t="shared" si="28"/>
        <v>-30.294178721062252</v>
      </c>
      <c r="F259" s="1">
        <f t="shared" si="24"/>
        <v>6.7255607824796249</v>
      </c>
      <c r="G259" s="1"/>
      <c r="H259">
        <f t="shared" si="29"/>
        <v>1</v>
      </c>
      <c r="I259" s="1">
        <f t="shared" si="25"/>
        <v>24.900000000000084</v>
      </c>
    </row>
    <row r="260" spans="2:9" x14ac:dyDescent="0.25">
      <c r="B260" s="1">
        <f t="shared" si="26"/>
        <v>25.000000000000085</v>
      </c>
      <c r="C260" s="1">
        <f t="shared" si="27"/>
        <v>-272.05184917129122</v>
      </c>
      <c r="D260" s="1">
        <f t="shared" si="23"/>
        <v>-29.621622642814291</v>
      </c>
      <c r="E260" s="1">
        <f t="shared" si="28"/>
        <v>-29.621622642814291</v>
      </c>
      <c r="F260" s="1">
        <f t="shared" si="24"/>
        <v>6.8012962292822809</v>
      </c>
      <c r="G260" s="1"/>
      <c r="H260">
        <f t="shared" si="29"/>
        <v>1</v>
      </c>
      <c r="I260" s="1">
        <f t="shared" si="25"/>
        <v>25.000000000000085</v>
      </c>
    </row>
    <row r="261" spans="2:9" x14ac:dyDescent="0.25">
      <c r="B261" s="1">
        <f t="shared" si="26"/>
        <v>25.100000000000087</v>
      </c>
      <c r="C261" s="1">
        <f t="shared" si="27"/>
        <v>-275.01401143557263</v>
      </c>
      <c r="D261" s="1">
        <f t="shared" si="23"/>
        <v>-28.941493019886064</v>
      </c>
      <c r="E261" s="1">
        <f t="shared" si="28"/>
        <v>-28.941493019886064</v>
      </c>
      <c r="F261" s="1">
        <f t="shared" si="24"/>
        <v>6.8753502858893158</v>
      </c>
      <c r="G261" s="1"/>
      <c r="H261">
        <f t="shared" si="29"/>
        <v>1</v>
      </c>
      <c r="I261" s="1">
        <f t="shared" si="25"/>
        <v>25.100000000000087</v>
      </c>
    </row>
    <row r="262" spans="2:9" x14ac:dyDescent="0.25">
      <c r="B262" s="1">
        <f t="shared" si="26"/>
        <v>25.200000000000088</v>
      </c>
      <c r="C262" s="1">
        <f t="shared" si="27"/>
        <v>-277.90816073756122</v>
      </c>
      <c r="D262" s="1">
        <f t="shared" si="23"/>
        <v>-28.253957991297131</v>
      </c>
      <c r="E262" s="1">
        <f t="shared" si="28"/>
        <v>-28.253957991297131</v>
      </c>
      <c r="F262" s="1">
        <f t="shared" si="24"/>
        <v>6.9477040184390306</v>
      </c>
      <c r="G262" s="1"/>
      <c r="H262">
        <f t="shared" si="29"/>
        <v>1</v>
      </c>
      <c r="I262" s="1">
        <f t="shared" si="25"/>
        <v>25.200000000000088</v>
      </c>
    </row>
    <row r="263" spans="2:9" x14ac:dyDescent="0.25">
      <c r="B263" s="1">
        <f t="shared" si="26"/>
        <v>25.30000000000009</v>
      </c>
      <c r="C263" s="1">
        <f t="shared" si="27"/>
        <v>-280.73355653669091</v>
      </c>
      <c r="D263" s="1">
        <f t="shared" si="23"/>
        <v>-27.559187589453227</v>
      </c>
      <c r="E263" s="1">
        <f t="shared" si="28"/>
        <v>-27.559187589453227</v>
      </c>
      <c r="F263" s="1">
        <f t="shared" si="24"/>
        <v>7.0183389134172733</v>
      </c>
      <c r="G263" s="1"/>
      <c r="H263">
        <f t="shared" si="29"/>
        <v>1</v>
      </c>
      <c r="I263" s="1">
        <f t="shared" si="25"/>
        <v>25.30000000000009</v>
      </c>
    </row>
    <row r="264" spans="2:9" x14ac:dyDescent="0.25">
      <c r="B264" s="1">
        <f t="shared" si="26"/>
        <v>25.400000000000091</v>
      </c>
      <c r="C264" s="1">
        <f t="shared" si="27"/>
        <v>-283.48947529563623</v>
      </c>
      <c r="D264" s="1">
        <f t="shared" si="23"/>
        <v>-26.857353698111499</v>
      </c>
      <c r="E264" s="1">
        <f t="shared" si="28"/>
        <v>-26.857353698111499</v>
      </c>
      <c r="F264" s="1">
        <f t="shared" si="24"/>
        <v>7.087236882390906</v>
      </c>
      <c r="G264" s="1"/>
      <c r="H264">
        <f t="shared" si="29"/>
        <v>1</v>
      </c>
      <c r="I264" s="1">
        <f t="shared" si="25"/>
        <v>25.400000000000091</v>
      </c>
    </row>
    <row r="265" spans="2:9" x14ac:dyDescent="0.25">
      <c r="B265" s="1">
        <f t="shared" si="26"/>
        <v>25.500000000000092</v>
      </c>
      <c r="C265" s="1">
        <f t="shared" si="27"/>
        <v>-286.17521066544737</v>
      </c>
      <c r="D265" s="1">
        <f t="shared" si="23"/>
        <v>-26.148630009872409</v>
      </c>
      <c r="E265" s="1">
        <f t="shared" si="28"/>
        <v>-26.148630009872409</v>
      </c>
      <c r="F265" s="1">
        <f t="shared" si="24"/>
        <v>7.1543802666361849</v>
      </c>
      <c r="G265" s="1"/>
      <c r="H265">
        <f t="shared" si="29"/>
        <v>1</v>
      </c>
      <c r="I265" s="1">
        <f t="shared" si="25"/>
        <v>25.500000000000092</v>
      </c>
    </row>
    <row r="266" spans="2:9" x14ac:dyDescent="0.25">
      <c r="B266" s="1">
        <f t="shared" si="26"/>
        <v>25.600000000000094</v>
      </c>
      <c r="C266" s="1">
        <f t="shared" si="27"/>
        <v>-288.79007366643458</v>
      </c>
      <c r="D266" s="1">
        <f t="shared" ref="D266:D329" si="30">E266</f>
        <v>-25.43319198320879</v>
      </c>
      <c r="E266" s="1">
        <f t="shared" si="28"/>
        <v>-25.43319198320879</v>
      </c>
      <c r="F266" s="1">
        <f t="shared" ref="F266:F329" si="31">-$C$3*C266/$C$4-$C$2/$C$4*E266</f>
        <v>7.219751841660865</v>
      </c>
      <c r="G266" s="1"/>
      <c r="H266">
        <f t="shared" si="29"/>
        <v>1</v>
      </c>
      <c r="I266" s="1">
        <f t="shared" ref="I266:I329" si="32">B266</f>
        <v>25.600000000000094</v>
      </c>
    </row>
    <row r="267" spans="2:9" x14ac:dyDescent="0.25">
      <c r="B267" s="1">
        <f t="shared" ref="B267:B330" si="33">B266+$C$7</f>
        <v>25.700000000000095</v>
      </c>
      <c r="C267" s="1">
        <f t="shared" ref="C267:C330" si="34">C266+D266*$C$7</f>
        <v>-291.33339286475547</v>
      </c>
      <c r="D267" s="1">
        <f t="shared" si="30"/>
        <v>-24.711216799042703</v>
      </c>
      <c r="E267" s="1">
        <f t="shared" ref="E267:E330" si="35">E266+F266*$C$7</f>
        <v>-24.711216799042703</v>
      </c>
      <c r="F267" s="1">
        <f t="shared" si="31"/>
        <v>7.2833348216188867</v>
      </c>
      <c r="G267" s="1"/>
      <c r="H267">
        <f t="shared" ref="H267:H330" si="36">H266+(D267*D268&lt;0)*1</f>
        <v>1</v>
      </c>
      <c r="I267" s="1">
        <f t="shared" si="32"/>
        <v>25.700000000000095</v>
      </c>
    </row>
    <row r="268" spans="2:9" x14ac:dyDescent="0.25">
      <c r="B268" s="1">
        <f t="shared" si="33"/>
        <v>25.800000000000097</v>
      </c>
      <c r="C268" s="1">
        <f t="shared" si="34"/>
        <v>-293.80451454465975</v>
      </c>
      <c r="D268" s="1">
        <f t="shared" si="30"/>
        <v>-23.982883316880812</v>
      </c>
      <c r="E268" s="1">
        <f t="shared" si="35"/>
        <v>-23.982883316880812</v>
      </c>
      <c r="F268" s="1">
        <f t="shared" si="31"/>
        <v>7.3451128636164942</v>
      </c>
      <c r="G268" s="1"/>
      <c r="H268">
        <f t="shared" si="36"/>
        <v>1</v>
      </c>
      <c r="I268" s="1">
        <f t="shared" si="32"/>
        <v>25.800000000000097</v>
      </c>
    </row>
    <row r="269" spans="2:9" x14ac:dyDescent="0.25">
      <c r="B269" s="1">
        <f t="shared" si="33"/>
        <v>25.900000000000098</v>
      </c>
      <c r="C269" s="1">
        <f t="shared" si="34"/>
        <v>-296.20280287634785</v>
      </c>
      <c r="D269" s="1">
        <f t="shared" si="30"/>
        <v>-23.248372030519164</v>
      </c>
      <c r="E269" s="1">
        <f t="shared" si="35"/>
        <v>-23.248372030519164</v>
      </c>
      <c r="F269" s="1">
        <f t="shared" si="31"/>
        <v>7.4050700719086961</v>
      </c>
      <c r="G269" s="1"/>
      <c r="H269">
        <f t="shared" si="36"/>
        <v>1</v>
      </c>
      <c r="I269" s="1">
        <f t="shared" si="32"/>
        <v>25.900000000000098</v>
      </c>
    </row>
    <row r="270" spans="2:9" x14ac:dyDescent="0.25">
      <c r="B270" s="1">
        <f t="shared" si="33"/>
        <v>26.000000000000099</v>
      </c>
      <c r="C270" s="1">
        <f t="shared" si="34"/>
        <v>-298.52764007939976</v>
      </c>
      <c r="D270" s="1">
        <f t="shared" si="30"/>
        <v>-22.507865023328293</v>
      </c>
      <c r="E270" s="1">
        <f t="shared" si="35"/>
        <v>-22.507865023328293</v>
      </c>
      <c r="F270" s="1">
        <f t="shared" si="31"/>
        <v>7.4631910019849945</v>
      </c>
      <c r="G270" s="1"/>
      <c r="H270">
        <f t="shared" si="36"/>
        <v>1</v>
      </c>
      <c r="I270" s="1">
        <f t="shared" si="32"/>
        <v>26.000000000000099</v>
      </c>
    </row>
    <row r="271" spans="2:9" x14ac:dyDescent="0.25">
      <c r="B271" s="1">
        <f t="shared" si="33"/>
        <v>26.100000000000101</v>
      </c>
      <c r="C271" s="1">
        <f t="shared" si="34"/>
        <v>-300.77842658173256</v>
      </c>
      <c r="D271" s="1">
        <f t="shared" si="30"/>
        <v>-21.761545923129795</v>
      </c>
      <c r="E271" s="1">
        <f t="shared" si="35"/>
        <v>-21.761545923129795</v>
      </c>
      <c r="F271" s="1">
        <f t="shared" si="31"/>
        <v>7.5194606645433142</v>
      </c>
      <c r="G271" s="1"/>
      <c r="H271">
        <f t="shared" si="36"/>
        <v>1</v>
      </c>
      <c r="I271" s="1">
        <f t="shared" si="32"/>
        <v>26.100000000000101</v>
      </c>
    </row>
    <row r="272" spans="2:9" x14ac:dyDescent="0.25">
      <c r="B272" s="1">
        <f t="shared" si="33"/>
        <v>26.200000000000102</v>
      </c>
      <c r="C272" s="1">
        <f t="shared" si="34"/>
        <v>-302.95458117404553</v>
      </c>
      <c r="D272" s="1">
        <f t="shared" si="30"/>
        <v>-21.009599856675464</v>
      </c>
      <c r="E272" s="1">
        <f t="shared" si="35"/>
        <v>-21.009599856675464</v>
      </c>
      <c r="F272" s="1">
        <f t="shared" si="31"/>
        <v>7.5738645293511384</v>
      </c>
      <c r="G272" s="1"/>
      <c r="H272">
        <f t="shared" si="36"/>
        <v>1</v>
      </c>
      <c r="I272" s="1">
        <f t="shared" si="32"/>
        <v>26.200000000000102</v>
      </c>
    </row>
    <row r="273" spans="2:9" x14ac:dyDescent="0.25">
      <c r="B273" s="1">
        <f t="shared" si="33"/>
        <v>26.300000000000104</v>
      </c>
      <c r="C273" s="1">
        <f t="shared" si="34"/>
        <v>-305.05554115971307</v>
      </c>
      <c r="D273" s="1">
        <f t="shared" si="30"/>
        <v>-20.252213403740349</v>
      </c>
      <c r="E273" s="1">
        <f t="shared" si="35"/>
        <v>-20.252213403740349</v>
      </c>
      <c r="F273" s="1">
        <f t="shared" si="31"/>
        <v>7.6263885289928268</v>
      </c>
      <c r="G273" s="1"/>
      <c r="H273">
        <f t="shared" si="36"/>
        <v>1</v>
      </c>
      <c r="I273" s="1">
        <f t="shared" si="32"/>
        <v>26.300000000000104</v>
      </c>
    </row>
    <row r="274" spans="2:9" x14ac:dyDescent="0.25">
      <c r="B274" s="1">
        <f t="shared" si="33"/>
        <v>26.400000000000105</v>
      </c>
      <c r="C274" s="1">
        <f t="shared" si="34"/>
        <v>-307.08076250008713</v>
      </c>
      <c r="D274" s="1">
        <f t="shared" si="30"/>
        <v>-19.489574550841066</v>
      </c>
      <c r="E274" s="1">
        <f t="shared" si="35"/>
        <v>-19.489574550841066</v>
      </c>
      <c r="F274" s="1">
        <f t="shared" si="31"/>
        <v>7.677019062502179</v>
      </c>
      <c r="G274" s="1"/>
      <c r="H274">
        <f t="shared" si="36"/>
        <v>1</v>
      </c>
      <c r="I274" s="1">
        <f t="shared" si="32"/>
        <v>26.400000000000105</v>
      </c>
    </row>
    <row r="275" spans="2:9" x14ac:dyDescent="0.25">
      <c r="B275" s="1">
        <f t="shared" si="33"/>
        <v>26.500000000000107</v>
      </c>
      <c r="C275" s="1">
        <f t="shared" si="34"/>
        <v>-309.02971995517123</v>
      </c>
      <c r="D275" s="1">
        <f t="shared" si="30"/>
        <v>-18.721872644590849</v>
      </c>
      <c r="E275" s="1">
        <f t="shared" si="35"/>
        <v>-18.721872644590849</v>
      </c>
      <c r="F275" s="1">
        <f t="shared" si="31"/>
        <v>7.725742998879281</v>
      </c>
      <c r="G275" s="1"/>
      <c r="H275">
        <f t="shared" si="36"/>
        <v>1</v>
      </c>
      <c r="I275" s="1">
        <f t="shared" si="32"/>
        <v>26.500000000000107</v>
      </c>
    </row>
    <row r="276" spans="2:9" x14ac:dyDescent="0.25">
      <c r="B276" s="1">
        <f t="shared" si="33"/>
        <v>26.600000000000108</v>
      </c>
      <c r="C276" s="1">
        <f t="shared" si="34"/>
        <v>-310.90190721963029</v>
      </c>
      <c r="D276" s="1">
        <f t="shared" si="30"/>
        <v>-17.949298344702921</v>
      </c>
      <c r="E276" s="1">
        <f t="shared" si="35"/>
        <v>-17.949298344702921</v>
      </c>
      <c r="F276" s="1">
        <f t="shared" si="31"/>
        <v>7.7725476804907574</v>
      </c>
      <c r="G276" s="1"/>
      <c r="H276">
        <f t="shared" si="36"/>
        <v>1</v>
      </c>
      <c r="I276" s="1">
        <f t="shared" si="32"/>
        <v>26.600000000000108</v>
      </c>
    </row>
    <row r="277" spans="2:9" x14ac:dyDescent="0.25">
      <c r="B277" s="1">
        <f t="shared" si="33"/>
        <v>26.700000000000109</v>
      </c>
      <c r="C277" s="1">
        <f t="shared" si="34"/>
        <v>-312.69683705410057</v>
      </c>
      <c r="D277" s="1">
        <f t="shared" si="30"/>
        <v>-17.172043576653845</v>
      </c>
      <c r="E277" s="1">
        <f t="shared" si="35"/>
        <v>-17.172043576653845</v>
      </c>
      <c r="F277" s="1">
        <f t="shared" si="31"/>
        <v>7.817420926352515</v>
      </c>
      <c r="G277" s="1"/>
      <c r="H277">
        <f t="shared" si="36"/>
        <v>1</v>
      </c>
      <c r="I277" s="1">
        <f t="shared" si="32"/>
        <v>26.700000000000109</v>
      </c>
    </row>
    <row r="278" spans="2:9" x14ac:dyDescent="0.25">
      <c r="B278" s="1">
        <f t="shared" si="33"/>
        <v>26.800000000000111</v>
      </c>
      <c r="C278" s="1">
        <f t="shared" si="34"/>
        <v>-314.41404141176594</v>
      </c>
      <c r="D278" s="1">
        <f t="shared" si="30"/>
        <v>-16.390301484018593</v>
      </c>
      <c r="E278" s="1">
        <f t="shared" si="35"/>
        <v>-16.390301484018593</v>
      </c>
      <c r="F278" s="1">
        <f t="shared" si="31"/>
        <v>7.8603510352941486</v>
      </c>
      <c r="G278" s="1"/>
      <c r="H278">
        <f t="shared" si="36"/>
        <v>1</v>
      </c>
      <c r="I278" s="1">
        <f t="shared" si="32"/>
        <v>26.800000000000111</v>
      </c>
    </row>
    <row r="279" spans="2:9" x14ac:dyDescent="0.25">
      <c r="B279" s="1">
        <f t="shared" si="33"/>
        <v>26.900000000000112</v>
      </c>
      <c r="C279" s="1">
        <f t="shared" si="34"/>
        <v>-316.05307156016778</v>
      </c>
      <c r="D279" s="1">
        <f t="shared" si="30"/>
        <v>-15.604266380489179</v>
      </c>
      <c r="E279" s="1">
        <f t="shared" si="35"/>
        <v>-15.604266380489179</v>
      </c>
      <c r="F279" s="1">
        <f t="shared" si="31"/>
        <v>7.9013267890041945</v>
      </c>
      <c r="G279" s="1"/>
      <c r="H279">
        <f t="shared" si="36"/>
        <v>1</v>
      </c>
      <c r="I279" s="1">
        <f t="shared" si="32"/>
        <v>26.900000000000112</v>
      </c>
    </row>
    <row r="280" spans="2:9" x14ac:dyDescent="0.25">
      <c r="B280" s="1">
        <f t="shared" si="33"/>
        <v>27.000000000000114</v>
      </c>
      <c r="C280" s="1">
        <f t="shared" si="34"/>
        <v>-317.61349819821669</v>
      </c>
      <c r="D280" s="1">
        <f t="shared" si="30"/>
        <v>-14.814133701588759</v>
      </c>
      <c r="E280" s="1">
        <f t="shared" si="35"/>
        <v>-14.814133701588759</v>
      </c>
      <c r="F280" s="1">
        <f t="shared" si="31"/>
        <v>7.9403374549554178</v>
      </c>
      <c r="G280" s="1"/>
      <c r="H280">
        <f t="shared" si="36"/>
        <v>1</v>
      </c>
      <c r="I280" s="1">
        <f t="shared" si="32"/>
        <v>27.000000000000114</v>
      </c>
    </row>
    <row r="281" spans="2:9" x14ac:dyDescent="0.25">
      <c r="B281" s="1">
        <f t="shared" si="33"/>
        <v>27.100000000000115</v>
      </c>
      <c r="C281" s="1">
        <f t="shared" si="34"/>
        <v>-319.09491156837555</v>
      </c>
      <c r="D281" s="1">
        <f t="shared" si="30"/>
        <v>-14.020099956093217</v>
      </c>
      <c r="E281" s="1">
        <f t="shared" si="35"/>
        <v>-14.020099956093217</v>
      </c>
      <c r="F281" s="1">
        <f t="shared" si="31"/>
        <v>7.9773727892093893</v>
      </c>
      <c r="G281" s="1"/>
      <c r="H281">
        <f t="shared" si="36"/>
        <v>1</v>
      </c>
      <c r="I281" s="1">
        <f t="shared" si="32"/>
        <v>27.100000000000115</v>
      </c>
    </row>
    <row r="282" spans="2:9" x14ac:dyDescent="0.25">
      <c r="B282" s="1">
        <f t="shared" si="33"/>
        <v>27.200000000000117</v>
      </c>
      <c r="C282" s="1">
        <f t="shared" si="34"/>
        <v>-320.49692156398487</v>
      </c>
      <c r="D282" s="1">
        <f t="shared" si="30"/>
        <v>-13.222362677172278</v>
      </c>
      <c r="E282" s="1">
        <f t="shared" si="35"/>
        <v>-13.222362677172278</v>
      </c>
      <c r="F282" s="1">
        <f t="shared" si="31"/>
        <v>8.0124230390996214</v>
      </c>
      <c r="G282" s="1"/>
      <c r="H282">
        <f t="shared" si="36"/>
        <v>1</v>
      </c>
      <c r="I282" s="1">
        <f t="shared" si="32"/>
        <v>27.200000000000117</v>
      </c>
    </row>
    <row r="283" spans="2:9" x14ac:dyDescent="0.25">
      <c r="B283" s="1">
        <f t="shared" si="33"/>
        <v>27.300000000000118</v>
      </c>
      <c r="C283" s="1">
        <f t="shared" si="34"/>
        <v>-321.81915783170211</v>
      </c>
      <c r="D283" s="1">
        <f t="shared" si="30"/>
        <v>-12.421120373262315</v>
      </c>
      <c r="E283" s="1">
        <f t="shared" si="35"/>
        <v>-12.421120373262315</v>
      </c>
      <c r="F283" s="1">
        <f t="shared" si="31"/>
        <v>8.0454789457925528</v>
      </c>
      <c r="G283" s="1"/>
      <c r="H283">
        <f t="shared" si="36"/>
        <v>1</v>
      </c>
      <c r="I283" s="1">
        <f t="shared" si="32"/>
        <v>27.300000000000118</v>
      </c>
    </row>
    <row r="284" spans="2:9" x14ac:dyDescent="0.25">
      <c r="B284" s="1">
        <f t="shared" si="33"/>
        <v>27.400000000000119</v>
      </c>
      <c r="C284" s="1">
        <f t="shared" si="34"/>
        <v>-323.06126986902837</v>
      </c>
      <c r="D284" s="1">
        <f t="shared" si="30"/>
        <v>-11.616572478683061</v>
      </c>
      <c r="E284" s="1">
        <f t="shared" si="35"/>
        <v>-11.616572478683061</v>
      </c>
      <c r="F284" s="1">
        <f t="shared" si="31"/>
        <v>8.0765317467257098</v>
      </c>
      <c r="G284" s="1"/>
      <c r="H284">
        <f t="shared" si="36"/>
        <v>1</v>
      </c>
      <c r="I284" s="1">
        <f t="shared" si="32"/>
        <v>27.400000000000119</v>
      </c>
    </row>
    <row r="285" spans="2:9" x14ac:dyDescent="0.25">
      <c r="B285" s="1">
        <f t="shared" si="33"/>
        <v>27.500000000000121</v>
      </c>
      <c r="C285" s="1">
        <f t="shared" si="34"/>
        <v>-324.2229271168967</v>
      </c>
      <c r="D285" s="1">
        <f t="shared" si="30"/>
        <v>-10.808919304010489</v>
      </c>
      <c r="E285" s="1">
        <f t="shared" si="35"/>
        <v>-10.808919304010489</v>
      </c>
      <c r="F285" s="1">
        <f t="shared" si="31"/>
        <v>8.1055731779224178</v>
      </c>
      <c r="G285" s="1"/>
      <c r="H285">
        <f t="shared" si="36"/>
        <v>1</v>
      </c>
      <c r="I285" s="1">
        <f t="shared" si="32"/>
        <v>27.500000000000121</v>
      </c>
    </row>
    <row r="286" spans="2:9" x14ac:dyDescent="0.25">
      <c r="B286" s="1">
        <f t="shared" si="33"/>
        <v>27.600000000000122</v>
      </c>
      <c r="C286" s="1">
        <f t="shared" si="34"/>
        <v>-325.30381904729774</v>
      </c>
      <c r="D286" s="1">
        <f t="shared" si="30"/>
        <v>-9.9983619862182476</v>
      </c>
      <c r="E286" s="1">
        <f t="shared" si="35"/>
        <v>-9.9983619862182476</v>
      </c>
      <c r="F286" s="1">
        <f t="shared" si="31"/>
        <v>8.1325954761824431</v>
      </c>
      <c r="G286" s="1"/>
      <c r="H286">
        <f t="shared" si="36"/>
        <v>1</v>
      </c>
      <c r="I286" s="1">
        <f t="shared" si="32"/>
        <v>27.600000000000122</v>
      </c>
    </row>
    <row r="287" spans="2:9" x14ac:dyDescent="0.25">
      <c r="B287" s="1">
        <f t="shared" si="33"/>
        <v>27.700000000000124</v>
      </c>
      <c r="C287" s="1">
        <f t="shared" si="34"/>
        <v>-326.30365524591957</v>
      </c>
      <c r="D287" s="1">
        <f t="shared" si="30"/>
        <v>-9.1851024386000031</v>
      </c>
      <c r="E287" s="1">
        <f t="shared" si="35"/>
        <v>-9.1851024386000031</v>
      </c>
      <c r="F287" s="1">
        <f t="shared" si="31"/>
        <v>8.1575913811479897</v>
      </c>
      <c r="G287" s="1"/>
      <c r="H287">
        <f t="shared" si="36"/>
        <v>1</v>
      </c>
      <c r="I287" s="1">
        <f t="shared" si="32"/>
        <v>27.700000000000124</v>
      </c>
    </row>
    <row r="288" spans="2:9" x14ac:dyDescent="0.25">
      <c r="B288" s="1">
        <f t="shared" si="33"/>
        <v>27.800000000000125</v>
      </c>
      <c r="C288" s="1">
        <f t="shared" si="34"/>
        <v>-327.22216548977957</v>
      </c>
      <c r="D288" s="1">
        <f t="shared" si="30"/>
        <v>-8.3693433004852036</v>
      </c>
      <c r="E288" s="1">
        <f t="shared" si="35"/>
        <v>-8.3693433004852036</v>
      </c>
      <c r="F288" s="1">
        <f t="shared" si="31"/>
        <v>8.1805541372444903</v>
      </c>
      <c r="G288" s="1"/>
      <c r="H288">
        <f t="shared" si="36"/>
        <v>1</v>
      </c>
      <c r="I288" s="1">
        <f t="shared" si="32"/>
        <v>27.800000000000125</v>
      </c>
    </row>
    <row r="289" spans="2:9" x14ac:dyDescent="0.25">
      <c r="B289" s="1">
        <f t="shared" si="33"/>
        <v>27.900000000000126</v>
      </c>
      <c r="C289" s="1">
        <f t="shared" si="34"/>
        <v>-328.05909981982808</v>
      </c>
      <c r="D289" s="1">
        <f t="shared" si="30"/>
        <v>-7.551287886760754</v>
      </c>
      <c r="E289" s="1">
        <f t="shared" si="35"/>
        <v>-7.551287886760754</v>
      </c>
      <c r="F289" s="1">
        <f t="shared" si="31"/>
        <v>8.2014774954957019</v>
      </c>
      <c r="G289" s="1"/>
      <c r="H289">
        <f t="shared" si="36"/>
        <v>1</v>
      </c>
      <c r="I289" s="1">
        <f t="shared" si="32"/>
        <v>27.900000000000126</v>
      </c>
    </row>
    <row r="290" spans="2:9" x14ac:dyDescent="0.25">
      <c r="B290" s="1">
        <f t="shared" si="33"/>
        <v>28.000000000000128</v>
      </c>
      <c r="C290" s="1">
        <f t="shared" si="34"/>
        <v>-328.81422860850415</v>
      </c>
      <c r="D290" s="1">
        <f t="shared" si="30"/>
        <v>-6.7311401372111836</v>
      </c>
      <c r="E290" s="1">
        <f t="shared" si="35"/>
        <v>-6.7311401372111836</v>
      </c>
      <c r="F290" s="1">
        <f t="shared" si="31"/>
        <v>8.2203557152126034</v>
      </c>
      <c r="G290" s="1"/>
      <c r="H290">
        <f t="shared" si="36"/>
        <v>1</v>
      </c>
      <c r="I290" s="1">
        <f t="shared" si="32"/>
        <v>28.000000000000128</v>
      </c>
    </row>
    <row r="291" spans="2:9" x14ac:dyDescent="0.25">
      <c r="B291" s="1">
        <f t="shared" si="33"/>
        <v>28.100000000000129</v>
      </c>
      <c r="C291" s="1">
        <f t="shared" si="34"/>
        <v>-329.48734262222524</v>
      </c>
      <c r="D291" s="1">
        <f t="shared" si="30"/>
        <v>-5.9091045656899235</v>
      </c>
      <c r="E291" s="1">
        <f t="shared" si="35"/>
        <v>-5.9091045656899235</v>
      </c>
      <c r="F291" s="1">
        <f t="shared" si="31"/>
        <v>8.2371835655556307</v>
      </c>
      <c r="G291" s="1"/>
      <c r="H291">
        <f t="shared" si="36"/>
        <v>1</v>
      </c>
      <c r="I291" s="1">
        <f t="shared" si="32"/>
        <v>28.100000000000129</v>
      </c>
    </row>
    <row r="292" spans="2:9" x14ac:dyDescent="0.25">
      <c r="B292" s="1">
        <f t="shared" si="33"/>
        <v>28.200000000000131</v>
      </c>
      <c r="C292" s="1">
        <f t="shared" si="34"/>
        <v>-330.07825307879426</v>
      </c>
      <c r="D292" s="1">
        <f t="shared" si="30"/>
        <v>-5.0853862091343602</v>
      </c>
      <c r="E292" s="1">
        <f t="shared" si="35"/>
        <v>-5.0853862091343602</v>
      </c>
      <c r="F292" s="1">
        <f t="shared" si="31"/>
        <v>8.2519563269698573</v>
      </c>
      <c r="G292" s="1"/>
      <c r="H292">
        <f t="shared" si="36"/>
        <v>1</v>
      </c>
      <c r="I292" s="1">
        <f t="shared" si="32"/>
        <v>28.200000000000131</v>
      </c>
    </row>
    <row r="293" spans="2:9" x14ac:dyDescent="0.25">
      <c r="B293" s="1">
        <f t="shared" si="33"/>
        <v>28.300000000000132</v>
      </c>
      <c r="C293" s="1">
        <f t="shared" si="34"/>
        <v>-330.5867916997077</v>
      </c>
      <c r="D293" s="1">
        <f t="shared" si="30"/>
        <v>-4.260190576437374</v>
      </c>
      <c r="E293" s="1">
        <f t="shared" si="35"/>
        <v>-4.260190576437374</v>
      </c>
      <c r="F293" s="1">
        <f t="shared" si="31"/>
        <v>8.2646697924926933</v>
      </c>
      <c r="G293" s="1"/>
      <c r="H293">
        <f t="shared" si="36"/>
        <v>1</v>
      </c>
      <c r="I293" s="1">
        <f t="shared" si="32"/>
        <v>28.300000000000132</v>
      </c>
    </row>
    <row r="294" spans="2:9" x14ac:dyDescent="0.25">
      <c r="B294" s="1">
        <f t="shared" si="33"/>
        <v>28.400000000000134</v>
      </c>
      <c r="C294" s="1">
        <f t="shared" si="34"/>
        <v>-331.01281075735142</v>
      </c>
      <c r="D294" s="1">
        <f t="shared" si="30"/>
        <v>-3.4337235971881048</v>
      </c>
      <c r="E294" s="1">
        <f t="shared" si="35"/>
        <v>-3.4337235971881048</v>
      </c>
      <c r="F294" s="1">
        <f t="shared" si="31"/>
        <v>8.2753202689337861</v>
      </c>
      <c r="G294" s="1"/>
      <c r="H294">
        <f t="shared" si="36"/>
        <v>1</v>
      </c>
      <c r="I294" s="1">
        <f t="shared" si="32"/>
        <v>28.400000000000134</v>
      </c>
    </row>
    <row r="295" spans="2:9" x14ac:dyDescent="0.25">
      <c r="B295" s="1">
        <f t="shared" si="33"/>
        <v>28.500000000000135</v>
      </c>
      <c r="C295" s="1">
        <f t="shared" si="34"/>
        <v>-331.3561831170702</v>
      </c>
      <c r="D295" s="1">
        <f t="shared" si="30"/>
        <v>-2.606191570294726</v>
      </c>
      <c r="E295" s="1">
        <f t="shared" si="35"/>
        <v>-2.606191570294726</v>
      </c>
      <c r="F295" s="1">
        <f t="shared" si="31"/>
        <v>8.2839045779267551</v>
      </c>
      <c r="G295" s="1"/>
      <c r="H295">
        <f t="shared" si="36"/>
        <v>1</v>
      </c>
      <c r="I295" s="1">
        <f t="shared" si="32"/>
        <v>28.500000000000135</v>
      </c>
    </row>
    <row r="296" spans="2:9" x14ac:dyDescent="0.25">
      <c r="B296" s="1">
        <f t="shared" si="33"/>
        <v>28.600000000000136</v>
      </c>
      <c r="C296" s="1">
        <f t="shared" si="34"/>
        <v>-331.61680227409965</v>
      </c>
      <c r="D296" s="1">
        <f t="shared" si="30"/>
        <v>-1.7778011125020505</v>
      </c>
      <c r="E296" s="1">
        <f t="shared" si="35"/>
        <v>-1.7778011125020505</v>
      </c>
      <c r="F296" s="1">
        <f t="shared" si="31"/>
        <v>8.2904200568524917</v>
      </c>
      <c r="G296" s="1"/>
      <c r="H296">
        <f t="shared" si="36"/>
        <v>1</v>
      </c>
      <c r="I296" s="1">
        <f t="shared" si="32"/>
        <v>28.600000000000136</v>
      </c>
    </row>
    <row r="297" spans="2:9" x14ac:dyDescent="0.25">
      <c r="B297" s="1">
        <f t="shared" si="33"/>
        <v>28.700000000000138</v>
      </c>
      <c r="C297" s="1">
        <f t="shared" si="34"/>
        <v>-331.79458238534988</v>
      </c>
      <c r="D297" s="1">
        <f t="shared" si="30"/>
        <v>-0.94875910681680131</v>
      </c>
      <c r="E297" s="1">
        <f t="shared" si="35"/>
        <v>-0.94875910681680131</v>
      </c>
      <c r="F297" s="1">
        <f t="shared" si="31"/>
        <v>8.2948645596337478</v>
      </c>
      <c r="G297" s="1"/>
      <c r="H297">
        <f t="shared" si="36"/>
        <v>1</v>
      </c>
      <c r="I297" s="1">
        <f t="shared" si="32"/>
        <v>28.700000000000138</v>
      </c>
    </row>
    <row r="298" spans="2:9" x14ac:dyDescent="0.25">
      <c r="B298" s="1">
        <f t="shared" si="33"/>
        <v>28.800000000000139</v>
      </c>
      <c r="C298" s="1">
        <f t="shared" si="34"/>
        <v>-331.88945829603159</v>
      </c>
      <c r="D298" s="1">
        <f t="shared" si="30"/>
        <v>-0.11927265085342653</v>
      </c>
      <c r="E298" s="1">
        <f t="shared" si="35"/>
        <v>-0.11927265085342653</v>
      </c>
      <c r="F298" s="1">
        <f t="shared" si="31"/>
        <v>8.2972364574007909</v>
      </c>
      <c r="G298" s="1"/>
      <c r="H298">
        <f t="shared" si="36"/>
        <v>2</v>
      </c>
      <c r="I298" s="1">
        <f t="shared" si="32"/>
        <v>28.800000000000139</v>
      </c>
    </row>
    <row r="299" spans="2:9" x14ac:dyDescent="0.25">
      <c r="B299" s="1">
        <f t="shared" si="33"/>
        <v>28.900000000000141</v>
      </c>
      <c r="C299" s="1">
        <f t="shared" si="34"/>
        <v>-331.90138556111691</v>
      </c>
      <c r="D299" s="1">
        <f t="shared" si="30"/>
        <v>0.71045099488665264</v>
      </c>
      <c r="E299" s="1">
        <f t="shared" si="35"/>
        <v>0.71045099488665264</v>
      </c>
      <c r="F299" s="1">
        <f t="shared" si="31"/>
        <v>8.2975346390279228</v>
      </c>
      <c r="G299" s="1"/>
      <c r="H299">
        <f t="shared" si="36"/>
        <v>2</v>
      </c>
      <c r="I299" s="1">
        <f t="shared" si="32"/>
        <v>28.900000000000141</v>
      </c>
    </row>
    <row r="300" spans="2:9" x14ac:dyDescent="0.25">
      <c r="B300" s="1">
        <f t="shared" si="33"/>
        <v>29.000000000000142</v>
      </c>
      <c r="C300" s="1">
        <f t="shared" si="34"/>
        <v>-331.83034046162823</v>
      </c>
      <c r="D300" s="1">
        <f t="shared" si="30"/>
        <v>1.540204458789445</v>
      </c>
      <c r="E300" s="1">
        <f t="shared" si="35"/>
        <v>1.540204458789445</v>
      </c>
      <c r="F300" s="1">
        <f t="shared" si="31"/>
        <v>8.295758511540706</v>
      </c>
      <c r="G300" s="1"/>
      <c r="H300">
        <f t="shared" si="36"/>
        <v>2</v>
      </c>
      <c r="I300" s="1">
        <f t="shared" si="32"/>
        <v>29.000000000000142</v>
      </c>
    </row>
    <row r="301" spans="2:9" x14ac:dyDescent="0.25">
      <c r="B301" s="1">
        <f t="shared" si="33"/>
        <v>29.100000000000144</v>
      </c>
      <c r="C301" s="1">
        <f t="shared" si="34"/>
        <v>-331.6763200157493</v>
      </c>
      <c r="D301" s="1">
        <f t="shared" si="30"/>
        <v>2.3697803099435157</v>
      </c>
      <c r="E301" s="1">
        <f t="shared" si="35"/>
        <v>2.3697803099435157</v>
      </c>
      <c r="F301" s="1">
        <f t="shared" si="31"/>
        <v>8.2919080003937324</v>
      </c>
      <c r="G301" s="1"/>
      <c r="H301">
        <f t="shared" si="36"/>
        <v>2</v>
      </c>
      <c r="I301" s="1">
        <f t="shared" si="32"/>
        <v>29.100000000000144</v>
      </c>
    </row>
    <row r="302" spans="2:9" x14ac:dyDescent="0.25">
      <c r="B302" s="1">
        <f t="shared" si="33"/>
        <v>29.200000000000145</v>
      </c>
      <c r="C302" s="1">
        <f t="shared" si="34"/>
        <v>-331.43934198475495</v>
      </c>
      <c r="D302" s="1">
        <f t="shared" si="30"/>
        <v>3.1989711099828888</v>
      </c>
      <c r="E302" s="1">
        <f t="shared" si="35"/>
        <v>3.1989711099828888</v>
      </c>
      <c r="F302" s="1">
        <f t="shared" si="31"/>
        <v>8.2859835496188747</v>
      </c>
      <c r="G302" s="1"/>
      <c r="H302">
        <f t="shared" si="36"/>
        <v>2</v>
      </c>
      <c r="I302" s="1">
        <f t="shared" si="32"/>
        <v>29.200000000000145</v>
      </c>
    </row>
    <row r="303" spans="2:9" x14ac:dyDescent="0.25">
      <c r="B303" s="1">
        <f t="shared" si="33"/>
        <v>29.300000000000146</v>
      </c>
      <c r="C303" s="1">
        <f t="shared" si="34"/>
        <v>-331.11944487375666</v>
      </c>
      <c r="D303" s="1">
        <f t="shared" si="30"/>
        <v>4.0275694649447766</v>
      </c>
      <c r="E303" s="1">
        <f t="shared" si="35"/>
        <v>4.0275694649447766</v>
      </c>
      <c r="F303" s="1">
        <f t="shared" si="31"/>
        <v>8.2779861218439166</v>
      </c>
      <c r="G303" s="1"/>
      <c r="H303">
        <f t="shared" si="36"/>
        <v>2</v>
      </c>
      <c r="I303" s="1">
        <f t="shared" si="32"/>
        <v>29.300000000000146</v>
      </c>
    </row>
    <row r="304" spans="2:9" x14ac:dyDescent="0.25">
      <c r="B304" s="1">
        <f t="shared" si="33"/>
        <v>29.400000000000148</v>
      </c>
      <c r="C304" s="1">
        <f t="shared" si="34"/>
        <v>-330.71668792726217</v>
      </c>
      <c r="D304" s="1">
        <f t="shared" si="30"/>
        <v>4.8553680771291683</v>
      </c>
      <c r="E304" s="1">
        <f t="shared" si="35"/>
        <v>4.8553680771291683</v>
      </c>
      <c r="F304" s="1">
        <f t="shared" si="31"/>
        <v>8.2679171981815553</v>
      </c>
      <c r="G304" s="1"/>
      <c r="H304">
        <f t="shared" si="36"/>
        <v>2</v>
      </c>
      <c r="I304" s="1">
        <f t="shared" si="32"/>
        <v>29.400000000000148</v>
      </c>
    </row>
    <row r="305" spans="2:9" x14ac:dyDescent="0.25">
      <c r="B305" s="1">
        <f t="shared" si="33"/>
        <v>29.500000000000149</v>
      </c>
      <c r="C305" s="1">
        <f t="shared" si="34"/>
        <v>-330.23115111954928</v>
      </c>
      <c r="D305" s="1">
        <f t="shared" si="30"/>
        <v>5.6821597969473236</v>
      </c>
      <c r="E305" s="1">
        <f t="shared" si="35"/>
        <v>5.6821597969473236</v>
      </c>
      <c r="F305" s="1">
        <f t="shared" si="31"/>
        <v>8.2557787779887324</v>
      </c>
      <c r="G305" s="1"/>
      <c r="H305">
        <f t="shared" si="36"/>
        <v>2</v>
      </c>
      <c r="I305" s="1">
        <f t="shared" si="32"/>
        <v>29.500000000000149</v>
      </c>
    </row>
    <row r="306" spans="2:9" x14ac:dyDescent="0.25">
      <c r="B306" s="1">
        <f t="shared" si="33"/>
        <v>29.600000000000151</v>
      </c>
      <c r="C306" s="1">
        <f t="shared" si="34"/>
        <v>-329.66293513985454</v>
      </c>
      <c r="D306" s="1">
        <f t="shared" si="30"/>
        <v>6.5077376747461972</v>
      </c>
      <c r="E306" s="1">
        <f t="shared" si="35"/>
        <v>6.5077376747461972</v>
      </c>
      <c r="F306" s="1">
        <f t="shared" si="31"/>
        <v>8.2415733784963638</v>
      </c>
      <c r="G306" s="1"/>
      <c r="H306">
        <f t="shared" si="36"/>
        <v>2</v>
      </c>
      <c r="I306" s="1">
        <f t="shared" si="32"/>
        <v>29.600000000000151</v>
      </c>
    </row>
    <row r="307" spans="2:9" x14ac:dyDescent="0.25">
      <c r="B307" s="1">
        <f t="shared" si="33"/>
        <v>29.700000000000152</v>
      </c>
      <c r="C307" s="1">
        <f t="shared" si="34"/>
        <v>-329.01216137237992</v>
      </c>
      <c r="D307" s="1">
        <f t="shared" si="30"/>
        <v>7.331895012595834</v>
      </c>
      <c r="E307" s="1">
        <f t="shared" si="35"/>
        <v>7.331895012595834</v>
      </c>
      <c r="F307" s="1">
        <f t="shared" si="31"/>
        <v>8.2253040343094987</v>
      </c>
      <c r="G307" s="1"/>
      <c r="H307">
        <f t="shared" si="36"/>
        <v>2</v>
      </c>
      <c r="I307" s="1">
        <f t="shared" si="32"/>
        <v>29.700000000000152</v>
      </c>
    </row>
    <row r="308" spans="2:9" x14ac:dyDescent="0.25">
      <c r="B308" s="1">
        <f t="shared" si="33"/>
        <v>29.800000000000153</v>
      </c>
      <c r="C308" s="1">
        <f t="shared" si="34"/>
        <v>-328.27897187112035</v>
      </c>
      <c r="D308" s="1">
        <f t="shared" si="30"/>
        <v>8.1544254160267844</v>
      </c>
      <c r="E308" s="1">
        <f t="shared" si="35"/>
        <v>8.1544254160267844</v>
      </c>
      <c r="F308" s="1">
        <f t="shared" si="31"/>
        <v>8.206974296778009</v>
      </c>
      <c r="G308" s="1"/>
      <c r="H308">
        <f t="shared" si="36"/>
        <v>2</v>
      </c>
      <c r="I308" s="1">
        <f t="shared" si="32"/>
        <v>29.800000000000153</v>
      </c>
    </row>
    <row r="309" spans="2:9" x14ac:dyDescent="0.25">
      <c r="B309" s="1">
        <f t="shared" si="33"/>
        <v>29.900000000000155</v>
      </c>
      <c r="C309" s="1">
        <f t="shared" si="34"/>
        <v>-327.46352932951766</v>
      </c>
      <c r="D309" s="1">
        <f t="shared" si="30"/>
        <v>8.9751228457045862</v>
      </c>
      <c r="E309" s="1">
        <f t="shared" si="35"/>
        <v>8.9751228457045862</v>
      </c>
      <c r="F309" s="1">
        <f t="shared" si="31"/>
        <v>8.1865882332379414</v>
      </c>
      <c r="G309" s="1"/>
      <c r="H309">
        <f t="shared" si="36"/>
        <v>2</v>
      </c>
      <c r="I309" s="1">
        <f t="shared" si="32"/>
        <v>29.900000000000155</v>
      </c>
    </row>
    <row r="310" spans="2:9" x14ac:dyDescent="0.25">
      <c r="B310" s="1">
        <f t="shared" si="33"/>
        <v>30.000000000000156</v>
      </c>
      <c r="C310" s="1">
        <f t="shared" si="34"/>
        <v>-326.56601704494722</v>
      </c>
      <c r="D310" s="1">
        <f t="shared" si="30"/>
        <v>9.7937816690283803</v>
      </c>
      <c r="E310" s="1">
        <f t="shared" si="35"/>
        <v>9.7937816690283803</v>
      </c>
      <c r="F310" s="1">
        <f t="shared" si="31"/>
        <v>8.1641504261236815</v>
      </c>
      <c r="G310" s="1"/>
      <c r="H310">
        <f t="shared" si="36"/>
        <v>2</v>
      </c>
      <c r="I310" s="1">
        <f t="shared" si="32"/>
        <v>30.000000000000156</v>
      </c>
    </row>
    <row r="311" spans="2:9" x14ac:dyDescent="0.25">
      <c r="B311" s="1">
        <f t="shared" si="33"/>
        <v>30.100000000000158</v>
      </c>
      <c r="C311" s="1">
        <f t="shared" si="34"/>
        <v>-325.58663887804437</v>
      </c>
      <c r="D311" s="1">
        <f t="shared" si="30"/>
        <v>10.610196711640748</v>
      </c>
      <c r="E311" s="1">
        <f t="shared" si="35"/>
        <v>10.610196711640748</v>
      </c>
      <c r="F311" s="1">
        <f t="shared" si="31"/>
        <v>8.1396659719511089</v>
      </c>
      <c r="G311" s="1"/>
      <c r="H311">
        <f t="shared" si="36"/>
        <v>2</v>
      </c>
      <c r="I311" s="1">
        <f t="shared" si="32"/>
        <v>30.100000000000158</v>
      </c>
    </row>
    <row r="312" spans="2:9" x14ac:dyDescent="0.25">
      <c r="B312" s="1">
        <f t="shared" si="33"/>
        <v>30.200000000000159</v>
      </c>
      <c r="C312" s="1">
        <f t="shared" si="34"/>
        <v>-324.52561920688032</v>
      </c>
      <c r="D312" s="1">
        <f t="shared" si="30"/>
        <v>11.424163308835858</v>
      </c>
      <c r="E312" s="1">
        <f t="shared" si="35"/>
        <v>11.424163308835858</v>
      </c>
      <c r="F312" s="1">
        <f t="shared" si="31"/>
        <v>8.1131404801720084</v>
      </c>
      <c r="G312" s="1"/>
      <c r="H312">
        <f t="shared" si="36"/>
        <v>2</v>
      </c>
      <c r="I312" s="1">
        <f t="shared" si="32"/>
        <v>30.200000000000159</v>
      </c>
    </row>
    <row r="313" spans="2:9" x14ac:dyDescent="0.25">
      <c r="B313" s="1">
        <f t="shared" si="33"/>
        <v>30.300000000000161</v>
      </c>
      <c r="C313" s="1">
        <f t="shared" si="34"/>
        <v>-323.38320287599674</v>
      </c>
      <c r="D313" s="1">
        <f t="shared" si="30"/>
        <v>12.235477356853059</v>
      </c>
      <c r="E313" s="1">
        <f t="shared" si="35"/>
        <v>12.235477356853059</v>
      </c>
      <c r="F313" s="1">
        <f t="shared" si="31"/>
        <v>8.0845800718999197</v>
      </c>
      <c r="G313" s="1"/>
      <c r="H313">
        <f t="shared" si="36"/>
        <v>2</v>
      </c>
      <c r="I313" s="1">
        <f t="shared" si="32"/>
        <v>30.300000000000161</v>
      </c>
    </row>
    <row r="314" spans="2:9" x14ac:dyDescent="0.25">
      <c r="B314" s="1">
        <f t="shared" si="33"/>
        <v>30.400000000000162</v>
      </c>
      <c r="C314" s="1">
        <f t="shared" si="34"/>
        <v>-322.15965514031143</v>
      </c>
      <c r="D314" s="1">
        <f t="shared" si="30"/>
        <v>13.043935364043051</v>
      </c>
      <c r="E314" s="1">
        <f t="shared" si="35"/>
        <v>13.043935364043051</v>
      </c>
      <c r="F314" s="1">
        <f t="shared" si="31"/>
        <v>8.0539913785077868</v>
      </c>
      <c r="G314" s="1"/>
      <c r="H314">
        <f t="shared" si="36"/>
        <v>2</v>
      </c>
      <c r="I314" s="1">
        <f t="shared" si="32"/>
        <v>30.400000000000162</v>
      </c>
    </row>
    <row r="315" spans="2:9" x14ac:dyDescent="0.25">
      <c r="B315" s="1">
        <f t="shared" si="33"/>
        <v>30.500000000000163</v>
      </c>
      <c r="C315" s="1">
        <f t="shared" si="34"/>
        <v>-320.85526160390714</v>
      </c>
      <c r="D315" s="1">
        <f t="shared" si="30"/>
        <v>13.84933450189383</v>
      </c>
      <c r="E315" s="1">
        <f t="shared" si="35"/>
        <v>13.84933450189383</v>
      </c>
      <c r="F315" s="1">
        <f t="shared" si="31"/>
        <v>8.0213815400976785</v>
      </c>
      <c r="G315" s="1"/>
      <c r="H315">
        <f t="shared" si="36"/>
        <v>2</v>
      </c>
      <c r="I315" s="1">
        <f t="shared" si="32"/>
        <v>30.500000000000163</v>
      </c>
    </row>
    <row r="316" spans="2:9" x14ac:dyDescent="0.25">
      <c r="B316" s="1">
        <f t="shared" si="33"/>
        <v>30.600000000000165</v>
      </c>
      <c r="C316" s="1">
        <f t="shared" si="34"/>
        <v>-319.47032815371773</v>
      </c>
      <c r="D316" s="1">
        <f t="shared" si="30"/>
        <v>14.651472655903598</v>
      </c>
      <c r="E316" s="1">
        <f t="shared" si="35"/>
        <v>14.651472655903598</v>
      </c>
      <c r="F316" s="1">
        <f t="shared" si="31"/>
        <v>7.9867582038429434</v>
      </c>
      <c r="G316" s="1"/>
      <c r="H316">
        <f t="shared" si="36"/>
        <v>2</v>
      </c>
      <c r="I316" s="1">
        <f t="shared" si="32"/>
        <v>30.600000000000165</v>
      </c>
    </row>
    <row r="317" spans="2:9" x14ac:dyDescent="0.25">
      <c r="B317" s="1">
        <f t="shared" si="33"/>
        <v>30.700000000000166</v>
      </c>
      <c r="C317" s="1">
        <f t="shared" si="34"/>
        <v>-318.00518088812737</v>
      </c>
      <c r="D317" s="1">
        <f t="shared" si="30"/>
        <v>15.450148476287893</v>
      </c>
      <c r="E317" s="1">
        <f t="shared" si="35"/>
        <v>15.450148476287893</v>
      </c>
      <c r="F317" s="1">
        <f t="shared" si="31"/>
        <v>7.9501295222031843</v>
      </c>
      <c r="G317" s="1"/>
      <c r="H317">
        <f t="shared" si="36"/>
        <v>2</v>
      </c>
      <c r="I317" s="1">
        <f t="shared" si="32"/>
        <v>30.700000000000166</v>
      </c>
    </row>
    <row r="318" spans="2:9" x14ac:dyDescent="0.25">
      <c r="B318" s="1">
        <f t="shared" si="33"/>
        <v>30.800000000000168</v>
      </c>
      <c r="C318" s="1">
        <f t="shared" si="34"/>
        <v>-316.46016604049856</v>
      </c>
      <c r="D318" s="1">
        <f t="shared" si="30"/>
        <v>16.245161428508212</v>
      </c>
      <c r="E318" s="1">
        <f t="shared" si="35"/>
        <v>16.245161428508212</v>
      </c>
      <c r="F318" s="1">
        <f t="shared" si="31"/>
        <v>7.9115041510124646</v>
      </c>
      <c r="G318" s="1"/>
      <c r="H318">
        <f t="shared" si="36"/>
        <v>2</v>
      </c>
      <c r="I318" s="1">
        <f t="shared" si="32"/>
        <v>30.800000000000168</v>
      </c>
    </row>
    <row r="319" spans="2:9" x14ac:dyDescent="0.25">
      <c r="B319" s="1">
        <f t="shared" si="33"/>
        <v>30.900000000000169</v>
      </c>
      <c r="C319" s="1">
        <f t="shared" si="34"/>
        <v>-314.83564989764773</v>
      </c>
      <c r="D319" s="1">
        <f t="shared" si="30"/>
        <v>17.036311843609457</v>
      </c>
      <c r="E319" s="1">
        <f t="shared" si="35"/>
        <v>17.036311843609457</v>
      </c>
      <c r="F319" s="1">
        <f t="shared" si="31"/>
        <v>7.8708912474411932</v>
      </c>
      <c r="G319" s="1"/>
      <c r="H319">
        <f t="shared" si="36"/>
        <v>2</v>
      </c>
      <c r="I319" s="1">
        <f t="shared" si="32"/>
        <v>30.900000000000169</v>
      </c>
    </row>
    <row r="320" spans="2:9" x14ac:dyDescent="0.25">
      <c r="B320" s="1">
        <f t="shared" si="33"/>
        <v>31.000000000000171</v>
      </c>
      <c r="C320" s="1">
        <f t="shared" si="34"/>
        <v>-313.13201871328675</v>
      </c>
      <c r="D320" s="1">
        <f t="shared" si="30"/>
        <v>17.823400968353578</v>
      </c>
      <c r="E320" s="1">
        <f t="shared" si="35"/>
        <v>17.823400968353578</v>
      </c>
      <c r="F320" s="1">
        <f t="shared" si="31"/>
        <v>7.828300467832169</v>
      </c>
      <c r="G320" s="1"/>
      <c r="H320">
        <f t="shared" si="36"/>
        <v>2</v>
      </c>
      <c r="I320" s="1">
        <f t="shared" si="32"/>
        <v>31.000000000000171</v>
      </c>
    </row>
    <row r="321" spans="2:9" x14ac:dyDescent="0.25">
      <c r="B321" s="1">
        <f t="shared" si="33"/>
        <v>31.100000000000172</v>
      </c>
      <c r="C321" s="1">
        <f t="shared" si="34"/>
        <v>-311.3496786164514</v>
      </c>
      <c r="D321" s="1">
        <f t="shared" si="30"/>
        <v>18.606231015136796</v>
      </c>
      <c r="E321" s="1">
        <f t="shared" si="35"/>
        <v>18.606231015136796</v>
      </c>
      <c r="F321" s="1">
        <f t="shared" si="31"/>
        <v>7.7837419654112852</v>
      </c>
      <c r="G321" s="1"/>
      <c r="H321">
        <f t="shared" si="36"/>
        <v>2</v>
      </c>
      <c r="I321" s="1">
        <f t="shared" si="32"/>
        <v>31.100000000000172</v>
      </c>
    </row>
    <row r="322" spans="2:9" x14ac:dyDescent="0.25">
      <c r="B322" s="1">
        <f t="shared" si="33"/>
        <v>31.200000000000173</v>
      </c>
      <c r="C322" s="1">
        <f t="shared" si="34"/>
        <v>-309.48905551493772</v>
      </c>
      <c r="D322" s="1">
        <f t="shared" si="30"/>
        <v>19.384605211677925</v>
      </c>
      <c r="E322" s="1">
        <f t="shared" si="35"/>
        <v>19.384605211677925</v>
      </c>
      <c r="F322" s="1">
        <f t="shared" si="31"/>
        <v>7.7372263878734433</v>
      </c>
      <c r="G322" s="1"/>
      <c r="H322">
        <f t="shared" si="36"/>
        <v>2</v>
      </c>
      <c r="I322" s="1">
        <f t="shared" si="32"/>
        <v>31.200000000000173</v>
      </c>
    </row>
    <row r="323" spans="2:9" x14ac:dyDescent="0.25">
      <c r="B323" s="1">
        <f t="shared" si="33"/>
        <v>31.300000000000175</v>
      </c>
      <c r="C323" s="1">
        <f t="shared" si="34"/>
        <v>-307.55059499376995</v>
      </c>
      <c r="D323" s="1">
        <f t="shared" si="30"/>
        <v>20.15832785046527</v>
      </c>
      <c r="E323" s="1">
        <f t="shared" si="35"/>
        <v>20.15832785046527</v>
      </c>
      <c r="F323" s="1">
        <f t="shared" si="31"/>
        <v>7.6887648748442494</v>
      </c>
      <c r="G323" s="1"/>
      <c r="H323">
        <f t="shared" si="36"/>
        <v>2</v>
      </c>
      <c r="I323" s="1">
        <f t="shared" si="32"/>
        <v>31.300000000000175</v>
      </c>
    </row>
    <row r="324" spans="2:9" x14ac:dyDescent="0.25">
      <c r="B324" s="1">
        <f t="shared" si="33"/>
        <v>31.400000000000176</v>
      </c>
      <c r="C324" s="1">
        <f t="shared" si="34"/>
        <v>-305.53476220872341</v>
      </c>
      <c r="D324" s="1">
        <f t="shared" si="30"/>
        <v>20.927204337949696</v>
      </c>
      <c r="E324" s="1">
        <f t="shared" si="35"/>
        <v>20.927204337949696</v>
      </c>
      <c r="F324" s="1">
        <f t="shared" si="31"/>
        <v>7.6383690552180852</v>
      </c>
      <c r="G324" s="1"/>
      <c r="H324">
        <f t="shared" si="36"/>
        <v>2</v>
      </c>
      <c r="I324" s="1">
        <f t="shared" si="32"/>
        <v>31.400000000000176</v>
      </c>
    </row>
    <row r="325" spans="2:9" x14ac:dyDescent="0.25">
      <c r="B325" s="1">
        <f t="shared" si="33"/>
        <v>31.500000000000178</v>
      </c>
      <c r="C325" s="1">
        <f t="shared" si="34"/>
        <v>-303.44204177492844</v>
      </c>
      <c r="D325" s="1">
        <f t="shared" si="30"/>
        <v>21.691041243471506</v>
      </c>
      <c r="E325" s="1">
        <f t="shared" si="35"/>
        <v>21.691041243471506</v>
      </c>
      <c r="F325" s="1">
        <f t="shared" si="31"/>
        <v>7.5860510443732112</v>
      </c>
      <c r="G325" s="1"/>
      <c r="H325">
        <f t="shared" si="36"/>
        <v>2</v>
      </c>
      <c r="I325" s="1">
        <f t="shared" si="32"/>
        <v>31.500000000000178</v>
      </c>
    </row>
    <row r="326" spans="2:9" x14ac:dyDescent="0.25">
      <c r="B326" s="1">
        <f t="shared" si="33"/>
        <v>31.600000000000179</v>
      </c>
      <c r="C326" s="1">
        <f t="shared" si="34"/>
        <v>-301.2729376505813</v>
      </c>
      <c r="D326" s="1">
        <f t="shared" si="30"/>
        <v>22.449646347908828</v>
      </c>
      <c r="E326" s="1">
        <f t="shared" si="35"/>
        <v>22.449646347908828</v>
      </c>
      <c r="F326" s="1">
        <f t="shared" si="31"/>
        <v>7.5318234412645326</v>
      </c>
      <c r="G326" s="1"/>
      <c r="H326">
        <f t="shared" si="36"/>
        <v>2</v>
      </c>
      <c r="I326" s="1">
        <f t="shared" si="32"/>
        <v>31.600000000000179</v>
      </c>
    </row>
    <row r="327" spans="2:9" x14ac:dyDescent="0.25">
      <c r="B327" s="1">
        <f t="shared" si="33"/>
        <v>31.70000000000018</v>
      </c>
      <c r="C327" s="1">
        <f t="shared" si="34"/>
        <v>-299.02797301579039</v>
      </c>
      <c r="D327" s="1">
        <f t="shared" si="30"/>
        <v>23.202828692035283</v>
      </c>
      <c r="E327" s="1">
        <f t="shared" si="35"/>
        <v>23.202828692035283</v>
      </c>
      <c r="F327" s="1">
        <f t="shared" si="31"/>
        <v>7.4756993253947606</v>
      </c>
      <c r="G327" s="1"/>
      <c r="H327">
        <f t="shared" si="36"/>
        <v>2</v>
      </c>
      <c r="I327" s="1">
        <f t="shared" si="32"/>
        <v>31.70000000000018</v>
      </c>
    </row>
    <row r="328" spans="2:9" x14ac:dyDescent="0.25">
      <c r="B328" s="1">
        <f t="shared" si="33"/>
        <v>31.800000000000182</v>
      </c>
      <c r="C328" s="1">
        <f t="shared" si="34"/>
        <v>-296.70769014658686</v>
      </c>
      <c r="D328" s="1">
        <f t="shared" si="30"/>
        <v>23.95039862457476</v>
      </c>
      <c r="E328" s="1">
        <f t="shared" si="35"/>
        <v>23.95039862457476</v>
      </c>
      <c r="F328" s="1">
        <f t="shared" si="31"/>
        <v>7.4176922536646721</v>
      </c>
      <c r="G328" s="1"/>
      <c r="H328">
        <f t="shared" si="36"/>
        <v>2</v>
      </c>
      <c r="I328" s="1">
        <f t="shared" si="32"/>
        <v>31.800000000000182</v>
      </c>
    </row>
    <row r="329" spans="2:9" x14ac:dyDescent="0.25">
      <c r="B329" s="1">
        <f t="shared" si="33"/>
        <v>31.900000000000183</v>
      </c>
      <c r="C329" s="1">
        <f t="shared" si="34"/>
        <v>-294.3126502841294</v>
      </c>
      <c r="D329" s="1">
        <f t="shared" si="30"/>
        <v>24.692167849941228</v>
      </c>
      <c r="E329" s="1">
        <f t="shared" si="35"/>
        <v>24.692167849941228</v>
      </c>
      <c r="F329" s="1">
        <f t="shared" si="31"/>
        <v>7.3578162571032353</v>
      </c>
      <c r="G329" s="1"/>
      <c r="H329">
        <f t="shared" si="36"/>
        <v>2</v>
      </c>
      <c r="I329" s="1">
        <f t="shared" si="32"/>
        <v>31.900000000000183</v>
      </c>
    </row>
    <row r="330" spans="2:9" x14ac:dyDescent="0.25">
      <c r="B330" s="1">
        <f t="shared" si="33"/>
        <v>32.000000000000185</v>
      </c>
      <c r="C330" s="1">
        <f t="shared" si="34"/>
        <v>-291.8434334991353</v>
      </c>
      <c r="D330" s="1">
        <f t="shared" ref="D330:D393" si="37">E330</f>
        <v>25.427949475651552</v>
      </c>
      <c r="E330" s="1">
        <f t="shared" si="35"/>
        <v>25.427949475651552</v>
      </c>
      <c r="F330" s="1">
        <f t="shared" ref="F330:F393" si="38">-$C$3*C330/$C$4-$C$2/$C$4*E330</f>
        <v>7.2960858374783832</v>
      </c>
      <c r="G330" s="1"/>
      <c r="H330">
        <f t="shared" si="36"/>
        <v>2</v>
      </c>
      <c r="I330" s="1">
        <f t="shared" ref="I330:I393" si="39">B330</f>
        <v>32.000000000000185</v>
      </c>
    </row>
    <row r="331" spans="2:9" x14ac:dyDescent="0.25">
      <c r="B331" s="1">
        <f t="shared" ref="B331:B394" si="40">B330+$C$7</f>
        <v>32.100000000000186</v>
      </c>
      <c r="C331" s="1">
        <f t="shared" ref="C331:C394" si="41">C330+D330*$C$7</f>
        <v>-289.30063855157016</v>
      </c>
      <c r="D331" s="1">
        <f t="shared" si="37"/>
        <v>26.157558059399392</v>
      </c>
      <c r="E331" s="1">
        <f t="shared" ref="E331:E394" si="42">E330+F330*$C$7</f>
        <v>26.157558059399392</v>
      </c>
      <c r="F331" s="1">
        <f t="shared" si="38"/>
        <v>7.232515963789254</v>
      </c>
      <c r="G331" s="1"/>
      <c r="H331">
        <f t="shared" ref="H331:H394" si="43">H330+(D331*D332&lt;0)*1</f>
        <v>2</v>
      </c>
      <c r="I331" s="1">
        <f t="shared" si="39"/>
        <v>32.100000000000186</v>
      </c>
    </row>
    <row r="332" spans="2:9" x14ac:dyDescent="0.25">
      <c r="B332" s="1">
        <f t="shared" si="40"/>
        <v>32.200000000000188</v>
      </c>
      <c r="C332" s="1">
        <f t="shared" si="41"/>
        <v>-286.6848827456302</v>
      </c>
      <c r="D332" s="1">
        <f t="shared" si="37"/>
        <v>26.880809655778318</v>
      </c>
      <c r="E332" s="1">
        <f t="shared" si="42"/>
        <v>26.880809655778318</v>
      </c>
      <c r="F332" s="1">
        <f t="shared" si="38"/>
        <v>7.1671220686407553</v>
      </c>
      <c r="G332" s="1"/>
      <c r="H332">
        <f t="shared" si="43"/>
        <v>2</v>
      </c>
      <c r="I332" s="1">
        <f t="shared" si="39"/>
        <v>32.200000000000188</v>
      </c>
    </row>
    <row r="333" spans="2:9" x14ac:dyDescent="0.25">
      <c r="B333" s="1">
        <f t="shared" si="40"/>
        <v>32.300000000000189</v>
      </c>
      <c r="C333" s="1">
        <f t="shared" si="41"/>
        <v>-283.99680178005235</v>
      </c>
      <c r="D333" s="1">
        <f t="shared" si="37"/>
        <v>27.597521862642395</v>
      </c>
      <c r="E333" s="1">
        <f t="shared" si="42"/>
        <v>27.597521862642395</v>
      </c>
      <c r="F333" s="1">
        <f t="shared" si="38"/>
        <v>7.0999200445013093</v>
      </c>
      <c r="G333" s="1"/>
      <c r="H333">
        <f t="shared" si="43"/>
        <v>2</v>
      </c>
      <c r="I333" s="1">
        <f t="shared" si="39"/>
        <v>32.300000000000189</v>
      </c>
    </row>
    <row r="334" spans="2:9" x14ac:dyDescent="0.25">
      <c r="B334" s="1">
        <f t="shared" si="40"/>
        <v>32.40000000000019</v>
      </c>
      <c r="C334" s="1">
        <f t="shared" si="41"/>
        <v>-281.23704959378813</v>
      </c>
      <c r="D334" s="1">
        <f t="shared" si="37"/>
        <v>28.307513867092528</v>
      </c>
      <c r="E334" s="1">
        <f t="shared" si="42"/>
        <v>28.307513867092528</v>
      </c>
      <c r="F334" s="1">
        <f t="shared" si="38"/>
        <v>7.0309262398447032</v>
      </c>
      <c r="G334" s="1"/>
      <c r="H334">
        <f t="shared" si="43"/>
        <v>2</v>
      </c>
      <c r="I334" s="1">
        <f t="shared" si="39"/>
        <v>32.40000000000019</v>
      </c>
    </row>
    <row r="335" spans="2:9" x14ac:dyDescent="0.25">
      <c r="B335" s="1">
        <f t="shared" si="40"/>
        <v>32.500000000000192</v>
      </c>
      <c r="C335" s="1">
        <f t="shared" si="41"/>
        <v>-278.40629820707886</v>
      </c>
      <c r="D335" s="1">
        <f t="shared" si="37"/>
        <v>29.010606491076999</v>
      </c>
      <c r="E335" s="1">
        <f t="shared" si="42"/>
        <v>29.010606491076999</v>
      </c>
      <c r="F335" s="1">
        <f t="shared" si="38"/>
        <v>6.9601574551769723</v>
      </c>
      <c r="G335" s="1"/>
      <c r="H335">
        <f t="shared" si="43"/>
        <v>2</v>
      </c>
      <c r="I335" s="1">
        <f t="shared" si="39"/>
        <v>32.500000000000192</v>
      </c>
    </row>
    <row r="336" spans="2:9" x14ac:dyDescent="0.25">
      <c r="B336" s="1">
        <f t="shared" si="40"/>
        <v>32.600000000000193</v>
      </c>
      <c r="C336" s="1">
        <f t="shared" si="41"/>
        <v>-275.50523755797116</v>
      </c>
      <c r="D336" s="1">
        <f t="shared" si="37"/>
        <v>29.706622236594697</v>
      </c>
      <c r="E336" s="1">
        <f t="shared" si="42"/>
        <v>29.706622236594697</v>
      </c>
      <c r="F336" s="1">
        <f t="shared" si="38"/>
        <v>6.8876309389492789</v>
      </c>
      <c r="G336" s="1"/>
      <c r="H336">
        <f t="shared" si="43"/>
        <v>2</v>
      </c>
      <c r="I336" s="1">
        <f t="shared" si="39"/>
        <v>32.600000000000193</v>
      </c>
    </row>
    <row r="337" spans="2:9" x14ac:dyDescent="0.25">
      <c r="B337" s="1">
        <f t="shared" si="40"/>
        <v>32.700000000000195</v>
      </c>
      <c r="C337" s="1">
        <f t="shared" si="41"/>
        <v>-272.53457533431168</v>
      </c>
      <c r="D337" s="1">
        <f t="shared" si="37"/>
        <v>30.395385330489624</v>
      </c>
      <c r="E337" s="1">
        <f t="shared" si="42"/>
        <v>30.395385330489624</v>
      </c>
      <c r="F337" s="1">
        <f t="shared" si="38"/>
        <v>6.8133643833577926</v>
      </c>
      <c r="G337" s="1"/>
      <c r="H337">
        <f t="shared" si="43"/>
        <v>2</v>
      </c>
      <c r="I337" s="1">
        <f t="shared" si="39"/>
        <v>32.700000000000195</v>
      </c>
    </row>
    <row r="338" spans="2:9" x14ac:dyDescent="0.25">
      <c r="B338" s="1">
        <f t="shared" si="40"/>
        <v>32.800000000000196</v>
      </c>
      <c r="C338" s="1">
        <f t="shared" si="41"/>
        <v>-269.4950368012627</v>
      </c>
      <c r="D338" s="1">
        <f t="shared" si="37"/>
        <v>31.076721768825404</v>
      </c>
      <c r="E338" s="1">
        <f t="shared" si="42"/>
        <v>31.076721768825404</v>
      </c>
      <c r="F338" s="1">
        <f t="shared" si="38"/>
        <v>6.7373759200315675</v>
      </c>
      <c r="G338" s="1"/>
      <c r="H338">
        <f t="shared" si="43"/>
        <v>2</v>
      </c>
      <c r="I338" s="1">
        <f t="shared" si="39"/>
        <v>32.800000000000196</v>
      </c>
    </row>
    <row r="339" spans="2:9" x14ac:dyDescent="0.25">
      <c r="B339" s="1">
        <f t="shared" si="40"/>
        <v>32.900000000000198</v>
      </c>
      <c r="C339" s="1">
        <f t="shared" si="41"/>
        <v>-266.38736462438015</v>
      </c>
      <c r="D339" s="1">
        <f t="shared" si="37"/>
        <v>31.750459360828561</v>
      </c>
      <c r="E339" s="1">
        <f t="shared" si="42"/>
        <v>31.750459360828561</v>
      </c>
      <c r="F339" s="1">
        <f t="shared" si="38"/>
        <v>6.6596841156095046</v>
      </c>
      <c r="G339" s="1"/>
      <c r="H339">
        <f t="shared" si="43"/>
        <v>2</v>
      </c>
      <c r="I339" s="1">
        <f t="shared" si="39"/>
        <v>32.900000000000198</v>
      </c>
    </row>
    <row r="340" spans="2:9" x14ac:dyDescent="0.25">
      <c r="B340" s="1">
        <f t="shared" si="40"/>
        <v>33.000000000000199</v>
      </c>
      <c r="C340" s="1">
        <f t="shared" si="41"/>
        <v>-263.21231868829727</v>
      </c>
      <c r="D340" s="1">
        <f t="shared" si="37"/>
        <v>32.416427772389511</v>
      </c>
      <c r="E340" s="1">
        <f t="shared" si="42"/>
        <v>32.416427772389511</v>
      </c>
      <c r="F340" s="1">
        <f t="shared" si="38"/>
        <v>6.5803079672074318</v>
      </c>
      <c r="G340" s="1"/>
      <c r="H340">
        <f t="shared" si="43"/>
        <v>2</v>
      </c>
      <c r="I340" s="1">
        <f t="shared" si="39"/>
        <v>33.000000000000199</v>
      </c>
    </row>
    <row r="341" spans="2:9" x14ac:dyDescent="0.25">
      <c r="B341" s="1">
        <f t="shared" si="40"/>
        <v>33.1000000000002</v>
      </c>
      <c r="C341" s="1">
        <f t="shared" si="41"/>
        <v>-259.97067591105832</v>
      </c>
      <c r="D341" s="1">
        <f t="shared" si="37"/>
        <v>33.074458569110256</v>
      </c>
      <c r="E341" s="1">
        <f t="shared" si="42"/>
        <v>33.074458569110256</v>
      </c>
      <c r="F341" s="1">
        <f t="shared" si="38"/>
        <v>6.4992668977764581</v>
      </c>
      <c r="G341" s="1"/>
      <c r="H341">
        <f t="shared" si="43"/>
        <v>2</v>
      </c>
      <c r="I341" s="1">
        <f t="shared" si="39"/>
        <v>33.1000000000002</v>
      </c>
    </row>
    <row r="342" spans="2:9" x14ac:dyDescent="0.25">
      <c r="B342" s="1">
        <f t="shared" si="40"/>
        <v>33.200000000000202</v>
      </c>
      <c r="C342" s="1">
        <f t="shared" si="41"/>
        <v>-256.66323005414728</v>
      </c>
      <c r="D342" s="1">
        <f t="shared" si="37"/>
        <v>33.724385258887899</v>
      </c>
      <c r="E342" s="1">
        <f t="shared" si="42"/>
        <v>33.724385258887899</v>
      </c>
      <c r="F342" s="1">
        <f t="shared" si="38"/>
        <v>6.4165807513536821</v>
      </c>
      <c r="G342" s="1"/>
      <c r="H342">
        <f t="shared" si="43"/>
        <v>2</v>
      </c>
      <c r="I342" s="1">
        <f t="shared" si="39"/>
        <v>33.200000000000202</v>
      </c>
    </row>
    <row r="343" spans="2:9" x14ac:dyDescent="0.25">
      <c r="B343" s="1">
        <f t="shared" si="40"/>
        <v>33.300000000000203</v>
      </c>
      <c r="C343" s="1">
        <f t="shared" si="41"/>
        <v>-253.2907915282585</v>
      </c>
      <c r="D343" s="1">
        <f t="shared" si="37"/>
        <v>34.366043334023267</v>
      </c>
      <c r="E343" s="1">
        <f t="shared" si="42"/>
        <v>34.366043334023267</v>
      </c>
      <c r="F343" s="1">
        <f t="shared" si="38"/>
        <v>6.3322697882064629</v>
      </c>
      <c r="G343" s="1"/>
      <c r="H343">
        <f t="shared" si="43"/>
        <v>2</v>
      </c>
      <c r="I343" s="1">
        <f t="shared" si="39"/>
        <v>33.300000000000203</v>
      </c>
    </row>
    <row r="344" spans="2:9" x14ac:dyDescent="0.25">
      <c r="B344" s="1">
        <f t="shared" si="40"/>
        <v>33.400000000000205</v>
      </c>
      <c r="C344" s="1">
        <f t="shared" si="41"/>
        <v>-249.85418719485617</v>
      </c>
      <c r="D344" s="1">
        <f t="shared" si="37"/>
        <v>34.999270312843912</v>
      </c>
      <c r="E344" s="1">
        <f t="shared" si="42"/>
        <v>34.999270312843912</v>
      </c>
      <c r="F344" s="1">
        <f t="shared" si="38"/>
        <v>6.2463546798714047</v>
      </c>
      <c r="G344" s="1"/>
      <c r="H344">
        <f t="shared" si="43"/>
        <v>2</v>
      </c>
      <c r="I344" s="1">
        <f t="shared" si="39"/>
        <v>33.400000000000205</v>
      </c>
    </row>
    <row r="345" spans="2:9" x14ac:dyDescent="0.25">
      <c r="B345" s="1">
        <f t="shared" si="40"/>
        <v>33.500000000000206</v>
      </c>
      <c r="C345" s="1">
        <f t="shared" si="41"/>
        <v>-246.35426016357178</v>
      </c>
      <c r="D345" s="1">
        <f t="shared" si="37"/>
        <v>35.623905780831052</v>
      </c>
      <c r="E345" s="1">
        <f t="shared" si="42"/>
        <v>35.623905780831052</v>
      </c>
      <c r="F345" s="1">
        <f t="shared" si="38"/>
        <v>6.1588565040892949</v>
      </c>
      <c r="G345" s="1"/>
      <c r="H345">
        <f t="shared" si="43"/>
        <v>2</v>
      </c>
      <c r="I345" s="1">
        <f t="shared" si="39"/>
        <v>33.500000000000206</v>
      </c>
    </row>
    <row r="346" spans="2:9" x14ac:dyDescent="0.25">
      <c r="B346" s="1">
        <f t="shared" si="40"/>
        <v>33.600000000000207</v>
      </c>
      <c r="C346" s="1">
        <f t="shared" si="41"/>
        <v>-242.79186958548868</v>
      </c>
      <c r="D346" s="1">
        <f t="shared" si="37"/>
        <v>36.239791431239979</v>
      </c>
      <c r="E346" s="1">
        <f t="shared" si="42"/>
        <v>36.239791431239979</v>
      </c>
      <c r="F346" s="1">
        <f t="shared" si="38"/>
        <v>6.0697967396372174</v>
      </c>
      <c r="G346" s="1"/>
      <c r="H346">
        <f t="shared" si="43"/>
        <v>2</v>
      </c>
      <c r="I346" s="1">
        <f t="shared" si="39"/>
        <v>33.600000000000207</v>
      </c>
    </row>
    <row r="347" spans="2:9" x14ac:dyDescent="0.25">
      <c r="B347" s="1">
        <f t="shared" si="40"/>
        <v>33.700000000000209</v>
      </c>
      <c r="C347" s="1">
        <f t="shared" si="41"/>
        <v>-239.16789044236469</v>
      </c>
      <c r="D347" s="1">
        <f t="shared" si="37"/>
        <v>36.8467711052037</v>
      </c>
      <c r="E347" s="1">
        <f t="shared" si="42"/>
        <v>36.8467711052037</v>
      </c>
      <c r="F347" s="1">
        <f t="shared" si="38"/>
        <v>5.9791972610591175</v>
      </c>
      <c r="G347" s="1"/>
      <c r="H347">
        <f t="shared" si="43"/>
        <v>2</v>
      </c>
      <c r="I347" s="1">
        <f t="shared" si="39"/>
        <v>33.700000000000209</v>
      </c>
    </row>
    <row r="348" spans="2:9" x14ac:dyDescent="0.25">
      <c r="B348" s="1">
        <f t="shared" si="40"/>
        <v>33.80000000000021</v>
      </c>
      <c r="C348" s="1">
        <f t="shared" si="41"/>
        <v>-235.48321333184433</v>
      </c>
      <c r="D348" s="1">
        <f t="shared" si="37"/>
        <v>37.444690831309615</v>
      </c>
      <c r="E348" s="1">
        <f t="shared" si="42"/>
        <v>37.444690831309615</v>
      </c>
      <c r="F348" s="1">
        <f t="shared" si="38"/>
        <v>5.8870803332961081</v>
      </c>
      <c r="G348" s="1"/>
      <c r="H348">
        <f t="shared" si="43"/>
        <v>2</v>
      </c>
      <c r="I348" s="1">
        <f t="shared" si="39"/>
        <v>33.80000000000021</v>
      </c>
    </row>
    <row r="349" spans="2:9" x14ac:dyDescent="0.25">
      <c r="B349" s="1">
        <f t="shared" si="40"/>
        <v>33.900000000000212</v>
      </c>
      <c r="C349" s="1">
        <f t="shared" si="41"/>
        <v>-231.73874424871337</v>
      </c>
      <c r="D349" s="1">
        <f t="shared" si="37"/>
        <v>38.033398864639224</v>
      </c>
      <c r="E349" s="1">
        <f t="shared" si="42"/>
        <v>38.033398864639224</v>
      </c>
      <c r="F349" s="1">
        <f t="shared" si="38"/>
        <v>5.7934686062178349</v>
      </c>
      <c r="G349" s="1"/>
      <c r="H349">
        <f t="shared" si="43"/>
        <v>2</v>
      </c>
      <c r="I349" s="1">
        <f t="shared" si="39"/>
        <v>33.900000000000212</v>
      </c>
    </row>
    <row r="350" spans="2:9" x14ac:dyDescent="0.25">
      <c r="B350" s="1">
        <f t="shared" si="40"/>
        <v>34.000000000000213</v>
      </c>
      <c r="C350" s="1">
        <f t="shared" si="41"/>
        <v>-227.93540436224944</v>
      </c>
      <c r="D350" s="1">
        <f t="shared" si="37"/>
        <v>38.612745725261007</v>
      </c>
      <c r="E350" s="1">
        <f t="shared" si="42"/>
        <v>38.612745725261007</v>
      </c>
      <c r="F350" s="1">
        <f t="shared" si="38"/>
        <v>5.6983851090562361</v>
      </c>
      <c r="G350" s="1"/>
      <c r="H350">
        <f t="shared" si="43"/>
        <v>2</v>
      </c>
      <c r="I350" s="1">
        <f t="shared" si="39"/>
        <v>34.000000000000213</v>
      </c>
    </row>
    <row r="351" spans="2:9" x14ac:dyDescent="0.25">
      <c r="B351" s="1">
        <f t="shared" si="40"/>
        <v>34.100000000000215</v>
      </c>
      <c r="C351" s="1">
        <f t="shared" si="41"/>
        <v>-224.07412978972334</v>
      </c>
      <c r="D351" s="1">
        <f t="shared" si="37"/>
        <v>39.182584236166633</v>
      </c>
      <c r="E351" s="1">
        <f t="shared" si="42"/>
        <v>39.182584236166633</v>
      </c>
      <c r="F351" s="1">
        <f t="shared" si="38"/>
        <v>5.6018532447430838</v>
      </c>
      <c r="G351" s="1"/>
      <c r="H351">
        <f t="shared" si="43"/>
        <v>2</v>
      </c>
      <c r="I351" s="1">
        <f t="shared" si="39"/>
        <v>34.100000000000215</v>
      </c>
    </row>
    <row r="352" spans="2:9" x14ac:dyDescent="0.25">
      <c r="B352" s="1">
        <f t="shared" si="40"/>
        <v>34.200000000000216</v>
      </c>
      <c r="C352" s="1">
        <f t="shared" si="41"/>
        <v>-220.15587136610668</v>
      </c>
      <c r="D352" s="1">
        <f t="shared" si="37"/>
        <v>39.742769560640944</v>
      </c>
      <c r="E352" s="1">
        <f t="shared" si="42"/>
        <v>39.742769560640944</v>
      </c>
      <c r="F352" s="1">
        <f t="shared" si="38"/>
        <v>5.5038967841526674</v>
      </c>
      <c r="G352" s="1"/>
      <c r="H352">
        <f t="shared" si="43"/>
        <v>2</v>
      </c>
      <c r="I352" s="1">
        <f t="shared" si="39"/>
        <v>34.200000000000216</v>
      </c>
    </row>
    <row r="353" spans="2:9" x14ac:dyDescent="0.25">
      <c r="B353" s="1">
        <f t="shared" si="40"/>
        <v>34.300000000000217</v>
      </c>
      <c r="C353" s="1">
        <f t="shared" si="41"/>
        <v>-216.18159441004258</v>
      </c>
      <c r="D353" s="1">
        <f t="shared" si="37"/>
        <v>40.293159239056209</v>
      </c>
      <c r="E353" s="1">
        <f t="shared" si="42"/>
        <v>40.293159239056209</v>
      </c>
      <c r="F353" s="1">
        <f t="shared" si="38"/>
        <v>5.4045398602510648</v>
      </c>
      <c r="G353" s="1"/>
      <c r="H353">
        <f t="shared" si="43"/>
        <v>2</v>
      </c>
      <c r="I353" s="1">
        <f t="shared" si="39"/>
        <v>34.300000000000217</v>
      </c>
    </row>
    <row r="354" spans="2:9" x14ac:dyDescent="0.25">
      <c r="B354" s="1">
        <f t="shared" si="40"/>
        <v>34.400000000000219</v>
      </c>
      <c r="C354" s="1">
        <f t="shared" si="41"/>
        <v>-212.15227848613696</v>
      </c>
      <c r="D354" s="1">
        <f t="shared" si="37"/>
        <v>40.833613225081315</v>
      </c>
      <c r="E354" s="1">
        <f t="shared" si="42"/>
        <v>40.833613225081315</v>
      </c>
      <c r="F354" s="1">
        <f t="shared" si="38"/>
        <v>5.3038069621534243</v>
      </c>
      <c r="G354" s="1"/>
      <c r="H354">
        <f t="shared" si="43"/>
        <v>2</v>
      </c>
      <c r="I354" s="1">
        <f t="shared" si="39"/>
        <v>34.400000000000219</v>
      </c>
    </row>
    <row r="355" spans="2:9" x14ac:dyDescent="0.25">
      <c r="B355" s="1">
        <f t="shared" si="40"/>
        <v>34.50000000000022</v>
      </c>
      <c r="C355" s="1">
        <f t="shared" si="41"/>
        <v>-208.06891716362884</v>
      </c>
      <c r="D355" s="1">
        <f t="shared" si="37"/>
        <v>41.363993921296661</v>
      </c>
      <c r="E355" s="1">
        <f t="shared" si="42"/>
        <v>41.363993921296661</v>
      </c>
      <c r="F355" s="1">
        <f t="shared" si="38"/>
        <v>5.201722929090721</v>
      </c>
      <c r="G355" s="1"/>
      <c r="H355">
        <f t="shared" si="43"/>
        <v>2</v>
      </c>
      <c r="I355" s="1">
        <f t="shared" si="39"/>
        <v>34.50000000000022</v>
      </c>
    </row>
    <row r="356" spans="2:9" x14ac:dyDescent="0.25">
      <c r="B356" s="1">
        <f t="shared" si="40"/>
        <v>34.600000000000222</v>
      </c>
      <c r="C356" s="1">
        <f t="shared" si="41"/>
        <v>-203.93251777149916</v>
      </c>
      <c r="D356" s="1">
        <f t="shared" si="37"/>
        <v>41.884166214205734</v>
      </c>
      <c r="E356" s="1">
        <f t="shared" si="42"/>
        <v>41.884166214205734</v>
      </c>
      <c r="F356" s="1">
        <f t="shared" si="38"/>
        <v>5.0983129442874793</v>
      </c>
      <c r="G356" s="1"/>
      <c r="H356">
        <f t="shared" si="43"/>
        <v>2</v>
      </c>
      <c r="I356" s="1">
        <f t="shared" si="39"/>
        <v>34.600000000000222</v>
      </c>
    </row>
    <row r="357" spans="2:9" x14ac:dyDescent="0.25">
      <c r="B357" s="1">
        <f t="shared" si="40"/>
        <v>34.700000000000223</v>
      </c>
      <c r="C357" s="1">
        <f t="shared" si="41"/>
        <v>-199.74410115007859</v>
      </c>
      <c r="D357" s="1">
        <f t="shared" si="37"/>
        <v>42.393997508634484</v>
      </c>
      <c r="E357" s="1">
        <f t="shared" si="42"/>
        <v>42.393997508634484</v>
      </c>
      <c r="F357" s="1">
        <f t="shared" si="38"/>
        <v>4.993602528751965</v>
      </c>
      <c r="G357" s="1"/>
      <c r="H357">
        <f t="shared" si="43"/>
        <v>2</v>
      </c>
      <c r="I357" s="1">
        <f t="shared" si="39"/>
        <v>34.700000000000223</v>
      </c>
    </row>
    <row r="358" spans="2:9" x14ac:dyDescent="0.25">
      <c r="B358" s="1">
        <f t="shared" si="40"/>
        <v>34.800000000000225</v>
      </c>
      <c r="C358" s="1">
        <f t="shared" si="41"/>
        <v>-195.50470139921515</v>
      </c>
      <c r="D358" s="1">
        <f t="shared" si="37"/>
        <v>42.893357761509684</v>
      </c>
      <c r="E358" s="1">
        <f t="shared" si="42"/>
        <v>42.893357761509684</v>
      </c>
      <c r="F358" s="1">
        <f t="shared" si="38"/>
        <v>4.8876175349803788</v>
      </c>
      <c r="G358" s="1"/>
      <c r="H358">
        <f t="shared" si="43"/>
        <v>2</v>
      </c>
      <c r="I358" s="1">
        <f t="shared" si="39"/>
        <v>34.800000000000225</v>
      </c>
    </row>
    <row r="359" spans="2:9" x14ac:dyDescent="0.25">
      <c r="B359" s="1">
        <f t="shared" si="40"/>
        <v>34.900000000000226</v>
      </c>
      <c r="C359" s="1">
        <f t="shared" si="41"/>
        <v>-191.21536562306417</v>
      </c>
      <c r="D359" s="1">
        <f t="shared" si="37"/>
        <v>43.382119515007723</v>
      </c>
      <c r="E359" s="1">
        <f t="shared" si="42"/>
        <v>43.382119515007723</v>
      </c>
      <c r="F359" s="1">
        <f t="shared" si="38"/>
        <v>4.7803841405766043</v>
      </c>
      <c r="G359" s="1"/>
      <c r="H359">
        <f t="shared" si="43"/>
        <v>2</v>
      </c>
      <c r="I359" s="1">
        <f t="shared" si="39"/>
        <v>34.900000000000226</v>
      </c>
    </row>
    <row r="360" spans="2:9" x14ac:dyDescent="0.25">
      <c r="B360" s="1">
        <f t="shared" si="40"/>
        <v>35.000000000000227</v>
      </c>
      <c r="C360" s="1">
        <f t="shared" si="41"/>
        <v>-186.87715367156341</v>
      </c>
      <c r="D360" s="1">
        <f t="shared" si="37"/>
        <v>43.86015792906538</v>
      </c>
      <c r="E360" s="1">
        <f t="shared" si="42"/>
        <v>43.86015792906538</v>
      </c>
      <c r="F360" s="1">
        <f t="shared" si="38"/>
        <v>4.671928841789085</v>
      </c>
      <c r="G360" s="1"/>
      <c r="H360">
        <f t="shared" si="43"/>
        <v>2</v>
      </c>
      <c r="I360" s="1">
        <f t="shared" si="39"/>
        <v>35.000000000000227</v>
      </c>
    </row>
    <row r="361" spans="2:9" x14ac:dyDescent="0.25">
      <c r="B361" s="1">
        <f t="shared" si="40"/>
        <v>35.100000000000229</v>
      </c>
      <c r="C361" s="1">
        <f t="shared" si="41"/>
        <v>-182.49113787865687</v>
      </c>
      <c r="D361" s="1">
        <f t="shared" si="37"/>
        <v>44.327350813244287</v>
      </c>
      <c r="E361" s="1">
        <f t="shared" si="42"/>
        <v>44.327350813244287</v>
      </c>
      <c r="F361" s="1">
        <f t="shared" si="38"/>
        <v>4.5622784469664222</v>
      </c>
      <c r="G361" s="1"/>
      <c r="H361">
        <f t="shared" si="43"/>
        <v>2</v>
      </c>
      <c r="I361" s="1">
        <f t="shared" si="39"/>
        <v>35.100000000000229</v>
      </c>
    </row>
    <row r="362" spans="2:9" x14ac:dyDescent="0.25">
      <c r="B362" s="1">
        <f t="shared" si="40"/>
        <v>35.20000000000023</v>
      </c>
      <c r="C362" s="1">
        <f t="shared" si="41"/>
        <v>-178.05840279733243</v>
      </c>
      <c r="D362" s="1">
        <f t="shared" si="37"/>
        <v>44.783578657940929</v>
      </c>
      <c r="E362" s="1">
        <f t="shared" si="42"/>
        <v>44.783578657940929</v>
      </c>
      <c r="F362" s="1">
        <f t="shared" si="38"/>
        <v>4.4514600699333107</v>
      </c>
      <c r="G362" s="1"/>
      <c r="H362">
        <f t="shared" si="43"/>
        <v>2</v>
      </c>
      <c r="I362" s="1">
        <f t="shared" si="39"/>
        <v>35.20000000000023</v>
      </c>
    </row>
    <row r="363" spans="2:9" x14ac:dyDescent="0.25">
      <c r="B363" s="1">
        <f t="shared" si="40"/>
        <v>35.300000000000232</v>
      </c>
      <c r="C363" s="1">
        <f t="shared" si="41"/>
        <v>-173.58004493153834</v>
      </c>
      <c r="D363" s="1">
        <f t="shared" si="37"/>
        <v>45.228724664934262</v>
      </c>
      <c r="E363" s="1">
        <f t="shared" si="42"/>
        <v>45.228724664934262</v>
      </c>
      <c r="F363" s="1">
        <f t="shared" si="38"/>
        <v>4.3395011232884588</v>
      </c>
      <c r="G363" s="1"/>
      <c r="H363">
        <f t="shared" si="43"/>
        <v>2</v>
      </c>
      <c r="I363" s="1">
        <f t="shared" si="39"/>
        <v>35.300000000000232</v>
      </c>
    </row>
    <row r="364" spans="2:9" x14ac:dyDescent="0.25">
      <c r="B364" s="1">
        <f t="shared" si="40"/>
        <v>35.400000000000233</v>
      </c>
      <c r="C364" s="1">
        <f t="shared" si="41"/>
        <v>-169.05717246504491</v>
      </c>
      <c r="D364" s="1">
        <f t="shared" si="37"/>
        <v>45.662674777263106</v>
      </c>
      <c r="E364" s="1">
        <f t="shared" si="42"/>
        <v>45.662674777263106</v>
      </c>
      <c r="F364" s="1">
        <f t="shared" si="38"/>
        <v>4.2264293116261227</v>
      </c>
      <c r="G364" s="1"/>
      <c r="H364">
        <f t="shared" si="43"/>
        <v>2</v>
      </c>
      <c r="I364" s="1">
        <f t="shared" si="39"/>
        <v>35.400000000000233</v>
      </c>
    </row>
    <row r="365" spans="2:9" x14ac:dyDescent="0.25">
      <c r="B365" s="1">
        <f t="shared" si="40"/>
        <v>35.500000000000234</v>
      </c>
      <c r="C365" s="1">
        <f t="shared" si="41"/>
        <v>-164.4909049873186</v>
      </c>
      <c r="D365" s="1">
        <f t="shared" si="37"/>
        <v>46.08531770842572</v>
      </c>
      <c r="E365" s="1">
        <f t="shared" si="42"/>
        <v>46.08531770842572</v>
      </c>
      <c r="F365" s="1">
        <f t="shared" si="38"/>
        <v>4.1122726246829648</v>
      </c>
      <c r="G365" s="1"/>
      <c r="H365">
        <f t="shared" si="43"/>
        <v>2</v>
      </c>
      <c r="I365" s="1">
        <f t="shared" si="39"/>
        <v>35.500000000000234</v>
      </c>
    </row>
    <row r="366" spans="2:9" x14ac:dyDescent="0.25">
      <c r="B366" s="1">
        <f t="shared" si="40"/>
        <v>35.600000000000236</v>
      </c>
      <c r="C366" s="1">
        <f t="shared" si="41"/>
        <v>-159.88237321647603</v>
      </c>
      <c r="D366" s="1">
        <f t="shared" si="37"/>
        <v>46.496544970894014</v>
      </c>
      <c r="E366" s="1">
        <f t="shared" si="42"/>
        <v>46.496544970894014</v>
      </c>
      <c r="F366" s="1">
        <f t="shared" si="38"/>
        <v>3.9970593304119006</v>
      </c>
      <c r="G366" s="1"/>
      <c r="H366">
        <f t="shared" si="43"/>
        <v>2</v>
      </c>
      <c r="I366" s="1">
        <f t="shared" si="39"/>
        <v>35.600000000000236</v>
      </c>
    </row>
    <row r="367" spans="2:9" x14ac:dyDescent="0.25">
      <c r="B367" s="1">
        <f t="shared" si="40"/>
        <v>35.700000000000237</v>
      </c>
      <c r="C367" s="1">
        <f t="shared" si="41"/>
        <v>-155.23271871938661</v>
      </c>
      <c r="D367" s="1">
        <f t="shared" si="37"/>
        <v>46.896250903935204</v>
      </c>
      <c r="E367" s="1">
        <f t="shared" si="42"/>
        <v>46.896250903935204</v>
      </c>
      <c r="F367" s="1">
        <f t="shared" si="38"/>
        <v>3.8808179679846653</v>
      </c>
      <c r="G367" s="1"/>
      <c r="H367">
        <f t="shared" si="43"/>
        <v>2</v>
      </c>
      <c r="I367" s="1">
        <f t="shared" si="39"/>
        <v>35.700000000000237</v>
      </c>
    </row>
    <row r="368" spans="2:9" x14ac:dyDescent="0.25">
      <c r="B368" s="1">
        <f t="shared" si="40"/>
        <v>35.800000000000239</v>
      </c>
      <c r="C368" s="1">
        <f t="shared" si="41"/>
        <v>-150.54309362899309</v>
      </c>
      <c r="D368" s="1">
        <f t="shared" si="37"/>
        <v>47.284332700733671</v>
      </c>
      <c r="E368" s="1">
        <f t="shared" si="42"/>
        <v>47.284332700733671</v>
      </c>
      <c r="F368" s="1">
        <f t="shared" si="38"/>
        <v>3.7635773407248276</v>
      </c>
      <c r="G368" s="1"/>
      <c r="H368">
        <f t="shared" si="43"/>
        <v>2</v>
      </c>
      <c r="I368" s="1">
        <f t="shared" si="39"/>
        <v>35.800000000000239</v>
      </c>
    </row>
    <row r="369" spans="2:9" x14ac:dyDescent="0.25">
      <c r="B369" s="1">
        <f t="shared" si="40"/>
        <v>35.90000000000024</v>
      </c>
      <c r="C369" s="1">
        <f t="shared" si="41"/>
        <v>-145.81466035891972</v>
      </c>
      <c r="D369" s="1">
        <f t="shared" si="37"/>
        <v>47.660690434806156</v>
      </c>
      <c r="E369" s="1">
        <f t="shared" si="42"/>
        <v>47.660690434806156</v>
      </c>
      <c r="F369" s="1">
        <f t="shared" si="38"/>
        <v>3.6453665089729932</v>
      </c>
      <c r="G369" s="1"/>
      <c r="H369">
        <f t="shared" si="43"/>
        <v>2</v>
      </c>
      <c r="I369" s="1">
        <f t="shared" si="39"/>
        <v>35.90000000000024</v>
      </c>
    </row>
    <row r="370" spans="2:9" x14ac:dyDescent="0.25">
      <c r="B370" s="1">
        <f t="shared" si="40"/>
        <v>36.000000000000242</v>
      </c>
      <c r="C370" s="1">
        <f t="shared" si="41"/>
        <v>-141.0485913154391</v>
      </c>
      <c r="D370" s="1">
        <f t="shared" si="37"/>
        <v>48.025227085703456</v>
      </c>
      <c r="E370" s="1">
        <f t="shared" si="42"/>
        <v>48.025227085703456</v>
      </c>
      <c r="F370" s="1">
        <f t="shared" si="38"/>
        <v>3.5262147828859778</v>
      </c>
      <c r="G370" s="1"/>
      <c r="H370">
        <f t="shared" si="43"/>
        <v>2</v>
      </c>
      <c r="I370" s="1">
        <f t="shared" si="39"/>
        <v>36.000000000000242</v>
      </c>
    </row>
    <row r="371" spans="2:9" x14ac:dyDescent="0.25">
      <c r="B371" s="1">
        <f t="shared" si="40"/>
        <v>36.100000000000243</v>
      </c>
      <c r="C371" s="1">
        <f t="shared" si="41"/>
        <v>-136.24606860686876</v>
      </c>
      <c r="D371" s="1">
        <f t="shared" si="37"/>
        <v>48.377848563992053</v>
      </c>
      <c r="E371" s="1">
        <f t="shared" si="42"/>
        <v>48.377848563992053</v>
      </c>
      <c r="F371" s="1">
        <f t="shared" si="38"/>
        <v>3.4061517151717191</v>
      </c>
      <c r="G371" s="1"/>
      <c r="H371">
        <f t="shared" si="43"/>
        <v>2</v>
      </c>
      <c r="I371" s="1">
        <f t="shared" si="39"/>
        <v>36.100000000000243</v>
      </c>
    </row>
    <row r="372" spans="2:9" x14ac:dyDescent="0.25">
      <c r="B372" s="1">
        <f t="shared" si="40"/>
        <v>36.200000000000244</v>
      </c>
      <c r="C372" s="1">
        <f t="shared" si="41"/>
        <v>-131.40828375046956</v>
      </c>
      <c r="D372" s="1">
        <f t="shared" si="37"/>
        <v>48.718463735509225</v>
      </c>
      <c r="E372" s="1">
        <f t="shared" si="42"/>
        <v>48.718463735509225</v>
      </c>
      <c r="F372" s="1">
        <f t="shared" si="38"/>
        <v>3.2852070937617395</v>
      </c>
      <c r="G372" s="1"/>
      <c r="H372">
        <f t="shared" si="43"/>
        <v>2</v>
      </c>
      <c r="I372" s="1">
        <f t="shared" si="39"/>
        <v>36.200000000000244</v>
      </c>
    </row>
    <row r="373" spans="2:9" x14ac:dyDescent="0.25">
      <c r="B373" s="1">
        <f t="shared" si="40"/>
        <v>36.300000000000246</v>
      </c>
      <c r="C373" s="1">
        <f t="shared" si="41"/>
        <v>-126.53643737691864</v>
      </c>
      <c r="D373" s="1">
        <f t="shared" si="37"/>
        <v>49.046984444885396</v>
      </c>
      <c r="E373" s="1">
        <f t="shared" si="42"/>
        <v>49.046984444885396</v>
      </c>
      <c r="F373" s="1">
        <f t="shared" si="38"/>
        <v>3.1634109344229664</v>
      </c>
      <c r="G373" s="1"/>
      <c r="H373">
        <f t="shared" si="43"/>
        <v>2</v>
      </c>
      <c r="I373" s="1">
        <f t="shared" si="39"/>
        <v>36.300000000000246</v>
      </c>
    </row>
    <row r="374" spans="2:9" x14ac:dyDescent="0.25">
      <c r="B374" s="1">
        <f t="shared" si="40"/>
        <v>36.400000000000247</v>
      </c>
      <c r="C374" s="1">
        <f t="shared" si="41"/>
        <v>-121.6317389324301</v>
      </c>
      <c r="D374" s="1">
        <f t="shared" si="37"/>
        <v>49.363325538327693</v>
      </c>
      <c r="E374" s="1">
        <f t="shared" si="42"/>
        <v>49.363325538327693</v>
      </c>
      <c r="F374" s="1">
        <f t="shared" si="38"/>
        <v>3.0407934733107527</v>
      </c>
      <c r="G374" s="1"/>
      <c r="H374">
        <f t="shared" si="43"/>
        <v>2</v>
      </c>
      <c r="I374" s="1">
        <f t="shared" si="39"/>
        <v>36.400000000000247</v>
      </c>
    </row>
    <row r="375" spans="2:9" x14ac:dyDescent="0.25">
      <c r="B375" s="1">
        <f t="shared" si="40"/>
        <v>36.500000000000249</v>
      </c>
      <c r="C375" s="1">
        <f t="shared" si="41"/>
        <v>-116.69540637859733</v>
      </c>
      <c r="D375" s="1">
        <f t="shared" si="37"/>
        <v>49.667404885658769</v>
      </c>
      <c r="E375" s="1">
        <f t="shared" si="42"/>
        <v>49.667404885658769</v>
      </c>
      <c r="F375" s="1">
        <f t="shared" si="38"/>
        <v>2.9173851594649332</v>
      </c>
      <c r="G375" s="1"/>
      <c r="H375">
        <f t="shared" si="43"/>
        <v>2</v>
      </c>
      <c r="I375" s="1">
        <f t="shared" si="39"/>
        <v>36.500000000000249</v>
      </c>
    </row>
    <row r="376" spans="2:9" x14ac:dyDescent="0.25">
      <c r="B376" s="1">
        <f t="shared" si="40"/>
        <v>36.60000000000025</v>
      </c>
      <c r="C376" s="1">
        <f t="shared" si="41"/>
        <v>-111.72866589003145</v>
      </c>
      <c r="D376" s="1">
        <f t="shared" si="37"/>
        <v>49.95914340160526</v>
      </c>
      <c r="E376" s="1">
        <f t="shared" si="42"/>
        <v>49.95914340160526</v>
      </c>
      <c r="F376" s="1">
        <f t="shared" si="38"/>
        <v>2.7932166472507864</v>
      </c>
      <c r="G376" s="1"/>
      <c r="H376">
        <f t="shared" si="43"/>
        <v>2</v>
      </c>
      <c r="I376" s="1">
        <f t="shared" si="39"/>
        <v>36.60000000000025</v>
      </c>
    </row>
    <row r="377" spans="2:9" x14ac:dyDescent="0.25">
      <c r="B377" s="1">
        <f t="shared" si="40"/>
        <v>36.700000000000252</v>
      </c>
      <c r="C377" s="1">
        <f t="shared" si="41"/>
        <v>-106.73275154987093</v>
      </c>
      <c r="D377" s="1">
        <f t="shared" si="37"/>
        <v>50.238465066330342</v>
      </c>
      <c r="E377" s="1">
        <f t="shared" si="42"/>
        <v>50.238465066330342</v>
      </c>
      <c r="F377" s="1">
        <f t="shared" si="38"/>
        <v>2.6683187887467734</v>
      </c>
      <c r="G377" s="1"/>
      <c r="H377">
        <f t="shared" si="43"/>
        <v>2</v>
      </c>
      <c r="I377" s="1">
        <f t="shared" si="39"/>
        <v>36.700000000000252</v>
      </c>
    </row>
    <row r="378" spans="2:9" x14ac:dyDescent="0.25">
      <c r="B378" s="1">
        <f t="shared" si="40"/>
        <v>36.800000000000253</v>
      </c>
      <c r="C378" s="1">
        <f t="shared" si="41"/>
        <v>-101.70890504323789</v>
      </c>
      <c r="D378" s="1">
        <f t="shared" si="37"/>
        <v>50.505296945205018</v>
      </c>
      <c r="E378" s="1">
        <f t="shared" si="42"/>
        <v>50.505296945205018</v>
      </c>
      <c r="F378" s="1">
        <f t="shared" si="38"/>
        <v>2.5427226260809475</v>
      </c>
      <c r="G378" s="1"/>
      <c r="H378">
        <f t="shared" si="43"/>
        <v>2</v>
      </c>
      <c r="I378" s="1">
        <f t="shared" si="39"/>
        <v>36.800000000000253</v>
      </c>
    </row>
    <row r="379" spans="2:9" x14ac:dyDescent="0.25">
      <c r="B379" s="1">
        <f t="shared" si="40"/>
        <v>36.900000000000254</v>
      </c>
      <c r="C379" s="1">
        <f t="shared" si="41"/>
        <v>-96.658375348717385</v>
      </c>
      <c r="D379" s="1">
        <f t="shared" si="37"/>
        <v>50.759569207813115</v>
      </c>
      <c r="E379" s="1">
        <f t="shared" si="42"/>
        <v>50.759569207813115</v>
      </c>
      <c r="F379" s="1">
        <f t="shared" si="38"/>
        <v>2.4164593837179349</v>
      </c>
      <c r="G379" s="1"/>
      <c r="H379">
        <f t="shared" si="43"/>
        <v>2</v>
      </c>
      <c r="I379" s="1">
        <f t="shared" si="39"/>
        <v>36.900000000000254</v>
      </c>
    </row>
    <row r="380" spans="2:9" x14ac:dyDescent="0.25">
      <c r="B380" s="1">
        <f t="shared" si="40"/>
        <v>37.000000000000256</v>
      </c>
      <c r="C380" s="1">
        <f t="shared" si="41"/>
        <v>-91.582418427936076</v>
      </c>
      <c r="D380" s="1">
        <f t="shared" si="37"/>
        <v>51.001215146184911</v>
      </c>
      <c r="E380" s="1">
        <f t="shared" si="42"/>
        <v>51.001215146184911</v>
      </c>
      <c r="F380" s="1">
        <f t="shared" si="38"/>
        <v>2.2895604606984019</v>
      </c>
      <c r="G380" s="1"/>
      <c r="H380">
        <f t="shared" si="43"/>
        <v>2</v>
      </c>
      <c r="I380" s="1">
        <f t="shared" si="39"/>
        <v>37.000000000000256</v>
      </c>
    </row>
    <row r="381" spans="2:9" x14ac:dyDescent="0.25">
      <c r="B381" s="1">
        <f t="shared" si="40"/>
        <v>37.100000000000257</v>
      </c>
      <c r="C381" s="1">
        <f t="shared" si="41"/>
        <v>-86.482296913317583</v>
      </c>
      <c r="D381" s="1">
        <f t="shared" si="37"/>
        <v>51.230171192254751</v>
      </c>
      <c r="E381" s="1">
        <f t="shared" si="42"/>
        <v>51.230171192254751</v>
      </c>
      <c r="F381" s="1">
        <f t="shared" si="38"/>
        <v>2.1620574228329397</v>
      </c>
      <c r="G381" s="1"/>
      <c r="H381">
        <f t="shared" si="43"/>
        <v>2</v>
      </c>
      <c r="I381" s="1">
        <f t="shared" si="39"/>
        <v>37.100000000000257</v>
      </c>
    </row>
    <row r="382" spans="2:9" x14ac:dyDescent="0.25">
      <c r="B382" s="1">
        <f t="shared" si="40"/>
        <v>37.200000000000259</v>
      </c>
      <c r="C382" s="1">
        <f t="shared" si="41"/>
        <v>-81.359279794092103</v>
      </c>
      <c r="D382" s="1">
        <f t="shared" si="37"/>
        <v>51.446376934538044</v>
      </c>
      <c r="E382" s="1">
        <f t="shared" si="42"/>
        <v>51.446376934538044</v>
      </c>
      <c r="F382" s="1">
        <f t="shared" si="38"/>
        <v>2.0339819948523026</v>
      </c>
      <c r="G382" s="1"/>
      <c r="H382">
        <f t="shared" si="43"/>
        <v>2</v>
      </c>
      <c r="I382" s="1">
        <f t="shared" si="39"/>
        <v>37.200000000000259</v>
      </c>
    </row>
    <row r="383" spans="2:9" x14ac:dyDescent="0.25">
      <c r="B383" s="1">
        <f t="shared" si="40"/>
        <v>37.30000000000026</v>
      </c>
      <c r="C383" s="1">
        <f t="shared" si="41"/>
        <v>-76.214642100638301</v>
      </c>
      <c r="D383" s="1">
        <f t="shared" si="37"/>
        <v>51.649775134023272</v>
      </c>
      <c r="E383" s="1">
        <f t="shared" si="42"/>
        <v>51.649775134023272</v>
      </c>
      <c r="F383" s="1">
        <f t="shared" si="38"/>
        <v>1.9053660525159577</v>
      </c>
      <c r="G383" s="1"/>
      <c r="H383">
        <f t="shared" si="43"/>
        <v>2</v>
      </c>
      <c r="I383" s="1">
        <f t="shared" si="39"/>
        <v>37.30000000000026</v>
      </c>
    </row>
    <row r="384" spans="2:9" x14ac:dyDescent="0.25">
      <c r="B384" s="1">
        <f t="shared" si="40"/>
        <v>37.400000000000261</v>
      </c>
      <c r="C384" s="1">
        <f t="shared" si="41"/>
        <v>-71.049664587235981</v>
      </c>
      <c r="D384" s="1">
        <f t="shared" si="37"/>
        <v>51.840311739274867</v>
      </c>
      <c r="E384" s="1">
        <f t="shared" si="42"/>
        <v>51.840311739274867</v>
      </c>
      <c r="F384" s="1">
        <f t="shared" si="38"/>
        <v>1.7762416146808997</v>
      </c>
      <c r="G384" s="1"/>
      <c r="H384">
        <f t="shared" si="43"/>
        <v>2</v>
      </c>
      <c r="I384" s="1">
        <f t="shared" si="39"/>
        <v>37.400000000000261</v>
      </c>
    </row>
    <row r="385" spans="2:9" x14ac:dyDescent="0.25">
      <c r="B385" s="1">
        <f t="shared" si="40"/>
        <v>37.500000000000263</v>
      </c>
      <c r="C385" s="1">
        <f t="shared" si="41"/>
        <v>-65.865633413308501</v>
      </c>
      <c r="D385" s="1">
        <f t="shared" si="37"/>
        <v>52.017935900742955</v>
      </c>
      <c r="E385" s="1">
        <f t="shared" si="42"/>
        <v>52.017935900742955</v>
      </c>
      <c r="F385" s="1">
        <f t="shared" si="38"/>
        <v>1.6466408353327127</v>
      </c>
      <c r="G385" s="1"/>
      <c r="H385">
        <f t="shared" si="43"/>
        <v>2</v>
      </c>
      <c r="I385" s="1">
        <f t="shared" si="39"/>
        <v>37.500000000000263</v>
      </c>
    </row>
    <row r="386" spans="2:9" x14ac:dyDescent="0.25">
      <c r="B386" s="1">
        <f t="shared" si="40"/>
        <v>37.600000000000264</v>
      </c>
      <c r="C386" s="1">
        <f t="shared" si="41"/>
        <v>-60.663839823234206</v>
      </c>
      <c r="D386" s="1">
        <f t="shared" si="37"/>
        <v>52.18259998427623</v>
      </c>
      <c r="E386" s="1">
        <f t="shared" si="42"/>
        <v>52.18259998427623</v>
      </c>
      <c r="F386" s="1">
        <f t="shared" si="38"/>
        <v>1.5165959955808552</v>
      </c>
      <c r="G386" s="1"/>
      <c r="H386">
        <f t="shared" si="43"/>
        <v>2</v>
      </c>
      <c r="I386" s="1">
        <f t="shared" si="39"/>
        <v>37.600000000000264</v>
      </c>
    </row>
    <row r="387" spans="2:9" x14ac:dyDescent="0.25">
      <c r="B387" s="1">
        <f t="shared" si="40"/>
        <v>37.700000000000266</v>
      </c>
      <c r="C387" s="1">
        <f t="shared" si="41"/>
        <v>-55.445579824806586</v>
      </c>
      <c r="D387" s="1">
        <f t="shared" si="37"/>
        <v>52.334259583834317</v>
      </c>
      <c r="E387" s="1">
        <f t="shared" si="42"/>
        <v>52.334259583834317</v>
      </c>
      <c r="F387" s="1">
        <f t="shared" si="38"/>
        <v>1.3861394956201647</v>
      </c>
      <c r="G387" s="1"/>
      <c r="H387">
        <f t="shared" si="43"/>
        <v>2</v>
      </c>
      <c r="I387" s="1">
        <f t="shared" si="39"/>
        <v>37.700000000000266</v>
      </c>
    </row>
    <row r="388" spans="2:9" x14ac:dyDescent="0.25">
      <c r="B388" s="1">
        <f t="shared" si="40"/>
        <v>37.800000000000267</v>
      </c>
      <c r="C388" s="1">
        <f t="shared" si="41"/>
        <v>-50.212153866423151</v>
      </c>
      <c r="D388" s="1">
        <f t="shared" si="37"/>
        <v>52.472873533396331</v>
      </c>
      <c r="E388" s="1">
        <f t="shared" si="42"/>
        <v>52.472873533396331</v>
      </c>
      <c r="F388" s="1">
        <f t="shared" si="38"/>
        <v>1.2553038466605788</v>
      </c>
      <c r="G388" s="1"/>
      <c r="H388">
        <f t="shared" si="43"/>
        <v>2</v>
      </c>
      <c r="I388" s="1">
        <f t="shared" si="39"/>
        <v>37.800000000000267</v>
      </c>
    </row>
    <row r="389" spans="2:9" x14ac:dyDescent="0.25">
      <c r="B389" s="1">
        <f t="shared" si="40"/>
        <v>37.900000000000269</v>
      </c>
      <c r="C389" s="1">
        <f t="shared" si="41"/>
        <v>-44.964866513083521</v>
      </c>
      <c r="D389" s="1">
        <f t="shared" si="37"/>
        <v>52.598403918062388</v>
      </c>
      <c r="E389" s="1">
        <f t="shared" si="42"/>
        <v>52.598403918062388</v>
      </c>
      <c r="F389" s="1">
        <f t="shared" si="38"/>
        <v>1.124121662827088</v>
      </c>
      <c r="G389" s="1"/>
      <c r="H389">
        <f t="shared" si="43"/>
        <v>2</v>
      </c>
      <c r="I389" s="1">
        <f t="shared" si="39"/>
        <v>37.900000000000269</v>
      </c>
    </row>
    <row r="390" spans="2:9" x14ac:dyDescent="0.25">
      <c r="B390" s="1">
        <f t="shared" si="40"/>
        <v>38.00000000000027</v>
      </c>
      <c r="C390" s="1">
        <f t="shared" si="41"/>
        <v>-39.705026121277285</v>
      </c>
      <c r="D390" s="1">
        <f t="shared" si="37"/>
        <v>52.710816084345097</v>
      </c>
      <c r="E390" s="1">
        <f t="shared" si="42"/>
        <v>52.710816084345097</v>
      </c>
      <c r="F390" s="1">
        <f t="shared" si="38"/>
        <v>0.99262565303193218</v>
      </c>
      <c r="G390" s="1"/>
      <c r="H390">
        <f t="shared" si="43"/>
        <v>2</v>
      </c>
      <c r="I390" s="1">
        <f t="shared" si="39"/>
        <v>38.00000000000027</v>
      </c>
    </row>
    <row r="391" spans="2:9" x14ac:dyDescent="0.25">
      <c r="B391" s="1">
        <f t="shared" si="40"/>
        <v>38.100000000000271</v>
      </c>
      <c r="C391" s="1">
        <f t="shared" si="41"/>
        <v>-34.433944512842771</v>
      </c>
      <c r="D391" s="1">
        <f t="shared" si="37"/>
        <v>52.81007864964829</v>
      </c>
      <c r="E391" s="1">
        <f t="shared" si="42"/>
        <v>52.81007864964829</v>
      </c>
      <c r="F391" s="1">
        <f t="shared" si="38"/>
        <v>0.86084861282106928</v>
      </c>
      <c r="G391" s="1"/>
      <c r="H391">
        <f t="shared" si="43"/>
        <v>2</v>
      </c>
      <c r="I391" s="1">
        <f t="shared" si="39"/>
        <v>38.100000000000271</v>
      </c>
    </row>
    <row r="392" spans="2:9" x14ac:dyDescent="0.25">
      <c r="B392" s="1">
        <f t="shared" si="40"/>
        <v>38.200000000000273</v>
      </c>
      <c r="C392" s="1">
        <f t="shared" si="41"/>
        <v>-29.152936647877944</v>
      </c>
      <c r="D392" s="1">
        <f t="shared" si="37"/>
        <v>52.8961635109304</v>
      </c>
      <c r="E392" s="1">
        <f t="shared" si="42"/>
        <v>52.8961635109304</v>
      </c>
      <c r="F392" s="1">
        <f t="shared" si="38"/>
        <v>0.72882341619694868</v>
      </c>
      <c r="G392" s="1"/>
      <c r="H392">
        <f t="shared" si="43"/>
        <v>2</v>
      </c>
      <c r="I392" s="1">
        <f t="shared" si="39"/>
        <v>38.200000000000273</v>
      </c>
    </row>
    <row r="393" spans="2:9" x14ac:dyDescent="0.25">
      <c r="B393" s="1">
        <f t="shared" si="40"/>
        <v>38.300000000000274</v>
      </c>
      <c r="C393" s="1">
        <f t="shared" si="41"/>
        <v>-23.863320296784902</v>
      </c>
      <c r="D393" s="1">
        <f t="shared" si="37"/>
        <v>52.969045852550096</v>
      </c>
      <c r="E393" s="1">
        <f t="shared" si="42"/>
        <v>52.969045852550096</v>
      </c>
      <c r="F393" s="1">
        <f t="shared" si="38"/>
        <v>0.59658300741962256</v>
      </c>
      <c r="G393" s="1"/>
      <c r="H393">
        <f t="shared" si="43"/>
        <v>2</v>
      </c>
      <c r="I393" s="1">
        <f t="shared" si="39"/>
        <v>38.300000000000274</v>
      </c>
    </row>
    <row r="394" spans="2:9" x14ac:dyDescent="0.25">
      <c r="B394" s="1">
        <f t="shared" si="40"/>
        <v>38.400000000000276</v>
      </c>
      <c r="C394" s="1">
        <f t="shared" si="41"/>
        <v>-18.566415711529892</v>
      </c>
      <c r="D394" s="1">
        <f t="shared" ref="D394:D457" si="44">E394</f>
        <v>53.028704153292061</v>
      </c>
      <c r="E394" s="1">
        <f t="shared" si="42"/>
        <v>53.028704153292061</v>
      </c>
      <c r="F394" s="1">
        <f t="shared" ref="F394:F457" si="45">-$C$3*C394/$C$4-$C$2/$C$4*E394</f>
        <v>0.46416039278824733</v>
      </c>
      <c r="G394" s="1"/>
      <c r="H394">
        <f t="shared" si="43"/>
        <v>2</v>
      </c>
      <c r="I394" s="1">
        <f t="shared" ref="I394:I457" si="46">B394</f>
        <v>38.400000000000276</v>
      </c>
    </row>
    <row r="395" spans="2:9" x14ac:dyDescent="0.25">
      <c r="B395" s="1">
        <f t="shared" ref="B395:B458" si="47">B394+$C$7</f>
        <v>38.500000000000277</v>
      </c>
      <c r="C395" s="1">
        <f t="shared" ref="C395:C458" si="48">C394+D394*$C$7</f>
        <v>-13.263545296200686</v>
      </c>
      <c r="D395" s="1">
        <f t="shared" si="44"/>
        <v>53.075120192570886</v>
      </c>
      <c r="E395" s="1">
        <f t="shared" ref="E395:E458" si="49">E394+F394*$C$7</f>
        <v>53.075120192570886</v>
      </c>
      <c r="F395" s="1">
        <f t="shared" si="45"/>
        <v>0.33158863240501718</v>
      </c>
      <c r="G395" s="1"/>
      <c r="H395">
        <f t="shared" ref="H395:H458" si="50">H394+(D395*D396&lt;0)*1</f>
        <v>2</v>
      </c>
      <c r="I395" s="1">
        <f t="shared" si="46"/>
        <v>38.500000000000277</v>
      </c>
    </row>
    <row r="396" spans="2:9" x14ac:dyDescent="0.25">
      <c r="B396" s="1">
        <f t="shared" si="47"/>
        <v>38.600000000000279</v>
      </c>
      <c r="C396" s="1">
        <f t="shared" si="48"/>
        <v>-7.9560332769435966</v>
      </c>
      <c r="D396" s="1">
        <f t="shared" si="44"/>
        <v>53.108279055811387</v>
      </c>
      <c r="E396" s="1">
        <f t="shared" si="49"/>
        <v>53.108279055811387</v>
      </c>
      <c r="F396" s="1">
        <f t="shared" si="45"/>
        <v>0.19890083192358993</v>
      </c>
      <c r="G396" s="1"/>
      <c r="H396">
        <f t="shared" si="50"/>
        <v>2</v>
      </c>
      <c r="I396" s="1">
        <f t="shared" si="46"/>
        <v>38.600000000000279</v>
      </c>
    </row>
    <row r="397" spans="2:9" x14ac:dyDescent="0.25">
      <c r="B397" s="1">
        <f t="shared" si="47"/>
        <v>38.70000000000028</v>
      </c>
      <c r="C397" s="1">
        <f t="shared" si="48"/>
        <v>-2.6452053713624579</v>
      </c>
      <c r="D397" s="1">
        <f t="shared" si="44"/>
        <v>53.128169139003745</v>
      </c>
      <c r="E397" s="1">
        <f t="shared" si="49"/>
        <v>53.128169139003745</v>
      </c>
      <c r="F397" s="1">
        <f t="shared" si="45"/>
        <v>6.6130134284061448E-2</v>
      </c>
      <c r="G397" s="1"/>
      <c r="H397">
        <f t="shared" si="50"/>
        <v>2</v>
      </c>
      <c r="I397" s="1">
        <f t="shared" si="46"/>
        <v>38.70000000000028</v>
      </c>
    </row>
    <row r="398" spans="2:9" x14ac:dyDescent="0.25">
      <c r="B398" s="1">
        <f t="shared" si="47"/>
        <v>38.800000000000281</v>
      </c>
      <c r="C398" s="1">
        <f t="shared" si="48"/>
        <v>2.6676115425379168</v>
      </c>
      <c r="D398" s="1">
        <f t="shared" si="44"/>
        <v>53.134782152432152</v>
      </c>
      <c r="E398" s="1">
        <f t="shared" si="49"/>
        <v>53.134782152432152</v>
      </c>
      <c r="F398" s="1">
        <f t="shared" si="45"/>
        <v>-6.6690288563447928E-2</v>
      </c>
      <c r="G398" s="1"/>
      <c r="H398">
        <f t="shared" si="50"/>
        <v>2</v>
      </c>
      <c r="I398" s="1">
        <f t="shared" si="46"/>
        <v>38.800000000000281</v>
      </c>
    </row>
    <row r="399" spans="2:9" x14ac:dyDescent="0.25">
      <c r="B399" s="1">
        <f t="shared" si="47"/>
        <v>38.900000000000283</v>
      </c>
      <c r="C399" s="1">
        <f t="shared" si="48"/>
        <v>7.9810897577811319</v>
      </c>
      <c r="D399" s="1">
        <f t="shared" si="44"/>
        <v>53.128113123575808</v>
      </c>
      <c r="E399" s="1">
        <f t="shared" si="49"/>
        <v>53.128113123575808</v>
      </c>
      <c r="F399" s="1">
        <f t="shared" si="45"/>
        <v>-0.19952724394452831</v>
      </c>
      <c r="G399" s="1"/>
      <c r="H399">
        <f t="shared" si="50"/>
        <v>2</v>
      </c>
      <c r="I399" s="1">
        <f t="shared" si="46"/>
        <v>38.900000000000283</v>
      </c>
    </row>
    <row r="400" spans="2:9" x14ac:dyDescent="0.25">
      <c r="B400" s="1">
        <f t="shared" si="47"/>
        <v>39.000000000000284</v>
      </c>
      <c r="C400" s="1">
        <f t="shared" si="48"/>
        <v>13.293901070138713</v>
      </c>
      <c r="D400" s="1">
        <f t="shared" si="44"/>
        <v>53.108160399181358</v>
      </c>
      <c r="E400" s="1">
        <f t="shared" si="49"/>
        <v>53.108160399181358</v>
      </c>
      <c r="F400" s="1">
        <f t="shared" si="45"/>
        <v>-0.33234752675346785</v>
      </c>
      <c r="G400" s="1"/>
      <c r="H400">
        <f t="shared" si="50"/>
        <v>2</v>
      </c>
      <c r="I400" s="1">
        <f t="shared" si="46"/>
        <v>39.000000000000284</v>
      </c>
    </row>
    <row r="401" spans="2:9" x14ac:dyDescent="0.25">
      <c r="B401" s="1">
        <f t="shared" si="47"/>
        <v>39.100000000000286</v>
      </c>
      <c r="C401" s="1">
        <f t="shared" si="48"/>
        <v>18.60471711005685</v>
      </c>
      <c r="D401" s="1">
        <f t="shared" si="44"/>
        <v>53.07492564650601</v>
      </c>
      <c r="E401" s="1">
        <f t="shared" si="49"/>
        <v>53.07492564650601</v>
      </c>
      <c r="F401" s="1">
        <f t="shared" si="45"/>
        <v>-0.46511792775142125</v>
      </c>
      <c r="G401" s="1"/>
      <c r="H401">
        <f t="shared" si="50"/>
        <v>2</v>
      </c>
      <c r="I401" s="1">
        <f t="shared" si="46"/>
        <v>39.100000000000286</v>
      </c>
    </row>
    <row r="402" spans="2:9" x14ac:dyDescent="0.25">
      <c r="B402" s="1">
        <f t="shared" si="47"/>
        <v>39.200000000000287</v>
      </c>
      <c r="C402" s="1">
        <f t="shared" si="48"/>
        <v>23.912209674707452</v>
      </c>
      <c r="D402" s="1">
        <f t="shared" si="44"/>
        <v>53.028413853730868</v>
      </c>
      <c r="E402" s="1">
        <f t="shared" si="49"/>
        <v>53.028413853730868</v>
      </c>
      <c r="F402" s="1">
        <f t="shared" si="45"/>
        <v>-0.59780524186768635</v>
      </c>
      <c r="G402" s="1"/>
      <c r="H402">
        <f t="shared" si="50"/>
        <v>2</v>
      </c>
      <c r="I402" s="1">
        <f t="shared" si="46"/>
        <v>39.200000000000287</v>
      </c>
    </row>
    <row r="403" spans="2:9" x14ac:dyDescent="0.25">
      <c r="B403" s="1">
        <f t="shared" si="47"/>
        <v>39.300000000000288</v>
      </c>
      <c r="C403" s="1">
        <f t="shared" si="48"/>
        <v>29.21505106008054</v>
      </c>
      <c r="D403" s="1">
        <f t="shared" si="44"/>
        <v>52.968633329544097</v>
      </c>
      <c r="E403" s="1">
        <f t="shared" si="49"/>
        <v>52.968633329544097</v>
      </c>
      <c r="F403" s="1">
        <f t="shared" si="45"/>
        <v>-0.73037627650201353</v>
      </c>
      <c r="G403" s="1"/>
      <c r="H403">
        <f t="shared" si="50"/>
        <v>2</v>
      </c>
      <c r="I403" s="1">
        <f t="shared" si="46"/>
        <v>39.300000000000288</v>
      </c>
    </row>
    <row r="404" spans="2:9" x14ac:dyDescent="0.25">
      <c r="B404" s="1">
        <f t="shared" si="47"/>
        <v>39.40000000000029</v>
      </c>
      <c r="C404" s="1">
        <f t="shared" si="48"/>
        <v>34.511914393034949</v>
      </c>
      <c r="D404" s="1">
        <f t="shared" si="44"/>
        <v>52.895595701893896</v>
      </c>
      <c r="E404" s="1">
        <f t="shared" si="49"/>
        <v>52.895595701893896</v>
      </c>
      <c r="F404" s="1">
        <f t="shared" si="45"/>
        <v>-0.86279785982587376</v>
      </c>
      <c r="G404" s="1"/>
      <c r="H404">
        <f t="shared" si="50"/>
        <v>2</v>
      </c>
      <c r="I404" s="1">
        <f t="shared" si="46"/>
        <v>39.40000000000029</v>
      </c>
    </row>
    <row r="405" spans="2:9" x14ac:dyDescent="0.25">
      <c r="B405" s="1">
        <f t="shared" si="47"/>
        <v>39.500000000000291</v>
      </c>
      <c r="C405" s="1">
        <f t="shared" si="48"/>
        <v>39.801473963224339</v>
      </c>
      <c r="D405" s="1">
        <f t="shared" si="44"/>
        <v>52.809315915911306</v>
      </c>
      <c r="E405" s="1">
        <f t="shared" si="49"/>
        <v>52.809315915911306</v>
      </c>
      <c r="F405" s="1">
        <f t="shared" si="45"/>
        <v>-0.99503684908060852</v>
      </c>
      <c r="G405" s="1"/>
      <c r="H405">
        <f t="shared" si="50"/>
        <v>2</v>
      </c>
      <c r="I405" s="1">
        <f t="shared" si="46"/>
        <v>39.500000000000291</v>
      </c>
    </row>
    <row r="406" spans="2:9" x14ac:dyDescent="0.25">
      <c r="B406" s="1">
        <f t="shared" si="47"/>
        <v>39.600000000000293</v>
      </c>
      <c r="C406" s="1">
        <f t="shared" si="48"/>
        <v>45.082405554815466</v>
      </c>
      <c r="D406" s="1">
        <f t="shared" si="44"/>
        <v>52.709812231003248</v>
      </c>
      <c r="E406" s="1">
        <f t="shared" si="49"/>
        <v>52.709812231003248</v>
      </c>
      <c r="F406" s="1">
        <f t="shared" si="45"/>
        <v>-1.1270601388703867</v>
      </c>
      <c r="G406" s="1"/>
      <c r="H406">
        <f t="shared" si="50"/>
        <v>2</v>
      </c>
      <c r="I406" s="1">
        <f t="shared" si="46"/>
        <v>39.600000000000293</v>
      </c>
    </row>
    <row r="407" spans="2:9" x14ac:dyDescent="0.25">
      <c r="B407" s="1">
        <f t="shared" si="47"/>
        <v>39.700000000000294</v>
      </c>
      <c r="C407" s="1">
        <f t="shared" si="48"/>
        <v>50.353386777915787</v>
      </c>
      <c r="D407" s="1">
        <f t="shared" si="44"/>
        <v>52.597106217116206</v>
      </c>
      <c r="E407" s="1">
        <f t="shared" si="49"/>
        <v>52.597106217116206</v>
      </c>
      <c r="F407" s="1">
        <f t="shared" si="45"/>
        <v>-1.2588346694478947</v>
      </c>
      <c r="G407" s="1"/>
      <c r="H407">
        <f t="shared" si="50"/>
        <v>2</v>
      </c>
      <c r="I407" s="1">
        <f t="shared" si="46"/>
        <v>39.700000000000294</v>
      </c>
    </row>
    <row r="408" spans="2:9" x14ac:dyDescent="0.25">
      <c r="B408" s="1">
        <f t="shared" si="47"/>
        <v>39.800000000000296</v>
      </c>
      <c r="C408" s="1">
        <f t="shared" si="48"/>
        <v>55.613097399627407</v>
      </c>
      <c r="D408" s="1">
        <f t="shared" si="44"/>
        <v>52.471222750171414</v>
      </c>
      <c r="E408" s="1">
        <f t="shared" si="49"/>
        <v>52.471222750171414</v>
      </c>
      <c r="F408" s="1">
        <f t="shared" si="45"/>
        <v>-1.3903274349906853</v>
      </c>
      <c r="G408" s="1"/>
      <c r="H408">
        <f t="shared" si="50"/>
        <v>2</v>
      </c>
      <c r="I408" s="1">
        <f t="shared" si="46"/>
        <v>39.800000000000296</v>
      </c>
    </row>
    <row r="409" spans="2:9" x14ac:dyDescent="0.25">
      <c r="B409" s="1">
        <f t="shared" si="47"/>
        <v>39.900000000000297</v>
      </c>
      <c r="C409" s="1">
        <f t="shared" si="48"/>
        <v>60.860219674644547</v>
      </c>
      <c r="D409" s="1">
        <f t="shared" si="44"/>
        <v>52.332190006672349</v>
      </c>
      <c r="E409" s="1">
        <f t="shared" si="49"/>
        <v>52.332190006672349</v>
      </c>
      <c r="F409" s="1">
        <f t="shared" si="45"/>
        <v>-1.5215054918661137</v>
      </c>
      <c r="G409" s="1"/>
      <c r="H409">
        <f t="shared" si="50"/>
        <v>2</v>
      </c>
      <c r="I409" s="1">
        <f t="shared" si="46"/>
        <v>39.900000000000297</v>
      </c>
    </row>
    <row r="410" spans="2:9" x14ac:dyDescent="0.25">
      <c r="B410" s="1">
        <f t="shared" si="47"/>
        <v>40.000000000000298</v>
      </c>
      <c r="C410" s="1">
        <f t="shared" si="48"/>
        <v>66.093438675311788</v>
      </c>
      <c r="D410" s="1">
        <f t="shared" si="44"/>
        <v>52.180039457485741</v>
      </c>
      <c r="E410" s="1">
        <f t="shared" si="49"/>
        <v>52.180039457485741</v>
      </c>
      <c r="F410" s="1">
        <f t="shared" si="45"/>
        <v>-1.6523359668827948</v>
      </c>
      <c r="G410" s="1"/>
      <c r="H410">
        <f t="shared" si="50"/>
        <v>2</v>
      </c>
      <c r="I410" s="1">
        <f t="shared" si="46"/>
        <v>40.000000000000298</v>
      </c>
    </row>
    <row r="411" spans="2:9" x14ac:dyDescent="0.25">
      <c r="B411" s="1">
        <f t="shared" si="47"/>
        <v>40.1000000000003</v>
      </c>
      <c r="C411" s="1">
        <f t="shared" si="48"/>
        <v>71.311442621060365</v>
      </c>
      <c r="D411" s="1">
        <f t="shared" si="44"/>
        <v>52.014805860797459</v>
      </c>
      <c r="E411" s="1">
        <f t="shared" si="49"/>
        <v>52.014805860797459</v>
      </c>
      <c r="F411" s="1">
        <f t="shared" si="45"/>
        <v>-1.7827860655265093</v>
      </c>
      <c r="G411" s="1"/>
      <c r="H411">
        <f t="shared" si="50"/>
        <v>2</v>
      </c>
      <c r="I411" s="1">
        <f t="shared" si="46"/>
        <v>40.1000000000003</v>
      </c>
    </row>
    <row r="412" spans="2:9" x14ac:dyDescent="0.25">
      <c r="B412" s="1">
        <f t="shared" si="47"/>
        <v>40.200000000000301</v>
      </c>
      <c r="C412" s="1">
        <f t="shared" si="48"/>
        <v>76.512923207140119</v>
      </c>
      <c r="D412" s="1">
        <f t="shared" si="44"/>
        <v>51.836527254244807</v>
      </c>
      <c r="E412" s="1">
        <f t="shared" si="49"/>
        <v>51.836527254244807</v>
      </c>
      <c r="F412" s="1">
        <f t="shared" si="45"/>
        <v>-1.9128230801785031</v>
      </c>
      <c r="G412" s="1"/>
      <c r="H412">
        <f t="shared" si="50"/>
        <v>2</v>
      </c>
      <c r="I412" s="1">
        <f t="shared" si="46"/>
        <v>40.200000000000301</v>
      </c>
    </row>
    <row r="413" spans="2:9" x14ac:dyDescent="0.25">
      <c r="B413" s="1">
        <f t="shared" si="47"/>
        <v>40.300000000000303</v>
      </c>
      <c r="C413" s="1">
        <f t="shared" si="48"/>
        <v>81.696575932564599</v>
      </c>
      <c r="D413" s="1">
        <f t="shared" si="44"/>
        <v>51.64524494622696</v>
      </c>
      <c r="E413" s="1">
        <f t="shared" si="49"/>
        <v>51.64524494622696</v>
      </c>
      <c r="F413" s="1">
        <f t="shared" si="45"/>
        <v>-2.042414398314115</v>
      </c>
      <c r="G413" s="1"/>
      <c r="H413">
        <f t="shared" si="50"/>
        <v>2</v>
      </c>
      <c r="I413" s="1">
        <f t="shared" si="46"/>
        <v>40.300000000000303</v>
      </c>
    </row>
    <row r="414" spans="2:9" x14ac:dyDescent="0.25">
      <c r="B414" s="1">
        <f t="shared" si="47"/>
        <v>40.400000000000304</v>
      </c>
      <c r="C414" s="1">
        <f t="shared" si="48"/>
        <v>86.861100427187296</v>
      </c>
      <c r="D414" s="1">
        <f t="shared" si="44"/>
        <v>51.441003506395546</v>
      </c>
      <c r="E414" s="1">
        <f t="shared" si="49"/>
        <v>51.441003506395546</v>
      </c>
      <c r="F414" s="1">
        <f t="shared" si="45"/>
        <v>-2.1715275106796823</v>
      </c>
      <c r="G414" s="1"/>
      <c r="H414">
        <f t="shared" si="50"/>
        <v>2</v>
      </c>
      <c r="I414" s="1">
        <f t="shared" si="46"/>
        <v>40.400000000000304</v>
      </c>
    </row>
    <row r="415" spans="2:9" x14ac:dyDescent="0.25">
      <c r="B415" s="1">
        <f t="shared" si="47"/>
        <v>40.500000000000306</v>
      </c>
      <c r="C415" s="1">
        <f t="shared" si="48"/>
        <v>92.005200777826843</v>
      </c>
      <c r="D415" s="1">
        <f t="shared" si="44"/>
        <v>51.223850755327575</v>
      </c>
      <c r="E415" s="1">
        <f t="shared" si="49"/>
        <v>51.223850755327575</v>
      </c>
      <c r="F415" s="1">
        <f t="shared" si="45"/>
        <v>-2.3001300194456711</v>
      </c>
      <c r="G415" s="1"/>
      <c r="H415">
        <f t="shared" si="50"/>
        <v>2</v>
      </c>
      <c r="I415" s="1">
        <f t="shared" si="46"/>
        <v>40.500000000000306</v>
      </c>
    </row>
    <row r="416" spans="2:9" x14ac:dyDescent="0.25">
      <c r="B416" s="1">
        <f t="shared" si="47"/>
        <v>40.600000000000307</v>
      </c>
      <c r="C416" s="1">
        <f t="shared" si="48"/>
        <v>97.127585853359605</v>
      </c>
      <c r="D416" s="1">
        <f t="shared" si="44"/>
        <v>50.993837753383005</v>
      </c>
      <c r="E416" s="1">
        <f t="shared" si="49"/>
        <v>50.993837753383005</v>
      </c>
      <c r="F416" s="1">
        <f t="shared" si="45"/>
        <v>-2.4281896463339905</v>
      </c>
      <c r="G416" s="1"/>
      <c r="H416">
        <f t="shared" si="50"/>
        <v>2</v>
      </c>
      <c r="I416" s="1">
        <f t="shared" si="46"/>
        <v>40.600000000000307</v>
      </c>
    </row>
    <row r="417" spans="2:9" x14ac:dyDescent="0.25">
      <c r="B417" s="1">
        <f t="shared" si="47"/>
        <v>40.700000000000308</v>
      </c>
      <c r="C417" s="1">
        <f t="shared" si="48"/>
        <v>102.2269696286979</v>
      </c>
      <c r="D417" s="1">
        <f t="shared" si="44"/>
        <v>50.751018788749604</v>
      </c>
      <c r="E417" s="1">
        <f t="shared" si="49"/>
        <v>50.751018788749604</v>
      </c>
      <c r="F417" s="1">
        <f t="shared" si="45"/>
        <v>-2.5556742407174475</v>
      </c>
      <c r="G417" s="1"/>
      <c r="H417">
        <f t="shared" si="50"/>
        <v>2</v>
      </c>
      <c r="I417" s="1">
        <f t="shared" si="46"/>
        <v>40.700000000000308</v>
      </c>
    </row>
    <row r="418" spans="2:9" x14ac:dyDescent="0.25">
      <c r="B418" s="1">
        <f t="shared" si="47"/>
        <v>40.80000000000031</v>
      </c>
      <c r="C418" s="1">
        <f t="shared" si="48"/>
        <v>107.30207150757286</v>
      </c>
      <c r="D418" s="1">
        <f t="shared" si="44"/>
        <v>50.495451364677862</v>
      </c>
      <c r="E418" s="1">
        <f t="shared" si="49"/>
        <v>50.495451364677862</v>
      </c>
      <c r="F418" s="1">
        <f t="shared" si="45"/>
        <v>-2.6825517876893219</v>
      </c>
      <c r="G418" s="1"/>
      <c r="H418">
        <f t="shared" si="50"/>
        <v>2</v>
      </c>
      <c r="I418" s="1">
        <f t="shared" si="46"/>
        <v>40.80000000000031</v>
      </c>
    </row>
    <row r="419" spans="2:9" x14ac:dyDescent="0.25">
      <c r="B419" s="1">
        <f t="shared" si="47"/>
        <v>40.900000000000311</v>
      </c>
      <c r="C419" s="1">
        <f t="shared" si="48"/>
        <v>112.35161664404065</v>
      </c>
      <c r="D419" s="1">
        <f t="shared" si="44"/>
        <v>50.22719618590893</v>
      </c>
      <c r="E419" s="1">
        <f t="shared" si="49"/>
        <v>50.22719618590893</v>
      </c>
      <c r="F419" s="1">
        <f t="shared" si="45"/>
        <v>-2.8087904161010164</v>
      </c>
      <c r="G419" s="1"/>
      <c r="H419">
        <f t="shared" si="50"/>
        <v>2</v>
      </c>
      <c r="I419" s="1">
        <f t="shared" si="46"/>
        <v>40.900000000000311</v>
      </c>
    </row>
    <row r="420" spans="2:9" x14ac:dyDescent="0.25">
      <c r="B420" s="1">
        <f t="shared" si="47"/>
        <v>41.000000000000313</v>
      </c>
      <c r="C420" s="1">
        <f t="shared" si="48"/>
        <v>117.37433626263154</v>
      </c>
      <c r="D420" s="1">
        <f t="shared" si="44"/>
        <v>49.946317144298831</v>
      </c>
      <c r="E420" s="1">
        <f t="shared" si="49"/>
        <v>49.946317144298831</v>
      </c>
      <c r="F420" s="1">
        <f t="shared" si="45"/>
        <v>-2.9343584065657886</v>
      </c>
      <c r="G420" s="1"/>
      <c r="H420">
        <f t="shared" si="50"/>
        <v>2</v>
      </c>
      <c r="I420" s="1">
        <f t="shared" si="46"/>
        <v>41.000000000000313</v>
      </c>
    </row>
    <row r="421" spans="2:9" x14ac:dyDescent="0.25">
      <c r="B421" s="1">
        <f t="shared" si="47"/>
        <v>41.100000000000314</v>
      </c>
      <c r="C421" s="1">
        <f t="shared" si="48"/>
        <v>122.36896797706143</v>
      </c>
      <c r="D421" s="1">
        <f t="shared" si="44"/>
        <v>49.652881303642253</v>
      </c>
      <c r="E421" s="1">
        <f t="shared" si="49"/>
        <v>49.652881303642253</v>
      </c>
      <c r="F421" s="1">
        <f t="shared" si="45"/>
        <v>-3.0592241994265361</v>
      </c>
      <c r="G421" s="1"/>
      <c r="H421">
        <f t="shared" si="50"/>
        <v>2</v>
      </c>
      <c r="I421" s="1">
        <f t="shared" si="46"/>
        <v>41.100000000000314</v>
      </c>
    </row>
    <row r="422" spans="2:9" x14ac:dyDescent="0.25">
      <c r="B422" s="1">
        <f t="shared" si="47"/>
        <v>41.200000000000315</v>
      </c>
      <c r="C422" s="1">
        <f t="shared" si="48"/>
        <v>127.33425610742566</v>
      </c>
      <c r="D422" s="1">
        <f t="shared" si="44"/>
        <v>49.3469588836996</v>
      </c>
      <c r="E422" s="1">
        <f t="shared" si="49"/>
        <v>49.3469588836996</v>
      </c>
      <c r="F422" s="1">
        <f t="shared" si="45"/>
        <v>-3.1833564026856416</v>
      </c>
      <c r="G422" s="1"/>
      <c r="H422">
        <f t="shared" si="50"/>
        <v>2</v>
      </c>
      <c r="I422" s="1">
        <f t="shared" si="46"/>
        <v>41.200000000000315</v>
      </c>
    </row>
    <row r="423" spans="2:9" x14ac:dyDescent="0.25">
      <c r="B423" s="1">
        <f t="shared" si="47"/>
        <v>41.300000000000317</v>
      </c>
      <c r="C423" s="1">
        <f t="shared" si="48"/>
        <v>132.26895199579562</v>
      </c>
      <c r="D423" s="1">
        <f t="shared" si="44"/>
        <v>49.028623243431035</v>
      </c>
      <c r="E423" s="1">
        <f t="shared" si="49"/>
        <v>49.028623243431035</v>
      </c>
      <c r="F423" s="1">
        <f t="shared" si="45"/>
        <v>-3.3067237998948906</v>
      </c>
      <c r="G423" s="1"/>
      <c r="H423">
        <f t="shared" si="50"/>
        <v>2</v>
      </c>
      <c r="I423" s="1">
        <f t="shared" si="46"/>
        <v>41.300000000000317</v>
      </c>
    </row>
    <row r="424" spans="2:9" x14ac:dyDescent="0.25">
      <c r="B424" s="1">
        <f t="shared" si="47"/>
        <v>41.400000000000318</v>
      </c>
      <c r="C424" s="1">
        <f t="shared" si="48"/>
        <v>137.17181432013871</v>
      </c>
      <c r="D424" s="1">
        <f t="shared" si="44"/>
        <v>48.697950863441548</v>
      </c>
      <c r="E424" s="1">
        <f t="shared" si="49"/>
        <v>48.697950863441548</v>
      </c>
      <c r="F424" s="1">
        <f t="shared" si="45"/>
        <v>-3.429295358003468</v>
      </c>
      <c r="G424" s="1"/>
      <c r="H424">
        <f t="shared" si="50"/>
        <v>2</v>
      </c>
      <c r="I424" s="1">
        <f t="shared" si="46"/>
        <v>41.400000000000318</v>
      </c>
    </row>
    <row r="425" spans="2:9" x14ac:dyDescent="0.25">
      <c r="B425" s="1">
        <f t="shared" si="47"/>
        <v>41.50000000000032</v>
      </c>
      <c r="C425" s="1">
        <f t="shared" si="48"/>
        <v>142.04160940648285</v>
      </c>
      <c r="D425" s="1">
        <f t="shared" si="44"/>
        <v>48.355021327641204</v>
      </c>
      <c r="E425" s="1">
        <f t="shared" si="49"/>
        <v>48.355021327641204</v>
      </c>
      <c r="F425" s="1">
        <f t="shared" si="45"/>
        <v>-3.5510402351620716</v>
      </c>
      <c r="G425" s="1"/>
      <c r="H425">
        <f t="shared" si="50"/>
        <v>2</v>
      </c>
      <c r="I425" s="1">
        <f t="shared" si="46"/>
        <v>41.50000000000032</v>
      </c>
    </row>
    <row r="426" spans="2:9" x14ac:dyDescent="0.25">
      <c r="B426" s="1">
        <f t="shared" si="47"/>
        <v>41.600000000000321</v>
      </c>
      <c r="C426" s="1">
        <f t="shared" si="48"/>
        <v>146.87711153924698</v>
      </c>
      <c r="D426" s="1">
        <f t="shared" si="44"/>
        <v>47.999917304124999</v>
      </c>
      <c r="E426" s="1">
        <f t="shared" si="49"/>
        <v>47.999917304124999</v>
      </c>
      <c r="F426" s="1">
        <f t="shared" si="45"/>
        <v>-3.6719277884811747</v>
      </c>
      <c r="G426" s="1"/>
      <c r="H426">
        <f t="shared" si="50"/>
        <v>2</v>
      </c>
      <c r="I426" s="1">
        <f t="shared" si="46"/>
        <v>41.600000000000321</v>
      </c>
    </row>
    <row r="427" spans="2:9" x14ac:dyDescent="0.25">
      <c r="B427" s="1">
        <f t="shared" si="47"/>
        <v>41.700000000000323</v>
      </c>
      <c r="C427" s="1">
        <f t="shared" si="48"/>
        <v>151.67710326965948</v>
      </c>
      <c r="D427" s="1">
        <f t="shared" si="44"/>
        <v>47.632724525276885</v>
      </c>
      <c r="E427" s="1">
        <f t="shared" si="49"/>
        <v>47.632724525276885</v>
      </c>
      <c r="F427" s="1">
        <f t="shared" si="45"/>
        <v>-3.7919275817414873</v>
      </c>
      <c r="G427" s="1"/>
      <c r="H427">
        <f t="shared" si="50"/>
        <v>2</v>
      </c>
      <c r="I427" s="1">
        <f t="shared" si="46"/>
        <v>41.700000000000323</v>
      </c>
    </row>
    <row r="428" spans="2:9" x14ac:dyDescent="0.25">
      <c r="B428" s="1">
        <f t="shared" si="47"/>
        <v>41.800000000000324</v>
      </c>
      <c r="C428" s="1">
        <f t="shared" si="48"/>
        <v>156.44037572218718</v>
      </c>
      <c r="D428" s="1">
        <f t="shared" si="44"/>
        <v>47.253531767102736</v>
      </c>
      <c r="E428" s="1">
        <f t="shared" si="49"/>
        <v>47.253531767102736</v>
      </c>
      <c r="F428" s="1">
        <f t="shared" si="45"/>
        <v>-3.9110093930546799</v>
      </c>
      <c r="G428" s="1"/>
      <c r="H428">
        <f t="shared" si="50"/>
        <v>2</v>
      </c>
      <c r="I428" s="1">
        <f t="shared" si="46"/>
        <v>41.800000000000324</v>
      </c>
    </row>
    <row r="429" spans="2:9" x14ac:dyDescent="0.25">
      <c r="B429" s="1">
        <f t="shared" si="47"/>
        <v>41.900000000000325</v>
      </c>
      <c r="C429" s="1">
        <f t="shared" si="48"/>
        <v>161.16572889889747</v>
      </c>
      <c r="D429" s="1">
        <f t="shared" si="44"/>
        <v>46.862430827797269</v>
      </c>
      <c r="E429" s="1">
        <f t="shared" si="49"/>
        <v>46.862430827797269</v>
      </c>
      <c r="F429" s="1">
        <f t="shared" si="45"/>
        <v>-4.0291432224724373</v>
      </c>
      <c r="G429" s="1"/>
      <c r="H429">
        <f t="shared" si="50"/>
        <v>2</v>
      </c>
      <c r="I429" s="1">
        <f t="shared" si="46"/>
        <v>41.900000000000325</v>
      </c>
    </row>
    <row r="430" spans="2:9" x14ac:dyDescent="0.25">
      <c r="B430" s="1">
        <f t="shared" si="47"/>
        <v>42.000000000000327</v>
      </c>
      <c r="C430" s="1">
        <f t="shared" si="48"/>
        <v>165.8519719816772</v>
      </c>
      <c r="D430" s="1">
        <f t="shared" si="44"/>
        <v>46.459516505550027</v>
      </c>
      <c r="E430" s="1">
        <f t="shared" si="49"/>
        <v>46.459516505550027</v>
      </c>
      <c r="F430" s="1">
        <f t="shared" si="45"/>
        <v>-4.1462992995419299</v>
      </c>
      <c r="G430" s="1"/>
      <c r="H430">
        <f t="shared" si="50"/>
        <v>2</v>
      </c>
      <c r="I430" s="1">
        <f t="shared" si="46"/>
        <v>42.000000000000327</v>
      </c>
    </row>
    <row r="431" spans="2:9" x14ac:dyDescent="0.25">
      <c r="B431" s="1">
        <f t="shared" si="47"/>
        <v>42.100000000000328</v>
      </c>
      <c r="C431" s="1">
        <f t="shared" si="48"/>
        <v>170.49792363223219</v>
      </c>
      <c r="D431" s="1">
        <f t="shared" si="44"/>
        <v>46.044886575595832</v>
      </c>
      <c r="E431" s="1">
        <f t="shared" si="49"/>
        <v>46.044886575595832</v>
      </c>
      <c r="F431" s="1">
        <f t="shared" si="45"/>
        <v>-4.2624480908058047</v>
      </c>
      <c r="G431" s="1"/>
      <c r="H431">
        <f t="shared" si="50"/>
        <v>2</v>
      </c>
      <c r="I431" s="1">
        <f t="shared" si="46"/>
        <v>42.100000000000328</v>
      </c>
    </row>
    <row r="432" spans="2:9" x14ac:dyDescent="0.25">
      <c r="B432" s="1">
        <f t="shared" si="47"/>
        <v>42.20000000000033</v>
      </c>
      <c r="C432" s="1">
        <f t="shared" si="48"/>
        <v>175.10241228979177</v>
      </c>
      <c r="D432" s="1">
        <f t="shared" si="44"/>
        <v>45.618641766515253</v>
      </c>
      <c r="E432" s="1">
        <f t="shared" si="49"/>
        <v>45.618641766515253</v>
      </c>
      <c r="F432" s="1">
        <f t="shared" si="45"/>
        <v>-4.3775603072447948</v>
      </c>
      <c r="G432" s="1"/>
      <c r="H432">
        <f t="shared" si="50"/>
        <v>2</v>
      </c>
      <c r="I432" s="1">
        <f t="shared" si="46"/>
        <v>42.20000000000033</v>
      </c>
    </row>
    <row r="433" spans="2:9" x14ac:dyDescent="0.25">
      <c r="B433" s="1">
        <f t="shared" si="47"/>
        <v>42.300000000000331</v>
      </c>
      <c r="C433" s="1">
        <f t="shared" si="48"/>
        <v>179.66427646644331</v>
      </c>
      <c r="D433" s="1">
        <f t="shared" si="44"/>
        <v>45.180885735790774</v>
      </c>
      <c r="E433" s="1">
        <f t="shared" si="49"/>
        <v>45.180885735790774</v>
      </c>
      <c r="F433" s="1">
        <f t="shared" si="45"/>
        <v>-4.4916069116610826</v>
      </c>
      <c r="G433" s="1"/>
      <c r="H433">
        <f t="shared" si="50"/>
        <v>2</v>
      </c>
      <c r="I433" s="1">
        <f t="shared" si="46"/>
        <v>42.300000000000331</v>
      </c>
    </row>
    <row r="434" spans="2:9" x14ac:dyDescent="0.25">
      <c r="B434" s="1">
        <f t="shared" si="47"/>
        <v>42.400000000000333</v>
      </c>
      <c r="C434" s="1">
        <f t="shared" si="48"/>
        <v>184.18236504002238</v>
      </c>
      <c r="D434" s="1">
        <f t="shared" si="44"/>
        <v>44.731725044624667</v>
      </c>
      <c r="E434" s="1">
        <f t="shared" si="49"/>
        <v>44.731725044624667</v>
      </c>
      <c r="F434" s="1">
        <f t="shared" si="45"/>
        <v>-4.6045591260005594</v>
      </c>
      <c r="G434" s="1"/>
      <c r="H434">
        <f t="shared" si="50"/>
        <v>2</v>
      </c>
      <c r="I434" s="1">
        <f t="shared" si="46"/>
        <v>42.400000000000333</v>
      </c>
    </row>
    <row r="435" spans="2:9" x14ac:dyDescent="0.25">
      <c r="B435" s="1">
        <f t="shared" si="47"/>
        <v>42.500000000000334</v>
      </c>
      <c r="C435" s="1">
        <f t="shared" si="48"/>
        <v>188.65553754448484</v>
      </c>
      <c r="D435" s="1">
        <f t="shared" si="44"/>
        <v>44.271269132024614</v>
      </c>
      <c r="E435" s="1">
        <f t="shared" si="49"/>
        <v>44.271269132024614</v>
      </c>
      <c r="F435" s="1">
        <f t="shared" si="45"/>
        <v>-4.7163884386121211</v>
      </c>
      <c r="G435" s="1"/>
      <c r="H435">
        <f t="shared" si="50"/>
        <v>2</v>
      </c>
      <c r="I435" s="1">
        <f t="shared" si="46"/>
        <v>42.500000000000334</v>
      </c>
    </row>
    <row r="436" spans="2:9" x14ac:dyDescent="0.25">
      <c r="B436" s="1">
        <f t="shared" si="47"/>
        <v>42.600000000000335</v>
      </c>
      <c r="C436" s="1">
        <f t="shared" si="48"/>
        <v>193.08266445768732</v>
      </c>
      <c r="D436" s="1">
        <f t="shared" si="44"/>
        <v>43.799630288163399</v>
      </c>
      <c r="E436" s="1">
        <f t="shared" si="49"/>
        <v>43.799630288163399</v>
      </c>
      <c r="F436" s="1">
        <f t="shared" si="45"/>
        <v>-4.8270666114421834</v>
      </c>
      <c r="G436" s="1"/>
      <c r="H436">
        <f t="shared" si="50"/>
        <v>2</v>
      </c>
      <c r="I436" s="1">
        <f t="shared" si="46"/>
        <v>42.600000000000335</v>
      </c>
    </row>
    <row r="437" spans="2:9" x14ac:dyDescent="0.25">
      <c r="B437" s="1">
        <f t="shared" si="47"/>
        <v>42.700000000000337</v>
      </c>
      <c r="C437" s="1">
        <f t="shared" si="48"/>
        <v>197.46262748650366</v>
      </c>
      <c r="D437" s="1">
        <f t="shared" si="44"/>
        <v>43.316923627019179</v>
      </c>
      <c r="E437" s="1">
        <f t="shared" si="49"/>
        <v>43.316923627019179</v>
      </c>
      <c r="F437" s="1">
        <f t="shared" si="45"/>
        <v>-4.9365656871625916</v>
      </c>
      <c r="G437" s="1"/>
      <c r="H437">
        <f t="shared" si="50"/>
        <v>2</v>
      </c>
      <c r="I437" s="1">
        <f t="shared" si="46"/>
        <v>42.700000000000337</v>
      </c>
    </row>
    <row r="438" spans="2:9" x14ac:dyDescent="0.25">
      <c r="B438" s="1">
        <f t="shared" si="47"/>
        <v>42.800000000000338</v>
      </c>
      <c r="C438" s="1">
        <f t="shared" si="48"/>
        <v>201.79431984920558</v>
      </c>
      <c r="D438" s="1">
        <f t="shared" si="44"/>
        <v>42.823267058302918</v>
      </c>
      <c r="E438" s="1">
        <f t="shared" si="49"/>
        <v>42.823267058302918</v>
      </c>
      <c r="F438" s="1">
        <f t="shared" si="45"/>
        <v>-5.0448579962301396</v>
      </c>
      <c r="G438" s="1"/>
      <c r="H438">
        <f t="shared" si="50"/>
        <v>2</v>
      </c>
      <c r="I438" s="1">
        <f t="shared" si="46"/>
        <v>42.800000000000338</v>
      </c>
    </row>
    <row r="439" spans="2:9" x14ac:dyDescent="0.25">
      <c r="B439" s="1">
        <f t="shared" si="47"/>
        <v>42.90000000000034</v>
      </c>
      <c r="C439" s="1">
        <f t="shared" si="48"/>
        <v>206.07664655503586</v>
      </c>
      <c r="D439" s="1">
        <f t="shared" si="44"/>
        <v>42.318781258679905</v>
      </c>
      <c r="E439" s="1">
        <f t="shared" si="49"/>
        <v>42.318781258679905</v>
      </c>
      <c r="F439" s="1">
        <f t="shared" si="45"/>
        <v>-5.1519161638758968</v>
      </c>
      <c r="G439" s="1"/>
      <c r="H439">
        <f t="shared" si="50"/>
        <v>2</v>
      </c>
      <c r="I439" s="1">
        <f t="shared" si="46"/>
        <v>42.90000000000034</v>
      </c>
    </row>
    <row r="440" spans="2:9" x14ac:dyDescent="0.25">
      <c r="B440" s="1">
        <f t="shared" si="47"/>
        <v>43.000000000000341</v>
      </c>
      <c r="C440" s="1">
        <f t="shared" si="48"/>
        <v>210.30852468090384</v>
      </c>
      <c r="D440" s="1">
        <f t="shared" si="44"/>
        <v>41.803589642292316</v>
      </c>
      <c r="E440" s="1">
        <f t="shared" si="49"/>
        <v>41.803589642292316</v>
      </c>
      <c r="F440" s="1">
        <f t="shared" si="45"/>
        <v>-5.2577131170225968</v>
      </c>
      <c r="G440" s="1"/>
      <c r="H440">
        <f t="shared" si="50"/>
        <v>2</v>
      </c>
      <c r="I440" s="1">
        <f t="shared" si="46"/>
        <v>43.000000000000341</v>
      </c>
    </row>
    <row r="441" spans="2:9" x14ac:dyDescent="0.25">
      <c r="B441" s="1">
        <f t="shared" si="47"/>
        <v>43.100000000000342</v>
      </c>
      <c r="C441" s="1">
        <f t="shared" si="48"/>
        <v>214.48888364513309</v>
      </c>
      <c r="D441" s="1">
        <f t="shared" si="44"/>
        <v>41.277818330590058</v>
      </c>
      <c r="E441" s="1">
        <f t="shared" si="49"/>
        <v>41.277818330590058</v>
      </c>
      <c r="F441" s="1">
        <f t="shared" si="45"/>
        <v>-5.3622220911283272</v>
      </c>
      <c r="G441" s="1"/>
      <c r="H441">
        <f t="shared" si="50"/>
        <v>2</v>
      </c>
      <c r="I441" s="1">
        <f t="shared" si="46"/>
        <v>43.100000000000342</v>
      </c>
    </row>
    <row r="442" spans="2:9" x14ac:dyDescent="0.25">
      <c r="B442" s="1">
        <f t="shared" si="47"/>
        <v>43.200000000000344</v>
      </c>
      <c r="C442" s="1">
        <f t="shared" si="48"/>
        <v>218.61666547819209</v>
      </c>
      <c r="D442" s="1">
        <f t="shared" si="44"/>
        <v>40.741596121477222</v>
      </c>
      <c r="E442" s="1">
        <f t="shared" si="49"/>
        <v>40.741596121477222</v>
      </c>
      <c r="F442" s="1">
        <f t="shared" si="45"/>
        <v>-5.465416636954803</v>
      </c>
      <c r="G442" s="1"/>
      <c r="H442">
        <f t="shared" si="50"/>
        <v>2</v>
      </c>
      <c r="I442" s="1">
        <f t="shared" si="46"/>
        <v>43.200000000000344</v>
      </c>
    </row>
    <row r="443" spans="2:9" x14ac:dyDescent="0.25">
      <c r="B443" s="1">
        <f t="shared" si="47"/>
        <v>43.300000000000345</v>
      </c>
      <c r="C443" s="1">
        <f t="shared" si="48"/>
        <v>222.69082509033981</v>
      </c>
      <c r="D443" s="1">
        <f t="shared" si="44"/>
        <v>40.195054457781744</v>
      </c>
      <c r="E443" s="1">
        <f t="shared" si="49"/>
        <v>40.195054457781744</v>
      </c>
      <c r="F443" s="1">
        <f t="shared" si="45"/>
        <v>-5.5672706272584955</v>
      </c>
      <c r="G443" s="1"/>
      <c r="H443">
        <f t="shared" si="50"/>
        <v>2</v>
      </c>
      <c r="I443" s="1">
        <f t="shared" si="46"/>
        <v>43.300000000000345</v>
      </c>
    </row>
    <row r="444" spans="2:9" x14ac:dyDescent="0.25">
      <c r="B444" s="1">
        <f t="shared" si="47"/>
        <v>43.400000000000347</v>
      </c>
      <c r="C444" s="1">
        <f t="shared" si="48"/>
        <v>226.71033053611799</v>
      </c>
      <c r="D444" s="1">
        <f t="shared" si="44"/>
        <v>39.638327395055896</v>
      </c>
      <c r="E444" s="1">
        <f t="shared" si="49"/>
        <v>39.638327395055896</v>
      </c>
      <c r="F444" s="1">
        <f t="shared" si="45"/>
        <v>-5.6677582634029502</v>
      </c>
      <c r="G444" s="1"/>
      <c r="H444">
        <f t="shared" si="50"/>
        <v>2</v>
      </c>
      <c r="I444" s="1">
        <f t="shared" si="46"/>
        <v>43.400000000000347</v>
      </c>
    </row>
    <row r="445" spans="2:9" x14ac:dyDescent="0.25">
      <c r="B445" s="1">
        <f t="shared" si="47"/>
        <v>43.500000000000348</v>
      </c>
      <c r="C445" s="1">
        <f t="shared" si="48"/>
        <v>230.67416327562358</v>
      </c>
      <c r="D445" s="1">
        <f t="shared" si="44"/>
        <v>39.071551568715599</v>
      </c>
      <c r="E445" s="1">
        <f t="shared" si="49"/>
        <v>39.071551568715599</v>
      </c>
      <c r="F445" s="1">
        <f t="shared" si="45"/>
        <v>-5.7668540818905898</v>
      </c>
      <c r="G445" s="1"/>
      <c r="H445">
        <f t="shared" si="50"/>
        <v>2</v>
      </c>
      <c r="I445" s="1">
        <f t="shared" si="46"/>
        <v>43.500000000000348</v>
      </c>
    </row>
    <row r="446" spans="2:9" x14ac:dyDescent="0.25">
      <c r="B446" s="1">
        <f t="shared" si="47"/>
        <v>43.60000000000035</v>
      </c>
      <c r="C446" s="1">
        <f t="shared" si="48"/>
        <v>234.58131843249515</v>
      </c>
      <c r="D446" s="1">
        <f t="shared" si="44"/>
        <v>38.494866160526541</v>
      </c>
      <c r="E446" s="1">
        <f t="shared" si="49"/>
        <v>38.494866160526541</v>
      </c>
      <c r="F446" s="1">
        <f t="shared" si="45"/>
        <v>-5.8645329608123795</v>
      </c>
      <c r="G446" s="1"/>
      <c r="H446">
        <f t="shared" si="50"/>
        <v>2</v>
      </c>
      <c r="I446" s="1">
        <f t="shared" si="46"/>
        <v>43.60000000000035</v>
      </c>
    </row>
    <row r="447" spans="2:9" x14ac:dyDescent="0.25">
      <c r="B447" s="1">
        <f t="shared" si="47"/>
        <v>43.700000000000351</v>
      </c>
      <c r="C447" s="1">
        <f t="shared" si="48"/>
        <v>238.4308050485478</v>
      </c>
      <c r="D447" s="1">
        <f t="shared" si="44"/>
        <v>37.908412864445303</v>
      </c>
      <c r="E447" s="1">
        <f t="shared" si="49"/>
        <v>37.908412864445303</v>
      </c>
      <c r="F447" s="1">
        <f t="shared" si="45"/>
        <v>-5.9607701262136956</v>
      </c>
      <c r="G447" s="1"/>
      <c r="H447">
        <f t="shared" si="50"/>
        <v>2</v>
      </c>
      <c r="I447" s="1">
        <f t="shared" si="46"/>
        <v>43.700000000000351</v>
      </c>
    </row>
    <row r="448" spans="2:9" x14ac:dyDescent="0.25">
      <c r="B448" s="1">
        <f t="shared" si="47"/>
        <v>43.800000000000352</v>
      </c>
      <c r="C448" s="1">
        <f t="shared" si="48"/>
        <v>242.22164633499233</v>
      </c>
      <c r="D448" s="1">
        <f t="shared" si="44"/>
        <v>37.312335851823931</v>
      </c>
      <c r="E448" s="1">
        <f t="shared" si="49"/>
        <v>37.312335851823931</v>
      </c>
      <c r="F448" s="1">
        <f t="shared" si="45"/>
        <v>-6.0555411583748082</v>
      </c>
      <c r="G448" s="1"/>
      <c r="H448">
        <f t="shared" si="50"/>
        <v>2</v>
      </c>
      <c r="I448" s="1">
        <f t="shared" si="46"/>
        <v>43.800000000000352</v>
      </c>
    </row>
    <row r="449" spans="2:9" x14ac:dyDescent="0.25">
      <c r="B449" s="1">
        <f t="shared" si="47"/>
        <v>43.900000000000354</v>
      </c>
      <c r="C449" s="1">
        <f t="shared" si="48"/>
        <v>245.95287992017472</v>
      </c>
      <c r="D449" s="1">
        <f t="shared" si="44"/>
        <v>36.706781735986453</v>
      </c>
      <c r="E449" s="1">
        <f t="shared" si="49"/>
        <v>36.706781735986453</v>
      </c>
      <c r="F449" s="1">
        <f t="shared" si="45"/>
        <v>-6.1488219980043688</v>
      </c>
      <c r="G449" s="1"/>
      <c r="H449">
        <f t="shared" si="50"/>
        <v>2</v>
      </c>
      <c r="I449" s="1">
        <f t="shared" si="46"/>
        <v>43.900000000000354</v>
      </c>
    </row>
    <row r="450" spans="2:9" x14ac:dyDescent="0.25">
      <c r="B450" s="1">
        <f t="shared" si="47"/>
        <v>44.000000000000355</v>
      </c>
      <c r="C450" s="1">
        <f t="shared" si="48"/>
        <v>249.62355809377337</v>
      </c>
      <c r="D450" s="1">
        <f t="shared" si="44"/>
        <v>36.09189953618602</v>
      </c>
      <c r="E450" s="1">
        <f t="shared" si="49"/>
        <v>36.09189953618602</v>
      </c>
      <c r="F450" s="1">
        <f t="shared" si="45"/>
        <v>-6.2405889523443347</v>
      </c>
      <c r="G450" s="1"/>
      <c r="H450">
        <f t="shared" si="50"/>
        <v>2</v>
      </c>
      <c r="I450" s="1">
        <f t="shared" si="46"/>
        <v>44.000000000000355</v>
      </c>
    </row>
    <row r="451" spans="2:9" x14ac:dyDescent="0.25">
      <c r="B451" s="1">
        <f t="shared" si="47"/>
        <v>44.100000000000357</v>
      </c>
      <c r="C451" s="1">
        <f t="shared" si="48"/>
        <v>253.23274804739196</v>
      </c>
      <c r="D451" s="1">
        <f t="shared" si="44"/>
        <v>35.467840640951586</v>
      </c>
      <c r="E451" s="1">
        <f t="shared" si="49"/>
        <v>35.467840640951586</v>
      </c>
      <c r="F451" s="1">
        <f t="shared" si="45"/>
        <v>-6.3308187011847998</v>
      </c>
      <c r="G451" s="1"/>
      <c r="H451">
        <f t="shared" si="50"/>
        <v>2</v>
      </c>
      <c r="I451" s="1">
        <f t="shared" si="46"/>
        <v>44.100000000000357</v>
      </c>
    </row>
    <row r="452" spans="2:9" x14ac:dyDescent="0.25">
      <c r="B452" s="1">
        <f t="shared" si="47"/>
        <v>44.200000000000358</v>
      </c>
      <c r="C452" s="1">
        <f t="shared" si="48"/>
        <v>256.77953211148713</v>
      </c>
      <c r="D452" s="1">
        <f t="shared" si="44"/>
        <v>34.834758770833105</v>
      </c>
      <c r="E452" s="1">
        <f t="shared" si="49"/>
        <v>34.834758770833105</v>
      </c>
      <c r="F452" s="1">
        <f t="shared" si="45"/>
        <v>-6.4194883027871787</v>
      </c>
      <c r="G452" s="1"/>
      <c r="H452">
        <f t="shared" si="50"/>
        <v>2</v>
      </c>
      <c r="I452" s="1">
        <f t="shared" si="46"/>
        <v>44.200000000000358</v>
      </c>
    </row>
    <row r="453" spans="2:9" x14ac:dyDescent="0.25">
      <c r="B453" s="1">
        <f t="shared" si="47"/>
        <v>44.30000000000036</v>
      </c>
      <c r="C453" s="1">
        <f t="shared" si="48"/>
        <v>260.26300798857045</v>
      </c>
      <c r="D453" s="1">
        <f t="shared" si="44"/>
        <v>34.192809940554383</v>
      </c>
      <c r="E453" s="1">
        <f t="shared" si="49"/>
        <v>34.192809940554383</v>
      </c>
      <c r="F453" s="1">
        <f t="shared" si="45"/>
        <v>-6.5065751997142618</v>
      </c>
      <c r="G453" s="1"/>
      <c r="H453">
        <f t="shared" si="50"/>
        <v>2</v>
      </c>
      <c r="I453" s="1">
        <f t="shared" si="46"/>
        <v>44.30000000000036</v>
      </c>
    </row>
    <row r="454" spans="2:9" x14ac:dyDescent="0.25">
      <c r="B454" s="1">
        <f t="shared" si="47"/>
        <v>44.400000000000361</v>
      </c>
      <c r="C454" s="1">
        <f t="shared" si="48"/>
        <v>263.68228898262589</v>
      </c>
      <c r="D454" s="1">
        <f t="shared" si="44"/>
        <v>33.542152420582958</v>
      </c>
      <c r="E454" s="1">
        <f t="shared" si="49"/>
        <v>33.542152420582958</v>
      </c>
      <c r="F454" s="1">
        <f t="shared" si="45"/>
        <v>-6.5920572245656475</v>
      </c>
      <c r="G454" s="1"/>
      <c r="H454">
        <f t="shared" si="50"/>
        <v>2</v>
      </c>
      <c r="I454" s="1">
        <f t="shared" si="46"/>
        <v>44.400000000000361</v>
      </c>
    </row>
    <row r="455" spans="2:9" x14ac:dyDescent="0.25">
      <c r="B455" s="1">
        <f t="shared" si="47"/>
        <v>44.500000000000362</v>
      </c>
      <c r="C455" s="1">
        <f t="shared" si="48"/>
        <v>267.03650422468417</v>
      </c>
      <c r="D455" s="1">
        <f t="shared" si="44"/>
        <v>32.882946698126396</v>
      </c>
      <c r="E455" s="1">
        <f t="shared" si="49"/>
        <v>32.882946698126396</v>
      </c>
      <c r="F455" s="1">
        <f t="shared" si="45"/>
        <v>-6.6759126056171043</v>
      </c>
      <c r="G455" s="1"/>
      <c r="H455">
        <f t="shared" si="50"/>
        <v>2</v>
      </c>
      <c r="I455" s="1">
        <f t="shared" si="46"/>
        <v>44.500000000000362</v>
      </c>
    </row>
    <row r="456" spans="2:9" x14ac:dyDescent="0.25">
      <c r="B456" s="1">
        <f t="shared" si="47"/>
        <v>44.600000000000364</v>
      </c>
      <c r="C456" s="1">
        <f t="shared" si="48"/>
        <v>270.32479889449678</v>
      </c>
      <c r="D456" s="1">
        <f t="shared" si="44"/>
        <v>32.215355437564689</v>
      </c>
      <c r="E456" s="1">
        <f t="shared" si="49"/>
        <v>32.215355437564689</v>
      </c>
      <c r="F456" s="1">
        <f t="shared" si="45"/>
        <v>-6.7581199723624197</v>
      </c>
      <c r="G456" s="1"/>
      <c r="H456">
        <f t="shared" si="50"/>
        <v>2</v>
      </c>
      <c r="I456" s="1">
        <f t="shared" si="46"/>
        <v>44.600000000000364</v>
      </c>
    </row>
    <row r="457" spans="2:9" x14ac:dyDescent="0.25">
      <c r="B457" s="1">
        <f t="shared" si="47"/>
        <v>44.700000000000365</v>
      </c>
      <c r="C457" s="1">
        <f t="shared" si="48"/>
        <v>273.54633443825327</v>
      </c>
      <c r="D457" s="1">
        <f t="shared" si="44"/>
        <v>31.539543440328448</v>
      </c>
      <c r="E457" s="1">
        <f t="shared" si="49"/>
        <v>31.539543440328448</v>
      </c>
      <c r="F457" s="1">
        <f t="shared" si="45"/>
        <v>-6.8386583609563321</v>
      </c>
      <c r="G457" s="1"/>
      <c r="H457">
        <f t="shared" si="50"/>
        <v>2</v>
      </c>
      <c r="I457" s="1">
        <f t="shared" si="46"/>
        <v>44.700000000000365</v>
      </c>
    </row>
    <row r="458" spans="2:9" x14ac:dyDescent="0.25">
      <c r="B458" s="1">
        <f t="shared" si="47"/>
        <v>44.800000000000367</v>
      </c>
      <c r="C458" s="1">
        <f t="shared" si="48"/>
        <v>276.70028878228612</v>
      </c>
      <c r="D458" s="1">
        <f t="shared" ref="D458:D521" si="51">E458</f>
        <v>30.855677604232813</v>
      </c>
      <c r="E458" s="1">
        <f t="shared" si="49"/>
        <v>30.855677604232813</v>
      </c>
      <c r="F458" s="1">
        <f t="shared" ref="F458:F521" si="52">-$C$3*C458/$C$4-$C$2/$C$4*E458</f>
        <v>-6.9175072195571534</v>
      </c>
      <c r="G458" s="1"/>
      <c r="H458">
        <f t="shared" si="50"/>
        <v>2</v>
      </c>
      <c r="I458" s="1">
        <f t="shared" ref="I458:I521" si="53">B458</f>
        <v>44.800000000000367</v>
      </c>
    </row>
    <row r="459" spans="2:9" x14ac:dyDescent="0.25">
      <c r="B459" s="1">
        <f t="shared" ref="B459:B522" si="54">B458+$C$7</f>
        <v>44.900000000000368</v>
      </c>
      <c r="C459" s="1">
        <f t="shared" ref="C459:C522" si="55">C458+D458*$C$7</f>
        <v>279.78585654270938</v>
      </c>
      <c r="D459" s="1">
        <f t="shared" si="51"/>
        <v>30.163926882277099</v>
      </c>
      <c r="E459" s="1">
        <f t="shared" ref="E459:E522" si="56">E458+F458*$C$7</f>
        <v>30.163926882277099</v>
      </c>
      <c r="F459" s="1">
        <f t="shared" si="52"/>
        <v>-6.9946464135677351</v>
      </c>
      <c r="G459" s="1"/>
      <c r="H459">
        <f t="shared" ref="H459:H522" si="57">H458+(D459*D460&lt;0)*1</f>
        <v>2</v>
      </c>
      <c r="I459" s="1">
        <f t="shared" si="53"/>
        <v>44.900000000000368</v>
      </c>
    </row>
    <row r="460" spans="2:9" x14ac:dyDescent="0.25">
      <c r="B460" s="1">
        <f t="shared" si="54"/>
        <v>45.000000000000369</v>
      </c>
      <c r="C460" s="1">
        <f t="shared" si="55"/>
        <v>282.80224923093709</v>
      </c>
      <c r="D460" s="1">
        <f t="shared" si="51"/>
        <v>29.464462240920327</v>
      </c>
      <c r="E460" s="1">
        <f t="shared" si="56"/>
        <v>29.464462240920327</v>
      </c>
      <c r="F460" s="1">
        <f t="shared" si="52"/>
        <v>-7.070056230773428</v>
      </c>
      <c r="G460" s="1"/>
      <c r="H460">
        <f t="shared" si="57"/>
        <v>2</v>
      </c>
      <c r="I460" s="1">
        <f t="shared" si="53"/>
        <v>45.000000000000369</v>
      </c>
    </row>
    <row r="461" spans="2:9" x14ac:dyDescent="0.25">
      <c r="B461" s="1">
        <f t="shared" si="54"/>
        <v>45.100000000000371</v>
      </c>
      <c r="C461" s="1">
        <f t="shared" si="55"/>
        <v>285.74869545502912</v>
      </c>
      <c r="D461" s="1">
        <f t="shared" si="51"/>
        <v>28.757456617842983</v>
      </c>
      <c r="E461" s="1">
        <f t="shared" si="56"/>
        <v>28.757456617842983</v>
      </c>
      <c r="F461" s="1">
        <f t="shared" si="52"/>
        <v>-7.1437173863757284</v>
      </c>
      <c r="G461" s="1"/>
      <c r="H461">
        <f t="shared" si="57"/>
        <v>2</v>
      </c>
      <c r="I461" s="1">
        <f t="shared" si="53"/>
        <v>45.100000000000371</v>
      </c>
    </row>
    <row r="462" spans="2:9" x14ac:dyDescent="0.25">
      <c r="B462" s="1">
        <f t="shared" si="54"/>
        <v>45.200000000000372</v>
      </c>
      <c r="C462" s="1">
        <f t="shared" si="55"/>
        <v>288.62444111681344</v>
      </c>
      <c r="D462" s="1">
        <f t="shared" si="51"/>
        <v>28.043084879205409</v>
      </c>
      <c r="E462" s="1">
        <f t="shared" si="56"/>
        <v>28.043084879205409</v>
      </c>
      <c r="F462" s="1">
        <f t="shared" si="52"/>
        <v>-7.2156110279203363</v>
      </c>
      <c r="G462" s="1"/>
      <c r="H462">
        <f t="shared" si="57"/>
        <v>2</v>
      </c>
      <c r="I462" s="1">
        <f t="shared" si="53"/>
        <v>45.200000000000372</v>
      </c>
    </row>
    <row r="463" spans="2:9" x14ac:dyDescent="0.25">
      <c r="B463" s="1">
        <f t="shared" si="54"/>
        <v>45.300000000000374</v>
      </c>
      <c r="C463" s="1">
        <f t="shared" si="55"/>
        <v>291.42874960473398</v>
      </c>
      <c r="D463" s="1">
        <f t="shared" si="51"/>
        <v>27.321523776413375</v>
      </c>
      <c r="E463" s="1">
        <f t="shared" si="56"/>
        <v>27.321523776413375</v>
      </c>
      <c r="F463" s="1">
        <f t="shared" si="52"/>
        <v>-7.2857187401183499</v>
      </c>
      <c r="G463" s="1"/>
      <c r="H463">
        <f t="shared" si="57"/>
        <v>2</v>
      </c>
      <c r="I463" s="1">
        <f t="shared" si="53"/>
        <v>45.300000000000374</v>
      </c>
    </row>
    <row r="464" spans="2:9" x14ac:dyDescent="0.25">
      <c r="B464" s="1">
        <f t="shared" si="54"/>
        <v>45.400000000000375</v>
      </c>
      <c r="C464" s="1">
        <f t="shared" si="55"/>
        <v>294.16090198237532</v>
      </c>
      <c r="D464" s="1">
        <f t="shared" si="51"/>
        <v>26.592951902401541</v>
      </c>
      <c r="E464" s="1">
        <f t="shared" si="56"/>
        <v>26.592951902401541</v>
      </c>
      <c r="F464" s="1">
        <f t="shared" si="52"/>
        <v>-7.3540225495593834</v>
      </c>
      <c r="G464" s="1"/>
      <c r="H464">
        <f t="shared" si="57"/>
        <v>2</v>
      </c>
      <c r="I464" s="1">
        <f t="shared" si="53"/>
        <v>45.400000000000375</v>
      </c>
    </row>
    <row r="465" spans="2:9" x14ac:dyDescent="0.25">
      <c r="B465" s="1">
        <f t="shared" si="54"/>
        <v>45.500000000000377</v>
      </c>
      <c r="C465" s="1">
        <f t="shared" si="55"/>
        <v>296.82019717261545</v>
      </c>
      <c r="D465" s="1">
        <f t="shared" si="51"/>
        <v>25.857549647445602</v>
      </c>
      <c r="E465" s="1">
        <f t="shared" si="56"/>
        <v>25.857549647445602</v>
      </c>
      <c r="F465" s="1">
        <f t="shared" si="52"/>
        <v>-7.4205049293153866</v>
      </c>
      <c r="G465" s="1"/>
      <c r="H465">
        <f t="shared" si="57"/>
        <v>2</v>
      </c>
      <c r="I465" s="1">
        <f t="shared" si="53"/>
        <v>45.500000000000377</v>
      </c>
    </row>
    <row r="466" spans="2:9" x14ac:dyDescent="0.25">
      <c r="B466" s="1">
        <f t="shared" si="54"/>
        <v>45.600000000000378</v>
      </c>
      <c r="C466" s="1">
        <f t="shared" si="55"/>
        <v>299.40595213736003</v>
      </c>
      <c r="D466" s="1">
        <f t="shared" si="51"/>
        <v>25.115499154514062</v>
      </c>
      <c r="E466" s="1">
        <f t="shared" si="56"/>
        <v>25.115499154514062</v>
      </c>
      <c r="F466" s="1">
        <f t="shared" si="52"/>
        <v>-7.4851488034340008</v>
      </c>
      <c r="G466" s="1"/>
      <c r="H466">
        <f t="shared" si="57"/>
        <v>2</v>
      </c>
      <c r="I466" s="1">
        <f t="shared" si="53"/>
        <v>45.600000000000378</v>
      </c>
    </row>
    <row r="467" spans="2:9" x14ac:dyDescent="0.25">
      <c r="B467" s="1">
        <f t="shared" si="54"/>
        <v>45.700000000000379</v>
      </c>
      <c r="C467" s="1">
        <f t="shared" si="55"/>
        <v>301.91750205281141</v>
      </c>
      <c r="D467" s="1">
        <f t="shared" si="51"/>
        <v>24.366984274170662</v>
      </c>
      <c r="E467" s="1">
        <f t="shared" si="56"/>
        <v>24.366984274170662</v>
      </c>
      <c r="F467" s="1">
        <f t="shared" si="52"/>
        <v>-7.5479375513202855</v>
      </c>
      <c r="G467" s="1"/>
      <c r="H467">
        <f t="shared" si="57"/>
        <v>2</v>
      </c>
      <c r="I467" s="1">
        <f t="shared" si="53"/>
        <v>45.700000000000379</v>
      </c>
    </row>
    <row r="468" spans="2:9" x14ac:dyDescent="0.25">
      <c r="B468" s="1">
        <f t="shared" si="54"/>
        <v>45.800000000000381</v>
      </c>
      <c r="C468" s="1">
        <f t="shared" si="55"/>
        <v>304.35420048022849</v>
      </c>
      <c r="D468" s="1">
        <f t="shared" si="51"/>
        <v>23.612190519038634</v>
      </c>
      <c r="E468" s="1">
        <f t="shared" si="56"/>
        <v>23.612190519038634</v>
      </c>
      <c r="F468" s="1">
        <f t="shared" si="52"/>
        <v>-7.6088550120057121</v>
      </c>
      <c r="G468" s="1"/>
      <c r="H468">
        <f t="shared" si="57"/>
        <v>2</v>
      </c>
      <c r="I468" s="1">
        <f t="shared" si="53"/>
        <v>45.800000000000381</v>
      </c>
    </row>
    <row r="469" spans="2:9" x14ac:dyDescent="0.25">
      <c r="B469" s="1">
        <f t="shared" si="54"/>
        <v>45.900000000000382</v>
      </c>
      <c r="C469" s="1">
        <f t="shared" si="55"/>
        <v>306.71541953213233</v>
      </c>
      <c r="D469" s="1">
        <f t="shared" si="51"/>
        <v>22.851305017838062</v>
      </c>
      <c r="E469" s="1">
        <f t="shared" si="56"/>
        <v>22.851305017838062</v>
      </c>
      <c r="F469" s="1">
        <f t="shared" si="52"/>
        <v>-7.667885488303309</v>
      </c>
      <c r="G469" s="1"/>
      <c r="H469">
        <f t="shared" si="57"/>
        <v>2</v>
      </c>
      <c r="I469" s="1">
        <f t="shared" si="53"/>
        <v>45.900000000000382</v>
      </c>
    </row>
    <row r="470" spans="2:9" x14ac:dyDescent="0.25">
      <c r="B470" s="1">
        <f t="shared" si="54"/>
        <v>46.000000000000384</v>
      </c>
      <c r="C470" s="1">
        <f t="shared" si="55"/>
        <v>309.00055003391611</v>
      </c>
      <c r="D470" s="1">
        <f t="shared" si="51"/>
        <v>22.084516469007731</v>
      </c>
      <c r="E470" s="1">
        <f t="shared" si="56"/>
        <v>22.084516469007731</v>
      </c>
      <c r="F470" s="1">
        <f t="shared" si="52"/>
        <v>-7.7250137508479035</v>
      </c>
      <c r="G470" s="1"/>
      <c r="H470">
        <f t="shared" si="57"/>
        <v>2</v>
      </c>
      <c r="I470" s="1">
        <f t="shared" si="53"/>
        <v>46.000000000000384</v>
      </c>
    </row>
    <row r="471" spans="2:9" x14ac:dyDescent="0.25">
      <c r="B471" s="1">
        <f t="shared" si="54"/>
        <v>46.100000000000385</v>
      </c>
      <c r="C471" s="1">
        <f t="shared" si="55"/>
        <v>311.20900168081687</v>
      </c>
      <c r="D471" s="1">
        <f t="shared" si="51"/>
        <v>21.312015093922941</v>
      </c>
      <c r="E471" s="1">
        <f t="shared" si="56"/>
        <v>21.312015093922941</v>
      </c>
      <c r="F471" s="1">
        <f t="shared" si="52"/>
        <v>-7.7802250420204224</v>
      </c>
      <c r="G471" s="1"/>
      <c r="H471">
        <f t="shared" si="57"/>
        <v>2</v>
      </c>
      <c r="I471" s="1">
        <f t="shared" si="53"/>
        <v>46.100000000000385</v>
      </c>
    </row>
    <row r="472" spans="2:9" x14ac:dyDescent="0.25">
      <c r="B472" s="1">
        <f t="shared" si="54"/>
        <v>46.200000000000387</v>
      </c>
      <c r="C472" s="1">
        <f t="shared" si="55"/>
        <v>313.34020319020914</v>
      </c>
      <c r="D472" s="1">
        <f t="shared" si="51"/>
        <v>20.533992589720899</v>
      </c>
      <c r="E472" s="1">
        <f t="shared" si="56"/>
        <v>20.533992589720899</v>
      </c>
      <c r="F472" s="1">
        <f t="shared" si="52"/>
        <v>-7.8335050797552288</v>
      </c>
      <c r="G472" s="1"/>
      <c r="H472">
        <f t="shared" si="57"/>
        <v>2</v>
      </c>
      <c r="I472" s="1">
        <f t="shared" si="53"/>
        <v>46.200000000000387</v>
      </c>
    </row>
    <row r="473" spans="2:9" x14ac:dyDescent="0.25">
      <c r="B473" s="1">
        <f t="shared" si="54"/>
        <v>46.300000000000388</v>
      </c>
      <c r="C473" s="1">
        <f t="shared" si="55"/>
        <v>315.39360244918123</v>
      </c>
      <c r="D473" s="1">
        <f t="shared" si="51"/>
        <v>19.750642081745376</v>
      </c>
      <c r="E473" s="1">
        <f t="shared" si="56"/>
        <v>19.750642081745376</v>
      </c>
      <c r="F473" s="1">
        <f t="shared" si="52"/>
        <v>-7.8848400612295313</v>
      </c>
      <c r="G473" s="1"/>
      <c r="H473">
        <f t="shared" si="57"/>
        <v>2</v>
      </c>
      <c r="I473" s="1">
        <f t="shared" si="53"/>
        <v>46.300000000000388</v>
      </c>
    </row>
    <row r="474" spans="2:9" x14ac:dyDescent="0.25">
      <c r="B474" s="1">
        <f t="shared" si="54"/>
        <v>46.400000000000389</v>
      </c>
      <c r="C474" s="1">
        <f t="shared" si="55"/>
        <v>317.36866665735579</v>
      </c>
      <c r="D474" s="1">
        <f t="shared" si="51"/>
        <v>18.962158075622423</v>
      </c>
      <c r="E474" s="1">
        <f t="shared" si="56"/>
        <v>18.962158075622423</v>
      </c>
      <c r="F474" s="1">
        <f t="shared" si="52"/>
        <v>-7.9342166664338949</v>
      </c>
      <c r="G474" s="1"/>
      <c r="H474">
        <f t="shared" si="57"/>
        <v>2</v>
      </c>
      <c r="I474" s="1">
        <f t="shared" si="53"/>
        <v>46.400000000000389</v>
      </c>
    </row>
    <row r="475" spans="2:9" x14ac:dyDescent="0.25">
      <c r="B475" s="1">
        <f t="shared" si="54"/>
        <v>46.500000000000391</v>
      </c>
      <c r="C475" s="1">
        <f t="shared" si="55"/>
        <v>319.264882464918</v>
      </c>
      <c r="D475" s="1">
        <f t="shared" si="51"/>
        <v>18.168736408979033</v>
      </c>
      <c r="E475" s="1">
        <f t="shared" si="56"/>
        <v>18.168736408979033</v>
      </c>
      <c r="F475" s="1">
        <f t="shared" si="52"/>
        <v>-7.9816220616229501</v>
      </c>
      <c r="G475" s="1"/>
      <c r="H475">
        <f t="shared" si="57"/>
        <v>2</v>
      </c>
      <c r="I475" s="1">
        <f t="shared" si="53"/>
        <v>46.500000000000391</v>
      </c>
    </row>
    <row r="476" spans="2:9" x14ac:dyDescent="0.25">
      <c r="B476" s="1">
        <f t="shared" si="54"/>
        <v>46.600000000000392</v>
      </c>
      <c r="C476" s="1">
        <f t="shared" si="55"/>
        <v>321.08175610581588</v>
      </c>
      <c r="D476" s="1">
        <f t="shared" si="51"/>
        <v>17.370574202816737</v>
      </c>
      <c r="E476" s="1">
        <f t="shared" si="56"/>
        <v>17.370574202816737</v>
      </c>
      <c r="F476" s="1">
        <f t="shared" si="52"/>
        <v>-8.0270439026453975</v>
      </c>
      <c r="G476" s="1"/>
      <c r="H476">
        <f t="shared" si="57"/>
        <v>2</v>
      </c>
      <c r="I476" s="1">
        <f t="shared" si="53"/>
        <v>46.600000000000392</v>
      </c>
    </row>
    <row r="477" spans="2:9" x14ac:dyDescent="0.25">
      <c r="B477" s="1">
        <f t="shared" si="54"/>
        <v>46.700000000000394</v>
      </c>
      <c r="C477" s="1">
        <f t="shared" si="55"/>
        <v>322.81881352609759</v>
      </c>
      <c r="D477" s="1">
        <f t="shared" si="51"/>
        <v>16.567869812552196</v>
      </c>
      <c r="E477" s="1">
        <f t="shared" si="56"/>
        <v>16.567869812552196</v>
      </c>
      <c r="F477" s="1">
        <f t="shared" si="52"/>
        <v>-8.0704703381524396</v>
      </c>
      <c r="G477" s="1"/>
      <c r="H477">
        <f t="shared" si="57"/>
        <v>2</v>
      </c>
      <c r="I477" s="1">
        <f t="shared" si="53"/>
        <v>46.700000000000394</v>
      </c>
    </row>
    <row r="478" spans="2:9" x14ac:dyDescent="0.25">
      <c r="B478" s="1">
        <f t="shared" si="54"/>
        <v>46.800000000000395</v>
      </c>
      <c r="C478" s="1">
        <f t="shared" si="55"/>
        <v>324.47560050735279</v>
      </c>
      <c r="D478" s="1">
        <f t="shared" si="51"/>
        <v>15.760822778736951</v>
      </c>
      <c r="E478" s="1">
        <f t="shared" si="56"/>
        <v>15.760822778736951</v>
      </c>
      <c r="F478" s="1">
        <f t="shared" si="52"/>
        <v>-8.1118900126838209</v>
      </c>
      <c r="G478" s="1"/>
      <c r="H478">
        <f t="shared" si="57"/>
        <v>2</v>
      </c>
      <c r="I478" s="1">
        <f t="shared" si="53"/>
        <v>46.800000000000395</v>
      </c>
    </row>
    <row r="479" spans="2:9" x14ac:dyDescent="0.25">
      <c r="B479" s="1">
        <f t="shared" si="54"/>
        <v>46.900000000000396</v>
      </c>
      <c r="C479" s="1">
        <f t="shared" si="55"/>
        <v>326.05168278522649</v>
      </c>
      <c r="D479" s="1">
        <f t="shared" si="51"/>
        <v>14.94963377746857</v>
      </c>
      <c r="E479" s="1">
        <f t="shared" si="56"/>
        <v>14.94963377746857</v>
      </c>
      <c r="F479" s="1">
        <f t="shared" si="52"/>
        <v>-8.1512920696306619</v>
      </c>
      <c r="G479" s="1"/>
      <c r="H479">
        <f t="shared" si="57"/>
        <v>2</v>
      </c>
      <c r="I479" s="1">
        <f t="shared" si="53"/>
        <v>46.900000000000396</v>
      </c>
    </row>
    <row r="480" spans="2:9" x14ac:dyDescent="0.25">
      <c r="B480" s="1">
        <f t="shared" si="54"/>
        <v>47.000000000000398</v>
      </c>
      <c r="C480" s="1">
        <f t="shared" si="55"/>
        <v>327.54664616297333</v>
      </c>
      <c r="D480" s="1">
        <f t="shared" si="51"/>
        <v>14.134504570505504</v>
      </c>
      <c r="E480" s="1">
        <f t="shared" si="56"/>
        <v>14.134504570505504</v>
      </c>
      <c r="F480" s="1">
        <f t="shared" si="52"/>
        <v>-8.1886661540743333</v>
      </c>
      <c r="G480" s="1"/>
      <c r="H480">
        <f t="shared" si="57"/>
        <v>2</v>
      </c>
      <c r="I480" s="1">
        <f t="shared" si="53"/>
        <v>47.000000000000398</v>
      </c>
    </row>
    <row r="481" spans="2:9" x14ac:dyDescent="0.25">
      <c r="B481" s="1">
        <f t="shared" si="54"/>
        <v>47.100000000000399</v>
      </c>
      <c r="C481" s="1">
        <f t="shared" si="55"/>
        <v>328.96009662002388</v>
      </c>
      <c r="D481" s="1">
        <f t="shared" si="51"/>
        <v>13.315637955098071</v>
      </c>
      <c r="E481" s="1">
        <f t="shared" si="56"/>
        <v>13.315637955098071</v>
      </c>
      <c r="F481" s="1">
        <f t="shared" si="52"/>
        <v>-8.224002415500598</v>
      </c>
      <c r="G481" s="1"/>
      <c r="H481">
        <f t="shared" si="57"/>
        <v>2</v>
      </c>
      <c r="I481" s="1">
        <f t="shared" si="53"/>
        <v>47.100000000000399</v>
      </c>
    </row>
    <row r="482" spans="2:9" x14ac:dyDescent="0.25">
      <c r="B482" s="1">
        <f t="shared" si="54"/>
        <v>47.200000000000401</v>
      </c>
      <c r="C482" s="1">
        <f t="shared" si="55"/>
        <v>330.29166041553367</v>
      </c>
      <c r="D482" s="1">
        <f t="shared" si="51"/>
        <v>12.493237713548011</v>
      </c>
      <c r="E482" s="1">
        <f t="shared" si="56"/>
        <v>12.493237713548011</v>
      </c>
      <c r="F482" s="1">
        <f t="shared" si="52"/>
        <v>-8.2572915103883417</v>
      </c>
      <c r="G482" s="1"/>
      <c r="H482">
        <f t="shared" si="57"/>
        <v>2</v>
      </c>
      <c r="I482" s="1">
        <f t="shared" si="53"/>
        <v>47.200000000000401</v>
      </c>
    </row>
    <row r="483" spans="2:9" x14ac:dyDescent="0.25">
      <c r="B483" s="1">
        <f t="shared" si="54"/>
        <v>47.300000000000402</v>
      </c>
      <c r="C483" s="1">
        <f t="shared" si="55"/>
        <v>331.54098418688847</v>
      </c>
      <c r="D483" s="1">
        <f t="shared" si="51"/>
        <v>11.667508562509177</v>
      </c>
      <c r="E483" s="1">
        <f t="shared" si="56"/>
        <v>11.667508562509177</v>
      </c>
      <c r="F483" s="1">
        <f t="shared" si="52"/>
        <v>-8.2885246046722116</v>
      </c>
      <c r="G483" s="1"/>
      <c r="H483">
        <f t="shared" si="57"/>
        <v>2</v>
      </c>
      <c r="I483" s="1">
        <f t="shared" si="53"/>
        <v>47.300000000000402</v>
      </c>
    </row>
    <row r="484" spans="2:9" x14ac:dyDescent="0.25">
      <c r="B484" s="1">
        <f t="shared" si="54"/>
        <v>47.400000000000404</v>
      </c>
      <c r="C484" s="1">
        <f t="shared" si="55"/>
        <v>332.70773504313939</v>
      </c>
      <c r="D484" s="1">
        <f t="shared" si="51"/>
        <v>10.838656102041956</v>
      </c>
      <c r="E484" s="1">
        <f t="shared" si="56"/>
        <v>10.838656102041956</v>
      </c>
      <c r="F484" s="1">
        <f t="shared" si="52"/>
        <v>-8.3176933760784859</v>
      </c>
      <c r="G484" s="1"/>
      <c r="H484">
        <f t="shared" si="57"/>
        <v>2</v>
      </c>
      <c r="I484" s="1">
        <f t="shared" si="53"/>
        <v>47.400000000000404</v>
      </c>
    </row>
    <row r="485" spans="2:9" x14ac:dyDescent="0.25">
      <c r="B485" s="1">
        <f t="shared" si="54"/>
        <v>47.500000000000405</v>
      </c>
      <c r="C485" s="1">
        <f t="shared" si="55"/>
        <v>333.79160065334361</v>
      </c>
      <c r="D485" s="1">
        <f t="shared" si="51"/>
        <v>10.006886764434107</v>
      </c>
      <c r="E485" s="1">
        <f t="shared" si="56"/>
        <v>10.006886764434107</v>
      </c>
      <c r="F485" s="1">
        <f t="shared" si="52"/>
        <v>-8.3447900163335902</v>
      </c>
      <c r="G485" s="1"/>
      <c r="H485">
        <f t="shared" si="57"/>
        <v>2</v>
      </c>
      <c r="I485" s="1">
        <f t="shared" si="53"/>
        <v>47.500000000000405</v>
      </c>
    </row>
    <row r="486" spans="2:9" x14ac:dyDescent="0.25">
      <c r="B486" s="1">
        <f t="shared" si="54"/>
        <v>47.600000000000406</v>
      </c>
      <c r="C486" s="1">
        <f t="shared" si="55"/>
        <v>334.79228932978702</v>
      </c>
      <c r="D486" s="1">
        <f t="shared" si="51"/>
        <v>9.1724077628007485</v>
      </c>
      <c r="E486" s="1">
        <f t="shared" si="56"/>
        <v>9.1724077628007485</v>
      </c>
      <c r="F486" s="1">
        <f t="shared" si="52"/>
        <v>-8.3698072332446767</v>
      </c>
      <c r="G486" s="1"/>
      <c r="H486">
        <f t="shared" si="57"/>
        <v>2</v>
      </c>
      <c r="I486" s="1">
        <f t="shared" si="53"/>
        <v>47.600000000000406</v>
      </c>
    </row>
    <row r="487" spans="2:9" x14ac:dyDescent="0.25">
      <c r="B487" s="1">
        <f t="shared" si="54"/>
        <v>47.700000000000408</v>
      </c>
      <c r="C487" s="1">
        <f t="shared" si="55"/>
        <v>335.70953010606712</v>
      </c>
      <c r="D487" s="1">
        <f t="shared" si="51"/>
        <v>8.3354270394762811</v>
      </c>
      <c r="E487" s="1">
        <f t="shared" si="56"/>
        <v>8.3354270394762811</v>
      </c>
      <c r="F487" s="1">
        <f t="shared" si="52"/>
        <v>-8.3927382526516787</v>
      </c>
      <c r="G487" s="1"/>
      <c r="H487">
        <f t="shared" si="57"/>
        <v>2</v>
      </c>
      <c r="I487" s="1">
        <f t="shared" si="53"/>
        <v>47.700000000000408</v>
      </c>
    </row>
    <row r="488" spans="2:9" x14ac:dyDescent="0.25">
      <c r="B488" s="1">
        <f t="shared" si="54"/>
        <v>47.800000000000409</v>
      </c>
      <c r="C488" s="1">
        <f t="shared" si="55"/>
        <v>336.54307281001473</v>
      </c>
      <c r="D488" s="1">
        <f t="shared" si="51"/>
        <v>7.4961532142111134</v>
      </c>
      <c r="E488" s="1">
        <f t="shared" si="56"/>
        <v>7.4961532142111134</v>
      </c>
      <c r="F488" s="1">
        <f t="shared" si="52"/>
        <v>-8.413576820250368</v>
      </c>
      <c r="G488" s="1"/>
      <c r="H488">
        <f t="shared" si="57"/>
        <v>2</v>
      </c>
      <c r="I488" s="1">
        <f t="shared" si="53"/>
        <v>47.800000000000409</v>
      </c>
    </row>
    <row r="489" spans="2:9" x14ac:dyDescent="0.25">
      <c r="B489" s="1">
        <f t="shared" si="54"/>
        <v>47.900000000000411</v>
      </c>
      <c r="C489" s="1">
        <f t="shared" si="55"/>
        <v>337.29268813143585</v>
      </c>
      <c r="D489" s="1">
        <f t="shared" si="51"/>
        <v>6.6547955321860766</v>
      </c>
      <c r="E489" s="1">
        <f t="shared" si="56"/>
        <v>6.6547955321860766</v>
      </c>
      <c r="F489" s="1">
        <f t="shared" si="52"/>
        <v>-8.432317203285896</v>
      </c>
      <c r="G489" s="1"/>
      <c r="H489">
        <f t="shared" si="57"/>
        <v>2</v>
      </c>
      <c r="I489" s="1">
        <f t="shared" si="53"/>
        <v>47.900000000000411</v>
      </c>
    </row>
    <row r="490" spans="2:9" x14ac:dyDescent="0.25">
      <c r="B490" s="1">
        <f t="shared" si="54"/>
        <v>48.000000000000412</v>
      </c>
      <c r="C490" s="1">
        <f t="shared" si="55"/>
        <v>337.95816768465448</v>
      </c>
      <c r="D490" s="1">
        <f t="shared" si="51"/>
        <v>5.8115638118574866</v>
      </c>
      <c r="E490" s="1">
        <f t="shared" si="56"/>
        <v>5.8115638118574866</v>
      </c>
      <c r="F490" s="1">
        <f t="shared" si="52"/>
        <v>-8.4489541921163624</v>
      </c>
      <c r="G490" s="1"/>
      <c r="H490">
        <f t="shared" si="57"/>
        <v>2</v>
      </c>
      <c r="I490" s="1">
        <f t="shared" si="53"/>
        <v>48.000000000000412</v>
      </c>
    </row>
    <row r="491" spans="2:9" x14ac:dyDescent="0.25">
      <c r="B491" s="1">
        <f t="shared" si="54"/>
        <v>48.100000000000414</v>
      </c>
      <c r="C491" s="1">
        <f t="shared" si="55"/>
        <v>338.53932406584022</v>
      </c>
      <c r="D491" s="1">
        <f t="shared" si="51"/>
        <v>4.9666683926458504</v>
      </c>
      <c r="E491" s="1">
        <f t="shared" si="56"/>
        <v>4.9666683926458504</v>
      </c>
      <c r="F491" s="1">
        <f t="shared" si="52"/>
        <v>-8.4634831016460055</v>
      </c>
      <c r="G491" s="1"/>
      <c r="H491">
        <f t="shared" si="57"/>
        <v>2</v>
      </c>
      <c r="I491" s="1">
        <f t="shared" si="53"/>
        <v>48.100000000000414</v>
      </c>
    </row>
    <row r="492" spans="2:9" x14ac:dyDescent="0.25">
      <c r="B492" s="1">
        <f t="shared" si="54"/>
        <v>48.200000000000415</v>
      </c>
      <c r="C492" s="1">
        <f t="shared" si="55"/>
        <v>339.03599090510482</v>
      </c>
      <c r="D492" s="1">
        <f t="shared" si="51"/>
        <v>4.1203200824812498</v>
      </c>
      <c r="E492" s="1">
        <f t="shared" si="56"/>
        <v>4.1203200824812498</v>
      </c>
      <c r="F492" s="1">
        <f t="shared" si="52"/>
        <v>-8.4758997726276206</v>
      </c>
      <c r="G492" s="1"/>
      <c r="H492">
        <f t="shared" si="57"/>
        <v>2</v>
      </c>
      <c r="I492" s="1">
        <f t="shared" si="53"/>
        <v>48.200000000000415</v>
      </c>
    </row>
    <row r="493" spans="2:9" x14ac:dyDescent="0.25">
      <c r="B493" s="1">
        <f t="shared" si="54"/>
        <v>48.300000000000416</v>
      </c>
      <c r="C493" s="1">
        <f t="shared" si="55"/>
        <v>339.44802291335293</v>
      </c>
      <c r="D493" s="1">
        <f t="shared" si="51"/>
        <v>3.2727301052184878</v>
      </c>
      <c r="E493" s="1">
        <f t="shared" si="56"/>
        <v>3.2727301052184878</v>
      </c>
      <c r="F493" s="1">
        <f t="shared" si="52"/>
        <v>-8.4862005728338232</v>
      </c>
      <c r="G493" s="1"/>
      <c r="H493">
        <f t="shared" si="57"/>
        <v>2</v>
      </c>
      <c r="I493" s="1">
        <f t="shared" si="53"/>
        <v>48.300000000000416</v>
      </c>
    </row>
    <row r="494" spans="2:9" x14ac:dyDescent="0.25">
      <c r="B494" s="1">
        <f t="shared" si="54"/>
        <v>48.400000000000418</v>
      </c>
      <c r="C494" s="1">
        <f t="shared" si="55"/>
        <v>339.77529592387475</v>
      </c>
      <c r="D494" s="1">
        <f t="shared" si="51"/>
        <v>2.4241100479351054</v>
      </c>
      <c r="E494" s="1">
        <f t="shared" si="56"/>
        <v>2.4241100479351054</v>
      </c>
      <c r="F494" s="1">
        <f t="shared" si="52"/>
        <v>-8.4943823980968691</v>
      </c>
      <c r="G494" s="1"/>
      <c r="H494">
        <f t="shared" si="57"/>
        <v>2</v>
      </c>
      <c r="I494" s="1">
        <f t="shared" si="53"/>
        <v>48.400000000000418</v>
      </c>
    </row>
    <row r="495" spans="2:9" x14ac:dyDescent="0.25">
      <c r="B495" s="1">
        <f t="shared" si="54"/>
        <v>48.500000000000419</v>
      </c>
      <c r="C495" s="1">
        <f t="shared" si="55"/>
        <v>340.01770692866825</v>
      </c>
      <c r="D495" s="1">
        <f t="shared" si="51"/>
        <v>1.5746718081254185</v>
      </c>
      <c r="E495" s="1">
        <f t="shared" si="56"/>
        <v>1.5746718081254185</v>
      </c>
      <c r="F495" s="1">
        <f t="shared" si="52"/>
        <v>-8.5004426732167069</v>
      </c>
      <c r="G495" s="1"/>
      <c r="H495">
        <f t="shared" si="57"/>
        <v>2</v>
      </c>
      <c r="I495" s="1">
        <f t="shared" si="53"/>
        <v>48.500000000000419</v>
      </c>
    </row>
    <row r="496" spans="2:9" x14ac:dyDescent="0.25">
      <c r="B496" s="1">
        <f t="shared" si="54"/>
        <v>48.600000000000421</v>
      </c>
      <c r="C496" s="1">
        <f t="shared" si="55"/>
        <v>340.17517410948079</v>
      </c>
      <c r="D496" s="1">
        <f t="shared" si="51"/>
        <v>0.7246275408037478</v>
      </c>
      <c r="E496" s="1">
        <f t="shared" si="56"/>
        <v>0.7246275408037478</v>
      </c>
      <c r="F496" s="1">
        <f t="shared" si="52"/>
        <v>-8.5043793527370202</v>
      </c>
      <c r="G496" s="1"/>
      <c r="H496">
        <f t="shared" si="57"/>
        <v>3</v>
      </c>
      <c r="I496" s="1">
        <f t="shared" si="53"/>
        <v>48.600000000000421</v>
      </c>
    </row>
    <row r="497" spans="2:9" x14ac:dyDescent="0.25">
      <c r="B497" s="1">
        <f t="shared" si="54"/>
        <v>48.700000000000422</v>
      </c>
      <c r="C497" s="1">
        <f t="shared" si="55"/>
        <v>340.24763686356118</v>
      </c>
      <c r="D497" s="1">
        <f t="shared" si="51"/>
        <v>-0.12581039446995423</v>
      </c>
      <c r="E497" s="1">
        <f t="shared" si="56"/>
        <v>-0.12581039446995423</v>
      </c>
      <c r="F497" s="1">
        <f t="shared" si="52"/>
        <v>-8.5061909215890292</v>
      </c>
      <c r="G497" s="1"/>
      <c r="H497">
        <f t="shared" si="57"/>
        <v>3</v>
      </c>
      <c r="I497" s="1">
        <f t="shared" si="53"/>
        <v>48.700000000000422</v>
      </c>
    </row>
    <row r="498" spans="2:9" x14ac:dyDescent="0.25">
      <c r="B498" s="1">
        <f t="shared" si="54"/>
        <v>48.800000000000423</v>
      </c>
      <c r="C498" s="1">
        <f t="shared" si="55"/>
        <v>340.23505582411417</v>
      </c>
      <c r="D498" s="1">
        <f t="shared" si="51"/>
        <v>-0.9764294866288572</v>
      </c>
      <c r="E498" s="1">
        <f t="shared" si="56"/>
        <v>-0.9764294866288572</v>
      </c>
      <c r="F498" s="1">
        <f t="shared" si="52"/>
        <v>-8.5058763956028542</v>
      </c>
      <c r="G498" s="1"/>
      <c r="H498">
        <f t="shared" si="57"/>
        <v>3</v>
      </c>
      <c r="I498" s="1">
        <f t="shared" si="53"/>
        <v>48.800000000000423</v>
      </c>
    </row>
    <row r="499" spans="2:9" x14ac:dyDescent="0.25">
      <c r="B499" s="1">
        <f t="shared" si="54"/>
        <v>48.900000000000425</v>
      </c>
      <c r="C499" s="1">
        <f t="shared" si="55"/>
        <v>340.13741287545128</v>
      </c>
      <c r="D499" s="1">
        <f t="shared" si="51"/>
        <v>-1.8270171261891428</v>
      </c>
      <c r="E499" s="1">
        <f t="shared" si="56"/>
        <v>-1.8270171261891428</v>
      </c>
      <c r="F499" s="1">
        <f t="shared" si="52"/>
        <v>-8.5034353218862826</v>
      </c>
      <c r="G499" s="1"/>
      <c r="H499">
        <f t="shared" si="57"/>
        <v>3</v>
      </c>
      <c r="I499" s="1">
        <f t="shared" si="53"/>
        <v>48.900000000000425</v>
      </c>
    </row>
    <row r="500" spans="2:9" x14ac:dyDescent="0.25">
      <c r="B500" s="1">
        <f t="shared" si="54"/>
        <v>49.000000000000426</v>
      </c>
      <c r="C500" s="1">
        <f t="shared" si="55"/>
        <v>339.95471116283238</v>
      </c>
      <c r="D500" s="1">
        <f t="shared" si="51"/>
        <v>-2.6773606583777712</v>
      </c>
      <c r="E500" s="1">
        <f t="shared" si="56"/>
        <v>-2.6773606583777712</v>
      </c>
      <c r="F500" s="1">
        <f t="shared" si="52"/>
        <v>-8.4988677790708103</v>
      </c>
      <c r="G500" s="1"/>
      <c r="H500">
        <f t="shared" si="57"/>
        <v>3</v>
      </c>
      <c r="I500" s="1">
        <f t="shared" si="53"/>
        <v>49.000000000000426</v>
      </c>
    </row>
    <row r="501" spans="2:9" x14ac:dyDescent="0.25">
      <c r="B501" s="1">
        <f t="shared" si="54"/>
        <v>49.100000000000428</v>
      </c>
      <c r="C501" s="1">
        <f t="shared" si="55"/>
        <v>339.68697509699462</v>
      </c>
      <c r="D501" s="1">
        <f t="shared" si="51"/>
        <v>-3.5272474362848523</v>
      </c>
      <c r="E501" s="1">
        <f t="shared" si="56"/>
        <v>-3.5272474362848523</v>
      </c>
      <c r="F501" s="1">
        <f t="shared" si="52"/>
        <v>-8.492174377424865</v>
      </c>
      <c r="G501" s="1"/>
      <c r="H501">
        <f t="shared" si="57"/>
        <v>3</v>
      </c>
      <c r="I501" s="1">
        <f t="shared" si="53"/>
        <v>49.100000000000428</v>
      </c>
    </row>
    <row r="502" spans="2:9" x14ac:dyDescent="0.25">
      <c r="B502" s="1">
        <f t="shared" si="54"/>
        <v>49.200000000000429</v>
      </c>
      <c r="C502" s="1">
        <f t="shared" si="55"/>
        <v>339.33425035336614</v>
      </c>
      <c r="D502" s="1">
        <f t="shared" si="51"/>
        <v>-4.3764648740273389</v>
      </c>
      <c r="E502" s="1">
        <f t="shared" si="56"/>
        <v>-4.3764648740273389</v>
      </c>
      <c r="F502" s="1">
        <f t="shared" si="52"/>
        <v>-8.4833562588341547</v>
      </c>
      <c r="G502" s="1"/>
      <c r="H502">
        <f t="shared" si="57"/>
        <v>3</v>
      </c>
      <c r="I502" s="1">
        <f t="shared" si="53"/>
        <v>49.200000000000429</v>
      </c>
    </row>
    <row r="503" spans="2:9" x14ac:dyDescent="0.25">
      <c r="B503" s="1">
        <f t="shared" si="54"/>
        <v>49.300000000000431</v>
      </c>
      <c r="C503" s="1">
        <f t="shared" si="55"/>
        <v>338.89660386596341</v>
      </c>
      <c r="D503" s="1">
        <f t="shared" si="51"/>
        <v>-5.2248004999107547</v>
      </c>
      <c r="E503" s="1">
        <f t="shared" si="56"/>
        <v>-5.2248004999107547</v>
      </c>
      <c r="F503" s="1">
        <f t="shared" si="52"/>
        <v>-8.472415096649085</v>
      </c>
      <c r="G503" s="1"/>
      <c r="H503">
        <f t="shared" si="57"/>
        <v>3</v>
      </c>
      <c r="I503" s="1">
        <f t="shared" si="53"/>
        <v>49.300000000000431</v>
      </c>
    </row>
    <row r="504" spans="2:9" x14ac:dyDescent="0.25">
      <c r="B504" s="1">
        <f t="shared" si="54"/>
        <v>49.400000000000432</v>
      </c>
      <c r="C504" s="1">
        <f t="shared" si="55"/>
        <v>338.37412381597233</v>
      </c>
      <c r="D504" s="1">
        <f t="shared" si="51"/>
        <v>-6.0720420095756635</v>
      </c>
      <c r="E504" s="1">
        <f t="shared" si="56"/>
        <v>-6.0720420095756635</v>
      </c>
      <c r="F504" s="1">
        <f t="shared" si="52"/>
        <v>-8.4593530953993081</v>
      </c>
      <c r="G504" s="1"/>
      <c r="H504">
        <f t="shared" si="57"/>
        <v>3</v>
      </c>
      <c r="I504" s="1">
        <f t="shared" si="53"/>
        <v>49.400000000000432</v>
      </c>
    </row>
    <row r="505" spans="2:9" x14ac:dyDescent="0.25">
      <c r="B505" s="1">
        <f t="shared" si="54"/>
        <v>49.500000000000433</v>
      </c>
      <c r="C505" s="1">
        <f t="shared" si="55"/>
        <v>337.76691961501479</v>
      </c>
      <c r="D505" s="1">
        <f t="shared" si="51"/>
        <v>-6.9179773191155949</v>
      </c>
      <c r="E505" s="1">
        <f t="shared" si="56"/>
        <v>-6.9179773191155949</v>
      </c>
      <c r="F505" s="1">
        <f t="shared" si="52"/>
        <v>-8.4441729903753693</v>
      </c>
      <c r="G505" s="1"/>
      <c r="H505">
        <f t="shared" si="57"/>
        <v>3</v>
      </c>
      <c r="I505" s="1">
        <f t="shared" si="53"/>
        <v>49.500000000000433</v>
      </c>
    </row>
    <row r="506" spans="2:9" x14ac:dyDescent="0.25">
      <c r="B506" s="1">
        <f t="shared" si="54"/>
        <v>49.600000000000435</v>
      </c>
      <c r="C506" s="1">
        <f t="shared" si="55"/>
        <v>337.07512188310324</v>
      </c>
      <c r="D506" s="1">
        <f t="shared" si="51"/>
        <v>-7.7623946181531318</v>
      </c>
      <c r="E506" s="1">
        <f t="shared" si="56"/>
        <v>-7.7623946181531318</v>
      </c>
      <c r="F506" s="1">
        <f t="shared" si="52"/>
        <v>-8.4268780470775813</v>
      </c>
      <c r="G506" s="1"/>
      <c r="H506">
        <f t="shared" si="57"/>
        <v>3</v>
      </c>
      <c r="I506" s="1">
        <f t="shared" si="53"/>
        <v>49.600000000000435</v>
      </c>
    </row>
    <row r="507" spans="2:9" x14ac:dyDescent="0.25">
      <c r="B507" s="1">
        <f t="shared" si="54"/>
        <v>49.700000000000436</v>
      </c>
      <c r="C507" s="1">
        <f t="shared" si="55"/>
        <v>336.29888242128794</v>
      </c>
      <c r="D507" s="1">
        <f t="shared" si="51"/>
        <v>-8.6050824228608906</v>
      </c>
      <c r="E507" s="1">
        <f t="shared" si="56"/>
        <v>-8.6050824228608906</v>
      </c>
      <c r="F507" s="1">
        <f t="shared" si="52"/>
        <v>-8.4074720605321982</v>
      </c>
      <c r="G507" s="1"/>
      <c r="H507">
        <f t="shared" si="57"/>
        <v>3</v>
      </c>
      <c r="I507" s="1">
        <f t="shared" si="53"/>
        <v>49.700000000000436</v>
      </c>
    </row>
    <row r="508" spans="2:9" x14ac:dyDescent="0.25">
      <c r="B508" s="1">
        <f t="shared" si="54"/>
        <v>49.800000000000438</v>
      </c>
      <c r="C508" s="1">
        <f t="shared" si="55"/>
        <v>335.43837417900187</v>
      </c>
      <c r="D508" s="1">
        <f t="shared" si="51"/>
        <v>-9.4458296289141099</v>
      </c>
      <c r="E508" s="1">
        <f t="shared" si="56"/>
        <v>-9.4458296289141099</v>
      </c>
      <c r="F508" s="1">
        <f t="shared" si="52"/>
        <v>-8.3859593544750464</v>
      </c>
      <c r="G508" s="1"/>
      <c r="H508">
        <f t="shared" si="57"/>
        <v>3</v>
      </c>
      <c r="I508" s="1">
        <f t="shared" si="53"/>
        <v>49.800000000000438</v>
      </c>
    </row>
    <row r="509" spans="2:9" x14ac:dyDescent="0.25">
      <c r="B509" s="1">
        <f t="shared" si="54"/>
        <v>49.900000000000439</v>
      </c>
      <c r="C509" s="1">
        <f t="shared" si="55"/>
        <v>334.49379121611048</v>
      </c>
      <c r="D509" s="1">
        <f t="shared" si="51"/>
        <v>-10.284425564361614</v>
      </c>
      <c r="E509" s="1">
        <f t="shared" si="56"/>
        <v>-10.284425564361614</v>
      </c>
      <c r="F509" s="1">
        <f t="shared" si="52"/>
        <v>-8.3623447804027631</v>
      </c>
      <c r="G509" s="1"/>
      <c r="H509">
        <f t="shared" si="57"/>
        <v>3</v>
      </c>
      <c r="I509" s="1">
        <f t="shared" si="53"/>
        <v>49.900000000000439</v>
      </c>
    </row>
    <row r="510" spans="2:9" x14ac:dyDescent="0.25">
      <c r="B510" s="1">
        <f t="shared" si="54"/>
        <v>50.000000000000441</v>
      </c>
      <c r="C510" s="1">
        <f t="shared" si="55"/>
        <v>333.46534865967431</v>
      </c>
      <c r="D510" s="1">
        <f t="shared" si="51"/>
        <v>-11.120660042401891</v>
      </c>
      <c r="E510" s="1">
        <f t="shared" si="56"/>
        <v>-11.120660042401891</v>
      </c>
      <c r="F510" s="1">
        <f t="shared" si="52"/>
        <v>-8.3366337164918587</v>
      </c>
      <c r="G510" s="1"/>
      <c r="H510">
        <f t="shared" si="57"/>
        <v>3</v>
      </c>
      <c r="I510" s="1">
        <f t="shared" si="53"/>
        <v>50.000000000000441</v>
      </c>
    </row>
    <row r="511" spans="2:9" x14ac:dyDescent="0.25">
      <c r="B511" s="1">
        <f t="shared" si="54"/>
        <v>50.100000000000442</v>
      </c>
      <c r="C511" s="1">
        <f t="shared" si="55"/>
        <v>332.3532826554341</v>
      </c>
      <c r="D511" s="1">
        <f t="shared" si="51"/>
        <v>-11.954323414051077</v>
      </c>
      <c r="E511" s="1">
        <f t="shared" si="56"/>
        <v>-11.954323414051077</v>
      </c>
      <c r="F511" s="1">
        <f t="shared" si="52"/>
        <v>-8.3088320663858521</v>
      </c>
      <c r="G511" s="1"/>
      <c r="H511">
        <f t="shared" si="57"/>
        <v>3</v>
      </c>
      <c r="I511" s="1">
        <f t="shared" si="53"/>
        <v>50.100000000000442</v>
      </c>
    </row>
    <row r="512" spans="2:9" x14ac:dyDescent="0.25">
      <c r="B512" s="1">
        <f t="shared" si="54"/>
        <v>50.200000000000443</v>
      </c>
      <c r="C512" s="1">
        <f t="shared" si="55"/>
        <v>331.15785031402902</v>
      </c>
      <c r="D512" s="1">
        <f t="shared" si="51"/>
        <v>-12.785206620689662</v>
      </c>
      <c r="E512" s="1">
        <f t="shared" si="56"/>
        <v>-12.785206620689662</v>
      </c>
      <c r="F512" s="1">
        <f t="shared" si="52"/>
        <v>-8.2789462578507251</v>
      </c>
      <c r="G512" s="1"/>
      <c r="H512">
        <f t="shared" si="57"/>
        <v>3</v>
      </c>
      <c r="I512" s="1">
        <f t="shared" si="53"/>
        <v>50.200000000000443</v>
      </c>
    </row>
    <row r="513" spans="2:9" x14ac:dyDescent="0.25">
      <c r="B513" s="1">
        <f t="shared" si="54"/>
        <v>50.300000000000445</v>
      </c>
      <c r="C513" s="1">
        <f t="shared" si="55"/>
        <v>329.87932965196006</v>
      </c>
      <c r="D513" s="1">
        <f t="shared" si="51"/>
        <v>-13.613101246474734</v>
      </c>
      <c r="E513" s="1">
        <f t="shared" si="56"/>
        <v>-13.613101246474734</v>
      </c>
      <c r="F513" s="1">
        <f t="shared" si="52"/>
        <v>-8.2469832412990023</v>
      </c>
      <c r="G513" s="1"/>
      <c r="H513">
        <f t="shared" si="57"/>
        <v>3</v>
      </c>
      <c r="I513" s="1">
        <f t="shared" si="53"/>
        <v>50.300000000000445</v>
      </c>
    </row>
    <row r="514" spans="2:9" x14ac:dyDescent="0.25">
      <c r="B514" s="1">
        <f t="shared" si="54"/>
        <v>50.400000000000446</v>
      </c>
      <c r="C514" s="1">
        <f t="shared" si="55"/>
        <v>328.51801952731262</v>
      </c>
      <c r="D514" s="1">
        <f t="shared" si="51"/>
        <v>-14.437799570604634</v>
      </c>
      <c r="E514" s="1">
        <f t="shared" si="56"/>
        <v>-14.437799570604634</v>
      </c>
      <c r="F514" s="1">
        <f t="shared" si="52"/>
        <v>-8.2129504881828161</v>
      </c>
      <c r="G514" s="1"/>
      <c r="H514">
        <f t="shared" si="57"/>
        <v>3</v>
      </c>
      <c r="I514" s="1">
        <f t="shared" si="53"/>
        <v>50.400000000000446</v>
      </c>
    </row>
    <row r="515" spans="2:9" x14ac:dyDescent="0.25">
      <c r="B515" s="1">
        <f t="shared" si="54"/>
        <v>50.500000000000448</v>
      </c>
      <c r="C515" s="1">
        <f t="shared" si="55"/>
        <v>327.07423957025213</v>
      </c>
      <c r="D515" s="1">
        <f t="shared" si="51"/>
        <v>-15.259094619422916</v>
      </c>
      <c r="E515" s="1">
        <f t="shared" si="56"/>
        <v>-15.259094619422916</v>
      </c>
      <c r="F515" s="1">
        <f t="shared" si="52"/>
        <v>-8.1768559892563033</v>
      </c>
      <c r="G515" s="1"/>
      <c r="H515">
        <f t="shared" si="57"/>
        <v>3</v>
      </c>
      <c r="I515" s="1">
        <f t="shared" si="53"/>
        <v>50.500000000000448</v>
      </c>
    </row>
    <row r="516" spans="2:9" x14ac:dyDescent="0.25">
      <c r="B516" s="1">
        <f t="shared" si="54"/>
        <v>50.600000000000449</v>
      </c>
      <c r="C516" s="1">
        <f t="shared" si="55"/>
        <v>325.54833010830981</v>
      </c>
      <c r="D516" s="1">
        <f t="shared" si="51"/>
        <v>-16.076780218348546</v>
      </c>
      <c r="E516" s="1">
        <f t="shared" si="56"/>
        <v>-16.076780218348546</v>
      </c>
      <c r="F516" s="1">
        <f t="shared" si="52"/>
        <v>-8.1387082527077457</v>
      </c>
      <c r="G516" s="1"/>
      <c r="H516">
        <f t="shared" si="57"/>
        <v>3</v>
      </c>
      <c r="I516" s="1">
        <f t="shared" si="53"/>
        <v>50.600000000000449</v>
      </c>
    </row>
    <row r="517" spans="2:9" x14ac:dyDescent="0.25">
      <c r="B517" s="1">
        <f t="shared" si="54"/>
        <v>50.70000000000045</v>
      </c>
      <c r="C517" s="1">
        <f t="shared" si="55"/>
        <v>323.94065208647498</v>
      </c>
      <c r="D517" s="1">
        <f t="shared" si="51"/>
        <v>-16.890651043619322</v>
      </c>
      <c r="E517" s="1">
        <f t="shared" si="56"/>
        <v>-16.890651043619322</v>
      </c>
      <c r="F517" s="1">
        <f t="shared" si="52"/>
        <v>-8.0985163021618742</v>
      </c>
      <c r="G517" s="1"/>
      <c r="H517">
        <f t="shared" si="57"/>
        <v>3</v>
      </c>
      <c r="I517" s="1">
        <f t="shared" si="53"/>
        <v>50.70000000000045</v>
      </c>
    </row>
    <row r="518" spans="2:9" x14ac:dyDescent="0.25">
      <c r="B518" s="1">
        <f t="shared" si="54"/>
        <v>50.800000000000452</v>
      </c>
      <c r="C518" s="1">
        <f t="shared" si="55"/>
        <v>322.25158698211305</v>
      </c>
      <c r="D518" s="1">
        <f t="shared" si="51"/>
        <v>-17.700502673835508</v>
      </c>
      <c r="E518" s="1">
        <f t="shared" si="56"/>
        <v>-17.700502673835508</v>
      </c>
      <c r="F518" s="1">
        <f t="shared" si="52"/>
        <v>-8.0562896745528274</v>
      </c>
      <c r="G518" s="1"/>
      <c r="H518">
        <f t="shared" si="57"/>
        <v>3</v>
      </c>
      <c r="I518" s="1">
        <f t="shared" si="53"/>
        <v>50.800000000000452</v>
      </c>
    </row>
    <row r="519" spans="2:9" x14ac:dyDescent="0.25">
      <c r="B519" s="1">
        <f t="shared" si="54"/>
        <v>50.900000000000453</v>
      </c>
      <c r="C519" s="1">
        <f t="shared" si="55"/>
        <v>320.48153671472949</v>
      </c>
      <c r="D519" s="1">
        <f t="shared" si="51"/>
        <v>-18.506131641290793</v>
      </c>
      <c r="E519" s="1">
        <f t="shared" si="56"/>
        <v>-18.506131641290793</v>
      </c>
      <c r="F519" s="1">
        <f t="shared" si="52"/>
        <v>-8.0120384178682382</v>
      </c>
      <c r="G519" s="1"/>
      <c r="H519">
        <f t="shared" si="57"/>
        <v>3</v>
      </c>
      <c r="I519" s="1">
        <f t="shared" si="53"/>
        <v>50.900000000000453</v>
      </c>
    </row>
    <row r="520" spans="2:9" x14ac:dyDescent="0.25">
      <c r="B520" s="1">
        <f t="shared" si="54"/>
        <v>51.000000000000455</v>
      </c>
      <c r="C520" s="1">
        <f t="shared" si="55"/>
        <v>318.63092355060041</v>
      </c>
      <c r="D520" s="1">
        <f t="shared" si="51"/>
        <v>-19.307335483077615</v>
      </c>
      <c r="E520" s="1">
        <f t="shared" si="56"/>
        <v>-19.307335483077615</v>
      </c>
      <c r="F520" s="1">
        <f t="shared" si="52"/>
        <v>-7.9657730887650109</v>
      </c>
      <c r="G520" s="1"/>
      <c r="H520">
        <f t="shared" si="57"/>
        <v>3</v>
      </c>
      <c r="I520" s="1">
        <f t="shared" si="53"/>
        <v>51.000000000000455</v>
      </c>
    </row>
    <row r="521" spans="2:9" x14ac:dyDescent="0.25">
      <c r="B521" s="1">
        <f t="shared" si="54"/>
        <v>51.100000000000456</v>
      </c>
      <c r="C521" s="1">
        <f t="shared" si="55"/>
        <v>316.70019000229263</v>
      </c>
      <c r="D521" s="1">
        <f t="shared" si="51"/>
        <v>-20.103912791954116</v>
      </c>
      <c r="E521" s="1">
        <f t="shared" si="56"/>
        <v>-20.103912791954116</v>
      </c>
      <c r="F521" s="1">
        <f t="shared" si="52"/>
        <v>-7.9175047500573159</v>
      </c>
      <c r="G521" s="1"/>
      <c r="H521">
        <f t="shared" si="57"/>
        <v>3</v>
      </c>
      <c r="I521" s="1">
        <f t="shared" si="53"/>
        <v>51.100000000000456</v>
      </c>
    </row>
    <row r="522" spans="2:9" x14ac:dyDescent="0.25">
      <c r="B522" s="1">
        <f t="shared" si="54"/>
        <v>51.200000000000458</v>
      </c>
      <c r="C522" s="1">
        <f t="shared" si="55"/>
        <v>314.68979872309723</v>
      </c>
      <c r="D522" s="1">
        <f t="shared" ref="D522:D585" si="58">E522</f>
        <v>-20.895663266959847</v>
      </c>
      <c r="E522" s="1">
        <f t="shared" si="56"/>
        <v>-20.895663266959847</v>
      </c>
      <c r="F522" s="1">
        <f t="shared" ref="F522:F585" si="59">-$C$3*C522/$C$4-$C$2/$C$4*E522</f>
        <v>-7.867244968077431</v>
      </c>
      <c r="G522" s="1"/>
      <c r="H522">
        <f t="shared" si="57"/>
        <v>3</v>
      </c>
      <c r="I522" s="1">
        <f t="shared" ref="I522:I585" si="60">B522</f>
        <v>51.200000000000458</v>
      </c>
    </row>
    <row r="523" spans="2:9" x14ac:dyDescent="0.25">
      <c r="B523" s="1">
        <f t="shared" ref="B523:B586" si="61">B522+$C$7</f>
        <v>51.300000000000459</v>
      </c>
      <c r="C523" s="1">
        <f t="shared" ref="C523:C586" si="62">C522+D522*$C$7</f>
        <v>312.60023239640122</v>
      </c>
      <c r="D523" s="1">
        <f t="shared" si="58"/>
        <v>-21.68238776376759</v>
      </c>
      <c r="E523" s="1">
        <f t="shared" ref="E523:E586" si="63">E522+F522*$C$7</f>
        <v>-21.68238776376759</v>
      </c>
      <c r="F523" s="1">
        <f t="shared" si="59"/>
        <v>-7.8150058099100308</v>
      </c>
      <c r="G523" s="1"/>
      <c r="H523">
        <f t="shared" ref="H523:H586" si="64">H522+(D523*D524&lt;0)*1</f>
        <v>3</v>
      </c>
      <c r="I523" s="1">
        <f t="shared" si="60"/>
        <v>51.300000000000459</v>
      </c>
    </row>
    <row r="524" spans="2:9" x14ac:dyDescent="0.25">
      <c r="B524" s="1">
        <f t="shared" si="61"/>
        <v>51.40000000000046</v>
      </c>
      <c r="C524" s="1">
        <f t="shared" si="62"/>
        <v>310.43199362002446</v>
      </c>
      <c r="D524" s="1">
        <f t="shared" si="58"/>
        <v>-22.463888344758594</v>
      </c>
      <c r="E524" s="1">
        <f t="shared" si="63"/>
        <v>-22.463888344758594</v>
      </c>
      <c r="F524" s="1">
        <f t="shared" si="59"/>
        <v>-7.7607998405006118</v>
      </c>
      <c r="G524" s="1"/>
      <c r="H524">
        <f t="shared" si="64"/>
        <v>3</v>
      </c>
      <c r="I524" s="1">
        <f t="shared" si="60"/>
        <v>51.40000000000046</v>
      </c>
    </row>
    <row r="525" spans="2:9" x14ac:dyDescent="0.25">
      <c r="B525" s="1">
        <f t="shared" si="61"/>
        <v>51.500000000000462</v>
      </c>
      <c r="C525" s="1">
        <f t="shared" si="62"/>
        <v>308.18560478554861</v>
      </c>
      <c r="D525" s="1">
        <f t="shared" si="58"/>
        <v>-23.239968328808654</v>
      </c>
      <c r="E525" s="1">
        <f t="shared" si="63"/>
        <v>-23.239968328808654</v>
      </c>
      <c r="F525" s="1">
        <f t="shared" si="59"/>
        <v>-7.7046401196387153</v>
      </c>
      <c r="G525" s="1"/>
      <c r="H525">
        <f t="shared" si="64"/>
        <v>3</v>
      </c>
      <c r="I525" s="1">
        <f t="shared" si="60"/>
        <v>51.500000000000462</v>
      </c>
    </row>
    <row r="526" spans="2:9" x14ac:dyDescent="0.25">
      <c r="B526" s="1">
        <f t="shared" si="61"/>
        <v>51.600000000000463</v>
      </c>
      <c r="C526" s="1">
        <f t="shared" si="62"/>
        <v>305.86160795266773</v>
      </c>
      <c r="D526" s="1">
        <f t="shared" si="58"/>
        <v>-24.010432340772525</v>
      </c>
      <c r="E526" s="1">
        <f t="shared" si="63"/>
        <v>-24.010432340772525</v>
      </c>
      <c r="F526" s="1">
        <f t="shared" si="59"/>
        <v>-7.6465401988166937</v>
      </c>
      <c r="G526" s="1"/>
      <c r="H526">
        <f t="shared" si="64"/>
        <v>3</v>
      </c>
      <c r="I526" s="1">
        <f t="shared" si="60"/>
        <v>51.600000000000463</v>
      </c>
    </row>
    <row r="527" spans="2:9" x14ac:dyDescent="0.25">
      <c r="B527" s="1">
        <f t="shared" si="61"/>
        <v>51.700000000000465</v>
      </c>
      <c r="C527" s="1">
        <f t="shared" si="62"/>
        <v>303.46056471859049</v>
      </c>
      <c r="D527" s="1">
        <f t="shared" si="58"/>
        <v>-24.775086360654193</v>
      </c>
      <c r="E527" s="1">
        <f t="shared" si="63"/>
        <v>-24.775086360654193</v>
      </c>
      <c r="F527" s="1">
        <f t="shared" si="59"/>
        <v>-7.5865141179647626</v>
      </c>
      <c r="G527" s="1"/>
      <c r="H527">
        <f t="shared" si="64"/>
        <v>3</v>
      </c>
      <c r="I527" s="1">
        <f t="shared" si="60"/>
        <v>51.700000000000465</v>
      </c>
    </row>
    <row r="528" spans="2:9" x14ac:dyDescent="0.25">
      <c r="B528" s="1">
        <f t="shared" si="61"/>
        <v>51.800000000000466</v>
      </c>
      <c r="C528" s="1">
        <f t="shared" si="62"/>
        <v>300.98305608252508</v>
      </c>
      <c r="D528" s="1">
        <f t="shared" si="58"/>
        <v>-25.533737772450667</v>
      </c>
      <c r="E528" s="1">
        <f t="shared" si="63"/>
        <v>-25.533737772450667</v>
      </c>
      <c r="F528" s="1">
        <f t="shared" si="59"/>
        <v>-7.5245764020631274</v>
      </c>
      <c r="G528" s="1"/>
      <c r="H528">
        <f t="shared" si="64"/>
        <v>3</v>
      </c>
      <c r="I528" s="1">
        <f t="shared" si="60"/>
        <v>51.800000000000466</v>
      </c>
    </row>
    <row r="529" spans="2:9" x14ac:dyDescent="0.25">
      <c r="B529" s="1">
        <f t="shared" si="61"/>
        <v>51.900000000000468</v>
      </c>
      <c r="C529" s="1">
        <f t="shared" si="62"/>
        <v>298.42968230528004</v>
      </c>
      <c r="D529" s="1">
        <f t="shared" si="58"/>
        <v>-26.28619541265698</v>
      </c>
      <c r="E529" s="1">
        <f t="shared" si="63"/>
        <v>-26.28619541265698</v>
      </c>
      <c r="F529" s="1">
        <f t="shared" si="59"/>
        <v>-7.4607420576320012</v>
      </c>
      <c r="G529" s="1"/>
      <c r="H529">
        <f t="shared" si="64"/>
        <v>3</v>
      </c>
      <c r="I529" s="1">
        <f t="shared" si="60"/>
        <v>51.900000000000468</v>
      </c>
    </row>
    <row r="530" spans="2:9" x14ac:dyDescent="0.25">
      <c r="B530" s="1">
        <f t="shared" si="61"/>
        <v>52.000000000000469</v>
      </c>
      <c r="C530" s="1">
        <f t="shared" si="62"/>
        <v>295.80106276401432</v>
      </c>
      <c r="D530" s="1">
        <f t="shared" si="58"/>
        <v>-27.03226961842018</v>
      </c>
      <c r="E530" s="1">
        <f t="shared" si="63"/>
        <v>-27.03226961842018</v>
      </c>
      <c r="F530" s="1">
        <f t="shared" si="59"/>
        <v>-7.3950265691003585</v>
      </c>
      <c r="G530" s="1"/>
      <c r="H530">
        <f t="shared" si="64"/>
        <v>3</v>
      </c>
      <c r="I530" s="1">
        <f t="shared" si="60"/>
        <v>52.000000000000469</v>
      </c>
    </row>
    <row r="531" spans="2:9" x14ac:dyDescent="0.25">
      <c r="B531" s="1">
        <f t="shared" si="61"/>
        <v>52.10000000000047</v>
      </c>
      <c r="C531" s="1">
        <f t="shared" si="62"/>
        <v>293.09783580217231</v>
      </c>
      <c r="D531" s="1">
        <f t="shared" si="58"/>
        <v>-27.771772275330218</v>
      </c>
      <c r="E531" s="1">
        <f t="shared" si="63"/>
        <v>-27.771772275330218</v>
      </c>
      <c r="F531" s="1">
        <f t="shared" si="59"/>
        <v>-7.327445895054308</v>
      </c>
      <c r="G531" s="1"/>
      <c r="H531">
        <f t="shared" si="64"/>
        <v>3</v>
      </c>
      <c r="I531" s="1">
        <f t="shared" si="60"/>
        <v>52.10000000000047</v>
      </c>
    </row>
    <row r="532" spans="2:9" x14ac:dyDescent="0.25">
      <c r="B532" s="1">
        <f t="shared" si="61"/>
        <v>52.200000000000472</v>
      </c>
      <c r="C532" s="1">
        <f t="shared" si="62"/>
        <v>290.32065857463931</v>
      </c>
      <c r="D532" s="1">
        <f t="shared" si="58"/>
        <v>-28.504516864835647</v>
      </c>
      <c r="E532" s="1">
        <f t="shared" si="63"/>
        <v>-28.504516864835647</v>
      </c>
      <c r="F532" s="1">
        <f t="shared" si="59"/>
        <v>-7.2580164643659835</v>
      </c>
      <c r="G532" s="1"/>
      <c r="H532">
        <f t="shared" si="64"/>
        <v>3</v>
      </c>
      <c r="I532" s="1">
        <f t="shared" si="60"/>
        <v>52.200000000000472</v>
      </c>
    </row>
    <row r="533" spans="2:9" x14ac:dyDescent="0.25">
      <c r="B533" s="1">
        <f t="shared" si="61"/>
        <v>52.300000000000473</v>
      </c>
      <c r="C533" s="1">
        <f t="shared" si="62"/>
        <v>287.47020688815576</v>
      </c>
      <c r="D533" s="1">
        <f t="shared" si="58"/>
        <v>-29.230318511272245</v>
      </c>
      <c r="E533" s="1">
        <f t="shared" si="63"/>
        <v>-29.230318511272245</v>
      </c>
      <c r="F533" s="1">
        <f t="shared" si="59"/>
        <v>-7.1867551722038945</v>
      </c>
      <c r="G533" s="1"/>
      <c r="H533">
        <f t="shared" si="64"/>
        <v>3</v>
      </c>
      <c r="I533" s="1">
        <f t="shared" si="60"/>
        <v>52.300000000000473</v>
      </c>
    </row>
    <row r="534" spans="2:9" x14ac:dyDescent="0.25">
      <c r="B534" s="1">
        <f t="shared" si="61"/>
        <v>52.400000000000475</v>
      </c>
      <c r="C534" s="1">
        <f t="shared" si="62"/>
        <v>284.54717503702852</v>
      </c>
      <c r="D534" s="1">
        <f t="shared" si="58"/>
        <v>-29.948994028492635</v>
      </c>
      <c r="E534" s="1">
        <f t="shared" si="63"/>
        <v>-29.948994028492635</v>
      </c>
      <c r="F534" s="1">
        <f t="shared" si="59"/>
        <v>-7.1136793759257131</v>
      </c>
      <c r="G534" s="1"/>
      <c r="H534">
        <f t="shared" si="64"/>
        <v>3</v>
      </c>
      <c r="I534" s="1">
        <f t="shared" si="60"/>
        <v>52.400000000000475</v>
      </c>
    </row>
    <row r="535" spans="2:9" x14ac:dyDescent="0.25">
      <c r="B535" s="1">
        <f t="shared" si="61"/>
        <v>52.500000000000476</v>
      </c>
      <c r="C535" s="1">
        <f t="shared" si="62"/>
        <v>281.55227563417924</v>
      </c>
      <c r="D535" s="1">
        <f t="shared" si="58"/>
        <v>-30.660361966085205</v>
      </c>
      <c r="E535" s="1">
        <f t="shared" si="63"/>
        <v>-30.660361966085205</v>
      </c>
      <c r="F535" s="1">
        <f t="shared" si="59"/>
        <v>-7.038806890854481</v>
      </c>
      <c r="G535" s="1"/>
      <c r="H535">
        <f t="shared" si="64"/>
        <v>3</v>
      </c>
      <c r="I535" s="1">
        <f t="shared" si="60"/>
        <v>52.500000000000476</v>
      </c>
    </row>
    <row r="536" spans="2:9" x14ac:dyDescent="0.25">
      <c r="B536" s="1">
        <f t="shared" si="61"/>
        <v>52.600000000000477</v>
      </c>
      <c r="C536" s="1">
        <f t="shared" si="62"/>
        <v>278.4862394375707</v>
      </c>
      <c r="D536" s="1">
        <f t="shared" si="58"/>
        <v>-31.364242655170653</v>
      </c>
      <c r="E536" s="1">
        <f t="shared" si="63"/>
        <v>-31.364242655170653</v>
      </c>
      <c r="F536" s="1">
        <f t="shared" si="59"/>
        <v>-6.9621559859392681</v>
      </c>
      <c r="G536" s="1"/>
      <c r="H536">
        <f t="shared" si="64"/>
        <v>3</v>
      </c>
      <c r="I536" s="1">
        <f t="shared" si="60"/>
        <v>52.600000000000477</v>
      </c>
    </row>
    <row r="537" spans="2:9" x14ac:dyDescent="0.25">
      <c r="B537" s="1">
        <f t="shared" si="61"/>
        <v>52.700000000000479</v>
      </c>
      <c r="C537" s="1">
        <f t="shared" si="62"/>
        <v>275.34981517205364</v>
      </c>
      <c r="D537" s="1">
        <f t="shared" si="58"/>
        <v>-32.06045825376458</v>
      </c>
      <c r="E537" s="1">
        <f t="shared" si="63"/>
        <v>-32.06045825376458</v>
      </c>
      <c r="F537" s="1">
        <f t="shared" si="59"/>
        <v>-6.8837453793013417</v>
      </c>
      <c r="G537" s="1"/>
      <c r="H537">
        <f t="shared" si="64"/>
        <v>3</v>
      </c>
      <c r="I537" s="1">
        <f t="shared" si="60"/>
        <v>52.700000000000479</v>
      </c>
    </row>
    <row r="538" spans="2:9" x14ac:dyDescent="0.25">
      <c r="B538" s="1">
        <f t="shared" si="61"/>
        <v>52.80000000000048</v>
      </c>
      <c r="C538" s="1">
        <f t="shared" si="62"/>
        <v>272.14376934667717</v>
      </c>
      <c r="D538" s="1">
        <f t="shared" si="58"/>
        <v>-32.748832791694717</v>
      </c>
      <c r="E538" s="1">
        <f t="shared" si="63"/>
        <v>-32.748832791694717</v>
      </c>
      <c r="F538" s="1">
        <f t="shared" si="59"/>
        <v>-6.8035942336669297</v>
      </c>
      <c r="G538" s="1"/>
      <c r="H538">
        <f t="shared" si="64"/>
        <v>3</v>
      </c>
      <c r="I538" s="1">
        <f t="shared" si="60"/>
        <v>52.80000000000048</v>
      </c>
    </row>
    <row r="539" spans="2:9" x14ac:dyDescent="0.25">
      <c r="B539" s="1">
        <f t="shared" si="61"/>
        <v>52.900000000000482</v>
      </c>
      <c r="C539" s="1">
        <f t="shared" si="62"/>
        <v>268.86888606750773</v>
      </c>
      <c r="D539" s="1">
        <f t="shared" si="58"/>
        <v>-33.429192215061413</v>
      </c>
      <c r="E539" s="1">
        <f t="shared" si="63"/>
        <v>-33.429192215061413</v>
      </c>
      <c r="F539" s="1">
        <f t="shared" si="59"/>
        <v>-6.7217221516876933</v>
      </c>
      <c r="G539" s="1"/>
      <c r="H539">
        <f t="shared" si="64"/>
        <v>3</v>
      </c>
      <c r="I539" s="1">
        <f t="shared" si="60"/>
        <v>52.900000000000482</v>
      </c>
    </row>
    <row r="540" spans="2:9" x14ac:dyDescent="0.25">
      <c r="B540" s="1">
        <f t="shared" si="61"/>
        <v>53.000000000000483</v>
      </c>
      <c r="C540" s="1">
        <f t="shared" si="62"/>
        <v>265.52596684600161</v>
      </c>
      <c r="D540" s="1">
        <f t="shared" si="58"/>
        <v>-34.101364430230184</v>
      </c>
      <c r="E540" s="1">
        <f t="shared" si="63"/>
        <v>-34.101364430230184</v>
      </c>
      <c r="F540" s="1">
        <f t="shared" si="59"/>
        <v>-6.6381491711500402</v>
      </c>
      <c r="G540" s="1"/>
      <c r="H540">
        <f t="shared" si="64"/>
        <v>3</v>
      </c>
      <c r="I540" s="1">
        <f t="shared" si="60"/>
        <v>53.000000000000483</v>
      </c>
    </row>
    <row r="541" spans="2:9" x14ac:dyDescent="0.25">
      <c r="B541" s="1">
        <f t="shared" si="61"/>
        <v>53.100000000000485</v>
      </c>
      <c r="C541" s="1">
        <f t="shared" si="62"/>
        <v>262.11583040297859</v>
      </c>
      <c r="D541" s="1">
        <f t="shared" si="58"/>
        <v>-34.765179347345189</v>
      </c>
      <c r="E541" s="1">
        <f t="shared" si="63"/>
        <v>-34.765179347345189</v>
      </c>
      <c r="F541" s="1">
        <f t="shared" si="59"/>
        <v>-6.5528957600744651</v>
      </c>
      <c r="G541" s="1"/>
      <c r="H541">
        <f t="shared" si="64"/>
        <v>3</v>
      </c>
      <c r="I541" s="1">
        <f t="shared" si="60"/>
        <v>53.100000000000485</v>
      </c>
    </row>
    <row r="542" spans="2:9" x14ac:dyDescent="0.25">
      <c r="B542" s="1">
        <f t="shared" si="61"/>
        <v>53.200000000000486</v>
      </c>
      <c r="C542" s="1">
        <f t="shared" si="62"/>
        <v>258.63931246824404</v>
      </c>
      <c r="D542" s="1">
        <f t="shared" si="58"/>
        <v>-35.420468923352637</v>
      </c>
      <c r="E542" s="1">
        <f t="shared" si="63"/>
        <v>-35.420468923352637</v>
      </c>
      <c r="F542" s="1">
        <f t="shared" si="59"/>
        <v>-6.4659828117061018</v>
      </c>
      <c r="G542" s="1"/>
      <c r="H542">
        <f t="shared" si="64"/>
        <v>3</v>
      </c>
      <c r="I542" s="1">
        <f t="shared" si="60"/>
        <v>53.200000000000486</v>
      </c>
    </row>
    <row r="543" spans="2:9" x14ac:dyDescent="0.25">
      <c r="B543" s="1">
        <f t="shared" si="61"/>
        <v>53.300000000000487</v>
      </c>
      <c r="C543" s="1">
        <f t="shared" si="62"/>
        <v>255.09726557590878</v>
      </c>
      <c r="D543" s="1">
        <f t="shared" si="58"/>
        <v>-36.067067204523248</v>
      </c>
      <c r="E543" s="1">
        <f t="shared" si="63"/>
        <v>-36.067067204523248</v>
      </c>
      <c r="F543" s="1">
        <f t="shared" si="59"/>
        <v>-6.3774316393977202</v>
      </c>
      <c r="G543" s="1"/>
      <c r="H543">
        <f t="shared" si="64"/>
        <v>3</v>
      </c>
      <c r="I543" s="1">
        <f t="shared" si="60"/>
        <v>53.300000000000487</v>
      </c>
    </row>
    <row r="544" spans="2:9" x14ac:dyDescent="0.25">
      <c r="B544" s="1">
        <f t="shared" si="61"/>
        <v>53.400000000000489</v>
      </c>
      <c r="C544" s="1">
        <f t="shared" si="62"/>
        <v>251.49055885545644</v>
      </c>
      <c r="D544" s="1">
        <f t="shared" si="58"/>
        <v>-36.704810368463022</v>
      </c>
      <c r="E544" s="1">
        <f t="shared" si="63"/>
        <v>-36.704810368463022</v>
      </c>
      <c r="F544" s="1">
        <f t="shared" si="59"/>
        <v>-6.2872639713864116</v>
      </c>
      <c r="G544" s="1"/>
      <c r="H544">
        <f t="shared" si="64"/>
        <v>3</v>
      </c>
      <c r="I544" s="1">
        <f t="shared" si="60"/>
        <v>53.400000000000489</v>
      </c>
    </row>
    <row r="545" spans="2:9" x14ac:dyDescent="0.25">
      <c r="B545" s="1">
        <f t="shared" si="61"/>
        <v>53.50000000000049</v>
      </c>
      <c r="C545" s="1">
        <f t="shared" si="62"/>
        <v>247.82007781861014</v>
      </c>
      <c r="D545" s="1">
        <f t="shared" si="58"/>
        <v>-37.333536765601664</v>
      </c>
      <c r="E545" s="1">
        <f t="shared" si="63"/>
        <v>-37.333536765601664</v>
      </c>
      <c r="F545" s="1">
        <f t="shared" si="59"/>
        <v>-6.1955019454652538</v>
      </c>
      <c r="G545" s="1"/>
      <c r="H545">
        <f t="shared" si="64"/>
        <v>3</v>
      </c>
      <c r="I545" s="1">
        <f t="shared" si="60"/>
        <v>53.50000000000049</v>
      </c>
    </row>
    <row r="546" spans="2:9" x14ac:dyDescent="0.25">
      <c r="B546" s="1">
        <f t="shared" si="61"/>
        <v>53.600000000000492</v>
      </c>
      <c r="C546" s="1">
        <f t="shared" si="62"/>
        <v>244.08672414204997</v>
      </c>
      <c r="D546" s="1">
        <f t="shared" si="58"/>
        <v>-37.953086960148191</v>
      </c>
      <c r="E546" s="1">
        <f t="shared" si="63"/>
        <v>-37.953086960148191</v>
      </c>
      <c r="F546" s="1">
        <f t="shared" si="59"/>
        <v>-6.1021681035512501</v>
      </c>
      <c r="G546" s="1"/>
      <c r="H546">
        <f t="shared" si="64"/>
        <v>3</v>
      </c>
      <c r="I546" s="1">
        <f t="shared" si="60"/>
        <v>53.600000000000492</v>
      </c>
    </row>
    <row r="547" spans="2:9" x14ac:dyDescent="0.25">
      <c r="B547" s="1">
        <f t="shared" si="61"/>
        <v>53.700000000000493</v>
      </c>
      <c r="C547" s="1">
        <f t="shared" si="62"/>
        <v>240.29141544603516</v>
      </c>
      <c r="D547" s="1">
        <f t="shared" si="58"/>
        <v>-38.563303770503317</v>
      </c>
      <c r="E547" s="1">
        <f t="shared" si="63"/>
        <v>-38.563303770503317</v>
      </c>
      <c r="F547" s="1">
        <f t="shared" si="59"/>
        <v>-6.0072853861508797</v>
      </c>
      <c r="G547" s="1"/>
      <c r="H547">
        <f t="shared" si="64"/>
        <v>3</v>
      </c>
      <c r="I547" s="1">
        <f t="shared" si="60"/>
        <v>53.700000000000493</v>
      </c>
    </row>
    <row r="548" spans="2:9" x14ac:dyDescent="0.25">
      <c r="B548" s="1">
        <f t="shared" si="61"/>
        <v>53.800000000000495</v>
      </c>
      <c r="C548" s="1">
        <f t="shared" si="62"/>
        <v>236.43508506898482</v>
      </c>
      <c r="D548" s="1">
        <f t="shared" si="58"/>
        <v>-39.164032309118404</v>
      </c>
      <c r="E548" s="1">
        <f t="shared" si="63"/>
        <v>-39.164032309118404</v>
      </c>
      <c r="F548" s="1">
        <f t="shared" si="59"/>
        <v>-5.9108771267246212</v>
      </c>
      <c r="G548" s="1"/>
      <c r="H548">
        <f t="shared" si="64"/>
        <v>3</v>
      </c>
      <c r="I548" s="1">
        <f t="shared" si="60"/>
        <v>53.800000000000495</v>
      </c>
    </row>
    <row r="549" spans="2:9" x14ac:dyDescent="0.25">
      <c r="B549" s="1">
        <f t="shared" si="61"/>
        <v>53.900000000000496</v>
      </c>
      <c r="C549" s="1">
        <f t="shared" si="62"/>
        <v>232.51868183807298</v>
      </c>
      <c r="D549" s="1">
        <f t="shared" si="58"/>
        <v>-39.755120021790866</v>
      </c>
      <c r="E549" s="1">
        <f t="shared" si="63"/>
        <v>-39.755120021790866</v>
      </c>
      <c r="F549" s="1">
        <f t="shared" si="59"/>
        <v>-5.812967045951825</v>
      </c>
      <c r="G549" s="1"/>
      <c r="H549">
        <f t="shared" si="64"/>
        <v>3</v>
      </c>
      <c r="I549" s="1">
        <f t="shared" si="60"/>
        <v>53.900000000000496</v>
      </c>
    </row>
    <row r="550" spans="2:9" x14ac:dyDescent="0.25">
      <c r="B550" s="1">
        <f t="shared" si="61"/>
        <v>54.000000000000497</v>
      </c>
      <c r="C550" s="1">
        <f t="shared" si="62"/>
        <v>228.54316983589391</v>
      </c>
      <c r="D550" s="1">
        <f t="shared" si="58"/>
        <v>-40.336416726386048</v>
      </c>
      <c r="E550" s="1">
        <f t="shared" si="63"/>
        <v>-40.336416726386048</v>
      </c>
      <c r="F550" s="1">
        <f t="shared" si="59"/>
        <v>-5.713579245897348</v>
      </c>
      <c r="G550" s="1"/>
      <c r="H550">
        <f t="shared" si="64"/>
        <v>3</v>
      </c>
      <c r="I550" s="1">
        <f t="shared" si="60"/>
        <v>54.000000000000497</v>
      </c>
    </row>
    <row r="551" spans="2:9" x14ac:dyDescent="0.25">
      <c r="B551" s="1">
        <f t="shared" si="61"/>
        <v>54.100000000000499</v>
      </c>
      <c r="C551" s="1">
        <f t="shared" si="62"/>
        <v>224.50952816325531</v>
      </c>
      <c r="D551" s="1">
        <f t="shared" si="58"/>
        <v>-40.907774650975782</v>
      </c>
      <c r="E551" s="1">
        <f t="shared" si="63"/>
        <v>-40.907774650975782</v>
      </c>
      <c r="F551" s="1">
        <f t="shared" si="59"/>
        <v>-5.6127382040813831</v>
      </c>
      <c r="G551" s="1"/>
      <c r="H551">
        <f t="shared" si="64"/>
        <v>3</v>
      </c>
      <c r="I551" s="1">
        <f t="shared" si="60"/>
        <v>54.100000000000499</v>
      </c>
    </row>
    <row r="552" spans="2:9" x14ac:dyDescent="0.25">
      <c r="B552" s="1">
        <f t="shared" si="61"/>
        <v>54.2000000000005</v>
      </c>
      <c r="C552" s="1">
        <f t="shared" si="62"/>
        <v>220.41875069815774</v>
      </c>
      <c r="D552" s="1">
        <f t="shared" si="58"/>
        <v>-41.469048471383921</v>
      </c>
      <c r="E552" s="1">
        <f t="shared" si="63"/>
        <v>-41.469048471383921</v>
      </c>
      <c r="F552" s="1">
        <f t="shared" si="59"/>
        <v>-5.5104687674539434</v>
      </c>
      <c r="G552" s="1"/>
      <c r="H552">
        <f t="shared" si="64"/>
        <v>3</v>
      </c>
      <c r="I552" s="1">
        <f t="shared" si="60"/>
        <v>54.2000000000005</v>
      </c>
    </row>
    <row r="553" spans="2:9" x14ac:dyDescent="0.25">
      <c r="B553" s="1">
        <f t="shared" si="61"/>
        <v>54.300000000000502</v>
      </c>
      <c r="C553" s="1">
        <f t="shared" si="62"/>
        <v>216.27184585101935</v>
      </c>
      <c r="D553" s="1">
        <f t="shared" si="58"/>
        <v>-42.020095348129317</v>
      </c>
      <c r="E553" s="1">
        <f t="shared" si="63"/>
        <v>-42.020095348129317</v>
      </c>
      <c r="F553" s="1">
        <f t="shared" si="59"/>
        <v>-5.4067961462754841</v>
      </c>
      <c r="G553" s="1"/>
      <c r="H553">
        <f t="shared" si="64"/>
        <v>3</v>
      </c>
      <c r="I553" s="1">
        <f t="shared" si="60"/>
        <v>54.300000000000502</v>
      </c>
    </row>
    <row r="554" spans="2:9" x14ac:dyDescent="0.25">
      <c r="B554" s="1">
        <f t="shared" si="61"/>
        <v>54.400000000000503</v>
      </c>
      <c r="C554" s="1">
        <f t="shared" si="62"/>
        <v>212.06983631620642</v>
      </c>
      <c r="D554" s="1">
        <f t="shared" si="58"/>
        <v>-42.560774962756867</v>
      </c>
      <c r="E554" s="1">
        <f t="shared" si="63"/>
        <v>-42.560774962756867</v>
      </c>
      <c r="F554" s="1">
        <f t="shared" si="59"/>
        <v>-5.3017459079051612</v>
      </c>
      <c r="G554" s="1"/>
      <c r="H554">
        <f t="shared" si="64"/>
        <v>3</v>
      </c>
      <c r="I554" s="1">
        <f t="shared" si="60"/>
        <v>54.400000000000503</v>
      </c>
    </row>
    <row r="555" spans="2:9" x14ac:dyDescent="0.25">
      <c r="B555" s="1">
        <f t="shared" si="61"/>
        <v>54.500000000000504</v>
      </c>
      <c r="C555" s="1">
        <f t="shared" si="62"/>
        <v>207.81375881993074</v>
      </c>
      <c r="D555" s="1">
        <f t="shared" si="58"/>
        <v>-43.090949553547382</v>
      </c>
      <c r="E555" s="1">
        <f t="shared" si="63"/>
        <v>-43.090949553547382</v>
      </c>
      <c r="F555" s="1">
        <f t="shared" si="59"/>
        <v>-5.1953439704982687</v>
      </c>
      <c r="G555" s="1"/>
      <c r="H555">
        <f t="shared" si="64"/>
        <v>3</v>
      </c>
      <c r="I555" s="1">
        <f t="shared" si="60"/>
        <v>54.500000000000504</v>
      </c>
    </row>
    <row r="556" spans="2:9" x14ac:dyDescent="0.25">
      <c r="B556" s="1">
        <f t="shared" si="61"/>
        <v>54.600000000000506</v>
      </c>
      <c r="C556" s="1">
        <f t="shared" si="62"/>
        <v>203.504663864576</v>
      </c>
      <c r="D556" s="1">
        <f t="shared" si="58"/>
        <v>-43.610483950597207</v>
      </c>
      <c r="E556" s="1">
        <f t="shared" si="63"/>
        <v>-43.610483950597207</v>
      </c>
      <c r="F556" s="1">
        <f t="shared" si="59"/>
        <v>-5.0876165966144002</v>
      </c>
      <c r="G556" s="1"/>
      <c r="H556">
        <f t="shared" si="64"/>
        <v>3</v>
      </c>
      <c r="I556" s="1">
        <f t="shared" si="60"/>
        <v>54.600000000000506</v>
      </c>
    </row>
    <row r="557" spans="2:9" x14ac:dyDescent="0.25">
      <c r="B557" s="1">
        <f t="shared" si="61"/>
        <v>54.700000000000507</v>
      </c>
      <c r="C557" s="1">
        <f t="shared" si="62"/>
        <v>199.14361546951628</v>
      </c>
      <c r="D557" s="1">
        <f t="shared" si="58"/>
        <v>-44.119245610258645</v>
      </c>
      <c r="E557" s="1">
        <f t="shared" si="63"/>
        <v>-44.119245610258645</v>
      </c>
      <c r="F557" s="1">
        <f t="shared" si="59"/>
        <v>-4.9785903867379071</v>
      </c>
      <c r="G557" s="1"/>
      <c r="H557">
        <f t="shared" si="64"/>
        <v>3</v>
      </c>
      <c r="I557" s="1">
        <f t="shared" si="60"/>
        <v>54.700000000000507</v>
      </c>
    </row>
    <row r="558" spans="2:9" x14ac:dyDescent="0.25">
      <c r="B558" s="1">
        <f t="shared" si="61"/>
        <v>54.800000000000509</v>
      </c>
      <c r="C558" s="1">
        <f t="shared" si="62"/>
        <v>194.73169090849041</v>
      </c>
      <c r="D558" s="1">
        <f t="shared" si="58"/>
        <v>-44.617104648932433</v>
      </c>
      <c r="E558" s="1">
        <f t="shared" si="63"/>
        <v>-44.617104648932433</v>
      </c>
      <c r="F558" s="1">
        <f t="shared" si="59"/>
        <v>-4.8682922727122602</v>
      </c>
      <c r="G558" s="1"/>
      <c r="H558">
        <f t="shared" si="64"/>
        <v>3</v>
      </c>
      <c r="I558" s="1">
        <f t="shared" si="60"/>
        <v>54.800000000000509</v>
      </c>
    </row>
    <row r="559" spans="2:9" x14ac:dyDescent="0.25">
      <c r="B559" s="1">
        <f t="shared" si="61"/>
        <v>54.90000000000051</v>
      </c>
      <c r="C559" s="1">
        <f t="shared" si="62"/>
        <v>190.26998044359718</v>
      </c>
      <c r="D559" s="1">
        <f t="shared" si="58"/>
        <v>-45.103933876203655</v>
      </c>
      <c r="E559" s="1">
        <f t="shared" si="63"/>
        <v>-45.103933876203655</v>
      </c>
      <c r="F559" s="1">
        <f t="shared" si="59"/>
        <v>-4.7567495110899296</v>
      </c>
      <c r="G559" s="1"/>
      <c r="H559">
        <f t="shared" si="64"/>
        <v>3</v>
      </c>
      <c r="I559" s="1">
        <f t="shared" si="60"/>
        <v>54.90000000000051</v>
      </c>
    </row>
    <row r="560" spans="2:9" x14ac:dyDescent="0.25">
      <c r="B560" s="1">
        <f t="shared" si="61"/>
        <v>55.000000000000512</v>
      </c>
      <c r="C560" s="1">
        <f t="shared" si="62"/>
        <v>185.75958705597682</v>
      </c>
      <c r="D560" s="1">
        <f t="shared" si="58"/>
        <v>-45.579608827312647</v>
      </c>
      <c r="E560" s="1">
        <f t="shared" si="63"/>
        <v>-45.579608827312647</v>
      </c>
      <c r="F560" s="1">
        <f t="shared" si="59"/>
        <v>-4.6439896763994204</v>
      </c>
      <c r="G560" s="1"/>
      <c r="H560">
        <f t="shared" si="64"/>
        <v>3</v>
      </c>
      <c r="I560" s="1">
        <f t="shared" si="60"/>
        <v>55.000000000000512</v>
      </c>
    </row>
    <row r="561" spans="2:9" x14ac:dyDescent="0.25">
      <c r="B561" s="1">
        <f t="shared" si="61"/>
        <v>55.100000000000513</v>
      </c>
      <c r="C561" s="1">
        <f t="shared" si="62"/>
        <v>181.20162617324556</v>
      </c>
      <c r="D561" s="1">
        <f t="shared" si="58"/>
        <v>-46.044007794952591</v>
      </c>
      <c r="E561" s="1">
        <f t="shared" si="63"/>
        <v>-46.044007794952591</v>
      </c>
      <c r="F561" s="1">
        <f t="shared" si="59"/>
        <v>-4.5300406543311391</v>
      </c>
      <c r="G561" s="1"/>
      <c r="H561">
        <f t="shared" si="64"/>
        <v>3</v>
      </c>
      <c r="I561" s="1">
        <f t="shared" si="60"/>
        <v>55.100000000000513</v>
      </c>
    </row>
    <row r="562" spans="2:9" x14ac:dyDescent="0.25">
      <c r="B562" s="1">
        <f t="shared" si="61"/>
        <v>55.200000000000514</v>
      </c>
      <c r="C562" s="1">
        <f t="shared" si="62"/>
        <v>176.59722539375031</v>
      </c>
      <c r="D562" s="1">
        <f t="shared" si="58"/>
        <v>-46.497011860385705</v>
      </c>
      <c r="E562" s="1">
        <f t="shared" si="63"/>
        <v>-46.497011860385705</v>
      </c>
      <c r="F562" s="1">
        <f t="shared" si="59"/>
        <v>-4.414930634843758</v>
      </c>
      <c r="G562" s="1"/>
      <c r="H562">
        <f t="shared" si="64"/>
        <v>3</v>
      </c>
      <c r="I562" s="1">
        <f t="shared" si="60"/>
        <v>55.200000000000514</v>
      </c>
    </row>
    <row r="563" spans="2:9" x14ac:dyDescent="0.25">
      <c r="B563" s="1">
        <f t="shared" si="61"/>
        <v>55.300000000000516</v>
      </c>
      <c r="C563" s="1">
        <f t="shared" si="62"/>
        <v>171.94752420771172</v>
      </c>
      <c r="D563" s="1">
        <f t="shared" si="58"/>
        <v>-46.938504923870077</v>
      </c>
      <c r="E563" s="1">
        <f t="shared" si="63"/>
        <v>-46.938504923870077</v>
      </c>
      <c r="F563" s="1">
        <f t="shared" si="59"/>
        <v>-4.2986881051927934</v>
      </c>
      <c r="G563" s="1"/>
      <c r="H563">
        <f t="shared" si="64"/>
        <v>3</v>
      </c>
      <c r="I563" s="1">
        <f t="shared" si="60"/>
        <v>55.300000000000516</v>
      </c>
    </row>
    <row r="564" spans="2:9" x14ac:dyDescent="0.25">
      <c r="B564" s="1">
        <f t="shared" si="61"/>
        <v>55.400000000000517</v>
      </c>
      <c r="C564" s="1">
        <f t="shared" si="62"/>
        <v>167.25367371532471</v>
      </c>
      <c r="D564" s="1">
        <f t="shared" si="58"/>
        <v>-47.368373734389358</v>
      </c>
      <c r="E564" s="1">
        <f t="shared" si="63"/>
        <v>-47.368373734389358</v>
      </c>
      <c r="F564" s="1">
        <f t="shared" si="59"/>
        <v>-4.1813418428831177</v>
      </c>
      <c r="G564" s="1"/>
      <c r="H564">
        <f t="shared" si="64"/>
        <v>3</v>
      </c>
      <c r="I564" s="1">
        <f t="shared" si="60"/>
        <v>55.400000000000517</v>
      </c>
    </row>
    <row r="565" spans="2:9" x14ac:dyDescent="0.25">
      <c r="B565" s="1">
        <f t="shared" si="61"/>
        <v>55.500000000000519</v>
      </c>
      <c r="C565" s="1">
        <f t="shared" si="62"/>
        <v>162.51683634188578</v>
      </c>
      <c r="D565" s="1">
        <f t="shared" si="58"/>
        <v>-47.786507918677671</v>
      </c>
      <c r="E565" s="1">
        <f t="shared" si="63"/>
        <v>-47.786507918677671</v>
      </c>
      <c r="F565" s="1">
        <f t="shared" si="59"/>
        <v>-4.0629209085471443</v>
      </c>
      <c r="G565" s="1"/>
      <c r="H565">
        <f t="shared" si="64"/>
        <v>3</v>
      </c>
      <c r="I565" s="1">
        <f t="shared" si="60"/>
        <v>55.500000000000519</v>
      </c>
    </row>
    <row r="566" spans="2:9" x14ac:dyDescent="0.25">
      <c r="B566" s="1">
        <f t="shared" si="61"/>
        <v>55.60000000000052</v>
      </c>
      <c r="C566" s="1">
        <f t="shared" si="62"/>
        <v>157.73818555001802</v>
      </c>
      <c r="D566" s="1">
        <f t="shared" si="58"/>
        <v>-48.192800009532384</v>
      </c>
      <c r="E566" s="1">
        <f t="shared" si="63"/>
        <v>-48.192800009532384</v>
      </c>
      <c r="F566" s="1">
        <f t="shared" si="59"/>
        <v>-3.9434546387504508</v>
      </c>
      <c r="G566" s="1"/>
      <c r="H566">
        <f t="shared" si="64"/>
        <v>3</v>
      </c>
      <c r="I566" s="1">
        <f t="shared" si="60"/>
        <v>55.60000000000052</v>
      </c>
    </row>
    <row r="567" spans="2:9" x14ac:dyDescent="0.25">
      <c r="B567" s="1">
        <f t="shared" si="61"/>
        <v>55.700000000000522</v>
      </c>
      <c r="C567" s="1">
        <f t="shared" si="62"/>
        <v>152.91890554906479</v>
      </c>
      <c r="D567" s="1">
        <f t="shared" si="58"/>
        <v>-48.587145473407432</v>
      </c>
      <c r="E567" s="1">
        <f t="shared" si="63"/>
        <v>-48.587145473407432</v>
      </c>
      <c r="F567" s="1">
        <f t="shared" si="59"/>
        <v>-3.8229726387266201</v>
      </c>
      <c r="G567" s="1"/>
      <c r="H567">
        <f t="shared" si="64"/>
        <v>3</v>
      </c>
      <c r="I567" s="1">
        <f t="shared" si="60"/>
        <v>55.700000000000522</v>
      </c>
    </row>
    <row r="568" spans="2:9" x14ac:dyDescent="0.25">
      <c r="B568" s="1">
        <f t="shared" si="61"/>
        <v>55.800000000000523</v>
      </c>
      <c r="C568" s="1">
        <f t="shared" si="62"/>
        <v>148.06019100172404</v>
      </c>
      <c r="D568" s="1">
        <f t="shared" si="58"/>
        <v>-48.969442737280097</v>
      </c>
      <c r="E568" s="1">
        <f t="shared" si="63"/>
        <v>-48.969442737280097</v>
      </c>
      <c r="F568" s="1">
        <f t="shared" si="59"/>
        <v>-3.7015047750431012</v>
      </c>
      <c r="G568" s="1"/>
      <c r="H568">
        <f t="shared" si="64"/>
        <v>3</v>
      </c>
      <c r="I568" s="1">
        <f t="shared" si="60"/>
        <v>55.800000000000523</v>
      </c>
    </row>
    <row r="569" spans="2:9" x14ac:dyDescent="0.25">
      <c r="B569" s="1">
        <f t="shared" si="61"/>
        <v>55.900000000000524</v>
      </c>
      <c r="C569" s="1">
        <f t="shared" si="62"/>
        <v>143.16324672799601</v>
      </c>
      <c r="D569" s="1">
        <f t="shared" si="58"/>
        <v>-49.339593214784408</v>
      </c>
      <c r="E569" s="1">
        <f t="shared" si="63"/>
        <v>-49.339593214784408</v>
      </c>
      <c r="F569" s="1">
        <f t="shared" si="59"/>
        <v>-3.5790811681999006</v>
      </c>
      <c r="G569" s="1"/>
      <c r="H569">
        <f t="shared" si="64"/>
        <v>3</v>
      </c>
      <c r="I569" s="1">
        <f t="shared" si="60"/>
        <v>55.900000000000524</v>
      </c>
    </row>
    <row r="570" spans="2:9" x14ac:dyDescent="0.25">
      <c r="B570" s="1">
        <f t="shared" si="61"/>
        <v>56.000000000000526</v>
      </c>
      <c r="C570" s="1">
        <f t="shared" si="62"/>
        <v>138.22928740651756</v>
      </c>
      <c r="D570" s="1">
        <f t="shared" si="58"/>
        <v>-49.6975013316044</v>
      </c>
      <c r="E570" s="1">
        <f t="shared" si="63"/>
        <v>-49.6975013316044</v>
      </c>
      <c r="F570" s="1">
        <f t="shared" si="59"/>
        <v>-3.455732185162939</v>
      </c>
      <c r="G570" s="1"/>
      <c r="H570">
        <f t="shared" si="64"/>
        <v>3</v>
      </c>
      <c r="I570" s="1">
        <f t="shared" si="60"/>
        <v>56.000000000000526</v>
      </c>
    </row>
    <row r="571" spans="2:9" x14ac:dyDescent="0.25">
      <c r="B571" s="1">
        <f t="shared" si="61"/>
        <v>56.100000000000527</v>
      </c>
      <c r="C571" s="1">
        <f t="shared" si="62"/>
        <v>133.25953727335713</v>
      </c>
      <c r="D571" s="1">
        <f t="shared" si="58"/>
        <v>-50.043074550120693</v>
      </c>
      <c r="E571" s="1">
        <f t="shared" si="63"/>
        <v>-50.043074550120693</v>
      </c>
      <c r="F571" s="1">
        <f t="shared" si="59"/>
        <v>-3.3314884318339284</v>
      </c>
      <c r="G571" s="1"/>
      <c r="H571">
        <f t="shared" si="64"/>
        <v>3</v>
      </c>
      <c r="I571" s="1">
        <f t="shared" si="60"/>
        <v>56.100000000000527</v>
      </c>
    </row>
    <row r="572" spans="2:9" x14ac:dyDescent="0.25">
      <c r="B572" s="1">
        <f t="shared" si="61"/>
        <v>56.200000000000529</v>
      </c>
      <c r="C572" s="1">
        <f t="shared" si="62"/>
        <v>128.25522981834504</v>
      </c>
      <c r="D572" s="1">
        <f t="shared" si="58"/>
        <v>-50.376223393304087</v>
      </c>
      <c r="E572" s="1">
        <f t="shared" si="63"/>
        <v>-50.376223393304087</v>
      </c>
      <c r="F572" s="1">
        <f t="shared" si="59"/>
        <v>-3.2063807454586262</v>
      </c>
      <c r="G572" s="1"/>
      <c r="H572">
        <f t="shared" si="64"/>
        <v>3</v>
      </c>
      <c r="I572" s="1">
        <f t="shared" si="60"/>
        <v>56.200000000000529</v>
      </c>
    </row>
    <row r="573" spans="2:9" x14ac:dyDescent="0.25">
      <c r="B573" s="1">
        <f t="shared" si="61"/>
        <v>56.30000000000053</v>
      </c>
      <c r="C573" s="1">
        <f t="shared" si="62"/>
        <v>123.21760747901463</v>
      </c>
      <c r="D573" s="1">
        <f t="shared" si="58"/>
        <v>-50.696861467849949</v>
      </c>
      <c r="E573" s="1">
        <f t="shared" si="63"/>
        <v>-50.696861467849949</v>
      </c>
      <c r="F573" s="1">
        <f t="shared" si="59"/>
        <v>-3.0804401869753661</v>
      </c>
      <c r="G573" s="1"/>
      <c r="H573">
        <f t="shared" si="64"/>
        <v>3</v>
      </c>
      <c r="I573" s="1">
        <f t="shared" si="60"/>
        <v>56.30000000000053</v>
      </c>
    </row>
    <row r="574" spans="2:9" x14ac:dyDescent="0.25">
      <c r="B574" s="1">
        <f t="shared" si="61"/>
        <v>56.400000000000531</v>
      </c>
      <c r="C574" s="1">
        <f t="shared" si="62"/>
        <v>118.14792133222963</v>
      </c>
      <c r="D574" s="1">
        <f t="shared" si="58"/>
        <v>-51.004905486547486</v>
      </c>
      <c r="E574" s="1">
        <f t="shared" si="63"/>
        <v>-51.004905486547486</v>
      </c>
      <c r="F574" s="1">
        <f t="shared" si="59"/>
        <v>-2.953698033305741</v>
      </c>
      <c r="G574" s="1"/>
      <c r="H574">
        <f t="shared" si="64"/>
        <v>3</v>
      </c>
      <c r="I574" s="1">
        <f t="shared" si="60"/>
        <v>56.400000000000531</v>
      </c>
    </row>
    <row r="575" spans="2:9" x14ac:dyDescent="0.25">
      <c r="B575" s="1">
        <f t="shared" si="61"/>
        <v>56.500000000000533</v>
      </c>
      <c r="C575" s="1">
        <f t="shared" si="62"/>
        <v>113.04743078357488</v>
      </c>
      <c r="D575" s="1">
        <f t="shared" si="58"/>
        <v>-51.300275289878059</v>
      </c>
      <c r="E575" s="1">
        <f t="shared" si="63"/>
        <v>-51.300275289878059</v>
      </c>
      <c r="F575" s="1">
        <f t="shared" si="59"/>
        <v>-2.8261857695893724</v>
      </c>
      <c r="G575" s="1"/>
      <c r="H575">
        <f t="shared" si="64"/>
        <v>3</v>
      </c>
      <c r="I575" s="1">
        <f t="shared" si="60"/>
        <v>56.500000000000533</v>
      </c>
    </row>
    <row r="576" spans="2:9" x14ac:dyDescent="0.25">
      <c r="B576" s="1">
        <f t="shared" si="61"/>
        <v>56.600000000000534</v>
      </c>
      <c r="C576" s="1">
        <f t="shared" si="62"/>
        <v>107.91740325458707</v>
      </c>
      <c r="D576" s="1">
        <f t="shared" si="58"/>
        <v>-51.582893866836997</v>
      </c>
      <c r="E576" s="1">
        <f t="shared" si="63"/>
        <v>-51.582893866836997</v>
      </c>
      <c r="F576" s="1">
        <f t="shared" si="59"/>
        <v>-2.697935081364677</v>
      </c>
      <c r="G576" s="1"/>
      <c r="H576">
        <f t="shared" si="64"/>
        <v>3</v>
      </c>
      <c r="I576" s="1">
        <f t="shared" si="60"/>
        <v>56.600000000000534</v>
      </c>
    </row>
    <row r="577" spans="2:9" x14ac:dyDescent="0.25">
      <c r="B577" s="1">
        <f t="shared" si="61"/>
        <v>56.700000000000536</v>
      </c>
      <c r="C577" s="1">
        <f t="shared" si="62"/>
        <v>102.75911386790337</v>
      </c>
      <c r="D577" s="1">
        <f t="shared" si="58"/>
        <v>-51.852687374973463</v>
      </c>
      <c r="E577" s="1">
        <f t="shared" si="63"/>
        <v>-51.852687374973463</v>
      </c>
      <c r="F577" s="1">
        <f t="shared" si="59"/>
        <v>-2.5689778466975843</v>
      </c>
      <c r="G577" s="1"/>
      <c r="H577">
        <f t="shared" si="64"/>
        <v>3</v>
      </c>
      <c r="I577" s="1">
        <f t="shared" si="60"/>
        <v>56.700000000000536</v>
      </c>
    </row>
    <row r="578" spans="2:9" x14ac:dyDescent="0.25">
      <c r="B578" s="1">
        <f t="shared" si="61"/>
        <v>56.800000000000537</v>
      </c>
      <c r="C578" s="1">
        <f t="shared" si="62"/>
        <v>97.573845130406013</v>
      </c>
      <c r="D578" s="1">
        <f t="shared" si="58"/>
        <v>-52.109585159643224</v>
      </c>
      <c r="E578" s="1">
        <f t="shared" si="63"/>
        <v>-52.109585159643224</v>
      </c>
      <c r="F578" s="1">
        <f t="shared" si="59"/>
        <v>-2.4393461282601505</v>
      </c>
      <c r="G578" s="1"/>
      <c r="H578">
        <f t="shared" si="64"/>
        <v>3</v>
      </c>
      <c r="I578" s="1">
        <f t="shared" si="60"/>
        <v>56.800000000000537</v>
      </c>
    </row>
    <row r="579" spans="2:9" x14ac:dyDescent="0.25">
      <c r="B579" s="1">
        <f t="shared" si="61"/>
        <v>56.900000000000539</v>
      </c>
      <c r="C579" s="1">
        <f t="shared" si="62"/>
        <v>92.362886614441692</v>
      </c>
      <c r="D579" s="1">
        <f t="shared" si="58"/>
        <v>-52.353519772469241</v>
      </c>
      <c r="E579" s="1">
        <f t="shared" si="63"/>
        <v>-52.353519772469241</v>
      </c>
      <c r="F579" s="1">
        <f t="shared" si="59"/>
        <v>-2.3090721653610422</v>
      </c>
      <c r="G579" s="1"/>
      <c r="H579">
        <f t="shared" si="64"/>
        <v>3</v>
      </c>
      <c r="I579" s="1">
        <f t="shared" si="60"/>
        <v>56.900000000000539</v>
      </c>
    </row>
    <row r="580" spans="2:9" x14ac:dyDescent="0.25">
      <c r="B580" s="1">
        <f t="shared" si="61"/>
        <v>57.00000000000054</v>
      </c>
      <c r="C580" s="1">
        <f t="shared" si="62"/>
        <v>87.127534637194771</v>
      </c>
      <c r="D580" s="1">
        <f t="shared" si="58"/>
        <v>-52.584426989005344</v>
      </c>
      <c r="E580" s="1">
        <f t="shared" si="63"/>
        <v>-52.584426989005344</v>
      </c>
      <c r="F580" s="1">
        <f t="shared" si="59"/>
        <v>-2.1781883659298695</v>
      </c>
      <c r="G580" s="1"/>
      <c r="H580">
        <f t="shared" si="64"/>
        <v>3</v>
      </c>
      <c r="I580" s="1">
        <f t="shared" si="60"/>
        <v>57.00000000000054</v>
      </c>
    </row>
    <row r="581" spans="2:9" x14ac:dyDescent="0.25">
      <c r="B581" s="1">
        <f t="shared" si="61"/>
        <v>57.100000000000541</v>
      </c>
      <c r="C581" s="1">
        <f t="shared" si="62"/>
        <v>81.869091938294233</v>
      </c>
      <c r="D581" s="1">
        <f t="shared" si="58"/>
        <v>-52.802245825598334</v>
      </c>
      <c r="E581" s="1">
        <f t="shared" si="63"/>
        <v>-52.802245825598334</v>
      </c>
      <c r="F581" s="1">
        <f t="shared" si="59"/>
        <v>-2.0467272984573559</v>
      </c>
      <c r="G581" s="1"/>
      <c r="H581">
        <f t="shared" si="64"/>
        <v>3</v>
      </c>
      <c r="I581" s="1">
        <f t="shared" si="60"/>
        <v>57.100000000000541</v>
      </c>
    </row>
    <row r="582" spans="2:9" x14ac:dyDescent="0.25">
      <c r="B582" s="1">
        <f t="shared" si="61"/>
        <v>57.200000000000543</v>
      </c>
      <c r="C582" s="1">
        <f t="shared" si="62"/>
        <v>76.588867355734394</v>
      </c>
      <c r="D582" s="1">
        <f t="shared" si="58"/>
        <v>-53.006918555444066</v>
      </c>
      <c r="E582" s="1">
        <f t="shared" si="63"/>
        <v>-53.006918555444066</v>
      </c>
      <c r="F582" s="1">
        <f t="shared" si="59"/>
        <v>-1.9147216838933598</v>
      </c>
      <c r="G582" s="1"/>
      <c r="H582">
        <f t="shared" si="64"/>
        <v>3</v>
      </c>
      <c r="I582" s="1">
        <f t="shared" si="60"/>
        <v>57.200000000000543</v>
      </c>
    </row>
    <row r="583" spans="2:9" x14ac:dyDescent="0.25">
      <c r="B583" s="1">
        <f t="shared" si="61"/>
        <v>57.300000000000544</v>
      </c>
      <c r="C583" s="1">
        <f t="shared" si="62"/>
        <v>71.288175500189993</v>
      </c>
      <c r="D583" s="1">
        <f t="shared" si="58"/>
        <v>-53.198390723833406</v>
      </c>
      <c r="E583" s="1">
        <f t="shared" si="63"/>
        <v>-53.198390723833406</v>
      </c>
      <c r="F583" s="1">
        <f t="shared" si="59"/>
        <v>-1.78220438750475</v>
      </c>
      <c r="G583" s="1"/>
      <c r="H583">
        <f t="shared" si="64"/>
        <v>3</v>
      </c>
      <c r="I583" s="1">
        <f t="shared" si="60"/>
        <v>57.300000000000544</v>
      </c>
    </row>
    <row r="584" spans="2:9" x14ac:dyDescent="0.25">
      <c r="B584" s="1">
        <f t="shared" si="61"/>
        <v>57.400000000000546</v>
      </c>
      <c r="C584" s="1">
        <f t="shared" si="62"/>
        <v>65.968336427806648</v>
      </c>
      <c r="D584" s="1">
        <f t="shared" si="58"/>
        <v>-53.376611162583878</v>
      </c>
      <c r="E584" s="1">
        <f t="shared" si="63"/>
        <v>-53.376611162583878</v>
      </c>
      <c r="F584" s="1">
        <f t="shared" si="59"/>
        <v>-1.6492084106951663</v>
      </c>
      <c r="G584" s="1"/>
      <c r="H584">
        <f t="shared" si="64"/>
        <v>3</v>
      </c>
      <c r="I584" s="1">
        <f t="shared" si="60"/>
        <v>57.400000000000546</v>
      </c>
    </row>
    <row r="585" spans="2:9" x14ac:dyDescent="0.25">
      <c r="B585" s="1">
        <f t="shared" si="61"/>
        <v>57.500000000000547</v>
      </c>
      <c r="C585" s="1">
        <f t="shared" si="62"/>
        <v>60.630675311548259</v>
      </c>
      <c r="D585" s="1">
        <f t="shared" si="58"/>
        <v>-53.541532003653394</v>
      </c>
      <c r="E585" s="1">
        <f t="shared" si="63"/>
        <v>-53.541532003653394</v>
      </c>
      <c r="F585" s="1">
        <f t="shared" si="59"/>
        <v>-1.5157668827887065</v>
      </c>
      <c r="G585" s="1"/>
      <c r="H585">
        <f t="shared" si="64"/>
        <v>3</v>
      </c>
      <c r="I585" s="1">
        <f t="shared" si="60"/>
        <v>57.500000000000547</v>
      </c>
    </row>
    <row r="586" spans="2:9" x14ac:dyDescent="0.25">
      <c r="B586" s="1">
        <f t="shared" si="61"/>
        <v>57.600000000000549</v>
      </c>
      <c r="C586" s="1">
        <f t="shared" si="62"/>
        <v>55.276522111182921</v>
      </c>
      <c r="D586" s="1">
        <f t="shared" ref="D586:D649" si="65">E586</f>
        <v>-53.693108691932267</v>
      </c>
      <c r="E586" s="1">
        <f t="shared" si="63"/>
        <v>-53.693108691932267</v>
      </c>
      <c r="F586" s="1">
        <f t="shared" ref="F586:F649" si="66">-$C$3*C586/$C$4-$C$2/$C$4*E586</f>
        <v>-1.3819130527795731</v>
      </c>
      <c r="G586" s="1"/>
      <c r="H586">
        <f t="shared" si="64"/>
        <v>3</v>
      </c>
      <c r="I586" s="1">
        <f t="shared" ref="I586:I649" si="67">B586</f>
        <v>57.600000000000549</v>
      </c>
    </row>
    <row r="587" spans="2:9" x14ac:dyDescent="0.25">
      <c r="B587" s="1">
        <f t="shared" ref="B587:B650" si="68">B586+$C$7</f>
        <v>57.70000000000055</v>
      </c>
      <c r="C587" s="1">
        <f t="shared" ref="C587:C650" si="69">C586+D586*$C$7</f>
        <v>49.907211241989692</v>
      </c>
      <c r="D587" s="1">
        <f t="shared" si="65"/>
        <v>-53.831299997210223</v>
      </c>
      <c r="E587" s="1">
        <f t="shared" ref="E587:E650" si="70">E586+F586*$C$7</f>
        <v>-53.831299997210223</v>
      </c>
      <c r="F587" s="1">
        <f t="shared" si="66"/>
        <v>-1.2476802810497425</v>
      </c>
      <c r="G587" s="1"/>
      <c r="H587">
        <f t="shared" ref="H587:H650" si="71">H586+(D587*D588&lt;0)*1</f>
        <v>3</v>
      </c>
      <c r="I587" s="1">
        <f t="shared" si="67"/>
        <v>57.70000000000055</v>
      </c>
    </row>
    <row r="588" spans="2:9" x14ac:dyDescent="0.25">
      <c r="B588" s="1">
        <f t="shared" si="68"/>
        <v>57.800000000000551</v>
      </c>
      <c r="C588" s="1">
        <f t="shared" si="69"/>
        <v>44.524081242268672</v>
      </c>
      <c r="D588" s="1">
        <f t="shared" si="65"/>
        <v>-53.956068025315197</v>
      </c>
      <c r="E588" s="1">
        <f t="shared" si="70"/>
        <v>-53.956068025315197</v>
      </c>
      <c r="F588" s="1">
        <f t="shared" si="66"/>
        <v>-1.1131020310567168</v>
      </c>
      <c r="G588" s="1"/>
      <c r="H588">
        <f t="shared" si="71"/>
        <v>3</v>
      </c>
      <c r="I588" s="1">
        <f t="shared" si="67"/>
        <v>57.800000000000551</v>
      </c>
    </row>
    <row r="589" spans="2:9" x14ac:dyDescent="0.25">
      <c r="B589" s="1">
        <f t="shared" si="68"/>
        <v>57.900000000000553</v>
      </c>
      <c r="C589" s="1">
        <f t="shared" si="69"/>
        <v>39.128474439737154</v>
      </c>
      <c r="D589" s="1">
        <f t="shared" si="65"/>
        <v>-54.067378228420871</v>
      </c>
      <c r="E589" s="1">
        <f t="shared" si="70"/>
        <v>-54.067378228420871</v>
      </c>
      <c r="F589" s="1">
        <f t="shared" si="66"/>
        <v>-0.97821186099342894</v>
      </c>
      <c r="G589" s="1"/>
      <c r="H589">
        <f t="shared" si="71"/>
        <v>3</v>
      </c>
      <c r="I589" s="1">
        <f t="shared" si="67"/>
        <v>57.900000000000553</v>
      </c>
    </row>
    <row r="590" spans="2:9" x14ac:dyDescent="0.25">
      <c r="B590" s="1">
        <f t="shared" si="68"/>
        <v>58.000000000000554</v>
      </c>
      <c r="C590" s="1">
        <f t="shared" si="69"/>
        <v>33.721736616895065</v>
      </c>
      <c r="D590" s="1">
        <f t="shared" si="65"/>
        <v>-54.165199414520217</v>
      </c>
      <c r="E590" s="1">
        <f t="shared" si="70"/>
        <v>-54.165199414520217</v>
      </c>
      <c r="F590" s="1">
        <f t="shared" si="66"/>
        <v>-0.84304341542237671</v>
      </c>
      <c r="G590" s="1"/>
      <c r="H590">
        <f t="shared" si="71"/>
        <v>3</v>
      </c>
      <c r="I590" s="1">
        <f t="shared" si="67"/>
        <v>58.000000000000554</v>
      </c>
    </row>
    <row r="591" spans="2:9" x14ac:dyDescent="0.25">
      <c r="B591" s="1">
        <f t="shared" si="68"/>
        <v>58.100000000000556</v>
      </c>
      <c r="C591" s="1">
        <f t="shared" si="69"/>
        <v>28.305216675443042</v>
      </c>
      <c r="D591" s="1">
        <f t="shared" si="65"/>
        <v>-54.249503756062452</v>
      </c>
      <c r="E591" s="1">
        <f t="shared" si="70"/>
        <v>-54.249503756062452</v>
      </c>
      <c r="F591" s="1">
        <f t="shared" si="66"/>
        <v>-0.70763041688607609</v>
      </c>
      <c r="G591" s="1"/>
      <c r="H591">
        <f t="shared" si="71"/>
        <v>3</v>
      </c>
      <c r="I591" s="1">
        <f t="shared" si="67"/>
        <v>58.100000000000556</v>
      </c>
    </row>
    <row r="592" spans="2:9" x14ac:dyDescent="0.25">
      <c r="B592" s="1">
        <f t="shared" si="68"/>
        <v>58.200000000000557</v>
      </c>
      <c r="C592" s="1">
        <f t="shared" si="69"/>
        <v>22.880266299836798</v>
      </c>
      <c r="D592" s="1">
        <f t="shared" si="65"/>
        <v>-54.32026679775106</v>
      </c>
      <c r="E592" s="1">
        <f t="shared" si="70"/>
        <v>-54.32026679775106</v>
      </c>
      <c r="F592" s="1">
        <f t="shared" si="66"/>
        <v>-0.57200665749591995</v>
      </c>
      <c r="G592" s="1"/>
      <c r="H592">
        <f t="shared" si="71"/>
        <v>3</v>
      </c>
      <c r="I592" s="1">
        <f t="shared" si="67"/>
        <v>58.200000000000557</v>
      </c>
    </row>
    <row r="593" spans="2:9" x14ac:dyDescent="0.25">
      <c r="B593" s="1">
        <f t="shared" si="68"/>
        <v>58.300000000000558</v>
      </c>
      <c r="C593" s="1">
        <f t="shared" si="69"/>
        <v>17.448239620061692</v>
      </c>
      <c r="D593" s="1">
        <f t="shared" si="65"/>
        <v>-54.377467463500651</v>
      </c>
      <c r="E593" s="1">
        <f t="shared" si="70"/>
        <v>-54.377467463500651</v>
      </c>
      <c r="F593" s="1">
        <f t="shared" si="66"/>
        <v>-0.4362059905015423</v>
      </c>
      <c r="G593" s="1"/>
      <c r="H593">
        <f t="shared" si="71"/>
        <v>3</v>
      </c>
      <c r="I593" s="1">
        <f t="shared" si="67"/>
        <v>58.300000000000558</v>
      </c>
    </row>
    <row r="594" spans="2:9" x14ac:dyDescent="0.25">
      <c r="B594" s="1">
        <f t="shared" si="68"/>
        <v>58.40000000000056</v>
      </c>
      <c r="C594" s="1">
        <f t="shared" si="69"/>
        <v>12.010492873711627</v>
      </c>
      <c r="D594" s="1">
        <f t="shared" si="65"/>
        <v>-54.421088062550808</v>
      </c>
      <c r="E594" s="1">
        <f t="shared" si="70"/>
        <v>-54.421088062550808</v>
      </c>
      <c r="F594" s="1">
        <f t="shared" si="66"/>
        <v>-0.30026232184279067</v>
      </c>
      <c r="G594" s="1"/>
      <c r="H594">
        <f t="shared" si="71"/>
        <v>3</v>
      </c>
      <c r="I594" s="1">
        <f t="shared" si="67"/>
        <v>58.40000000000056</v>
      </c>
    </row>
    <row r="595" spans="2:9" x14ac:dyDescent="0.25">
      <c r="B595" s="1">
        <f t="shared" si="68"/>
        <v>58.500000000000561</v>
      </c>
      <c r="C595" s="1">
        <f t="shared" si="69"/>
        <v>6.5683840674565452</v>
      </c>
      <c r="D595" s="1">
        <f t="shared" si="65"/>
        <v>-54.451114294735085</v>
      </c>
      <c r="E595" s="1">
        <f t="shared" si="70"/>
        <v>-54.451114294735085</v>
      </c>
      <c r="F595" s="1">
        <f t="shared" si="66"/>
        <v>-0.16420960168641363</v>
      </c>
      <c r="G595" s="1"/>
      <c r="H595">
        <f t="shared" si="71"/>
        <v>3</v>
      </c>
      <c r="I595" s="1">
        <f t="shared" si="67"/>
        <v>58.500000000000561</v>
      </c>
    </row>
    <row r="596" spans="2:9" x14ac:dyDescent="0.25">
      <c r="B596" s="1">
        <f t="shared" si="68"/>
        <v>58.600000000000563</v>
      </c>
      <c r="C596" s="1">
        <f t="shared" si="69"/>
        <v>1.1232726379830362</v>
      </c>
      <c r="D596" s="1">
        <f t="shared" si="65"/>
        <v>-54.467535254903723</v>
      </c>
      <c r="E596" s="1">
        <f t="shared" si="70"/>
        <v>-54.467535254903723</v>
      </c>
      <c r="F596" s="1">
        <f t="shared" si="66"/>
        <v>-2.8081815949575907E-2</v>
      </c>
      <c r="G596" s="1"/>
      <c r="H596">
        <f t="shared" si="71"/>
        <v>3</v>
      </c>
      <c r="I596" s="1">
        <f t="shared" si="67"/>
        <v>58.600000000000563</v>
      </c>
    </row>
    <row r="597" spans="2:9" x14ac:dyDescent="0.25">
      <c r="B597" s="1">
        <f t="shared" si="68"/>
        <v>58.700000000000564</v>
      </c>
      <c r="C597" s="1">
        <f t="shared" si="69"/>
        <v>-4.3234808875073361</v>
      </c>
      <c r="D597" s="1">
        <f t="shared" si="65"/>
        <v>-54.47034343649868</v>
      </c>
      <c r="E597" s="1">
        <f t="shared" si="70"/>
        <v>-54.47034343649868</v>
      </c>
      <c r="F597" s="1">
        <f t="shared" si="66"/>
        <v>0.1080870221876834</v>
      </c>
      <c r="G597" s="1"/>
      <c r="H597">
        <f t="shared" si="71"/>
        <v>3</v>
      </c>
      <c r="I597" s="1">
        <f t="shared" si="67"/>
        <v>58.700000000000564</v>
      </c>
    </row>
    <row r="598" spans="2:9" x14ac:dyDescent="0.25">
      <c r="B598" s="1">
        <f t="shared" si="68"/>
        <v>58.800000000000566</v>
      </c>
      <c r="C598" s="1">
        <f t="shared" si="69"/>
        <v>-9.770515231157205</v>
      </c>
      <c r="D598" s="1">
        <f t="shared" si="65"/>
        <v>-54.459534734279913</v>
      </c>
      <c r="E598" s="1">
        <f t="shared" si="70"/>
        <v>-54.459534734279913</v>
      </c>
      <c r="F598" s="1">
        <f t="shared" si="66"/>
        <v>0.24426288077893013</v>
      </c>
      <c r="G598" s="1"/>
      <c r="H598">
        <f t="shared" si="71"/>
        <v>3</v>
      </c>
      <c r="I598" s="1">
        <f t="shared" si="67"/>
        <v>58.800000000000566</v>
      </c>
    </row>
    <row r="599" spans="2:9" x14ac:dyDescent="0.25">
      <c r="B599" s="1">
        <f t="shared" si="68"/>
        <v>58.900000000000567</v>
      </c>
      <c r="C599" s="1">
        <f t="shared" si="69"/>
        <v>-15.216468704585196</v>
      </c>
      <c r="D599" s="1">
        <f t="shared" si="65"/>
        <v>-54.435108446202022</v>
      </c>
      <c r="E599" s="1">
        <f t="shared" si="70"/>
        <v>-54.435108446202022</v>
      </c>
      <c r="F599" s="1">
        <f t="shared" si="66"/>
        <v>0.38041171761462994</v>
      </c>
      <c r="G599" s="1"/>
      <c r="H599">
        <f t="shared" si="71"/>
        <v>3</v>
      </c>
      <c r="I599" s="1">
        <f t="shared" si="67"/>
        <v>58.900000000000567</v>
      </c>
    </row>
    <row r="600" spans="2:9" x14ac:dyDescent="0.25">
      <c r="B600" s="1">
        <f t="shared" si="68"/>
        <v>59.000000000000568</v>
      </c>
      <c r="C600" s="1">
        <f t="shared" si="69"/>
        <v>-20.659979549205399</v>
      </c>
      <c r="D600" s="1">
        <f t="shared" si="65"/>
        <v>-54.397067274440559</v>
      </c>
      <c r="E600" s="1">
        <f t="shared" si="70"/>
        <v>-54.397067274440559</v>
      </c>
      <c r="F600" s="1">
        <f t="shared" si="66"/>
        <v>0.51649948873013496</v>
      </c>
      <c r="G600" s="1"/>
      <c r="H600">
        <f t="shared" si="71"/>
        <v>3</v>
      </c>
      <c r="I600" s="1">
        <f t="shared" si="67"/>
        <v>59.000000000000568</v>
      </c>
    </row>
    <row r="601" spans="2:9" x14ac:dyDescent="0.25">
      <c r="B601" s="1">
        <f t="shared" si="68"/>
        <v>59.10000000000057</v>
      </c>
      <c r="C601" s="1">
        <f t="shared" si="69"/>
        <v>-26.099686276649457</v>
      </c>
      <c r="D601" s="1">
        <f t="shared" si="65"/>
        <v>-54.345417325567546</v>
      </c>
      <c r="E601" s="1">
        <f t="shared" si="70"/>
        <v>-54.345417325567546</v>
      </c>
      <c r="F601" s="1">
        <f t="shared" si="66"/>
        <v>0.65249215691623652</v>
      </c>
      <c r="G601" s="1"/>
      <c r="H601">
        <f t="shared" si="71"/>
        <v>3</v>
      </c>
      <c r="I601" s="1">
        <f t="shared" si="67"/>
        <v>59.10000000000057</v>
      </c>
    </row>
    <row r="602" spans="2:9" x14ac:dyDescent="0.25">
      <c r="B602" s="1">
        <f t="shared" si="68"/>
        <v>59.200000000000571</v>
      </c>
      <c r="C602" s="1">
        <f t="shared" si="69"/>
        <v>-31.534228009206213</v>
      </c>
      <c r="D602" s="1">
        <f t="shared" si="65"/>
        <v>-54.280168109875923</v>
      </c>
      <c r="E602" s="1">
        <f t="shared" si="70"/>
        <v>-54.280168109875923</v>
      </c>
      <c r="F602" s="1">
        <f t="shared" si="66"/>
        <v>0.78835570023015533</v>
      </c>
      <c r="G602" s="1"/>
      <c r="H602">
        <f t="shared" si="71"/>
        <v>3</v>
      </c>
      <c r="I602" s="1">
        <f t="shared" si="67"/>
        <v>59.200000000000571</v>
      </c>
    </row>
    <row r="603" spans="2:9" x14ac:dyDescent="0.25">
      <c r="B603" s="1">
        <f t="shared" si="68"/>
        <v>59.300000000000573</v>
      </c>
      <c r="C603" s="1">
        <f t="shared" si="69"/>
        <v>-36.962244820193803</v>
      </c>
      <c r="D603" s="1">
        <f t="shared" si="65"/>
        <v>-54.201332539852906</v>
      </c>
      <c r="E603" s="1">
        <f t="shared" si="70"/>
        <v>-54.201332539852906</v>
      </c>
      <c r="F603" s="1">
        <f t="shared" si="66"/>
        <v>0.92405612050484509</v>
      </c>
      <c r="G603" s="1"/>
      <c r="H603">
        <f t="shared" si="71"/>
        <v>3</v>
      </c>
      <c r="I603" s="1">
        <f t="shared" si="67"/>
        <v>59.300000000000573</v>
      </c>
    </row>
    <row r="604" spans="2:9" x14ac:dyDescent="0.25">
      <c r="B604" s="1">
        <f t="shared" si="68"/>
        <v>59.400000000000574</v>
      </c>
      <c r="C604" s="1">
        <f t="shared" si="69"/>
        <v>-42.382378074179094</v>
      </c>
      <c r="D604" s="1">
        <f t="shared" si="65"/>
        <v>-54.108926927802422</v>
      </c>
      <c r="E604" s="1">
        <f t="shared" si="70"/>
        <v>-54.108926927802422</v>
      </c>
      <c r="F604" s="1">
        <f t="shared" si="66"/>
        <v>1.0595594518544773</v>
      </c>
      <c r="G604" s="1"/>
      <c r="H604">
        <f t="shared" si="71"/>
        <v>3</v>
      </c>
      <c r="I604" s="1">
        <f t="shared" si="67"/>
        <v>59.400000000000574</v>
      </c>
    </row>
    <row r="605" spans="2:9" x14ac:dyDescent="0.25">
      <c r="B605" s="1">
        <f t="shared" si="68"/>
        <v>59.500000000000576</v>
      </c>
      <c r="C605" s="1">
        <f t="shared" si="69"/>
        <v>-47.793270766959338</v>
      </c>
      <c r="D605" s="1">
        <f t="shared" si="65"/>
        <v>-54.002970982616972</v>
      </c>
      <c r="E605" s="1">
        <f t="shared" si="70"/>
        <v>-54.002970982616972</v>
      </c>
      <c r="F605" s="1">
        <f t="shared" si="66"/>
        <v>1.1948317691739836</v>
      </c>
      <c r="G605" s="1"/>
      <c r="H605">
        <f t="shared" si="71"/>
        <v>3</v>
      </c>
      <c r="I605" s="1">
        <f t="shared" si="67"/>
        <v>59.500000000000576</v>
      </c>
    </row>
    <row r="606" spans="2:9" x14ac:dyDescent="0.25">
      <c r="B606" s="1">
        <f t="shared" si="68"/>
        <v>59.600000000000577</v>
      </c>
      <c r="C606" s="1">
        <f t="shared" si="69"/>
        <v>-53.193567865221034</v>
      </c>
      <c r="D606" s="1">
        <f t="shared" si="65"/>
        <v>-53.883487805699573</v>
      </c>
      <c r="E606" s="1">
        <f t="shared" si="70"/>
        <v>-53.883487805699573</v>
      </c>
      <c r="F606" s="1">
        <f t="shared" si="66"/>
        <v>1.3298391966305259</v>
      </c>
      <c r="G606" s="1"/>
      <c r="H606">
        <f t="shared" si="71"/>
        <v>3</v>
      </c>
      <c r="I606" s="1">
        <f t="shared" si="67"/>
        <v>59.600000000000577</v>
      </c>
    </row>
    <row r="607" spans="2:9" x14ac:dyDescent="0.25">
      <c r="B607" s="1">
        <f t="shared" si="68"/>
        <v>59.700000000000578</v>
      </c>
      <c r="C607" s="1">
        <f t="shared" si="69"/>
        <v>-58.58191664579099</v>
      </c>
      <c r="D607" s="1">
        <f t="shared" si="65"/>
        <v>-53.750503886036519</v>
      </c>
      <c r="E607" s="1">
        <f t="shared" si="70"/>
        <v>-53.750503886036519</v>
      </c>
      <c r="F607" s="1">
        <f t="shared" si="66"/>
        <v>1.4645479161447748</v>
      </c>
      <c r="G607" s="1"/>
      <c r="H607">
        <f t="shared" si="71"/>
        <v>3</v>
      </c>
      <c r="I607" s="1">
        <f t="shared" si="67"/>
        <v>59.700000000000578</v>
      </c>
    </row>
    <row r="608" spans="2:9" x14ac:dyDescent="0.25">
      <c r="B608" s="1">
        <f t="shared" si="68"/>
        <v>59.80000000000058</v>
      </c>
      <c r="C608" s="1">
        <f t="shared" si="69"/>
        <v>-63.956967034394644</v>
      </c>
      <c r="D608" s="1">
        <f t="shared" si="65"/>
        <v>-53.604049094422038</v>
      </c>
      <c r="E608" s="1">
        <f t="shared" si="70"/>
        <v>-53.604049094422038</v>
      </c>
      <c r="F608" s="1">
        <f t="shared" si="66"/>
        <v>1.5989241758598662</v>
      </c>
      <c r="G608" s="1"/>
      <c r="H608">
        <f t="shared" si="71"/>
        <v>3</v>
      </c>
      <c r="I608" s="1">
        <f t="shared" si="67"/>
        <v>59.80000000000058</v>
      </c>
    </row>
    <row r="609" spans="2:9" x14ac:dyDescent="0.25">
      <c r="B609" s="1">
        <f t="shared" si="68"/>
        <v>59.900000000000581</v>
      </c>
      <c r="C609" s="1">
        <f t="shared" si="69"/>
        <v>-69.317371943836847</v>
      </c>
      <c r="D609" s="1">
        <f t="shared" si="65"/>
        <v>-53.444156676836052</v>
      </c>
      <c r="E609" s="1">
        <f t="shared" si="70"/>
        <v>-53.444156676836052</v>
      </c>
      <c r="F609" s="1">
        <f t="shared" si="66"/>
        <v>1.7329342985959213</v>
      </c>
      <c r="G609" s="1"/>
      <c r="H609">
        <f t="shared" si="71"/>
        <v>3</v>
      </c>
      <c r="I609" s="1">
        <f t="shared" si="67"/>
        <v>59.900000000000581</v>
      </c>
    </row>
    <row r="610" spans="2:9" x14ac:dyDescent="0.25">
      <c r="B610" s="1">
        <f t="shared" si="68"/>
        <v>60.000000000000583</v>
      </c>
      <c r="C610" s="1">
        <f t="shared" si="69"/>
        <v>-74.661787611520452</v>
      </c>
      <c r="D610" s="1">
        <f t="shared" si="65"/>
        <v>-53.270863246976461</v>
      </c>
      <c r="E610" s="1">
        <f t="shared" si="70"/>
        <v>-53.270863246976461</v>
      </c>
      <c r="F610" s="1">
        <f t="shared" si="66"/>
        <v>1.8665446902880114</v>
      </c>
      <c r="G610" s="1"/>
      <c r="H610">
        <f t="shared" si="71"/>
        <v>3</v>
      </c>
      <c r="I610" s="1">
        <f t="shared" si="67"/>
        <v>60.000000000000583</v>
      </c>
    </row>
    <row r="611" spans="2:9" x14ac:dyDescent="0.25">
      <c r="B611" s="1">
        <f t="shared" si="68"/>
        <v>60.100000000000584</v>
      </c>
      <c r="C611" s="1">
        <f t="shared" si="69"/>
        <v>-79.988873936218098</v>
      </c>
      <c r="D611" s="1">
        <f t="shared" si="65"/>
        <v>-53.084208777947659</v>
      </c>
      <c r="E611" s="1">
        <f t="shared" si="70"/>
        <v>-53.084208777947659</v>
      </c>
      <c r="F611" s="1">
        <f t="shared" si="66"/>
        <v>1.9997218484054526</v>
      </c>
      <c r="G611" s="1"/>
      <c r="H611">
        <f t="shared" si="71"/>
        <v>3</v>
      </c>
      <c r="I611" s="1">
        <f t="shared" si="67"/>
        <v>60.100000000000584</v>
      </c>
    </row>
    <row r="612" spans="2:9" x14ac:dyDescent="0.25">
      <c r="B612" s="1">
        <f t="shared" si="68"/>
        <v>60.200000000000585</v>
      </c>
      <c r="C612" s="1">
        <f t="shared" si="69"/>
        <v>-85.297294814012872</v>
      </c>
      <c r="D612" s="1">
        <f t="shared" si="65"/>
        <v>-52.884236593107111</v>
      </c>
      <c r="E612" s="1">
        <f t="shared" si="70"/>
        <v>-52.884236593107111</v>
      </c>
      <c r="F612" s="1">
        <f t="shared" si="66"/>
        <v>2.1324323703503221</v>
      </c>
      <c r="G612" s="1"/>
      <c r="H612">
        <f t="shared" si="71"/>
        <v>3</v>
      </c>
      <c r="I612" s="1">
        <f t="shared" si="67"/>
        <v>60.200000000000585</v>
      </c>
    </row>
    <row r="613" spans="2:9" x14ac:dyDescent="0.25">
      <c r="B613" s="1">
        <f t="shared" si="68"/>
        <v>60.300000000000587</v>
      </c>
      <c r="C613" s="1">
        <f t="shared" si="69"/>
        <v>-90.585718473323581</v>
      </c>
      <c r="D613" s="1">
        <f t="shared" si="65"/>
        <v>-52.670993356072081</v>
      </c>
      <c r="E613" s="1">
        <f t="shared" si="70"/>
        <v>-52.670993356072081</v>
      </c>
      <c r="F613" s="1">
        <f t="shared" si="66"/>
        <v>2.2646429618330894</v>
      </c>
      <c r="G613" s="1"/>
      <c r="H613">
        <f t="shared" si="71"/>
        <v>3</v>
      </c>
      <c r="I613" s="1">
        <f t="shared" si="67"/>
        <v>60.300000000000587</v>
      </c>
    </row>
    <row r="614" spans="2:9" x14ac:dyDescent="0.25">
      <c r="B614" s="1">
        <f t="shared" si="68"/>
        <v>60.400000000000588</v>
      </c>
      <c r="C614" s="1">
        <f t="shared" si="69"/>
        <v>-95.852817808930794</v>
      </c>
      <c r="D614" s="1">
        <f t="shared" si="65"/>
        <v>-52.444529059888772</v>
      </c>
      <c r="E614" s="1">
        <f t="shared" si="70"/>
        <v>-52.444529059888772</v>
      </c>
      <c r="F614" s="1">
        <f t="shared" si="66"/>
        <v>2.39632044522327</v>
      </c>
      <c r="G614" s="1"/>
      <c r="H614">
        <f t="shared" si="71"/>
        <v>3</v>
      </c>
      <c r="I614" s="1">
        <f t="shared" si="67"/>
        <v>60.400000000000588</v>
      </c>
    </row>
    <row r="615" spans="2:9" x14ac:dyDescent="0.25">
      <c r="B615" s="1">
        <f t="shared" si="68"/>
        <v>60.50000000000059</v>
      </c>
      <c r="C615" s="1">
        <f t="shared" si="69"/>
        <v>-101.09727071491967</v>
      </c>
      <c r="D615" s="1">
        <f t="shared" si="65"/>
        <v>-52.204897015366448</v>
      </c>
      <c r="E615" s="1">
        <f t="shared" si="70"/>
        <v>-52.204897015366448</v>
      </c>
      <c r="F615" s="1">
        <f t="shared" si="66"/>
        <v>2.5274317678729918</v>
      </c>
      <c r="G615" s="1"/>
      <c r="H615">
        <f t="shared" si="71"/>
        <v>3</v>
      </c>
      <c r="I615" s="1">
        <f t="shared" si="67"/>
        <v>60.50000000000059</v>
      </c>
    </row>
    <row r="616" spans="2:9" x14ac:dyDescent="0.25">
      <c r="B616" s="1">
        <f t="shared" si="68"/>
        <v>60.600000000000591</v>
      </c>
      <c r="C616" s="1">
        <f t="shared" si="69"/>
        <v>-106.31776041645632</v>
      </c>
      <c r="D616" s="1">
        <f t="shared" si="65"/>
        <v>-51.95215383857915</v>
      </c>
      <c r="E616" s="1">
        <f t="shared" si="70"/>
        <v>-51.95215383857915</v>
      </c>
      <c r="F616" s="1">
        <f t="shared" si="66"/>
        <v>2.6579440104114083</v>
      </c>
      <c r="G616" s="1"/>
      <c r="H616">
        <f t="shared" si="71"/>
        <v>3</v>
      </c>
      <c r="I616" s="1">
        <f t="shared" si="67"/>
        <v>60.600000000000591</v>
      </c>
    </row>
    <row r="617" spans="2:9" x14ac:dyDescent="0.25">
      <c r="B617" s="1">
        <f t="shared" si="68"/>
        <v>60.700000000000593</v>
      </c>
      <c r="C617" s="1">
        <f t="shared" si="69"/>
        <v>-111.51297580031424</v>
      </c>
      <c r="D617" s="1">
        <f t="shared" si="65"/>
        <v>-51.686359437538009</v>
      </c>
      <c r="E617" s="1">
        <f t="shared" si="70"/>
        <v>-51.686359437538009</v>
      </c>
      <c r="F617" s="1">
        <f t="shared" si="66"/>
        <v>2.7878243950078563</v>
      </c>
      <c r="G617" s="1"/>
      <c r="H617">
        <f t="shared" si="71"/>
        <v>3</v>
      </c>
      <c r="I617" s="1">
        <f t="shared" si="67"/>
        <v>60.700000000000593</v>
      </c>
    </row>
    <row r="618" spans="2:9" x14ac:dyDescent="0.25">
      <c r="B618" s="1">
        <f t="shared" si="68"/>
        <v>60.800000000000594</v>
      </c>
      <c r="C618" s="1">
        <f t="shared" si="69"/>
        <v>-116.68161174406804</v>
      </c>
      <c r="D618" s="1">
        <f t="shared" si="65"/>
        <v>-51.407576998037221</v>
      </c>
      <c r="E618" s="1">
        <f t="shared" si="70"/>
        <v>-51.407576998037221</v>
      </c>
      <c r="F618" s="1">
        <f t="shared" si="66"/>
        <v>2.9170402936017013</v>
      </c>
      <c r="G618" s="1"/>
      <c r="H618">
        <f t="shared" si="71"/>
        <v>3</v>
      </c>
      <c r="I618" s="1">
        <f t="shared" si="67"/>
        <v>60.800000000000594</v>
      </c>
    </row>
    <row r="619" spans="2:9" x14ac:dyDescent="0.25">
      <c r="B619" s="1">
        <f t="shared" si="68"/>
        <v>60.900000000000595</v>
      </c>
      <c r="C619" s="1">
        <f t="shared" si="69"/>
        <v>-121.82236944387176</v>
      </c>
      <c r="D619" s="1">
        <f t="shared" si="65"/>
        <v>-51.115872968677053</v>
      </c>
      <c r="E619" s="1">
        <f t="shared" si="70"/>
        <v>-51.115872968677053</v>
      </c>
      <c r="F619" s="1">
        <f t="shared" si="66"/>
        <v>3.0455592360967945</v>
      </c>
      <c r="G619" s="1"/>
      <c r="H619">
        <f t="shared" si="71"/>
        <v>3</v>
      </c>
      <c r="I619" s="1">
        <f t="shared" si="67"/>
        <v>60.900000000000595</v>
      </c>
    </row>
    <row r="620" spans="2:9" x14ac:dyDescent="0.25">
      <c r="B620" s="1">
        <f t="shared" si="68"/>
        <v>61.000000000000597</v>
      </c>
      <c r="C620" s="1">
        <f t="shared" si="69"/>
        <v>-126.93395674073948</v>
      </c>
      <c r="D620" s="1">
        <f t="shared" si="65"/>
        <v>-50.811317045067376</v>
      </c>
      <c r="E620" s="1">
        <f t="shared" si="70"/>
        <v>-50.811317045067376</v>
      </c>
      <c r="F620" s="1">
        <f t="shared" si="66"/>
        <v>3.1733489185184869</v>
      </c>
      <c r="G620" s="1"/>
      <c r="H620">
        <f t="shared" si="71"/>
        <v>3</v>
      </c>
      <c r="I620" s="1">
        <f t="shared" si="67"/>
        <v>61.000000000000597</v>
      </c>
    </row>
    <row r="621" spans="2:9" x14ac:dyDescent="0.25">
      <c r="B621" s="1">
        <f t="shared" si="68"/>
        <v>61.100000000000598</v>
      </c>
      <c r="C621" s="1">
        <f t="shared" si="69"/>
        <v>-132.01508844524622</v>
      </c>
      <c r="D621" s="1">
        <f t="shared" si="65"/>
        <v>-50.493982153215526</v>
      </c>
      <c r="E621" s="1">
        <f t="shared" si="70"/>
        <v>-50.493982153215526</v>
      </c>
      <c r="F621" s="1">
        <f t="shared" si="66"/>
        <v>3.3003772111311558</v>
      </c>
      <c r="G621" s="1"/>
      <c r="H621">
        <f t="shared" si="71"/>
        <v>3</v>
      </c>
      <c r="I621" s="1">
        <f t="shared" si="67"/>
        <v>61.100000000000598</v>
      </c>
    </row>
    <row r="622" spans="2:9" x14ac:dyDescent="0.25">
      <c r="B622" s="1">
        <f t="shared" si="68"/>
        <v>61.2000000000006</v>
      </c>
      <c r="C622" s="1">
        <f t="shared" si="69"/>
        <v>-137.06448666056778</v>
      </c>
      <c r="D622" s="1">
        <f t="shared" si="65"/>
        <v>-50.163944432102411</v>
      </c>
      <c r="E622" s="1">
        <f t="shared" si="70"/>
        <v>-50.163944432102411</v>
      </c>
      <c r="F622" s="1">
        <f t="shared" si="66"/>
        <v>3.4266121665141949</v>
      </c>
      <c r="G622" s="1"/>
      <c r="H622">
        <f t="shared" si="71"/>
        <v>3</v>
      </c>
      <c r="I622" s="1">
        <f t="shared" si="67"/>
        <v>61.2000000000006</v>
      </c>
    </row>
    <row r="623" spans="2:9" x14ac:dyDescent="0.25">
      <c r="B623" s="1">
        <f t="shared" si="68"/>
        <v>61.300000000000601</v>
      </c>
      <c r="C623" s="1">
        <f t="shared" si="69"/>
        <v>-142.08088110377801</v>
      </c>
      <c r="D623" s="1">
        <f t="shared" si="65"/>
        <v>-49.82128321545099</v>
      </c>
      <c r="E623" s="1">
        <f t="shared" si="70"/>
        <v>-49.82128321545099</v>
      </c>
      <c r="F623" s="1">
        <f t="shared" si="66"/>
        <v>3.5520220275944503</v>
      </c>
      <c r="G623" s="1"/>
      <c r="H623">
        <f t="shared" si="71"/>
        <v>3</v>
      </c>
      <c r="I623" s="1">
        <f t="shared" si="67"/>
        <v>61.300000000000601</v>
      </c>
    </row>
    <row r="624" spans="2:9" x14ac:dyDescent="0.25">
      <c r="B624" s="1">
        <f t="shared" si="68"/>
        <v>61.400000000000603</v>
      </c>
      <c r="C624" s="1">
        <f t="shared" si="69"/>
        <v>-147.06300942532312</v>
      </c>
      <c r="D624" s="1">
        <f t="shared" si="65"/>
        <v>-49.466081012691546</v>
      </c>
      <c r="E624" s="1">
        <f t="shared" si="70"/>
        <v>-49.466081012691546</v>
      </c>
      <c r="F624" s="1">
        <f t="shared" si="66"/>
        <v>3.6765752356330781</v>
      </c>
      <c r="G624" s="1"/>
      <c r="H624">
        <f t="shared" si="71"/>
        <v>3</v>
      </c>
      <c r="I624" s="1">
        <f t="shared" si="67"/>
        <v>61.400000000000603</v>
      </c>
    </row>
    <row r="625" spans="2:9" x14ac:dyDescent="0.25">
      <c r="B625" s="1">
        <f t="shared" si="68"/>
        <v>61.500000000000604</v>
      </c>
      <c r="C625" s="1">
        <f t="shared" si="69"/>
        <v>-152.00961752659228</v>
      </c>
      <c r="D625" s="1">
        <f t="shared" si="65"/>
        <v>-49.098423489128237</v>
      </c>
      <c r="E625" s="1">
        <f t="shared" si="70"/>
        <v>-49.098423489128237</v>
      </c>
      <c r="F625" s="1">
        <f t="shared" si="66"/>
        <v>3.8002404381648072</v>
      </c>
      <c r="G625" s="1"/>
      <c r="H625">
        <f t="shared" si="71"/>
        <v>3</v>
      </c>
      <c r="I625" s="1">
        <f t="shared" si="67"/>
        <v>61.500000000000604</v>
      </c>
    </row>
    <row r="626" spans="2:9" x14ac:dyDescent="0.25">
      <c r="B626" s="1">
        <f t="shared" si="68"/>
        <v>61.600000000000605</v>
      </c>
      <c r="C626" s="1">
        <f t="shared" si="69"/>
        <v>-156.91945987550511</v>
      </c>
      <c r="D626" s="1">
        <f t="shared" si="65"/>
        <v>-48.718399445311753</v>
      </c>
      <c r="E626" s="1">
        <f t="shared" si="70"/>
        <v>-48.718399445311753</v>
      </c>
      <c r="F626" s="1">
        <f t="shared" si="66"/>
        <v>3.9229864968876278</v>
      </c>
      <c r="G626" s="1"/>
      <c r="H626">
        <f t="shared" si="71"/>
        <v>3</v>
      </c>
      <c r="I626" s="1">
        <f t="shared" si="67"/>
        <v>61.600000000000605</v>
      </c>
    </row>
    <row r="627" spans="2:9" x14ac:dyDescent="0.25">
      <c r="B627" s="1">
        <f t="shared" si="68"/>
        <v>61.700000000000607</v>
      </c>
      <c r="C627" s="1">
        <f t="shared" si="69"/>
        <v>-161.7912998200363</v>
      </c>
      <c r="D627" s="1">
        <f t="shared" si="65"/>
        <v>-48.326100795622992</v>
      </c>
      <c r="E627" s="1">
        <f t="shared" si="70"/>
        <v>-48.326100795622992</v>
      </c>
      <c r="F627" s="1">
        <f t="shared" si="66"/>
        <v>4.0447824955009075</v>
      </c>
      <c r="G627" s="1"/>
      <c r="H627">
        <f t="shared" si="71"/>
        <v>3</v>
      </c>
      <c r="I627" s="1">
        <f t="shared" si="67"/>
        <v>61.700000000000607</v>
      </c>
    </row>
    <row r="628" spans="2:9" x14ac:dyDescent="0.25">
      <c r="B628" s="1">
        <f t="shared" si="68"/>
        <v>61.800000000000608</v>
      </c>
      <c r="C628" s="1">
        <f t="shared" si="69"/>
        <v>-166.6239098995986</v>
      </c>
      <c r="D628" s="1">
        <f t="shared" si="65"/>
        <v>-47.921622546072904</v>
      </c>
      <c r="E628" s="1">
        <f t="shared" si="70"/>
        <v>-47.921622546072904</v>
      </c>
      <c r="F628" s="1">
        <f t="shared" si="66"/>
        <v>4.165597747489965</v>
      </c>
      <c r="G628" s="1"/>
      <c r="H628">
        <f t="shared" si="71"/>
        <v>3</v>
      </c>
      <c r="I628" s="1">
        <f t="shared" si="67"/>
        <v>61.800000000000608</v>
      </c>
    </row>
    <row r="629" spans="2:9" x14ac:dyDescent="0.25">
      <c r="B629" s="1">
        <f t="shared" si="68"/>
        <v>61.90000000000061</v>
      </c>
      <c r="C629" s="1">
        <f t="shared" si="69"/>
        <v>-171.41607215420589</v>
      </c>
      <c r="D629" s="1">
        <f t="shared" si="65"/>
        <v>-47.505062771323907</v>
      </c>
      <c r="E629" s="1">
        <f t="shared" si="70"/>
        <v>-47.505062771323907</v>
      </c>
      <c r="F629" s="1">
        <f t="shared" si="66"/>
        <v>4.2854018038551471</v>
      </c>
      <c r="G629" s="1"/>
      <c r="H629">
        <f t="shared" si="71"/>
        <v>3</v>
      </c>
      <c r="I629" s="1">
        <f t="shared" si="67"/>
        <v>61.90000000000061</v>
      </c>
    </row>
    <row r="630" spans="2:9" x14ac:dyDescent="0.25">
      <c r="B630" s="1">
        <f t="shared" si="68"/>
        <v>62.000000000000611</v>
      </c>
      <c r="C630" s="1">
        <f t="shared" si="69"/>
        <v>-176.16657843133828</v>
      </c>
      <c r="D630" s="1">
        <f t="shared" si="65"/>
        <v>-47.076522590938389</v>
      </c>
      <c r="E630" s="1">
        <f t="shared" si="70"/>
        <v>-47.076522590938389</v>
      </c>
      <c r="F630" s="1">
        <f t="shared" si="66"/>
        <v>4.4041644607834574</v>
      </c>
      <c r="G630" s="1"/>
      <c r="H630">
        <f t="shared" si="71"/>
        <v>3</v>
      </c>
      <c r="I630" s="1">
        <f t="shared" si="67"/>
        <v>62.000000000000611</v>
      </c>
    </row>
    <row r="631" spans="2:9" x14ac:dyDescent="0.25">
      <c r="B631" s="1">
        <f t="shared" si="68"/>
        <v>62.100000000000612</v>
      </c>
      <c r="C631" s="1">
        <f t="shared" si="69"/>
        <v>-180.87423069043211</v>
      </c>
      <c r="D631" s="1">
        <f t="shared" si="65"/>
        <v>-46.636106144860044</v>
      </c>
      <c r="E631" s="1">
        <f t="shared" si="70"/>
        <v>-46.636106144860044</v>
      </c>
      <c r="F631" s="1">
        <f t="shared" si="66"/>
        <v>4.5218557672608028</v>
      </c>
      <c r="G631" s="1"/>
      <c r="H631">
        <f t="shared" si="71"/>
        <v>3</v>
      </c>
      <c r="I631" s="1">
        <f t="shared" si="67"/>
        <v>62.100000000000612</v>
      </c>
    </row>
    <row r="632" spans="2:9" x14ac:dyDescent="0.25">
      <c r="B632" s="1">
        <f t="shared" si="68"/>
        <v>62.200000000000614</v>
      </c>
      <c r="C632" s="1">
        <f t="shared" si="69"/>
        <v>-185.53784130491812</v>
      </c>
      <c r="D632" s="1">
        <f t="shared" si="65"/>
        <v>-46.183920568133964</v>
      </c>
      <c r="E632" s="1">
        <f t="shared" si="70"/>
        <v>-46.183920568133964</v>
      </c>
      <c r="F632" s="1">
        <f t="shared" si="66"/>
        <v>4.6384460326229533</v>
      </c>
      <c r="G632" s="1"/>
      <c r="H632">
        <f t="shared" si="71"/>
        <v>3</v>
      </c>
      <c r="I632" s="1">
        <f t="shared" si="67"/>
        <v>62.200000000000614</v>
      </c>
    </row>
    <row r="633" spans="2:9" x14ac:dyDescent="0.25">
      <c r="B633" s="1">
        <f t="shared" si="68"/>
        <v>62.300000000000615</v>
      </c>
      <c r="C633" s="1">
        <f t="shared" si="69"/>
        <v>-190.15623336173152</v>
      </c>
      <c r="D633" s="1">
        <f t="shared" si="65"/>
        <v>-45.720075964871668</v>
      </c>
      <c r="E633" s="1">
        <f t="shared" si="70"/>
        <v>-45.720075964871668</v>
      </c>
      <c r="F633" s="1">
        <f t="shared" si="66"/>
        <v>4.7539058340432883</v>
      </c>
      <c r="G633" s="1"/>
      <c r="H633">
        <f t="shared" si="71"/>
        <v>3</v>
      </c>
      <c r="I633" s="1">
        <f t="shared" si="67"/>
        <v>62.300000000000615</v>
      </c>
    </row>
    <row r="634" spans="2:9" x14ac:dyDescent="0.25">
      <c r="B634" s="1">
        <f t="shared" si="68"/>
        <v>62.400000000000617</v>
      </c>
      <c r="C634" s="1">
        <f t="shared" si="69"/>
        <v>-194.72824095821869</v>
      </c>
      <c r="D634" s="1">
        <f t="shared" si="65"/>
        <v>-45.244685381467342</v>
      </c>
      <c r="E634" s="1">
        <f t="shared" si="70"/>
        <v>-45.244685381467342</v>
      </c>
      <c r="F634" s="1">
        <f t="shared" si="66"/>
        <v>4.8682060239554676</v>
      </c>
      <c r="G634" s="1"/>
      <c r="H634">
        <f t="shared" si="71"/>
        <v>3</v>
      </c>
      <c r="I634" s="1">
        <f t="shared" si="67"/>
        <v>62.400000000000617</v>
      </c>
    </row>
    <row r="635" spans="2:9" x14ac:dyDescent="0.25">
      <c r="B635" s="1">
        <f t="shared" si="68"/>
        <v>62.500000000000618</v>
      </c>
      <c r="C635" s="1">
        <f t="shared" si="69"/>
        <v>-199.25270949636541</v>
      </c>
      <c r="D635" s="1">
        <f t="shared" si="65"/>
        <v>-44.757864779071795</v>
      </c>
      <c r="E635" s="1">
        <f t="shared" si="70"/>
        <v>-44.757864779071795</v>
      </c>
      <c r="F635" s="1">
        <f t="shared" si="66"/>
        <v>4.9813177374091353</v>
      </c>
      <c r="G635" s="1"/>
      <c r="H635">
        <f t="shared" si="71"/>
        <v>3</v>
      </c>
      <c r="I635" s="1">
        <f t="shared" si="67"/>
        <v>62.500000000000618</v>
      </c>
    </row>
    <row r="636" spans="2:9" x14ac:dyDescent="0.25">
      <c r="B636" s="1">
        <f t="shared" si="68"/>
        <v>62.60000000000062</v>
      </c>
      <c r="C636" s="1">
        <f t="shared" si="69"/>
        <v>-203.72849597427259</v>
      </c>
      <c r="D636" s="1">
        <f t="shared" si="65"/>
        <v>-44.25973300533088</v>
      </c>
      <c r="E636" s="1">
        <f t="shared" si="70"/>
        <v>-44.25973300533088</v>
      </c>
      <c r="F636" s="1">
        <f t="shared" si="66"/>
        <v>5.0932123993568155</v>
      </c>
      <c r="G636" s="1"/>
      <c r="H636">
        <f t="shared" si="71"/>
        <v>3</v>
      </c>
      <c r="I636" s="1">
        <f t="shared" si="67"/>
        <v>62.60000000000062</v>
      </c>
    </row>
    <row r="637" spans="2:9" x14ac:dyDescent="0.25">
      <c r="B637" s="1">
        <f t="shared" si="68"/>
        <v>62.700000000000621</v>
      </c>
      <c r="C637" s="1">
        <f t="shared" si="69"/>
        <v>-208.15446927480568</v>
      </c>
      <c r="D637" s="1">
        <f t="shared" si="65"/>
        <v>-43.750411765395199</v>
      </c>
      <c r="E637" s="1">
        <f t="shared" si="70"/>
        <v>-43.750411765395199</v>
      </c>
      <c r="F637" s="1">
        <f t="shared" si="66"/>
        <v>5.2038617318701421</v>
      </c>
      <c r="G637" s="1"/>
      <c r="H637">
        <f t="shared" si="71"/>
        <v>3</v>
      </c>
      <c r="I637" s="1">
        <f t="shared" si="67"/>
        <v>62.700000000000621</v>
      </c>
    </row>
    <row r="638" spans="2:9" x14ac:dyDescent="0.25">
      <c r="B638" s="1">
        <f t="shared" si="68"/>
        <v>62.800000000000622</v>
      </c>
      <c r="C638" s="1">
        <f t="shared" si="69"/>
        <v>-212.5295104513452</v>
      </c>
      <c r="D638" s="1">
        <f t="shared" si="65"/>
        <v>-43.230025592208186</v>
      </c>
      <c r="E638" s="1">
        <f t="shared" si="70"/>
        <v>-43.230025592208186</v>
      </c>
      <c r="F638" s="1">
        <f t="shared" si="66"/>
        <v>5.3132377612836308</v>
      </c>
      <c r="G638" s="1"/>
      <c r="H638">
        <f t="shared" si="71"/>
        <v>3</v>
      </c>
      <c r="I638" s="1">
        <f t="shared" si="67"/>
        <v>62.800000000000622</v>
      </c>
    </row>
    <row r="639" spans="2:9" x14ac:dyDescent="0.25">
      <c r="B639" s="1">
        <f t="shared" si="68"/>
        <v>62.900000000000624</v>
      </c>
      <c r="C639" s="1">
        <f t="shared" si="69"/>
        <v>-216.85251301056601</v>
      </c>
      <c r="D639" s="1">
        <f t="shared" si="65"/>
        <v>-42.698701816079826</v>
      </c>
      <c r="E639" s="1">
        <f t="shared" si="70"/>
        <v>-42.698701816079826</v>
      </c>
      <c r="F639" s="1">
        <f t="shared" si="66"/>
        <v>5.4213128252641507</v>
      </c>
      <c r="G639" s="1"/>
      <c r="H639">
        <f t="shared" si="71"/>
        <v>3</v>
      </c>
      <c r="I639" s="1">
        <f t="shared" si="67"/>
        <v>62.900000000000624</v>
      </c>
    </row>
    <row r="640" spans="2:9" x14ac:dyDescent="0.25">
      <c r="B640" s="1">
        <f t="shared" si="68"/>
        <v>63.000000000000625</v>
      </c>
      <c r="C640" s="1">
        <f t="shared" si="69"/>
        <v>-221.122383192174</v>
      </c>
      <c r="D640" s="1">
        <f t="shared" si="65"/>
        <v>-42.156570533553413</v>
      </c>
      <c r="E640" s="1">
        <f t="shared" si="70"/>
        <v>-42.156570533553413</v>
      </c>
      <c r="F640" s="1">
        <f t="shared" si="66"/>
        <v>5.5280595798043501</v>
      </c>
      <c r="G640" s="1"/>
      <c r="H640">
        <f t="shared" si="71"/>
        <v>3</v>
      </c>
      <c r="I640" s="1">
        <f t="shared" si="67"/>
        <v>63.000000000000625</v>
      </c>
    </row>
    <row r="641" spans="2:9" x14ac:dyDescent="0.25">
      <c r="B641" s="1">
        <f t="shared" si="68"/>
        <v>63.100000000000627</v>
      </c>
      <c r="C641" s="1">
        <f t="shared" si="69"/>
        <v>-225.33804024552933</v>
      </c>
      <c r="D641" s="1">
        <f t="shared" si="65"/>
        <v>-41.603764575572981</v>
      </c>
      <c r="E641" s="1">
        <f t="shared" si="70"/>
        <v>-41.603764575572981</v>
      </c>
      <c r="F641" s="1">
        <f t="shared" si="66"/>
        <v>5.6334510061382339</v>
      </c>
      <c r="G641" s="1"/>
      <c r="H641">
        <f t="shared" si="71"/>
        <v>3</v>
      </c>
      <c r="I641" s="1">
        <f t="shared" si="67"/>
        <v>63.100000000000627</v>
      </c>
    </row>
    <row r="642" spans="2:9" x14ac:dyDescent="0.25">
      <c r="B642" s="1">
        <f t="shared" si="68"/>
        <v>63.200000000000628</v>
      </c>
      <c r="C642" s="1">
        <f t="shared" si="69"/>
        <v>-229.49841670308663</v>
      </c>
      <c r="D642" s="1">
        <f t="shared" si="65"/>
        <v>-41.040419474959158</v>
      </c>
      <c r="E642" s="1">
        <f t="shared" si="70"/>
        <v>-41.040419474959158</v>
      </c>
      <c r="F642" s="1">
        <f t="shared" si="66"/>
        <v>5.7374604175771662</v>
      </c>
      <c r="G642" s="1"/>
      <c r="H642">
        <f t="shared" si="71"/>
        <v>3</v>
      </c>
      <c r="I642" s="1">
        <f t="shared" si="67"/>
        <v>63.200000000000628</v>
      </c>
    </row>
    <row r="643" spans="2:9" x14ac:dyDescent="0.25">
      <c r="B643" s="1">
        <f t="shared" si="68"/>
        <v>63.30000000000063</v>
      </c>
      <c r="C643" s="1">
        <f t="shared" si="69"/>
        <v>-233.60245865058255</v>
      </c>
      <c r="D643" s="1">
        <f t="shared" si="65"/>
        <v>-40.466673433201443</v>
      </c>
      <c r="E643" s="1">
        <f t="shared" si="70"/>
        <v>-40.466673433201443</v>
      </c>
      <c r="F643" s="1">
        <f t="shared" si="66"/>
        <v>5.8400614662645642</v>
      </c>
      <c r="G643" s="1"/>
      <c r="H643">
        <f t="shared" si="71"/>
        <v>3</v>
      </c>
      <c r="I643" s="1">
        <f t="shared" si="67"/>
        <v>63.30000000000063</v>
      </c>
    </row>
    <row r="644" spans="2:9" x14ac:dyDescent="0.25">
      <c r="B644" s="1">
        <f t="shared" si="68"/>
        <v>63.400000000000631</v>
      </c>
      <c r="C644" s="1">
        <f t="shared" si="69"/>
        <v>-237.64912599390269</v>
      </c>
      <c r="D644" s="1">
        <f t="shared" si="65"/>
        <v>-39.882667286574986</v>
      </c>
      <c r="E644" s="1">
        <f t="shared" si="70"/>
        <v>-39.882667286574986</v>
      </c>
      <c r="F644" s="1">
        <f t="shared" si="66"/>
        <v>5.9412281498475679</v>
      </c>
      <c r="G644" s="1"/>
      <c r="H644">
        <f t="shared" si="71"/>
        <v>3</v>
      </c>
      <c r="I644" s="1">
        <f t="shared" si="67"/>
        <v>63.400000000000631</v>
      </c>
    </row>
    <row r="645" spans="2:9" x14ac:dyDescent="0.25">
      <c r="B645" s="1">
        <f t="shared" si="68"/>
        <v>63.500000000000632</v>
      </c>
      <c r="C645" s="1">
        <f t="shared" si="69"/>
        <v>-241.63739272256018</v>
      </c>
      <c r="D645" s="1">
        <f t="shared" si="65"/>
        <v>-39.288544471590228</v>
      </c>
      <c r="E645" s="1">
        <f t="shared" si="70"/>
        <v>-39.288544471590228</v>
      </c>
      <c r="F645" s="1">
        <f t="shared" si="66"/>
        <v>6.040934818064005</v>
      </c>
      <c r="G645" s="1"/>
      <c r="H645">
        <f t="shared" si="71"/>
        <v>3</v>
      </c>
      <c r="I645" s="1">
        <f t="shared" si="67"/>
        <v>63.500000000000632</v>
      </c>
    </row>
    <row r="646" spans="2:9" x14ac:dyDescent="0.25">
      <c r="B646" s="1">
        <f t="shared" si="68"/>
        <v>63.600000000000634</v>
      </c>
      <c r="C646" s="1">
        <f t="shared" si="69"/>
        <v>-245.56624716971919</v>
      </c>
      <c r="D646" s="1">
        <f t="shared" si="65"/>
        <v>-38.684450989783826</v>
      </c>
      <c r="E646" s="1">
        <f t="shared" si="70"/>
        <v>-38.684450989783826</v>
      </c>
      <c r="F646" s="1">
        <f t="shared" si="66"/>
        <v>6.1391561792429803</v>
      </c>
      <c r="G646" s="1"/>
      <c r="H646">
        <f t="shared" si="71"/>
        <v>3</v>
      </c>
      <c r="I646" s="1">
        <f t="shared" si="67"/>
        <v>63.600000000000634</v>
      </c>
    </row>
    <row r="647" spans="2:9" x14ac:dyDescent="0.25">
      <c r="B647" s="1">
        <f t="shared" si="68"/>
        <v>63.700000000000635</v>
      </c>
      <c r="C647" s="1">
        <f t="shared" si="69"/>
        <v>-249.43469226869757</v>
      </c>
      <c r="D647" s="1">
        <f t="shared" si="65"/>
        <v>-38.070535371859528</v>
      </c>
      <c r="E647" s="1">
        <f t="shared" si="70"/>
        <v>-38.070535371859528</v>
      </c>
      <c r="F647" s="1">
        <f t="shared" si="66"/>
        <v>6.2358673067174397</v>
      </c>
      <c r="G647" s="1"/>
      <c r="H647">
        <f t="shared" si="71"/>
        <v>3</v>
      </c>
      <c r="I647" s="1">
        <f t="shared" si="67"/>
        <v>63.700000000000635</v>
      </c>
    </row>
    <row r="648" spans="2:9" x14ac:dyDescent="0.25">
      <c r="B648" s="1">
        <f t="shared" si="68"/>
        <v>63.800000000000637</v>
      </c>
      <c r="C648" s="1">
        <f t="shared" si="69"/>
        <v>-253.24174580588354</v>
      </c>
      <c r="D648" s="1">
        <f t="shared" si="65"/>
        <v>-37.446948641187781</v>
      </c>
      <c r="E648" s="1">
        <f t="shared" si="70"/>
        <v>-37.446948641187781</v>
      </c>
      <c r="F648" s="1">
        <f t="shared" si="66"/>
        <v>6.3310436451470888</v>
      </c>
      <c r="G648" s="1"/>
      <c r="H648">
        <f t="shared" si="71"/>
        <v>3</v>
      </c>
      <c r="I648" s="1">
        <f t="shared" si="67"/>
        <v>63.800000000000637</v>
      </c>
    </row>
    <row r="649" spans="2:9" x14ac:dyDescent="0.25">
      <c r="B649" s="1">
        <f t="shared" si="68"/>
        <v>63.900000000000638</v>
      </c>
      <c r="C649" s="1">
        <f t="shared" si="69"/>
        <v>-256.98644067000231</v>
      </c>
      <c r="D649" s="1">
        <f t="shared" si="65"/>
        <v>-36.813844276673073</v>
      </c>
      <c r="E649" s="1">
        <f t="shared" si="70"/>
        <v>-36.813844276673073</v>
      </c>
      <c r="F649" s="1">
        <f t="shared" si="66"/>
        <v>6.4246610167500577</v>
      </c>
      <c r="G649" s="1"/>
      <c r="H649">
        <f t="shared" si="71"/>
        <v>3</v>
      </c>
      <c r="I649" s="1">
        <f t="shared" si="67"/>
        <v>63.900000000000638</v>
      </c>
    </row>
    <row r="650" spans="2:9" x14ac:dyDescent="0.25">
      <c r="B650" s="1">
        <f t="shared" si="68"/>
        <v>64.000000000000639</v>
      </c>
      <c r="C650" s="1">
        <f t="shared" si="69"/>
        <v>-260.66782509766961</v>
      </c>
      <c r="D650" s="1">
        <f t="shared" ref="D650:D713" si="72">E650</f>
        <v>-36.171378174998068</v>
      </c>
      <c r="E650" s="1">
        <f t="shared" si="70"/>
        <v>-36.171378174998068</v>
      </c>
      <c r="F650" s="1">
        <f t="shared" ref="F650:F713" si="73">-$C$3*C650/$C$4-$C$2/$C$4*E650</f>
        <v>6.5166956274417407</v>
      </c>
      <c r="G650" s="1"/>
      <c r="H650">
        <f t="shared" si="71"/>
        <v>3</v>
      </c>
      <c r="I650" s="1">
        <f t="shared" ref="I650:I713" si="74">B650</f>
        <v>64.000000000000639</v>
      </c>
    </row>
    <row r="651" spans="2:9" x14ac:dyDescent="0.25">
      <c r="B651" s="1">
        <f t="shared" ref="B651:B714" si="75">B650+$C$7</f>
        <v>64.100000000000634</v>
      </c>
      <c r="C651" s="1">
        <f t="shared" ref="C651:C714" si="76">C650+D650*$C$7</f>
        <v>-264.28496291516939</v>
      </c>
      <c r="D651" s="1">
        <f t="shared" si="72"/>
        <v>-35.519708612253893</v>
      </c>
      <c r="E651" s="1">
        <f t="shared" ref="E651:E714" si="77">E650+F650*$C$7</f>
        <v>-35.519708612253893</v>
      </c>
      <c r="F651" s="1">
        <f t="shared" si="73"/>
        <v>6.6071240728792349</v>
      </c>
      <c r="G651" s="1"/>
      <c r="H651">
        <f t="shared" ref="H651:H714" si="78">H650+(D651*D652&lt;0)*1</f>
        <v>3</v>
      </c>
      <c r="I651" s="1">
        <f t="shared" si="74"/>
        <v>64.100000000000634</v>
      </c>
    </row>
    <row r="652" spans="2:9" x14ac:dyDescent="0.25">
      <c r="B652" s="1">
        <f t="shared" si="75"/>
        <v>64.200000000000628</v>
      </c>
      <c r="C652" s="1">
        <f t="shared" si="76"/>
        <v>-267.8369337763948</v>
      </c>
      <c r="D652" s="1">
        <f t="shared" si="72"/>
        <v>-34.858996204965969</v>
      </c>
      <c r="E652" s="1">
        <f t="shared" si="77"/>
        <v>-34.858996204965969</v>
      </c>
      <c r="F652" s="1">
        <f t="shared" si="73"/>
        <v>6.69592334440987</v>
      </c>
      <c r="G652" s="1"/>
      <c r="H652">
        <f t="shared" si="78"/>
        <v>3</v>
      </c>
      <c r="I652" s="1">
        <f t="shared" si="74"/>
        <v>64.200000000000628</v>
      </c>
    </row>
    <row r="653" spans="2:9" x14ac:dyDescent="0.25">
      <c r="B653" s="1">
        <f t="shared" si="75"/>
        <v>64.300000000000622</v>
      </c>
      <c r="C653" s="1">
        <f t="shared" si="76"/>
        <v>-271.32283339689138</v>
      </c>
      <c r="D653" s="1">
        <f t="shared" si="72"/>
        <v>-34.189403870524984</v>
      </c>
      <c r="E653" s="1">
        <f t="shared" si="77"/>
        <v>-34.189403870524984</v>
      </c>
      <c r="F653" s="1">
        <f t="shared" si="73"/>
        <v>6.7830708349222846</v>
      </c>
      <c r="G653" s="1"/>
      <c r="H653">
        <f t="shared" si="78"/>
        <v>3</v>
      </c>
      <c r="I653" s="1">
        <f t="shared" si="74"/>
        <v>64.300000000000622</v>
      </c>
    </row>
    <row r="654" spans="2:9" x14ac:dyDescent="0.25">
      <c r="B654" s="1">
        <f t="shared" si="75"/>
        <v>64.400000000000617</v>
      </c>
      <c r="C654" s="1">
        <f t="shared" si="76"/>
        <v>-274.74177378394387</v>
      </c>
      <c r="D654" s="1">
        <f t="shared" si="72"/>
        <v>-33.511096787032756</v>
      </c>
      <c r="E654" s="1">
        <f t="shared" si="77"/>
        <v>-33.511096787032756</v>
      </c>
      <c r="F654" s="1">
        <f t="shared" si="73"/>
        <v>6.8685443445985968</v>
      </c>
      <c r="G654" s="1"/>
      <c r="H654">
        <f t="shared" si="78"/>
        <v>3</v>
      </c>
      <c r="I654" s="1">
        <f t="shared" si="74"/>
        <v>64.400000000000617</v>
      </c>
    </row>
    <row r="655" spans="2:9" x14ac:dyDescent="0.25">
      <c r="B655" s="1">
        <f t="shared" si="75"/>
        <v>64.500000000000611</v>
      </c>
      <c r="C655" s="1">
        <f t="shared" si="76"/>
        <v>-278.09288346264714</v>
      </c>
      <c r="D655" s="1">
        <f t="shared" si="72"/>
        <v>-32.824242352572895</v>
      </c>
      <c r="E655" s="1">
        <f t="shared" si="77"/>
        <v>-32.824242352572895</v>
      </c>
      <c r="F655" s="1">
        <f t="shared" si="73"/>
        <v>6.9523220865661788</v>
      </c>
      <c r="G655" s="1"/>
      <c r="H655">
        <f t="shared" si="78"/>
        <v>3</v>
      </c>
      <c r="I655" s="1">
        <f t="shared" si="74"/>
        <v>64.500000000000611</v>
      </c>
    </row>
    <row r="656" spans="2:9" x14ac:dyDescent="0.25">
      <c r="B656" s="1">
        <f t="shared" si="75"/>
        <v>64.600000000000605</v>
      </c>
      <c r="C656" s="1">
        <f t="shared" si="76"/>
        <v>-281.37530769790442</v>
      </c>
      <c r="D656" s="1">
        <f t="shared" si="72"/>
        <v>-32.129010143916275</v>
      </c>
      <c r="E656" s="1">
        <f t="shared" si="77"/>
        <v>-32.129010143916275</v>
      </c>
      <c r="F656" s="1">
        <f t="shared" si="73"/>
        <v>7.0343826924476112</v>
      </c>
      <c r="G656" s="1"/>
      <c r="H656">
        <f t="shared" si="78"/>
        <v>3</v>
      </c>
      <c r="I656" s="1">
        <f t="shared" si="74"/>
        <v>64.600000000000605</v>
      </c>
    </row>
    <row r="657" spans="2:9" x14ac:dyDescent="0.25">
      <c r="B657" s="1">
        <f t="shared" si="75"/>
        <v>64.7000000000006</v>
      </c>
      <c r="C657" s="1">
        <f t="shared" si="76"/>
        <v>-284.58820871229602</v>
      </c>
      <c r="D657" s="1">
        <f t="shared" si="72"/>
        <v>-31.425571874671515</v>
      </c>
      <c r="E657" s="1">
        <f t="shared" si="77"/>
        <v>-31.425571874671515</v>
      </c>
      <c r="F657" s="1">
        <f t="shared" si="73"/>
        <v>7.1147052178074013</v>
      </c>
      <c r="G657" s="1"/>
      <c r="H657">
        <f t="shared" si="78"/>
        <v>3</v>
      </c>
      <c r="I657" s="1">
        <f t="shared" si="74"/>
        <v>64.7000000000006</v>
      </c>
    </row>
    <row r="658" spans="2:9" x14ac:dyDescent="0.25">
      <c r="B658" s="1">
        <f t="shared" si="75"/>
        <v>64.800000000000594</v>
      </c>
      <c r="C658" s="1">
        <f t="shared" si="76"/>
        <v>-287.73076589976318</v>
      </c>
      <c r="D658" s="1">
        <f t="shared" si="72"/>
        <v>-30.714101352890776</v>
      </c>
      <c r="E658" s="1">
        <f t="shared" si="77"/>
        <v>-30.714101352890776</v>
      </c>
      <c r="F658" s="1">
        <f t="shared" si="73"/>
        <v>7.19326914749408</v>
      </c>
      <c r="G658" s="1"/>
      <c r="H658">
        <f t="shared" si="78"/>
        <v>3</v>
      </c>
      <c r="I658" s="1">
        <f t="shared" si="74"/>
        <v>64.800000000000594</v>
      </c>
    </row>
    <row r="659" spans="2:9" x14ac:dyDescent="0.25">
      <c r="B659" s="1">
        <f t="shared" si="75"/>
        <v>64.900000000000588</v>
      </c>
      <c r="C659" s="1">
        <f t="shared" si="76"/>
        <v>-290.80217603505224</v>
      </c>
      <c r="D659" s="1">
        <f t="shared" si="72"/>
        <v>-29.994774438141366</v>
      </c>
      <c r="E659" s="1">
        <f t="shared" si="77"/>
        <v>-29.994774438141366</v>
      </c>
      <c r="F659" s="1">
        <f t="shared" si="73"/>
        <v>7.2700544008763064</v>
      </c>
      <c r="G659" s="1"/>
      <c r="H659">
        <f t="shared" si="78"/>
        <v>3</v>
      </c>
      <c r="I659" s="1">
        <f t="shared" si="74"/>
        <v>64.900000000000588</v>
      </c>
    </row>
    <row r="660" spans="2:9" x14ac:dyDescent="0.25">
      <c r="B660" s="1">
        <f t="shared" si="75"/>
        <v>65.000000000000583</v>
      </c>
      <c r="C660" s="1">
        <f t="shared" si="76"/>
        <v>-293.8016534788664</v>
      </c>
      <c r="D660" s="1">
        <f t="shared" si="72"/>
        <v>-29.267768998053736</v>
      </c>
      <c r="E660" s="1">
        <f t="shared" si="77"/>
        <v>-29.267768998053736</v>
      </c>
      <c r="F660" s="1">
        <f t="shared" si="73"/>
        <v>7.3450413369716605</v>
      </c>
      <c r="G660" s="1"/>
      <c r="H660">
        <f t="shared" si="78"/>
        <v>3</v>
      </c>
      <c r="I660" s="1">
        <f t="shared" si="74"/>
        <v>65.000000000000583</v>
      </c>
    </row>
    <row r="661" spans="2:9" x14ac:dyDescent="0.25">
      <c r="B661" s="1">
        <f t="shared" si="75"/>
        <v>65.100000000000577</v>
      </c>
      <c r="C661" s="1">
        <f t="shared" si="76"/>
        <v>-296.72843037867176</v>
      </c>
      <c r="D661" s="1">
        <f t="shared" si="72"/>
        <v>-28.533264864356571</v>
      </c>
      <c r="E661" s="1">
        <f t="shared" si="77"/>
        <v>-28.533264864356571</v>
      </c>
      <c r="F661" s="1">
        <f t="shared" si="73"/>
        <v>7.4182107594667945</v>
      </c>
      <c r="G661" s="1"/>
      <c r="H661">
        <f t="shared" si="78"/>
        <v>3</v>
      </c>
      <c r="I661" s="1">
        <f t="shared" si="74"/>
        <v>65.100000000000577</v>
      </c>
    </row>
    <row r="662" spans="2:9" x14ac:dyDescent="0.25">
      <c r="B662" s="1">
        <f t="shared" si="75"/>
        <v>65.200000000000571</v>
      </c>
      <c r="C662" s="1">
        <f t="shared" si="76"/>
        <v>-299.58175686510742</v>
      </c>
      <c r="D662" s="1">
        <f t="shared" si="72"/>
        <v>-27.791443788409893</v>
      </c>
      <c r="E662" s="1">
        <f t="shared" si="77"/>
        <v>-27.791443788409893</v>
      </c>
      <c r="F662" s="1">
        <f t="shared" si="73"/>
        <v>7.4895439216276856</v>
      </c>
      <c r="G662" s="1"/>
      <c r="H662">
        <f t="shared" si="78"/>
        <v>3</v>
      </c>
      <c r="I662" s="1">
        <f t="shared" si="74"/>
        <v>65.200000000000571</v>
      </c>
    </row>
    <row r="663" spans="2:9" x14ac:dyDescent="0.25">
      <c r="B663" s="1">
        <f t="shared" si="75"/>
        <v>65.300000000000566</v>
      </c>
      <c r="C663" s="1">
        <f t="shared" si="76"/>
        <v>-302.36090124394843</v>
      </c>
      <c r="D663" s="1">
        <f t="shared" si="72"/>
        <v>-27.042489396247124</v>
      </c>
      <c r="E663" s="1">
        <f t="shared" si="77"/>
        <v>-27.042489396247124</v>
      </c>
      <c r="F663" s="1">
        <f t="shared" si="73"/>
        <v>7.5590225310987114</v>
      </c>
      <c r="G663" s="1"/>
      <c r="H663">
        <f t="shared" si="78"/>
        <v>3</v>
      </c>
      <c r="I663" s="1">
        <f t="shared" si="74"/>
        <v>65.300000000000566</v>
      </c>
    </row>
    <row r="664" spans="2:9" x14ac:dyDescent="0.25">
      <c r="B664" s="1">
        <f t="shared" si="75"/>
        <v>65.40000000000056</v>
      </c>
      <c r="C664" s="1">
        <f t="shared" si="76"/>
        <v>-305.06515018357317</v>
      </c>
      <c r="D664" s="1">
        <f t="shared" si="72"/>
        <v>-26.286587143137254</v>
      </c>
      <c r="E664" s="1">
        <f t="shared" si="77"/>
        <v>-26.286587143137254</v>
      </c>
      <c r="F664" s="1">
        <f t="shared" si="73"/>
        <v>7.6266287545893299</v>
      </c>
      <c r="G664" s="1"/>
      <c r="H664">
        <f t="shared" si="78"/>
        <v>3</v>
      </c>
      <c r="I664" s="1">
        <f t="shared" si="74"/>
        <v>65.40000000000056</v>
      </c>
    </row>
    <row r="665" spans="2:9" x14ac:dyDescent="0.25">
      <c r="B665" s="1">
        <f t="shared" si="75"/>
        <v>65.500000000000554</v>
      </c>
      <c r="C665" s="1">
        <f t="shared" si="76"/>
        <v>-307.69380889788687</v>
      </c>
      <c r="D665" s="1">
        <f t="shared" si="72"/>
        <v>-25.523924267678321</v>
      </c>
      <c r="E665" s="1">
        <f t="shared" si="77"/>
        <v>-25.523924267678321</v>
      </c>
      <c r="F665" s="1">
        <f t="shared" si="73"/>
        <v>7.6923452224471722</v>
      </c>
      <c r="G665" s="1"/>
      <c r="H665">
        <f t="shared" si="78"/>
        <v>3</v>
      </c>
      <c r="I665" s="1">
        <f t="shared" si="74"/>
        <v>65.500000000000554</v>
      </c>
    </row>
    <row r="666" spans="2:9" x14ac:dyDescent="0.25">
      <c r="B666" s="1">
        <f t="shared" si="75"/>
        <v>65.600000000000549</v>
      </c>
      <c r="C666" s="1">
        <f t="shared" si="76"/>
        <v>-310.24620132465469</v>
      </c>
      <c r="D666" s="1">
        <f t="shared" si="72"/>
        <v>-24.754689745433605</v>
      </c>
      <c r="E666" s="1">
        <f t="shared" si="77"/>
        <v>-24.754689745433605</v>
      </c>
      <c r="F666" s="1">
        <f t="shared" si="73"/>
        <v>7.756155033116368</v>
      </c>
      <c r="G666" s="1"/>
      <c r="H666">
        <f t="shared" si="78"/>
        <v>3</v>
      </c>
      <c r="I666" s="1">
        <f t="shared" si="74"/>
        <v>65.600000000000549</v>
      </c>
    </row>
    <row r="667" spans="2:9" x14ac:dyDescent="0.25">
      <c r="B667" s="1">
        <f t="shared" si="75"/>
        <v>65.700000000000543</v>
      </c>
      <c r="C667" s="1">
        <f t="shared" si="76"/>
        <v>-312.72167029919808</v>
      </c>
      <c r="D667" s="1">
        <f t="shared" si="72"/>
        <v>-23.979074242121968</v>
      </c>
      <c r="E667" s="1">
        <f t="shared" si="77"/>
        <v>-23.979074242121968</v>
      </c>
      <c r="F667" s="1">
        <f t="shared" si="73"/>
        <v>7.8180417574799526</v>
      </c>
      <c r="G667" s="1"/>
      <c r="H667">
        <f t="shared" si="78"/>
        <v>3</v>
      </c>
      <c r="I667" s="1">
        <f t="shared" si="74"/>
        <v>65.700000000000543</v>
      </c>
    </row>
    <row r="668" spans="2:9" x14ac:dyDescent="0.25">
      <c r="B668" s="1">
        <f t="shared" si="75"/>
        <v>65.800000000000537</v>
      </c>
      <c r="C668" s="1">
        <f t="shared" si="76"/>
        <v>-315.11957772341026</v>
      </c>
      <c r="D668" s="1">
        <f t="shared" si="72"/>
        <v>-23.197270066373971</v>
      </c>
      <c r="E668" s="1">
        <f t="shared" si="77"/>
        <v>-23.197270066373971</v>
      </c>
      <c r="F668" s="1">
        <f t="shared" si="73"/>
        <v>7.8779894430852568</v>
      </c>
      <c r="G668" s="1"/>
      <c r="H668">
        <f t="shared" si="78"/>
        <v>3</v>
      </c>
      <c r="I668" s="1">
        <f t="shared" si="74"/>
        <v>65.800000000000537</v>
      </c>
    </row>
    <row r="669" spans="2:9" x14ac:dyDescent="0.25">
      <c r="B669" s="1">
        <f t="shared" si="75"/>
        <v>65.900000000000531</v>
      </c>
      <c r="C669" s="1">
        <f t="shared" si="76"/>
        <v>-317.43930473004764</v>
      </c>
      <c r="D669" s="1">
        <f t="shared" si="72"/>
        <v>-22.409471122065444</v>
      </c>
      <c r="E669" s="1">
        <f t="shared" si="77"/>
        <v>-22.409471122065444</v>
      </c>
      <c r="F669" s="1">
        <f t="shared" si="73"/>
        <v>7.9359826182511917</v>
      </c>
      <c r="G669" s="1"/>
      <c r="H669">
        <f t="shared" si="78"/>
        <v>3</v>
      </c>
      <c r="I669" s="1">
        <f t="shared" si="74"/>
        <v>65.900000000000531</v>
      </c>
    </row>
    <row r="670" spans="2:9" x14ac:dyDescent="0.25">
      <c r="B670" s="1">
        <f t="shared" si="75"/>
        <v>66.000000000000526</v>
      </c>
      <c r="C670" s="1">
        <f t="shared" si="76"/>
        <v>-319.68025184225417</v>
      </c>
      <c r="D670" s="1">
        <f t="shared" si="72"/>
        <v>-21.615872860240323</v>
      </c>
      <c r="E670" s="1">
        <f t="shared" si="77"/>
        <v>-21.615872860240323</v>
      </c>
      <c r="F670" s="1">
        <f t="shared" si="73"/>
        <v>7.9920062960563545</v>
      </c>
      <c r="G670" s="1"/>
      <c r="H670">
        <f t="shared" si="78"/>
        <v>3</v>
      </c>
      <c r="I670" s="1">
        <f t="shared" si="74"/>
        <v>66.000000000000526</v>
      </c>
    </row>
    <row r="671" spans="2:9" x14ac:dyDescent="0.25">
      <c r="B671" s="1">
        <f t="shared" si="75"/>
        <v>66.10000000000052</v>
      </c>
      <c r="C671" s="1">
        <f t="shared" si="76"/>
        <v>-321.8418391282782</v>
      </c>
      <c r="D671" s="1">
        <f t="shared" si="72"/>
        <v>-20.816672230634687</v>
      </c>
      <c r="E671" s="1">
        <f t="shared" si="77"/>
        <v>-20.816672230634687</v>
      </c>
      <c r="F671" s="1">
        <f t="shared" si="73"/>
        <v>8.0460459782069549</v>
      </c>
      <c r="G671" s="1"/>
      <c r="H671">
        <f t="shared" si="78"/>
        <v>3</v>
      </c>
      <c r="I671" s="1">
        <f t="shared" si="74"/>
        <v>66.10000000000052</v>
      </c>
    </row>
    <row r="672" spans="2:9" x14ac:dyDescent="0.25">
      <c r="B672" s="1">
        <f t="shared" si="75"/>
        <v>66.200000000000514</v>
      </c>
      <c r="C672" s="1">
        <f t="shared" si="76"/>
        <v>-323.92350635134164</v>
      </c>
      <c r="D672" s="1">
        <f t="shared" si="72"/>
        <v>-20.012067632813991</v>
      </c>
      <c r="E672" s="1">
        <f t="shared" si="77"/>
        <v>-20.012067632813991</v>
      </c>
      <c r="F672" s="1">
        <f t="shared" si="73"/>
        <v>8.0980876587835411</v>
      </c>
      <c r="G672" s="1"/>
      <c r="H672">
        <f t="shared" si="78"/>
        <v>3</v>
      </c>
      <c r="I672" s="1">
        <f t="shared" si="74"/>
        <v>66.200000000000514</v>
      </c>
    </row>
    <row r="673" spans="2:9" x14ac:dyDescent="0.25">
      <c r="B673" s="1">
        <f t="shared" si="75"/>
        <v>66.300000000000509</v>
      </c>
      <c r="C673" s="1">
        <f t="shared" si="76"/>
        <v>-325.92471311462305</v>
      </c>
      <c r="D673" s="1">
        <f t="shared" si="72"/>
        <v>-19.202258866935637</v>
      </c>
      <c r="E673" s="1">
        <f t="shared" si="77"/>
        <v>-19.202258866935637</v>
      </c>
      <c r="F673" s="1">
        <f t="shared" si="73"/>
        <v>8.1481178278655761</v>
      </c>
      <c r="G673" s="1"/>
      <c r="H673">
        <f t="shared" si="78"/>
        <v>3</v>
      </c>
      <c r="I673" s="1">
        <f t="shared" si="74"/>
        <v>66.300000000000509</v>
      </c>
    </row>
    <row r="674" spans="2:9" x14ac:dyDescent="0.25">
      <c r="B674" s="1">
        <f t="shared" si="75"/>
        <v>66.400000000000503</v>
      </c>
      <c r="C674" s="1">
        <f t="shared" si="76"/>
        <v>-327.84493900131662</v>
      </c>
      <c r="D674" s="1">
        <f t="shared" si="72"/>
        <v>-18.38744708414908</v>
      </c>
      <c r="E674" s="1">
        <f t="shared" si="77"/>
        <v>-18.38744708414908</v>
      </c>
      <c r="F674" s="1">
        <f t="shared" si="73"/>
        <v>8.1961234750329162</v>
      </c>
      <c r="G674" s="1"/>
      <c r="H674">
        <f t="shared" si="78"/>
        <v>3</v>
      </c>
      <c r="I674" s="1">
        <f t="shared" si="74"/>
        <v>66.400000000000503</v>
      </c>
    </row>
    <row r="675" spans="2:9" x14ac:dyDescent="0.25">
      <c r="B675" s="1">
        <f t="shared" si="75"/>
        <v>66.500000000000497</v>
      </c>
      <c r="C675" s="1">
        <f t="shared" si="76"/>
        <v>-329.68368370973155</v>
      </c>
      <c r="D675" s="1">
        <f t="shared" si="72"/>
        <v>-17.567834736645789</v>
      </c>
      <c r="E675" s="1">
        <f t="shared" si="77"/>
        <v>-17.567834736645789</v>
      </c>
      <c r="F675" s="1">
        <f t="shared" si="73"/>
        <v>8.2420920927432899</v>
      </c>
      <c r="G675" s="1"/>
      <c r="H675">
        <f t="shared" si="78"/>
        <v>3</v>
      </c>
      <c r="I675" s="1">
        <f t="shared" si="74"/>
        <v>66.500000000000497</v>
      </c>
    </row>
    <row r="676" spans="2:9" x14ac:dyDescent="0.25">
      <c r="B676" s="1">
        <f t="shared" si="75"/>
        <v>66.600000000000492</v>
      </c>
      <c r="C676" s="1">
        <f t="shared" si="76"/>
        <v>-331.44046718339615</v>
      </c>
      <c r="D676" s="1">
        <f t="shared" si="72"/>
        <v>-16.74362552737146</v>
      </c>
      <c r="E676" s="1">
        <f t="shared" si="77"/>
        <v>-16.74362552737146</v>
      </c>
      <c r="F676" s="1">
        <f t="shared" si="73"/>
        <v>8.2860116795849041</v>
      </c>
      <c r="G676" s="1"/>
      <c r="H676">
        <f t="shared" si="78"/>
        <v>3</v>
      </c>
      <c r="I676" s="1">
        <f t="shared" si="74"/>
        <v>66.600000000000492</v>
      </c>
    </row>
    <row r="677" spans="2:9" x14ac:dyDescent="0.25">
      <c r="B677" s="1">
        <f t="shared" si="75"/>
        <v>66.700000000000486</v>
      </c>
      <c r="C677" s="1">
        <f t="shared" si="76"/>
        <v>-333.11482973613329</v>
      </c>
      <c r="D677" s="1">
        <f t="shared" si="72"/>
        <v>-15.915024359412969</v>
      </c>
      <c r="E677" s="1">
        <f t="shared" si="77"/>
        <v>-15.915024359412969</v>
      </c>
      <c r="F677" s="1">
        <f t="shared" si="73"/>
        <v>8.3278707434033326</v>
      </c>
      <c r="G677" s="1"/>
      <c r="H677">
        <f t="shared" si="78"/>
        <v>3</v>
      </c>
      <c r="I677" s="1">
        <f t="shared" si="74"/>
        <v>66.700000000000486</v>
      </c>
    </row>
    <row r="678" spans="2:9" x14ac:dyDescent="0.25">
      <c r="B678" s="1">
        <f t="shared" si="75"/>
        <v>66.80000000000048</v>
      </c>
      <c r="C678" s="1">
        <f t="shared" si="76"/>
        <v>-334.70633217207461</v>
      </c>
      <c r="D678" s="1">
        <f t="shared" si="72"/>
        <v>-15.082237285072637</v>
      </c>
      <c r="E678" s="1">
        <f t="shared" si="77"/>
        <v>-15.082237285072637</v>
      </c>
      <c r="F678" s="1">
        <f t="shared" si="73"/>
        <v>8.367658304301866</v>
      </c>
      <c r="G678" s="1"/>
      <c r="H678">
        <f t="shared" si="78"/>
        <v>3</v>
      </c>
      <c r="I678" s="1">
        <f t="shared" si="74"/>
        <v>66.80000000000048</v>
      </c>
    </row>
    <row r="679" spans="2:9" x14ac:dyDescent="0.25">
      <c r="B679" s="1">
        <f t="shared" si="75"/>
        <v>66.900000000000475</v>
      </c>
      <c r="C679" s="1">
        <f t="shared" si="76"/>
        <v>-336.2145559005819</v>
      </c>
      <c r="D679" s="1">
        <f t="shared" si="72"/>
        <v>-14.24547145464245</v>
      </c>
      <c r="E679" s="1">
        <f t="shared" si="77"/>
        <v>-14.24547145464245</v>
      </c>
      <c r="F679" s="1">
        <f t="shared" si="73"/>
        <v>8.4053638975145475</v>
      </c>
      <c r="G679" s="1"/>
      <c r="H679">
        <f t="shared" si="78"/>
        <v>3</v>
      </c>
      <c r="I679" s="1">
        <f t="shared" si="74"/>
        <v>66.900000000000475</v>
      </c>
    </row>
    <row r="680" spans="2:9" x14ac:dyDescent="0.25">
      <c r="B680" s="1">
        <f t="shared" si="75"/>
        <v>67.000000000000469</v>
      </c>
      <c r="C680" s="1">
        <f t="shared" si="76"/>
        <v>-337.63910304604616</v>
      </c>
      <c r="D680" s="1">
        <f t="shared" si="72"/>
        <v>-13.404935064890996</v>
      </c>
      <c r="E680" s="1">
        <f t="shared" si="77"/>
        <v>-13.404935064890996</v>
      </c>
      <c r="F680" s="1">
        <f t="shared" si="73"/>
        <v>8.4409775761511536</v>
      </c>
      <c r="G680" s="1"/>
      <c r="H680">
        <f t="shared" si="78"/>
        <v>3</v>
      </c>
      <c r="I680" s="1">
        <f t="shared" si="74"/>
        <v>67.000000000000469</v>
      </c>
    </row>
    <row r="681" spans="2:9" x14ac:dyDescent="0.25">
      <c r="B681" s="1">
        <f t="shared" si="75"/>
        <v>67.100000000000463</v>
      </c>
      <c r="C681" s="1">
        <f t="shared" si="76"/>
        <v>-338.97959655253527</v>
      </c>
      <c r="D681" s="1">
        <f t="shared" si="72"/>
        <v>-12.560837307275881</v>
      </c>
      <c r="E681" s="1">
        <f t="shared" si="77"/>
        <v>-12.560837307275881</v>
      </c>
      <c r="F681" s="1">
        <f t="shared" si="73"/>
        <v>8.4744899138133825</v>
      </c>
      <c r="G681" s="1"/>
      <c r="H681">
        <f t="shared" si="78"/>
        <v>3</v>
      </c>
      <c r="I681" s="1">
        <f t="shared" si="74"/>
        <v>67.100000000000463</v>
      </c>
    </row>
    <row r="682" spans="2:9" x14ac:dyDescent="0.25">
      <c r="B682" s="1">
        <f t="shared" si="75"/>
        <v>67.200000000000458</v>
      </c>
      <c r="C682" s="1">
        <f t="shared" si="76"/>
        <v>-340.23568028326287</v>
      </c>
      <c r="D682" s="1">
        <f t="shared" si="72"/>
        <v>-11.713388315894543</v>
      </c>
      <c r="E682" s="1">
        <f t="shared" si="77"/>
        <v>-11.713388315894543</v>
      </c>
      <c r="F682" s="1">
        <f t="shared" si="73"/>
        <v>8.505892007081572</v>
      </c>
      <c r="G682" s="1"/>
      <c r="H682">
        <f t="shared" si="78"/>
        <v>3</v>
      </c>
      <c r="I682" s="1">
        <f t="shared" si="74"/>
        <v>67.200000000000458</v>
      </c>
    </row>
    <row r="683" spans="2:9" x14ac:dyDescent="0.25">
      <c r="B683" s="1">
        <f t="shared" si="75"/>
        <v>67.300000000000452</v>
      </c>
      <c r="C683" s="1">
        <f t="shared" si="76"/>
        <v>-341.40701911485235</v>
      </c>
      <c r="D683" s="1">
        <f t="shared" si="72"/>
        <v>-10.862799115186386</v>
      </c>
      <c r="E683" s="1">
        <f t="shared" si="77"/>
        <v>-10.862799115186386</v>
      </c>
      <c r="F683" s="1">
        <f t="shared" si="73"/>
        <v>8.5351754778713094</v>
      </c>
      <c r="G683" s="1"/>
      <c r="H683">
        <f t="shared" si="78"/>
        <v>3</v>
      </c>
      <c r="I683" s="1">
        <f t="shared" si="74"/>
        <v>67.300000000000452</v>
      </c>
    </row>
    <row r="684" spans="2:9" x14ac:dyDescent="0.25">
      <c r="B684" s="1">
        <f t="shared" si="75"/>
        <v>67.400000000000446</v>
      </c>
      <c r="C684" s="1">
        <f t="shared" si="76"/>
        <v>-342.49329902637101</v>
      </c>
      <c r="D684" s="1">
        <f t="shared" si="72"/>
        <v>-10.009281567399254</v>
      </c>
      <c r="E684" s="1">
        <f t="shared" si="77"/>
        <v>-10.009281567399254</v>
      </c>
      <c r="F684" s="1">
        <f t="shared" si="73"/>
        <v>8.5623324756592751</v>
      </c>
      <c r="G684" s="1"/>
      <c r="H684">
        <f t="shared" si="78"/>
        <v>3</v>
      </c>
      <c r="I684" s="1">
        <f t="shared" si="74"/>
        <v>67.400000000000446</v>
      </c>
    </row>
    <row r="685" spans="2:9" x14ac:dyDescent="0.25">
      <c r="B685" s="1">
        <f t="shared" si="75"/>
        <v>67.500000000000441</v>
      </c>
      <c r="C685" s="1">
        <f t="shared" si="76"/>
        <v>-343.49422718311092</v>
      </c>
      <c r="D685" s="1">
        <f t="shared" si="72"/>
        <v>-9.1530483198333261</v>
      </c>
      <c r="E685" s="1">
        <f t="shared" si="77"/>
        <v>-9.1530483198333261</v>
      </c>
      <c r="F685" s="1">
        <f t="shared" si="73"/>
        <v>8.5873556795777741</v>
      </c>
      <c r="G685" s="1"/>
      <c r="H685">
        <f t="shared" si="78"/>
        <v>3</v>
      </c>
      <c r="I685" s="1">
        <f t="shared" si="74"/>
        <v>67.500000000000441</v>
      </c>
    </row>
    <row r="686" spans="2:9" x14ac:dyDescent="0.25">
      <c r="B686" s="1">
        <f t="shared" si="75"/>
        <v>67.600000000000435</v>
      </c>
      <c r="C686" s="1">
        <f t="shared" si="76"/>
        <v>-344.40953201509427</v>
      </c>
      <c r="D686" s="1">
        <f t="shared" si="72"/>
        <v>-8.2943127518755482</v>
      </c>
      <c r="E686" s="1">
        <f t="shared" si="77"/>
        <v>-8.2943127518755482</v>
      </c>
      <c r="F686" s="1">
        <f t="shared" si="73"/>
        <v>8.6102383003773575</v>
      </c>
      <c r="G686" s="1"/>
      <c r="H686">
        <f t="shared" si="78"/>
        <v>3</v>
      </c>
      <c r="I686" s="1">
        <f t="shared" si="74"/>
        <v>67.600000000000435</v>
      </c>
    </row>
    <row r="687" spans="2:9" x14ac:dyDescent="0.25">
      <c r="B687" s="1">
        <f t="shared" si="75"/>
        <v>67.700000000000429</v>
      </c>
      <c r="C687" s="1">
        <f t="shared" si="76"/>
        <v>-345.23896329028184</v>
      </c>
      <c r="D687" s="1">
        <f t="shared" si="72"/>
        <v>-7.4332889218378124</v>
      </c>
      <c r="E687" s="1">
        <f t="shared" si="77"/>
        <v>-7.4332889218378124</v>
      </c>
      <c r="F687" s="1">
        <f t="shared" si="73"/>
        <v>8.6309740822570458</v>
      </c>
      <c r="G687" s="1"/>
      <c r="H687">
        <f t="shared" si="78"/>
        <v>3</v>
      </c>
      <c r="I687" s="1">
        <f t="shared" si="74"/>
        <v>67.700000000000429</v>
      </c>
    </row>
    <row r="688" spans="2:9" x14ac:dyDescent="0.25">
      <c r="B688" s="1">
        <f t="shared" si="75"/>
        <v>67.800000000000423</v>
      </c>
      <c r="C688" s="1">
        <f t="shared" si="76"/>
        <v>-345.98229218246564</v>
      </c>
      <c r="D688" s="1">
        <f t="shared" si="72"/>
        <v>-6.5701915136121078</v>
      </c>
      <c r="E688" s="1">
        <f t="shared" si="77"/>
        <v>-6.5701915136121078</v>
      </c>
      <c r="F688" s="1">
        <f t="shared" si="73"/>
        <v>8.6495573045616414</v>
      </c>
      <c r="G688" s="1"/>
      <c r="H688">
        <f t="shared" si="78"/>
        <v>3</v>
      </c>
      <c r="I688" s="1">
        <f t="shared" si="74"/>
        <v>67.800000000000423</v>
      </c>
    </row>
    <row r="689" spans="2:9" x14ac:dyDescent="0.25">
      <c r="B689" s="1">
        <f t="shared" si="75"/>
        <v>67.900000000000418</v>
      </c>
      <c r="C689" s="1">
        <f t="shared" si="76"/>
        <v>-346.63931133382687</v>
      </c>
      <c r="D689" s="1">
        <f t="shared" si="72"/>
        <v>-5.7052357831559437</v>
      </c>
      <c r="E689" s="1">
        <f t="shared" si="77"/>
        <v>-5.7052357831559437</v>
      </c>
      <c r="F689" s="1">
        <f t="shared" si="73"/>
        <v>8.6659827833456724</v>
      </c>
      <c r="G689" s="1"/>
      <c r="H689">
        <f t="shared" si="78"/>
        <v>3</v>
      </c>
      <c r="I689" s="1">
        <f t="shared" si="74"/>
        <v>67.900000000000418</v>
      </c>
    </row>
    <row r="690" spans="2:9" x14ac:dyDescent="0.25">
      <c r="B690" s="1">
        <f t="shared" si="75"/>
        <v>68.000000000000412</v>
      </c>
      <c r="C690" s="1">
        <f t="shared" si="76"/>
        <v>-347.20983491214247</v>
      </c>
      <c r="D690" s="1">
        <f t="shared" si="72"/>
        <v>-4.8386375048213761</v>
      </c>
      <c r="E690" s="1">
        <f t="shared" si="77"/>
        <v>-4.8386375048213761</v>
      </c>
      <c r="F690" s="1">
        <f t="shared" si="73"/>
        <v>8.6802458728035621</v>
      </c>
      <c r="G690" s="1"/>
      <c r="H690">
        <f t="shared" si="78"/>
        <v>3</v>
      </c>
      <c r="I690" s="1">
        <f t="shared" si="74"/>
        <v>68.000000000000412</v>
      </c>
    </row>
    <row r="691" spans="2:9" x14ac:dyDescent="0.25">
      <c r="B691" s="1">
        <f t="shared" si="75"/>
        <v>68.100000000000406</v>
      </c>
      <c r="C691" s="1">
        <f t="shared" si="76"/>
        <v>-347.69369866262463</v>
      </c>
      <c r="D691" s="1">
        <f t="shared" si="72"/>
        <v>-3.9706129175410201</v>
      </c>
      <c r="E691" s="1">
        <f t="shared" si="77"/>
        <v>-3.9706129175410201</v>
      </c>
      <c r="F691" s="1">
        <f t="shared" si="73"/>
        <v>8.6923424665656164</v>
      </c>
      <c r="G691" s="1"/>
      <c r="H691">
        <f t="shared" si="78"/>
        <v>3</v>
      </c>
      <c r="I691" s="1">
        <f t="shared" si="74"/>
        <v>68.100000000000406</v>
      </c>
    </row>
    <row r="692" spans="2:9" x14ac:dyDescent="0.25">
      <c r="B692" s="1">
        <f t="shared" si="75"/>
        <v>68.200000000000401</v>
      </c>
      <c r="C692" s="1">
        <f t="shared" si="76"/>
        <v>-348.09075995437871</v>
      </c>
      <c r="D692" s="1">
        <f t="shared" si="72"/>
        <v>-3.1013786708844586</v>
      </c>
      <c r="E692" s="1">
        <f t="shared" si="77"/>
        <v>-3.1013786708844586</v>
      </c>
      <c r="F692" s="1">
        <f t="shared" si="73"/>
        <v>8.7022689988594681</v>
      </c>
      <c r="G692" s="1"/>
      <c r="H692">
        <f t="shared" si="78"/>
        <v>3</v>
      </c>
      <c r="I692" s="1">
        <f t="shared" si="74"/>
        <v>68.200000000000401</v>
      </c>
    </row>
    <row r="693" spans="2:9" x14ac:dyDescent="0.25">
      <c r="B693" s="1">
        <f t="shared" si="75"/>
        <v>68.300000000000395</v>
      </c>
      <c r="C693" s="1">
        <f t="shared" si="76"/>
        <v>-348.40089782146714</v>
      </c>
      <c r="D693" s="1">
        <f t="shared" si="72"/>
        <v>-2.2311517709985118</v>
      </c>
      <c r="E693" s="1">
        <f t="shared" si="77"/>
        <v>-2.2311517709985118</v>
      </c>
      <c r="F693" s="1">
        <f t="shared" si="73"/>
        <v>8.7100224455366781</v>
      </c>
      <c r="G693" s="1"/>
      <c r="H693">
        <f t="shared" si="78"/>
        <v>3</v>
      </c>
      <c r="I693" s="1">
        <f t="shared" si="74"/>
        <v>68.300000000000395</v>
      </c>
    </row>
    <row r="694" spans="2:9" x14ac:dyDescent="0.25">
      <c r="B694" s="1">
        <f t="shared" si="75"/>
        <v>68.400000000000389</v>
      </c>
      <c r="C694" s="1">
        <f t="shared" si="76"/>
        <v>-348.62401299856697</v>
      </c>
      <c r="D694" s="1">
        <f t="shared" si="72"/>
        <v>-1.360149526444844</v>
      </c>
      <c r="E694" s="1">
        <f t="shared" si="77"/>
        <v>-1.360149526444844</v>
      </c>
      <c r="F694" s="1">
        <f t="shared" si="73"/>
        <v>8.7156003249641749</v>
      </c>
      <c r="G694" s="1"/>
      <c r="H694">
        <f t="shared" si="78"/>
        <v>3</v>
      </c>
      <c r="I694" s="1">
        <f t="shared" si="74"/>
        <v>68.400000000000389</v>
      </c>
    </row>
    <row r="695" spans="2:9" x14ac:dyDescent="0.25">
      <c r="B695" s="1">
        <f t="shared" si="75"/>
        <v>68.500000000000384</v>
      </c>
      <c r="C695" s="1">
        <f t="shared" si="76"/>
        <v>-348.76002795121144</v>
      </c>
      <c r="D695" s="1">
        <f t="shared" si="72"/>
        <v>-0.48858949394842643</v>
      </c>
      <c r="E695" s="1">
        <f t="shared" si="77"/>
        <v>-0.48858949394842643</v>
      </c>
      <c r="F695" s="1">
        <f t="shared" si="73"/>
        <v>8.7190006987802864</v>
      </c>
      <c r="G695" s="1"/>
      <c r="H695">
        <f t="shared" si="78"/>
        <v>4</v>
      </c>
      <c r="I695" s="1">
        <f t="shared" si="74"/>
        <v>68.500000000000384</v>
      </c>
    </row>
    <row r="696" spans="2:9" x14ac:dyDescent="0.25">
      <c r="B696" s="1">
        <f t="shared" si="75"/>
        <v>68.600000000000378</v>
      </c>
      <c r="C696" s="1">
        <f t="shared" si="76"/>
        <v>-348.8088869006063</v>
      </c>
      <c r="D696" s="1">
        <f t="shared" si="72"/>
        <v>0.38331057592960227</v>
      </c>
      <c r="E696" s="1">
        <f t="shared" si="77"/>
        <v>0.38331057592960227</v>
      </c>
      <c r="F696" s="1">
        <f t="shared" si="73"/>
        <v>8.7202221725151574</v>
      </c>
      <c r="G696" s="1"/>
      <c r="H696">
        <f t="shared" si="78"/>
        <v>4</v>
      </c>
      <c r="I696" s="1">
        <f t="shared" si="74"/>
        <v>68.600000000000378</v>
      </c>
    </row>
    <row r="697" spans="2:9" x14ac:dyDescent="0.25">
      <c r="B697" s="1">
        <f t="shared" si="75"/>
        <v>68.700000000000372</v>
      </c>
      <c r="C697" s="1">
        <f t="shared" si="76"/>
        <v>-348.77055584301331</v>
      </c>
      <c r="D697" s="1">
        <f t="shared" si="72"/>
        <v>1.255332793181118</v>
      </c>
      <c r="E697" s="1">
        <f t="shared" si="77"/>
        <v>1.255332793181118</v>
      </c>
      <c r="F697" s="1">
        <f t="shared" si="73"/>
        <v>8.7192638960753328</v>
      </c>
      <c r="G697" s="1"/>
      <c r="H697">
        <f t="shared" si="78"/>
        <v>4</v>
      </c>
      <c r="I697" s="1">
        <f t="shared" si="74"/>
        <v>68.700000000000372</v>
      </c>
    </row>
    <row r="698" spans="2:9" x14ac:dyDescent="0.25">
      <c r="B698" s="1">
        <f t="shared" si="75"/>
        <v>68.800000000000367</v>
      </c>
      <c r="C698" s="1">
        <f t="shared" si="76"/>
        <v>-348.64502256369519</v>
      </c>
      <c r="D698" s="1">
        <f t="shared" si="72"/>
        <v>2.1272591827886513</v>
      </c>
      <c r="E698" s="1">
        <f t="shared" si="77"/>
        <v>2.1272591827886513</v>
      </c>
      <c r="F698" s="1">
        <f t="shared" si="73"/>
        <v>8.7161255640923798</v>
      </c>
      <c r="G698" s="1"/>
      <c r="H698">
        <f t="shared" si="78"/>
        <v>4</v>
      </c>
      <c r="I698" s="1">
        <f t="shared" si="74"/>
        <v>68.800000000000367</v>
      </c>
    </row>
    <row r="699" spans="2:9" x14ac:dyDescent="0.25">
      <c r="B699" s="1">
        <f t="shared" si="75"/>
        <v>68.900000000000361</v>
      </c>
      <c r="C699" s="1">
        <f t="shared" si="76"/>
        <v>-348.43229664541633</v>
      </c>
      <c r="D699" s="1">
        <f t="shared" si="72"/>
        <v>2.9988717391978894</v>
      </c>
      <c r="E699" s="1">
        <f t="shared" si="77"/>
        <v>2.9988717391978894</v>
      </c>
      <c r="F699" s="1">
        <f t="shared" si="73"/>
        <v>8.7108074161354079</v>
      </c>
      <c r="G699" s="1"/>
      <c r="H699">
        <f t="shared" si="78"/>
        <v>4</v>
      </c>
      <c r="I699" s="1">
        <f t="shared" si="74"/>
        <v>68.900000000000361</v>
      </c>
    </row>
    <row r="700" spans="2:9" x14ac:dyDescent="0.25">
      <c r="B700" s="1">
        <f t="shared" si="75"/>
        <v>69.000000000000355</v>
      </c>
      <c r="C700" s="1">
        <f t="shared" si="76"/>
        <v>-348.13240947149654</v>
      </c>
      <c r="D700" s="1">
        <f t="shared" si="72"/>
        <v>3.8699524808114303</v>
      </c>
      <c r="E700" s="1">
        <f t="shared" si="77"/>
        <v>3.8699524808114303</v>
      </c>
      <c r="F700" s="1">
        <f t="shared" si="73"/>
        <v>8.7033102367874147</v>
      </c>
      <c r="G700" s="1"/>
      <c r="H700">
        <f t="shared" si="78"/>
        <v>4</v>
      </c>
      <c r="I700" s="1">
        <f t="shared" si="74"/>
        <v>69.000000000000355</v>
      </c>
    </row>
    <row r="701" spans="2:9" x14ac:dyDescent="0.25">
      <c r="B701" s="1">
        <f t="shared" si="75"/>
        <v>69.10000000000035</v>
      </c>
      <c r="C701" s="1">
        <f t="shared" si="76"/>
        <v>-347.74541422341542</v>
      </c>
      <c r="D701" s="1">
        <f t="shared" si="72"/>
        <v>4.7402835044901721</v>
      </c>
      <c r="E701" s="1">
        <f t="shared" si="77"/>
        <v>4.7402835044901721</v>
      </c>
      <c r="F701" s="1">
        <f t="shared" si="73"/>
        <v>8.6936353555853856</v>
      </c>
      <c r="G701" s="1"/>
      <c r="H701">
        <f t="shared" si="78"/>
        <v>4</v>
      </c>
      <c r="I701" s="1">
        <f t="shared" si="74"/>
        <v>69.10000000000035</v>
      </c>
    </row>
    <row r="702" spans="2:9" x14ac:dyDescent="0.25">
      <c r="B702" s="1">
        <f t="shared" si="75"/>
        <v>69.200000000000344</v>
      </c>
      <c r="C702" s="1">
        <f t="shared" si="76"/>
        <v>-347.27138587296639</v>
      </c>
      <c r="D702" s="1">
        <f t="shared" si="72"/>
        <v>5.6096470400487108</v>
      </c>
      <c r="E702" s="1">
        <f t="shared" si="77"/>
        <v>5.6096470400487108</v>
      </c>
      <c r="F702" s="1">
        <f t="shared" si="73"/>
        <v>8.6817846468241608</v>
      </c>
      <c r="G702" s="1"/>
      <c r="H702">
        <f t="shared" si="78"/>
        <v>4</v>
      </c>
      <c r="I702" s="1">
        <f t="shared" si="74"/>
        <v>69.200000000000344</v>
      </c>
    </row>
    <row r="703" spans="2:9" x14ac:dyDescent="0.25">
      <c r="B703" s="1">
        <f t="shared" si="75"/>
        <v>69.300000000000338</v>
      </c>
      <c r="C703" s="1">
        <f t="shared" si="76"/>
        <v>-346.71042116896155</v>
      </c>
      <c r="D703" s="1">
        <f t="shared" si="72"/>
        <v>6.4778255047311273</v>
      </c>
      <c r="E703" s="1">
        <f t="shared" si="77"/>
        <v>6.4778255047311273</v>
      </c>
      <c r="F703" s="1">
        <f t="shared" si="73"/>
        <v>8.6677605292240383</v>
      </c>
      <c r="G703" s="1"/>
      <c r="H703">
        <f t="shared" si="78"/>
        <v>4</v>
      </c>
      <c r="I703" s="1">
        <f t="shared" si="74"/>
        <v>69.300000000000338</v>
      </c>
    </row>
    <row r="704" spans="2:9" x14ac:dyDescent="0.25">
      <c r="B704" s="1">
        <f t="shared" si="75"/>
        <v>69.400000000000333</v>
      </c>
      <c r="C704" s="1">
        <f t="shared" si="76"/>
        <v>-346.06263861848845</v>
      </c>
      <c r="D704" s="1">
        <f t="shared" si="72"/>
        <v>7.3446015576535313</v>
      </c>
      <c r="E704" s="1">
        <f t="shared" si="77"/>
        <v>7.3446015576535313</v>
      </c>
      <c r="F704" s="1">
        <f t="shared" si="73"/>
        <v>8.6515659654622112</v>
      </c>
      <c r="G704" s="1"/>
      <c r="H704">
        <f t="shared" si="78"/>
        <v>4</v>
      </c>
      <c r="I704" s="1">
        <f t="shared" si="74"/>
        <v>69.400000000000333</v>
      </c>
    </row>
    <row r="705" spans="2:9" x14ac:dyDescent="0.25">
      <c r="B705" s="1">
        <f t="shared" si="75"/>
        <v>69.500000000000327</v>
      </c>
      <c r="C705" s="1">
        <f t="shared" si="76"/>
        <v>-345.32817846272309</v>
      </c>
      <c r="D705" s="1">
        <f t="shared" si="72"/>
        <v>8.2097581541997524</v>
      </c>
      <c r="E705" s="1">
        <f t="shared" si="77"/>
        <v>8.2097581541997524</v>
      </c>
      <c r="F705" s="1">
        <f t="shared" si="73"/>
        <v>8.6332044615680772</v>
      </c>
      <c r="G705" s="1"/>
      <c r="H705">
        <f t="shared" si="78"/>
        <v>4</v>
      </c>
      <c r="I705" s="1">
        <f t="shared" si="74"/>
        <v>69.500000000000327</v>
      </c>
    </row>
    <row r="706" spans="2:9" x14ac:dyDescent="0.25">
      <c r="B706" s="1">
        <f t="shared" si="75"/>
        <v>69.600000000000321</v>
      </c>
      <c r="C706" s="1">
        <f t="shared" si="76"/>
        <v>-344.50720264730313</v>
      </c>
      <c r="D706" s="1">
        <f t="shared" si="72"/>
        <v>9.0730786003565598</v>
      </c>
      <c r="E706" s="1">
        <f t="shared" si="77"/>
        <v>9.0730786003565598</v>
      </c>
      <c r="F706" s="1">
        <f t="shared" si="73"/>
        <v>8.6126800661825786</v>
      </c>
      <c r="G706" s="1"/>
      <c r="H706">
        <f t="shared" si="78"/>
        <v>4</v>
      </c>
      <c r="I706" s="1">
        <f t="shared" si="74"/>
        <v>69.600000000000321</v>
      </c>
    </row>
    <row r="707" spans="2:9" x14ac:dyDescent="0.25">
      <c r="B707" s="1">
        <f t="shared" si="75"/>
        <v>69.700000000000315</v>
      </c>
      <c r="C707" s="1">
        <f t="shared" si="76"/>
        <v>-343.59989478726749</v>
      </c>
      <c r="D707" s="1">
        <f t="shared" si="72"/>
        <v>9.9343466069748168</v>
      </c>
      <c r="E707" s="1">
        <f t="shared" si="77"/>
        <v>9.9343466069748168</v>
      </c>
      <c r="F707" s="1">
        <f t="shared" si="73"/>
        <v>8.5899973696816883</v>
      </c>
      <c r="G707" s="1"/>
      <c r="H707">
        <f t="shared" si="78"/>
        <v>4</v>
      </c>
      <c r="I707" s="1">
        <f t="shared" si="74"/>
        <v>69.700000000000315</v>
      </c>
    </row>
    <row r="708" spans="2:9" x14ac:dyDescent="0.25">
      <c r="B708" s="1">
        <f t="shared" si="75"/>
        <v>69.80000000000031</v>
      </c>
      <c r="C708" s="1">
        <f t="shared" si="76"/>
        <v>-342.60646012657003</v>
      </c>
      <c r="D708" s="1">
        <f t="shared" si="72"/>
        <v>10.793346343942986</v>
      </c>
      <c r="E708" s="1">
        <f t="shared" si="77"/>
        <v>10.793346343942986</v>
      </c>
      <c r="F708" s="1">
        <f t="shared" si="73"/>
        <v>8.5651615031642514</v>
      </c>
      <c r="G708" s="1"/>
      <c r="H708">
        <f t="shared" si="78"/>
        <v>4</v>
      </c>
      <c r="I708" s="1">
        <f t="shared" si="74"/>
        <v>69.80000000000031</v>
      </c>
    </row>
    <row r="709" spans="2:9" x14ac:dyDescent="0.25">
      <c r="B709" s="1">
        <f t="shared" si="75"/>
        <v>69.900000000000304</v>
      </c>
      <c r="C709" s="1">
        <f t="shared" si="76"/>
        <v>-341.52712549217574</v>
      </c>
      <c r="D709" s="1">
        <f t="shared" si="72"/>
        <v>11.649862494259411</v>
      </c>
      <c r="E709" s="1">
        <f t="shared" si="77"/>
        <v>11.649862494259411</v>
      </c>
      <c r="F709" s="1">
        <f t="shared" si="73"/>
        <v>8.5381781373043939</v>
      </c>
      <c r="G709" s="1"/>
      <c r="H709">
        <f t="shared" si="78"/>
        <v>4</v>
      </c>
      <c r="I709" s="1">
        <f t="shared" si="74"/>
        <v>69.900000000000304</v>
      </c>
    </row>
    <row r="710" spans="2:9" x14ac:dyDescent="0.25">
      <c r="B710" s="1">
        <f t="shared" si="75"/>
        <v>70.000000000000298</v>
      </c>
      <c r="C710" s="1">
        <f t="shared" si="76"/>
        <v>-340.36213924274978</v>
      </c>
      <c r="D710" s="1">
        <f t="shared" si="72"/>
        <v>12.50368030798985</v>
      </c>
      <c r="E710" s="1">
        <f t="shared" si="77"/>
        <v>12.50368030798985</v>
      </c>
      <c r="F710" s="1">
        <f t="shared" si="73"/>
        <v>8.5090534810687455</v>
      </c>
      <c r="G710" s="1"/>
      <c r="H710">
        <f t="shared" si="78"/>
        <v>4</v>
      </c>
      <c r="I710" s="1">
        <f t="shared" si="74"/>
        <v>70.000000000000298</v>
      </c>
    </row>
    <row r="711" spans="2:9" x14ac:dyDescent="0.25">
      <c r="B711" s="1">
        <f t="shared" si="75"/>
        <v>70.100000000000293</v>
      </c>
      <c r="C711" s="1">
        <f t="shared" si="76"/>
        <v>-339.11177121195078</v>
      </c>
      <c r="D711" s="1">
        <f t="shared" si="72"/>
        <v>13.354585656096724</v>
      </c>
      <c r="E711" s="1">
        <f t="shared" si="77"/>
        <v>13.354585656096724</v>
      </c>
      <c r="F711" s="1">
        <f t="shared" si="73"/>
        <v>8.4777942802987702</v>
      </c>
      <c r="G711" s="1"/>
      <c r="H711">
        <f t="shared" si="78"/>
        <v>4</v>
      </c>
      <c r="I711" s="1">
        <f t="shared" si="74"/>
        <v>70.100000000000293</v>
      </c>
    </row>
    <row r="712" spans="2:9" x14ac:dyDescent="0.25">
      <c r="B712" s="1">
        <f t="shared" si="75"/>
        <v>70.200000000000287</v>
      </c>
      <c r="C712" s="1">
        <f t="shared" si="76"/>
        <v>-337.77631264634113</v>
      </c>
      <c r="D712" s="1">
        <f t="shared" si="72"/>
        <v>14.202365084126601</v>
      </c>
      <c r="E712" s="1">
        <f t="shared" si="77"/>
        <v>14.202365084126601</v>
      </c>
      <c r="F712" s="1">
        <f t="shared" si="73"/>
        <v>8.4444078161585292</v>
      </c>
      <c r="G712" s="1"/>
      <c r="H712">
        <f t="shared" si="78"/>
        <v>4</v>
      </c>
      <c r="I712" s="1">
        <f t="shared" si="74"/>
        <v>70.200000000000287</v>
      </c>
    </row>
    <row r="713" spans="2:9" x14ac:dyDescent="0.25">
      <c r="B713" s="1">
        <f t="shared" si="75"/>
        <v>70.300000000000281</v>
      </c>
      <c r="C713" s="1">
        <f t="shared" si="76"/>
        <v>-336.35607613792848</v>
      </c>
      <c r="D713" s="1">
        <f t="shared" si="72"/>
        <v>15.046805865742455</v>
      </c>
      <c r="E713" s="1">
        <f t="shared" si="77"/>
        <v>15.046805865742455</v>
      </c>
      <c r="F713" s="1">
        <f t="shared" si="73"/>
        <v>8.4089019034482124</v>
      </c>
      <c r="G713" s="1"/>
      <c r="H713">
        <f t="shared" si="78"/>
        <v>4</v>
      </c>
      <c r="I713" s="1">
        <f t="shared" si="74"/>
        <v>70.300000000000281</v>
      </c>
    </row>
    <row r="714" spans="2:9" x14ac:dyDescent="0.25">
      <c r="B714" s="1">
        <f t="shared" si="75"/>
        <v>70.400000000000276</v>
      </c>
      <c r="C714" s="1">
        <f t="shared" si="76"/>
        <v>-334.85139555135424</v>
      </c>
      <c r="D714" s="1">
        <f t="shared" ref="D714:D777" si="79">E714</f>
        <v>15.887696056087275</v>
      </c>
      <c r="E714" s="1">
        <f t="shared" si="77"/>
        <v>15.887696056087275</v>
      </c>
      <c r="F714" s="1">
        <f t="shared" ref="F714:F777" si="80">-$C$3*C714/$C$4-$C$2/$C$4*E714</f>
        <v>8.3712848887838565</v>
      </c>
      <c r="G714" s="1"/>
      <c r="H714">
        <f t="shared" si="78"/>
        <v>4</v>
      </c>
      <c r="I714" s="1">
        <f t="shared" ref="I714:I777" si="81">B714</f>
        <v>70.400000000000276</v>
      </c>
    </row>
    <row r="715" spans="2:9" x14ac:dyDescent="0.25">
      <c r="B715" s="1">
        <f t="shared" ref="B715:B778" si="82">B714+$C$7</f>
        <v>70.50000000000027</v>
      </c>
      <c r="C715" s="1">
        <f t="shared" ref="C715:C778" si="83">C714+D714*$C$7</f>
        <v>-333.26262594574553</v>
      </c>
      <c r="D715" s="1">
        <f t="shared" si="79"/>
        <v>16.72482454496566</v>
      </c>
      <c r="E715" s="1">
        <f t="shared" ref="E715:E778" si="84">E714+F714*$C$7</f>
        <v>16.72482454496566</v>
      </c>
      <c r="F715" s="1">
        <f t="shared" si="80"/>
        <v>8.3315656486436378</v>
      </c>
      <c r="G715" s="1"/>
      <c r="H715">
        <f t="shared" ref="H715:H778" si="85">H714+(D715*D716&lt;0)*1</f>
        <v>4</v>
      </c>
      <c r="I715" s="1">
        <f t="shared" si="81"/>
        <v>70.50000000000027</v>
      </c>
    </row>
    <row r="716" spans="2:9" x14ac:dyDescent="0.25">
      <c r="B716" s="1">
        <f t="shared" si="82"/>
        <v>70.600000000000264</v>
      </c>
      <c r="C716" s="1">
        <f t="shared" si="83"/>
        <v>-331.59014349124897</v>
      </c>
      <c r="D716" s="1">
        <f t="shared" si="79"/>
        <v>17.557981109830024</v>
      </c>
      <c r="E716" s="1">
        <f t="shared" si="84"/>
        <v>17.557981109830024</v>
      </c>
      <c r="F716" s="1">
        <f t="shared" si="80"/>
        <v>8.2897535872812238</v>
      </c>
      <c r="G716" s="1"/>
      <c r="H716">
        <f t="shared" si="85"/>
        <v>4</v>
      </c>
      <c r="I716" s="1">
        <f t="shared" si="81"/>
        <v>70.600000000000264</v>
      </c>
    </row>
    <row r="717" spans="2:9" x14ac:dyDescent="0.25">
      <c r="B717" s="1">
        <f t="shared" si="82"/>
        <v>70.700000000000259</v>
      </c>
      <c r="C717" s="1">
        <f t="shared" si="83"/>
        <v>-329.83434538026597</v>
      </c>
      <c r="D717" s="1">
        <f t="shared" si="79"/>
        <v>18.386956468558147</v>
      </c>
      <c r="E717" s="1">
        <f t="shared" si="84"/>
        <v>18.386956468558147</v>
      </c>
      <c r="F717" s="1">
        <f t="shared" si="80"/>
        <v>8.24585863450665</v>
      </c>
      <c r="G717" s="1"/>
      <c r="H717">
        <f t="shared" si="85"/>
        <v>4</v>
      </c>
      <c r="I717" s="1">
        <f t="shared" si="81"/>
        <v>70.700000000000259</v>
      </c>
    </row>
    <row r="718" spans="2:9" x14ac:dyDescent="0.25">
      <c r="B718" s="1">
        <f t="shared" si="82"/>
        <v>70.800000000000253</v>
      </c>
      <c r="C718" s="1">
        <f t="shared" si="83"/>
        <v>-327.99564973341018</v>
      </c>
      <c r="D718" s="1">
        <f t="shared" si="79"/>
        <v>19.211542332008811</v>
      </c>
      <c r="E718" s="1">
        <f t="shared" si="84"/>
        <v>19.211542332008811</v>
      </c>
      <c r="F718" s="1">
        <f t="shared" si="80"/>
        <v>8.1998912433352551</v>
      </c>
      <c r="G718" s="1"/>
      <c r="H718">
        <f t="shared" si="85"/>
        <v>4</v>
      </c>
      <c r="I718" s="1">
        <f t="shared" si="81"/>
        <v>70.800000000000253</v>
      </c>
    </row>
    <row r="719" spans="2:9" x14ac:dyDescent="0.25">
      <c r="B719" s="1">
        <f t="shared" si="82"/>
        <v>70.900000000000247</v>
      </c>
      <c r="C719" s="1">
        <f t="shared" si="83"/>
        <v>-326.07449550020931</v>
      </c>
      <c r="D719" s="1">
        <f t="shared" si="79"/>
        <v>20.031531456342336</v>
      </c>
      <c r="E719" s="1">
        <f t="shared" si="84"/>
        <v>20.031531456342336</v>
      </c>
      <c r="F719" s="1">
        <f t="shared" si="80"/>
        <v>8.1518623875052327</v>
      </c>
      <c r="G719" s="1"/>
      <c r="H719">
        <f t="shared" si="85"/>
        <v>4</v>
      </c>
      <c r="I719" s="1">
        <f t="shared" si="81"/>
        <v>70.900000000000247</v>
      </c>
    </row>
    <row r="720" spans="2:9" x14ac:dyDescent="0.25">
      <c r="B720" s="1">
        <f t="shared" si="82"/>
        <v>71.000000000000242</v>
      </c>
      <c r="C720" s="1">
        <f t="shared" si="83"/>
        <v>-324.07134235457505</v>
      </c>
      <c r="D720" s="1">
        <f t="shared" si="79"/>
        <v>20.84671769509286</v>
      </c>
      <c r="E720" s="1">
        <f t="shared" si="84"/>
        <v>20.84671769509286</v>
      </c>
      <c r="F720" s="1">
        <f t="shared" si="80"/>
        <v>8.1017835588643763</v>
      </c>
      <c r="G720" s="1"/>
      <c r="H720">
        <f t="shared" si="85"/>
        <v>4</v>
      </c>
      <c r="I720" s="1">
        <f t="shared" si="81"/>
        <v>71.000000000000242</v>
      </c>
    </row>
    <row r="721" spans="2:9" x14ac:dyDescent="0.25">
      <c r="B721" s="1">
        <f t="shared" si="82"/>
        <v>71.100000000000236</v>
      </c>
      <c r="C721" s="1">
        <f t="shared" si="83"/>
        <v>-321.98667058506578</v>
      </c>
      <c r="D721" s="1">
        <f t="shared" si="79"/>
        <v>21.656896050979299</v>
      </c>
      <c r="E721" s="1">
        <f t="shared" si="84"/>
        <v>21.656896050979299</v>
      </c>
      <c r="F721" s="1">
        <f t="shared" si="80"/>
        <v>8.0496667646266449</v>
      </c>
      <c r="G721" s="1"/>
      <c r="H721">
        <f t="shared" si="85"/>
        <v>4</v>
      </c>
      <c r="I721" s="1">
        <f t="shared" si="81"/>
        <v>71.100000000000236</v>
      </c>
    </row>
    <row r="722" spans="2:9" x14ac:dyDescent="0.25">
      <c r="B722" s="1">
        <f t="shared" si="82"/>
        <v>71.20000000000023</v>
      </c>
      <c r="C722" s="1">
        <f t="shared" si="83"/>
        <v>-319.82098097996783</v>
      </c>
      <c r="D722" s="1">
        <f t="shared" si="79"/>
        <v>22.461862727441964</v>
      </c>
      <c r="E722" s="1">
        <f t="shared" si="84"/>
        <v>22.461862727441964</v>
      </c>
      <c r="F722" s="1">
        <f t="shared" si="80"/>
        <v>7.9955245244991957</v>
      </c>
      <c r="G722" s="1"/>
      <c r="H722">
        <f t="shared" si="85"/>
        <v>4</v>
      </c>
      <c r="I722" s="1">
        <f t="shared" si="81"/>
        <v>71.20000000000023</v>
      </c>
    </row>
    <row r="723" spans="2:9" x14ac:dyDescent="0.25">
      <c r="B723" s="1">
        <f t="shared" si="82"/>
        <v>71.300000000000225</v>
      </c>
      <c r="C723" s="1">
        <f t="shared" si="83"/>
        <v>-317.57479470722365</v>
      </c>
      <c r="D723" s="1">
        <f t="shared" si="79"/>
        <v>23.261415179891884</v>
      </c>
      <c r="E723" s="1">
        <f t="shared" si="84"/>
        <v>23.261415179891884</v>
      </c>
      <c r="F723" s="1">
        <f t="shared" si="80"/>
        <v>7.9393698676805915</v>
      </c>
      <c r="G723" s="1"/>
      <c r="H723">
        <f t="shared" si="85"/>
        <v>4</v>
      </c>
      <c r="I723" s="1">
        <f t="shared" si="81"/>
        <v>71.300000000000225</v>
      </c>
    </row>
    <row r="724" spans="2:9" x14ac:dyDescent="0.25">
      <c r="B724" s="1">
        <f t="shared" si="82"/>
        <v>71.400000000000219</v>
      </c>
      <c r="C724" s="1">
        <f t="shared" si="83"/>
        <v>-315.24865318923446</v>
      </c>
      <c r="D724" s="1">
        <f t="shared" si="79"/>
        <v>24.055352166659944</v>
      </c>
      <c r="E724" s="1">
        <f t="shared" si="84"/>
        <v>24.055352166659944</v>
      </c>
      <c r="F724" s="1">
        <f t="shared" si="80"/>
        <v>7.8812163297308615</v>
      </c>
      <c r="G724" s="1"/>
      <c r="H724">
        <f t="shared" si="85"/>
        <v>4</v>
      </c>
      <c r="I724" s="1">
        <f t="shared" si="81"/>
        <v>71.400000000000219</v>
      </c>
    </row>
    <row r="725" spans="2:9" x14ac:dyDescent="0.25">
      <c r="B725" s="1">
        <f t="shared" si="82"/>
        <v>71.500000000000213</v>
      </c>
      <c r="C725" s="1">
        <f t="shared" si="83"/>
        <v>-312.84311797256845</v>
      </c>
      <c r="D725" s="1">
        <f t="shared" si="79"/>
        <v>24.843473799633031</v>
      </c>
      <c r="E725" s="1">
        <f t="shared" si="84"/>
        <v>24.843473799633031</v>
      </c>
      <c r="F725" s="1">
        <f t="shared" si="80"/>
        <v>7.821077949314212</v>
      </c>
      <c r="G725" s="1"/>
      <c r="H725">
        <f t="shared" si="85"/>
        <v>4</v>
      </c>
      <c r="I725" s="1">
        <f t="shared" si="81"/>
        <v>71.500000000000213</v>
      </c>
    </row>
    <row r="726" spans="2:9" x14ac:dyDescent="0.25">
      <c r="B726" s="1">
        <f t="shared" si="82"/>
        <v>71.600000000000207</v>
      </c>
      <c r="C726" s="1">
        <f t="shared" si="83"/>
        <v>-310.35877059260514</v>
      </c>
      <c r="D726" s="1">
        <f t="shared" si="79"/>
        <v>25.625581594564451</v>
      </c>
      <c r="E726" s="1">
        <f t="shared" si="84"/>
        <v>25.625581594564451</v>
      </c>
      <c r="F726" s="1">
        <f t="shared" si="80"/>
        <v>7.7589692648151285</v>
      </c>
      <c r="G726" s="1"/>
      <c r="H726">
        <f t="shared" si="85"/>
        <v>4</v>
      </c>
      <c r="I726" s="1">
        <f t="shared" si="81"/>
        <v>71.600000000000207</v>
      </c>
    </row>
    <row r="727" spans="2:9" x14ac:dyDescent="0.25">
      <c r="B727" s="1">
        <f t="shared" si="82"/>
        <v>71.700000000000202</v>
      </c>
      <c r="C727" s="1">
        <f t="shared" si="83"/>
        <v>-307.7962124331487</v>
      </c>
      <c r="D727" s="1">
        <f t="shared" si="79"/>
        <v>26.401478521045963</v>
      </c>
      <c r="E727" s="1">
        <f t="shared" si="84"/>
        <v>26.401478521045963</v>
      </c>
      <c r="F727" s="1">
        <f t="shared" si="80"/>
        <v>7.6949053108287178</v>
      </c>
      <c r="G727" s="1"/>
      <c r="H727">
        <f t="shared" si="85"/>
        <v>4</v>
      </c>
      <c r="I727" s="1">
        <f t="shared" si="81"/>
        <v>71.700000000000202</v>
      </c>
    </row>
    <row r="728" spans="2:9" x14ac:dyDescent="0.25">
      <c r="B728" s="1">
        <f t="shared" si="82"/>
        <v>71.800000000000196</v>
      </c>
      <c r="C728" s="1">
        <f t="shared" si="83"/>
        <v>-305.15606458104412</v>
      </c>
      <c r="D728" s="1">
        <f t="shared" si="79"/>
        <v>27.170969052128836</v>
      </c>
      <c r="E728" s="1">
        <f t="shared" si="84"/>
        <v>27.170969052128836</v>
      </c>
      <c r="F728" s="1">
        <f t="shared" si="80"/>
        <v>7.6289016145261037</v>
      </c>
      <c r="G728" s="1"/>
      <c r="H728">
        <f t="shared" si="85"/>
        <v>4</v>
      </c>
      <c r="I728" s="1">
        <f t="shared" si="81"/>
        <v>71.800000000000196</v>
      </c>
    </row>
    <row r="729" spans="2:9" x14ac:dyDescent="0.25">
      <c r="B729" s="1">
        <f t="shared" si="82"/>
        <v>71.90000000000019</v>
      </c>
      <c r="C729" s="1">
        <f t="shared" si="83"/>
        <v>-302.43896767583124</v>
      </c>
      <c r="D729" s="1">
        <f t="shared" si="79"/>
        <v>27.933859213581446</v>
      </c>
      <c r="E729" s="1">
        <f t="shared" si="84"/>
        <v>27.933859213581446</v>
      </c>
      <c r="F729" s="1">
        <f t="shared" si="80"/>
        <v>7.5609741918957809</v>
      </c>
      <c r="G729" s="1"/>
      <c r="H729">
        <f t="shared" si="85"/>
        <v>4</v>
      </c>
      <c r="I729" s="1">
        <f t="shared" si="81"/>
        <v>71.90000000000019</v>
      </c>
    </row>
    <row r="730" spans="2:9" x14ac:dyDescent="0.25">
      <c r="B730" s="1">
        <f t="shared" si="82"/>
        <v>72.000000000000185</v>
      </c>
      <c r="C730" s="1">
        <f t="shared" si="83"/>
        <v>-299.64558175447308</v>
      </c>
      <c r="D730" s="1">
        <f t="shared" si="79"/>
        <v>28.689956632771025</v>
      </c>
      <c r="E730" s="1">
        <f t="shared" si="84"/>
        <v>28.689956632771025</v>
      </c>
      <c r="F730" s="1">
        <f t="shared" si="80"/>
        <v>7.4911395438618271</v>
      </c>
      <c r="G730" s="1"/>
      <c r="H730">
        <f t="shared" si="85"/>
        <v>4</v>
      </c>
      <c r="I730" s="1">
        <f t="shared" si="81"/>
        <v>72.000000000000185</v>
      </c>
    </row>
    <row r="731" spans="2:9" x14ac:dyDescent="0.25">
      <c r="B731" s="1">
        <f t="shared" si="82"/>
        <v>72.100000000000179</v>
      </c>
      <c r="C731" s="1">
        <f t="shared" si="83"/>
        <v>-296.77658609119601</v>
      </c>
      <c r="D731" s="1">
        <f t="shared" si="79"/>
        <v>29.439070587157207</v>
      </c>
      <c r="E731" s="1">
        <f t="shared" si="84"/>
        <v>29.439070587157207</v>
      </c>
      <c r="F731" s="1">
        <f t="shared" si="80"/>
        <v>7.4194146522799009</v>
      </c>
      <c r="G731" s="1"/>
      <c r="H731">
        <f t="shared" si="85"/>
        <v>4</v>
      </c>
      <c r="I731" s="1">
        <f t="shared" si="81"/>
        <v>72.100000000000179</v>
      </c>
    </row>
    <row r="732" spans="2:9" x14ac:dyDescent="0.25">
      <c r="B732" s="1">
        <f t="shared" si="82"/>
        <v>72.200000000000173</v>
      </c>
      <c r="C732" s="1">
        <f t="shared" si="83"/>
        <v>-293.83267903248031</v>
      </c>
      <c r="D732" s="1">
        <f t="shared" si="79"/>
        <v>30.181012052385199</v>
      </c>
      <c r="E732" s="1">
        <f t="shared" si="84"/>
        <v>30.181012052385199</v>
      </c>
      <c r="F732" s="1">
        <f t="shared" si="80"/>
        <v>7.3458169758120082</v>
      </c>
      <c r="G732" s="1"/>
      <c r="H732">
        <f t="shared" si="85"/>
        <v>4</v>
      </c>
      <c r="I732" s="1">
        <f t="shared" si="81"/>
        <v>72.200000000000173</v>
      </c>
    </row>
    <row r="733" spans="2:9" x14ac:dyDescent="0.25">
      <c r="B733" s="1">
        <f t="shared" si="82"/>
        <v>72.300000000000168</v>
      </c>
      <c r="C733" s="1">
        <f t="shared" si="83"/>
        <v>-290.81457782724181</v>
      </c>
      <c r="D733" s="1">
        <f t="shared" si="79"/>
        <v>30.915593749966401</v>
      </c>
      <c r="E733" s="1">
        <f t="shared" si="84"/>
        <v>30.915593749966401</v>
      </c>
      <c r="F733" s="1">
        <f t="shared" si="80"/>
        <v>7.2703644456810457</v>
      </c>
      <c r="G733" s="1"/>
      <c r="H733">
        <f t="shared" si="85"/>
        <v>4</v>
      </c>
      <c r="I733" s="1">
        <f t="shared" si="81"/>
        <v>72.300000000000168</v>
      </c>
    </row>
    <row r="734" spans="2:9" x14ac:dyDescent="0.25">
      <c r="B734" s="1">
        <f t="shared" si="82"/>
        <v>72.400000000000162</v>
      </c>
      <c r="C734" s="1">
        <f t="shared" si="83"/>
        <v>-287.72301845224519</v>
      </c>
      <c r="D734" s="1">
        <f t="shared" si="79"/>
        <v>31.642630194534505</v>
      </c>
      <c r="E734" s="1">
        <f t="shared" si="84"/>
        <v>31.642630194534505</v>
      </c>
      <c r="F734" s="1">
        <f t="shared" si="80"/>
        <v>7.1930754613061296</v>
      </c>
      <c r="G734" s="1"/>
      <c r="H734">
        <f t="shared" si="85"/>
        <v>4</v>
      </c>
      <c r="I734" s="1">
        <f t="shared" si="81"/>
        <v>72.400000000000162</v>
      </c>
    </row>
    <row r="735" spans="2:9" x14ac:dyDescent="0.25">
      <c r="B735" s="1">
        <f t="shared" si="82"/>
        <v>72.500000000000156</v>
      </c>
      <c r="C735" s="1">
        <f t="shared" si="83"/>
        <v>-284.55875543279171</v>
      </c>
      <c r="D735" s="1">
        <f t="shared" si="79"/>
        <v>32.36193774066512</v>
      </c>
      <c r="E735" s="1">
        <f t="shared" si="84"/>
        <v>32.36193774066512</v>
      </c>
      <c r="F735" s="1">
        <f t="shared" si="80"/>
        <v>7.1139688858197934</v>
      </c>
      <c r="G735" s="1"/>
      <c r="H735">
        <f t="shared" si="85"/>
        <v>4</v>
      </c>
      <c r="I735" s="1">
        <f t="shared" si="81"/>
        <v>72.500000000000156</v>
      </c>
    </row>
    <row r="736" spans="2:9" x14ac:dyDescent="0.25">
      <c r="B736" s="1">
        <f t="shared" si="82"/>
        <v>72.600000000000151</v>
      </c>
      <c r="C736" s="1">
        <f t="shared" si="83"/>
        <v>-281.32256165872519</v>
      </c>
      <c r="D736" s="1">
        <f t="shared" si="79"/>
        <v>33.0733346292471</v>
      </c>
      <c r="E736" s="1">
        <f t="shared" si="84"/>
        <v>33.0733346292471</v>
      </c>
      <c r="F736" s="1">
        <f t="shared" si="80"/>
        <v>7.0330640414681298</v>
      </c>
      <c r="G736" s="1"/>
      <c r="H736">
        <f t="shared" si="85"/>
        <v>4</v>
      </c>
      <c r="I736" s="1">
        <f t="shared" si="81"/>
        <v>72.600000000000151</v>
      </c>
    </row>
    <row r="737" spans="2:9" x14ac:dyDescent="0.25">
      <c r="B737" s="1">
        <f t="shared" si="82"/>
        <v>72.700000000000145</v>
      </c>
      <c r="C737" s="1">
        <f t="shared" si="83"/>
        <v>-278.01522819580049</v>
      </c>
      <c r="D737" s="1">
        <f t="shared" si="79"/>
        <v>33.776641033393915</v>
      </c>
      <c r="E737" s="1">
        <f t="shared" si="84"/>
        <v>33.776641033393915</v>
      </c>
      <c r="F737" s="1">
        <f t="shared" si="80"/>
        <v>6.9503807048950126</v>
      </c>
      <c r="G737" s="1"/>
      <c r="H737">
        <f t="shared" si="85"/>
        <v>4</v>
      </c>
      <c r="I737" s="1">
        <f t="shared" si="81"/>
        <v>72.700000000000145</v>
      </c>
    </row>
    <row r="738" spans="2:9" x14ac:dyDescent="0.25">
      <c r="B738" s="1">
        <f t="shared" si="82"/>
        <v>72.800000000000139</v>
      </c>
      <c r="C738" s="1">
        <f t="shared" si="83"/>
        <v>-274.6375640924611</v>
      </c>
      <c r="D738" s="1">
        <f t="shared" si="79"/>
        <v>34.471679103883417</v>
      </c>
      <c r="E738" s="1">
        <f t="shared" si="84"/>
        <v>34.471679103883417</v>
      </c>
      <c r="F738" s="1">
        <f t="shared" si="80"/>
        <v>6.8659391023115282</v>
      </c>
      <c r="G738" s="1"/>
      <c r="H738">
        <f t="shared" si="85"/>
        <v>4</v>
      </c>
      <c r="I738" s="1">
        <f t="shared" si="81"/>
        <v>72.800000000000139</v>
      </c>
    </row>
    <row r="739" spans="2:9" x14ac:dyDescent="0.25">
      <c r="B739" s="1">
        <f t="shared" si="82"/>
        <v>72.900000000000134</v>
      </c>
      <c r="C739" s="1">
        <f t="shared" si="83"/>
        <v>-271.19039618207279</v>
      </c>
      <c r="D739" s="1">
        <f t="shared" si="79"/>
        <v>35.15827301411457</v>
      </c>
      <c r="E739" s="1">
        <f t="shared" si="84"/>
        <v>35.15827301411457</v>
      </c>
      <c r="F739" s="1">
        <f t="shared" si="80"/>
        <v>6.7797599045518204</v>
      </c>
      <c r="G739" s="1"/>
      <c r="H739">
        <f t="shared" si="85"/>
        <v>4</v>
      </c>
      <c r="I739" s="1">
        <f t="shared" si="81"/>
        <v>72.900000000000134</v>
      </c>
    </row>
    <row r="740" spans="2:9" x14ac:dyDescent="0.25">
      <c r="B740" s="1">
        <f t="shared" si="82"/>
        <v>73.000000000000128</v>
      </c>
      <c r="C740" s="1">
        <f t="shared" si="83"/>
        <v>-267.67456888066135</v>
      </c>
      <c r="D740" s="1">
        <f t="shared" si="79"/>
        <v>35.836249004569751</v>
      </c>
      <c r="E740" s="1">
        <f t="shared" si="84"/>
        <v>35.836249004569751</v>
      </c>
      <c r="F740" s="1">
        <f t="shared" si="80"/>
        <v>6.6918642220165339</v>
      </c>
      <c r="G740" s="1"/>
      <c r="H740">
        <f t="shared" si="85"/>
        <v>4</v>
      </c>
      <c r="I740" s="1">
        <f t="shared" si="81"/>
        <v>73.000000000000128</v>
      </c>
    </row>
    <row r="741" spans="2:9" x14ac:dyDescent="0.25">
      <c r="B741" s="1">
        <f t="shared" si="82"/>
        <v>73.100000000000122</v>
      </c>
      <c r="C741" s="1">
        <f t="shared" si="83"/>
        <v>-264.09094398020437</v>
      </c>
      <c r="D741" s="1">
        <f t="shared" si="79"/>
        <v>36.505435426771406</v>
      </c>
      <c r="E741" s="1">
        <f t="shared" si="84"/>
        <v>36.505435426771406</v>
      </c>
      <c r="F741" s="1">
        <f t="shared" si="80"/>
        <v>6.6022735995051098</v>
      </c>
      <c r="G741" s="1"/>
      <c r="H741">
        <f t="shared" si="85"/>
        <v>4</v>
      </c>
      <c r="I741" s="1">
        <f t="shared" si="81"/>
        <v>73.100000000000122</v>
      </c>
    </row>
    <row r="742" spans="2:9" x14ac:dyDescent="0.25">
      <c r="B742" s="1">
        <f t="shared" si="82"/>
        <v>73.200000000000117</v>
      </c>
      <c r="C742" s="1">
        <f t="shared" si="83"/>
        <v>-260.44040043752722</v>
      </c>
      <c r="D742" s="1">
        <f t="shared" si="79"/>
        <v>37.165662786721917</v>
      </c>
      <c r="E742" s="1">
        <f t="shared" si="84"/>
        <v>37.165662786721917</v>
      </c>
      <c r="F742" s="1">
        <f t="shared" si="80"/>
        <v>6.5110100109381808</v>
      </c>
      <c r="G742" s="1"/>
      <c r="H742">
        <f t="shared" si="85"/>
        <v>4</v>
      </c>
      <c r="I742" s="1">
        <f t="shared" si="81"/>
        <v>73.200000000000117</v>
      </c>
    </row>
    <row r="743" spans="2:9" x14ac:dyDescent="0.25">
      <c r="B743" s="1">
        <f t="shared" si="82"/>
        <v>73.300000000000111</v>
      </c>
      <c r="C743" s="1">
        <f t="shared" si="83"/>
        <v>-256.72383415885503</v>
      </c>
      <c r="D743" s="1">
        <f t="shared" si="79"/>
        <v>37.816763787815738</v>
      </c>
      <c r="E743" s="1">
        <f t="shared" si="84"/>
        <v>37.816763787815738</v>
      </c>
      <c r="F743" s="1">
        <f t="shared" si="80"/>
        <v>6.4180958539713764</v>
      </c>
      <c r="G743" s="1"/>
      <c r="H743">
        <f t="shared" si="85"/>
        <v>4</v>
      </c>
      <c r="I743" s="1">
        <f t="shared" si="81"/>
        <v>73.300000000000111</v>
      </c>
    </row>
    <row r="744" spans="2:9" x14ac:dyDescent="0.25">
      <c r="B744" s="1">
        <f t="shared" si="82"/>
        <v>73.400000000000105</v>
      </c>
      <c r="C744" s="1">
        <f t="shared" si="83"/>
        <v>-252.94215778007344</v>
      </c>
      <c r="D744" s="1">
        <f t="shared" si="79"/>
        <v>38.458573373212879</v>
      </c>
      <c r="E744" s="1">
        <f t="shared" si="84"/>
        <v>38.458573373212879</v>
      </c>
      <c r="F744" s="1">
        <f t="shared" si="80"/>
        <v>6.3235539445018363</v>
      </c>
      <c r="G744" s="1"/>
      <c r="H744">
        <f t="shared" si="85"/>
        <v>4</v>
      </c>
      <c r="I744" s="1">
        <f t="shared" si="81"/>
        <v>73.400000000000105</v>
      </c>
    </row>
    <row r="745" spans="2:9" x14ac:dyDescent="0.25">
      <c r="B745" s="1">
        <f t="shared" si="82"/>
        <v>73.500000000000099</v>
      </c>
      <c r="C745" s="1">
        <f t="shared" si="83"/>
        <v>-249.09630044275215</v>
      </c>
      <c r="D745" s="1">
        <f t="shared" si="79"/>
        <v>39.090928767663065</v>
      </c>
      <c r="E745" s="1">
        <f t="shared" si="84"/>
        <v>39.090928767663065</v>
      </c>
      <c r="F745" s="1">
        <f t="shared" si="80"/>
        <v>6.2274075110688045</v>
      </c>
      <c r="G745" s="1"/>
      <c r="H745">
        <f t="shared" si="85"/>
        <v>4</v>
      </c>
      <c r="I745" s="1">
        <f t="shared" si="81"/>
        <v>73.500000000000099</v>
      </c>
    </row>
    <row r="746" spans="2:9" x14ac:dyDescent="0.25">
      <c r="B746" s="1">
        <f t="shared" si="82"/>
        <v>73.600000000000094</v>
      </c>
      <c r="C746" s="1">
        <f t="shared" si="83"/>
        <v>-245.18720756598586</v>
      </c>
      <c r="D746" s="1">
        <f t="shared" si="79"/>
        <v>39.713669518769947</v>
      </c>
      <c r="E746" s="1">
        <f t="shared" si="84"/>
        <v>39.713669518769947</v>
      </c>
      <c r="F746" s="1">
        <f t="shared" si="80"/>
        <v>6.1296801891496466</v>
      </c>
      <c r="G746" s="1"/>
      <c r="H746">
        <f t="shared" si="85"/>
        <v>4</v>
      </c>
      <c r="I746" s="1">
        <f t="shared" si="81"/>
        <v>73.600000000000094</v>
      </c>
    </row>
    <row r="747" spans="2:9" x14ac:dyDescent="0.25">
      <c r="B747" s="1">
        <f t="shared" si="82"/>
        <v>73.700000000000088</v>
      </c>
      <c r="C747" s="1">
        <f t="shared" si="83"/>
        <v>-241.21584061410886</v>
      </c>
      <c r="D747" s="1">
        <f t="shared" si="79"/>
        <v>40.32663753768491</v>
      </c>
      <c r="E747" s="1">
        <f t="shared" si="84"/>
        <v>40.32663753768491</v>
      </c>
      <c r="F747" s="1">
        <f t="shared" si="80"/>
        <v>6.0303960153527214</v>
      </c>
      <c r="G747" s="1"/>
      <c r="H747">
        <f t="shared" si="85"/>
        <v>4</v>
      </c>
      <c r="I747" s="1">
        <f t="shared" si="81"/>
        <v>73.700000000000088</v>
      </c>
    </row>
    <row r="748" spans="2:9" x14ac:dyDescent="0.25">
      <c r="B748" s="1">
        <f t="shared" si="82"/>
        <v>73.800000000000082</v>
      </c>
      <c r="C748" s="1">
        <f t="shared" si="83"/>
        <v>-237.18317686034035</v>
      </c>
      <c r="D748" s="1">
        <f t="shared" si="79"/>
        <v>40.929677139220182</v>
      </c>
      <c r="E748" s="1">
        <f t="shared" si="84"/>
        <v>40.929677139220182</v>
      </c>
      <c r="F748" s="1">
        <f t="shared" si="80"/>
        <v>5.9295794215085094</v>
      </c>
      <c r="G748" s="1"/>
      <c r="H748">
        <f t="shared" si="85"/>
        <v>4</v>
      </c>
      <c r="I748" s="1">
        <f t="shared" si="81"/>
        <v>73.800000000000082</v>
      </c>
    </row>
    <row r="749" spans="2:9" x14ac:dyDescent="0.25">
      <c r="B749" s="1">
        <f t="shared" si="82"/>
        <v>73.900000000000077</v>
      </c>
      <c r="C749" s="1">
        <f t="shared" si="83"/>
        <v>-233.09020914641835</v>
      </c>
      <c r="D749" s="1">
        <f t="shared" si="79"/>
        <v>41.522635081371035</v>
      </c>
      <c r="E749" s="1">
        <f t="shared" si="84"/>
        <v>41.522635081371035</v>
      </c>
      <c r="F749" s="1">
        <f t="shared" si="80"/>
        <v>5.8272552286604586</v>
      </c>
      <c r="G749" s="1"/>
      <c r="H749">
        <f t="shared" si="85"/>
        <v>4</v>
      </c>
      <c r="I749" s="1">
        <f t="shared" si="81"/>
        <v>73.900000000000077</v>
      </c>
    </row>
    <row r="750" spans="2:9" x14ac:dyDescent="0.25">
      <c r="B750" s="1">
        <f t="shared" si="82"/>
        <v>74.000000000000071</v>
      </c>
      <c r="C750" s="1">
        <f t="shared" si="83"/>
        <v>-228.93794563828124</v>
      </c>
      <c r="D750" s="1">
        <f t="shared" si="79"/>
        <v>42.105360604237084</v>
      </c>
      <c r="E750" s="1">
        <f t="shared" si="84"/>
        <v>42.105360604237084</v>
      </c>
      <c r="F750" s="1">
        <f t="shared" si="80"/>
        <v>5.7234486409570309</v>
      </c>
      <c r="G750" s="1"/>
      <c r="H750">
        <f t="shared" si="85"/>
        <v>4</v>
      </c>
      <c r="I750" s="1">
        <f t="shared" si="81"/>
        <v>74.000000000000071</v>
      </c>
    </row>
    <row r="751" spans="2:9" x14ac:dyDescent="0.25">
      <c r="B751" s="1">
        <f t="shared" si="82"/>
        <v>74.100000000000065</v>
      </c>
      <c r="C751" s="1">
        <f t="shared" si="83"/>
        <v>-224.72740957785751</v>
      </c>
      <c r="D751" s="1">
        <f t="shared" si="79"/>
        <v>42.677705468332789</v>
      </c>
      <c r="E751" s="1">
        <f t="shared" si="84"/>
        <v>42.677705468332789</v>
      </c>
      <c r="F751" s="1">
        <f t="shared" si="80"/>
        <v>5.6181852394464382</v>
      </c>
      <c r="G751" s="1"/>
      <c r="H751">
        <f t="shared" si="85"/>
        <v>4</v>
      </c>
      <c r="I751" s="1">
        <f t="shared" si="81"/>
        <v>74.100000000000065</v>
      </c>
    </row>
    <row r="752" spans="2:9" x14ac:dyDescent="0.25">
      <c r="B752" s="1">
        <f t="shared" si="82"/>
        <v>74.20000000000006</v>
      </c>
      <c r="C752" s="1">
        <f t="shared" si="83"/>
        <v>-220.45963903102424</v>
      </c>
      <c r="D752" s="1">
        <f t="shared" si="79"/>
        <v>43.239523992277434</v>
      </c>
      <c r="E752" s="1">
        <f t="shared" si="84"/>
        <v>43.239523992277434</v>
      </c>
      <c r="F752" s="1">
        <f t="shared" si="80"/>
        <v>5.5114909757756063</v>
      </c>
      <c r="G752" s="1"/>
      <c r="H752">
        <f t="shared" si="85"/>
        <v>4</v>
      </c>
      <c r="I752" s="1">
        <f t="shared" si="81"/>
        <v>74.20000000000006</v>
      </c>
    </row>
    <row r="753" spans="2:9" x14ac:dyDescent="0.25">
      <c r="B753" s="1">
        <f t="shared" si="82"/>
        <v>74.300000000000054</v>
      </c>
      <c r="C753" s="1">
        <f t="shared" si="83"/>
        <v>-216.13568663179649</v>
      </c>
      <c r="D753" s="1">
        <f t="shared" si="79"/>
        <v>43.790673089854991</v>
      </c>
      <c r="E753" s="1">
        <f t="shared" si="84"/>
        <v>43.790673089854991</v>
      </c>
      <c r="F753" s="1">
        <f t="shared" si="80"/>
        <v>5.4033921657949122</v>
      </c>
      <c r="G753" s="1"/>
      <c r="H753">
        <f t="shared" si="85"/>
        <v>4</v>
      </c>
      <c r="I753" s="1">
        <f t="shared" si="81"/>
        <v>74.300000000000054</v>
      </c>
    </row>
    <row r="754" spans="2:9" x14ac:dyDescent="0.25">
      <c r="B754" s="1">
        <f t="shared" si="82"/>
        <v>74.400000000000048</v>
      </c>
      <c r="C754" s="1">
        <f t="shared" si="83"/>
        <v>-211.75661932281099</v>
      </c>
      <c r="D754" s="1">
        <f t="shared" si="79"/>
        <v>44.331012306434481</v>
      </c>
      <c r="E754" s="1">
        <f t="shared" si="84"/>
        <v>44.331012306434481</v>
      </c>
      <c r="F754" s="1">
        <f t="shared" si="80"/>
        <v>5.2939154830702755</v>
      </c>
      <c r="G754" s="1"/>
      <c r="H754">
        <f t="shared" si="85"/>
        <v>4</v>
      </c>
      <c r="I754" s="1">
        <f t="shared" si="81"/>
        <v>74.400000000000048</v>
      </c>
    </row>
    <row r="755" spans="2:9" x14ac:dyDescent="0.25">
      <c r="B755" s="1">
        <f t="shared" si="82"/>
        <v>74.500000000000043</v>
      </c>
      <c r="C755" s="1">
        <f t="shared" si="83"/>
        <v>-207.32351809216755</v>
      </c>
      <c r="D755" s="1">
        <f t="shared" si="79"/>
        <v>44.860403854741506</v>
      </c>
      <c r="E755" s="1">
        <f t="shared" si="84"/>
        <v>44.860403854741506</v>
      </c>
      <c r="F755" s="1">
        <f t="shared" si="80"/>
        <v>5.1830879523041888</v>
      </c>
      <c r="G755" s="1"/>
      <c r="H755">
        <f t="shared" si="85"/>
        <v>4</v>
      </c>
      <c r="I755" s="1">
        <f t="shared" si="81"/>
        <v>74.500000000000043</v>
      </c>
    </row>
    <row r="756" spans="2:9" x14ac:dyDescent="0.25">
      <c r="B756" s="1">
        <f t="shared" si="82"/>
        <v>74.600000000000037</v>
      </c>
      <c r="C756" s="1">
        <f t="shared" si="83"/>
        <v>-202.83747770669339</v>
      </c>
      <c r="D756" s="1">
        <f t="shared" si="79"/>
        <v>45.378712649971924</v>
      </c>
      <c r="E756" s="1">
        <f t="shared" si="84"/>
        <v>45.378712649971924</v>
      </c>
      <c r="F756" s="1">
        <f t="shared" si="80"/>
        <v>5.070936942667335</v>
      </c>
      <c r="G756" s="1"/>
      <c r="H756">
        <f t="shared" si="85"/>
        <v>4</v>
      </c>
      <c r="I756" s="1">
        <f t="shared" si="81"/>
        <v>74.600000000000037</v>
      </c>
    </row>
    <row r="757" spans="2:9" x14ac:dyDescent="0.25">
      <c r="B757" s="1">
        <f t="shared" si="82"/>
        <v>74.700000000000031</v>
      </c>
      <c r="C757" s="1">
        <f t="shared" si="83"/>
        <v>-198.2996064416962</v>
      </c>
      <c r="D757" s="1">
        <f t="shared" si="79"/>
        <v>45.885806344238659</v>
      </c>
      <c r="E757" s="1">
        <f t="shared" si="84"/>
        <v>45.885806344238659</v>
      </c>
      <c r="F757" s="1">
        <f t="shared" si="80"/>
        <v>4.9574901610424051</v>
      </c>
      <c r="G757" s="1"/>
      <c r="H757">
        <f t="shared" si="85"/>
        <v>4</v>
      </c>
      <c r="I757" s="1">
        <f t="shared" si="81"/>
        <v>74.700000000000031</v>
      </c>
    </row>
    <row r="758" spans="2:9" x14ac:dyDescent="0.25">
      <c r="B758" s="1">
        <f t="shared" si="82"/>
        <v>74.800000000000026</v>
      </c>
      <c r="C758" s="1">
        <f t="shared" si="83"/>
        <v>-193.71102580727234</v>
      </c>
      <c r="D758" s="1">
        <f t="shared" si="79"/>
        <v>46.381555360342901</v>
      </c>
      <c r="E758" s="1">
        <f t="shared" si="84"/>
        <v>46.381555360342901</v>
      </c>
      <c r="F758" s="1">
        <f t="shared" si="80"/>
        <v>4.8427756451818089</v>
      </c>
      <c r="G758" s="1"/>
      <c r="H758">
        <f t="shared" si="85"/>
        <v>4</v>
      </c>
      <c r="I758" s="1">
        <f t="shared" si="81"/>
        <v>74.800000000000026</v>
      </c>
    </row>
    <row r="759" spans="2:9" x14ac:dyDescent="0.25">
      <c r="B759" s="1">
        <f t="shared" si="82"/>
        <v>74.90000000000002</v>
      </c>
      <c r="C759" s="1">
        <f t="shared" si="83"/>
        <v>-189.07287027123806</v>
      </c>
      <c r="D759" s="1">
        <f t="shared" si="79"/>
        <v>46.865832924861081</v>
      </c>
      <c r="E759" s="1">
        <f t="shared" si="84"/>
        <v>46.865832924861081</v>
      </c>
      <c r="F759" s="1">
        <f t="shared" si="80"/>
        <v>4.7268217567809518</v>
      </c>
      <c r="G759" s="1"/>
      <c r="H759">
        <f t="shared" si="85"/>
        <v>4</v>
      </c>
      <c r="I759" s="1">
        <f t="shared" si="81"/>
        <v>74.90000000000002</v>
      </c>
    </row>
    <row r="760" spans="2:9" x14ac:dyDescent="0.25">
      <c r="B760" s="1">
        <f t="shared" si="82"/>
        <v>75.000000000000014</v>
      </c>
      <c r="C760" s="1">
        <f t="shared" si="83"/>
        <v>-184.38628697875194</v>
      </c>
      <c r="D760" s="1">
        <f t="shared" si="79"/>
        <v>47.338515100539176</v>
      </c>
      <c r="E760" s="1">
        <f t="shared" si="84"/>
        <v>47.338515100539176</v>
      </c>
      <c r="F760" s="1">
        <f t="shared" si="80"/>
        <v>4.6096571744687989</v>
      </c>
      <c r="G760" s="1"/>
      <c r="H760">
        <f t="shared" si="85"/>
        <v>4</v>
      </c>
      <c r="I760" s="1">
        <f t="shared" si="81"/>
        <v>75.000000000000014</v>
      </c>
    </row>
    <row r="761" spans="2:9" x14ac:dyDescent="0.25">
      <c r="B761" s="1">
        <f t="shared" si="82"/>
        <v>75.100000000000009</v>
      </c>
      <c r="C761" s="1">
        <f t="shared" si="83"/>
        <v>-179.65243546869803</v>
      </c>
      <c r="D761" s="1">
        <f t="shared" si="79"/>
        <v>47.799480817986058</v>
      </c>
      <c r="E761" s="1">
        <f t="shared" si="84"/>
        <v>47.799480817986058</v>
      </c>
      <c r="F761" s="1">
        <f t="shared" si="80"/>
        <v>4.4913108867174509</v>
      </c>
      <c r="G761" s="1"/>
      <c r="H761">
        <f t="shared" si="85"/>
        <v>4</v>
      </c>
      <c r="I761" s="1">
        <f t="shared" si="81"/>
        <v>75.100000000000009</v>
      </c>
    </row>
    <row r="762" spans="2:9" x14ac:dyDescent="0.25">
      <c r="B762" s="1">
        <f t="shared" si="82"/>
        <v>75.2</v>
      </c>
      <c r="C762" s="1">
        <f t="shared" si="83"/>
        <v>-174.87248738689942</v>
      </c>
      <c r="D762" s="1">
        <f t="shared" si="79"/>
        <v>48.248611906657807</v>
      </c>
      <c r="E762" s="1">
        <f t="shared" si="84"/>
        <v>48.248611906657807</v>
      </c>
      <c r="F762" s="1">
        <f t="shared" si="80"/>
        <v>4.3718121846724856</v>
      </c>
      <c r="G762" s="1"/>
      <c r="H762">
        <f t="shared" si="85"/>
        <v>4</v>
      </c>
      <c r="I762" s="1">
        <f t="shared" si="81"/>
        <v>75.2</v>
      </c>
    </row>
    <row r="763" spans="2:9" x14ac:dyDescent="0.25">
      <c r="B763" s="1">
        <f t="shared" si="82"/>
        <v>75.3</v>
      </c>
      <c r="C763" s="1">
        <f t="shared" si="83"/>
        <v>-170.04762619623364</v>
      </c>
      <c r="D763" s="1">
        <f t="shared" si="79"/>
        <v>48.685793125125059</v>
      </c>
      <c r="E763" s="1">
        <f t="shared" si="84"/>
        <v>48.685793125125059</v>
      </c>
      <c r="F763" s="1">
        <f t="shared" si="80"/>
        <v>4.2511906549058409</v>
      </c>
      <c r="G763" s="1"/>
      <c r="H763">
        <f t="shared" si="85"/>
        <v>4</v>
      </c>
      <c r="I763" s="1">
        <f t="shared" si="81"/>
        <v>75.3</v>
      </c>
    </row>
    <row r="764" spans="2:9" x14ac:dyDescent="0.25">
      <c r="B764" s="1">
        <f t="shared" si="82"/>
        <v>75.399999999999991</v>
      </c>
      <c r="C764" s="1">
        <f t="shared" si="83"/>
        <v>-165.17904688372113</v>
      </c>
      <c r="D764" s="1">
        <f t="shared" si="79"/>
        <v>49.110912190615643</v>
      </c>
      <c r="E764" s="1">
        <f t="shared" si="84"/>
        <v>49.110912190615643</v>
      </c>
      <c r="F764" s="1">
        <f t="shared" si="80"/>
        <v>4.1294761720930282</v>
      </c>
      <c r="G764" s="1"/>
      <c r="H764">
        <f t="shared" si="85"/>
        <v>4</v>
      </c>
      <c r="I764" s="1">
        <f t="shared" si="81"/>
        <v>75.399999999999991</v>
      </c>
    </row>
    <row r="765" spans="2:9" x14ac:dyDescent="0.25">
      <c r="B765" s="1">
        <f t="shared" si="82"/>
        <v>75.499999999999986</v>
      </c>
      <c r="C765" s="1">
        <f t="shared" si="83"/>
        <v>-160.26795566465955</v>
      </c>
      <c r="D765" s="1">
        <f t="shared" si="79"/>
        <v>49.523859807824948</v>
      </c>
      <c r="E765" s="1">
        <f t="shared" si="84"/>
        <v>49.523859807824948</v>
      </c>
      <c r="F765" s="1">
        <f t="shared" si="80"/>
        <v>4.0066988916164892</v>
      </c>
      <c r="G765" s="1"/>
      <c r="H765">
        <f t="shared" si="85"/>
        <v>4</v>
      </c>
      <c r="I765" s="1">
        <f t="shared" si="81"/>
        <v>75.499999999999986</v>
      </c>
    </row>
    <row r="766" spans="2:9" x14ac:dyDescent="0.25">
      <c r="B766" s="1">
        <f t="shared" si="82"/>
        <v>75.59999999999998</v>
      </c>
      <c r="C766" s="1">
        <f t="shared" si="83"/>
        <v>-155.31556968387707</v>
      </c>
      <c r="D766" s="1">
        <f t="shared" si="79"/>
        <v>49.924529696986596</v>
      </c>
      <c r="E766" s="1">
        <f t="shared" si="84"/>
        <v>49.924529696986596</v>
      </c>
      <c r="F766" s="1">
        <f t="shared" si="80"/>
        <v>3.882889242096927</v>
      </c>
      <c r="G766" s="1"/>
      <c r="H766">
        <f t="shared" si="85"/>
        <v>4</v>
      </c>
      <c r="I766" s="1">
        <f t="shared" si="81"/>
        <v>75.59999999999998</v>
      </c>
    </row>
    <row r="767" spans="2:9" x14ac:dyDescent="0.25">
      <c r="B767" s="1">
        <f t="shared" si="82"/>
        <v>75.699999999999974</v>
      </c>
      <c r="C767" s="1">
        <f t="shared" si="83"/>
        <v>-150.32311671417841</v>
      </c>
      <c r="D767" s="1">
        <f t="shared" si="79"/>
        <v>50.312818621196286</v>
      </c>
      <c r="E767" s="1">
        <f t="shared" si="84"/>
        <v>50.312818621196286</v>
      </c>
      <c r="F767" s="1">
        <f t="shared" si="80"/>
        <v>3.7580779178544605</v>
      </c>
      <c r="G767" s="1"/>
      <c r="H767">
        <f t="shared" si="85"/>
        <v>4</v>
      </c>
      <c r="I767" s="1">
        <f t="shared" si="81"/>
        <v>75.699999999999974</v>
      </c>
    </row>
    <row r="768" spans="2:9" x14ac:dyDescent="0.25">
      <c r="B768" s="1">
        <f t="shared" si="82"/>
        <v>75.799999999999969</v>
      </c>
      <c r="C768" s="1">
        <f t="shared" si="83"/>
        <v>-145.29183485205877</v>
      </c>
      <c r="D768" s="1">
        <f t="shared" si="79"/>
        <v>50.688626412981733</v>
      </c>
      <c r="E768" s="1">
        <f t="shared" si="84"/>
        <v>50.688626412981733</v>
      </c>
      <c r="F768" s="1">
        <f t="shared" si="80"/>
        <v>3.6322958713014692</v>
      </c>
      <c r="G768" s="1"/>
      <c r="H768">
        <f t="shared" si="85"/>
        <v>4</v>
      </c>
      <c r="I768" s="1">
        <f t="shared" si="81"/>
        <v>75.799999999999969</v>
      </c>
    </row>
    <row r="769" spans="2:9" x14ac:dyDescent="0.25">
      <c r="B769" s="1">
        <f t="shared" si="82"/>
        <v>75.899999999999963</v>
      </c>
      <c r="C769" s="1">
        <f t="shared" si="83"/>
        <v>-140.22297221076059</v>
      </c>
      <c r="D769" s="1">
        <f t="shared" si="79"/>
        <v>51.051856000111883</v>
      </c>
      <c r="E769" s="1">
        <f t="shared" si="84"/>
        <v>51.051856000111883</v>
      </c>
      <c r="F769" s="1">
        <f t="shared" si="80"/>
        <v>3.5055743052690147</v>
      </c>
      <c r="G769" s="1"/>
      <c r="H769">
        <f t="shared" si="85"/>
        <v>4</v>
      </c>
      <c r="I769" s="1">
        <f t="shared" si="81"/>
        <v>75.899999999999963</v>
      </c>
    </row>
    <row r="770" spans="2:9" x14ac:dyDescent="0.25">
      <c r="B770" s="1">
        <f t="shared" si="82"/>
        <v>75.999999999999957</v>
      </c>
      <c r="C770" s="1">
        <f t="shared" si="83"/>
        <v>-135.11778661074939</v>
      </c>
      <c r="D770" s="1">
        <f t="shared" si="79"/>
        <v>51.402413430638788</v>
      </c>
      <c r="E770" s="1">
        <f t="shared" si="84"/>
        <v>51.402413430638788</v>
      </c>
      <c r="F770" s="1">
        <f t="shared" si="80"/>
        <v>3.377944665268735</v>
      </c>
      <c r="G770" s="1"/>
      <c r="H770">
        <f t="shared" si="85"/>
        <v>4</v>
      </c>
      <c r="I770" s="1">
        <f t="shared" si="81"/>
        <v>75.999999999999957</v>
      </c>
    </row>
    <row r="771" spans="2:9" x14ac:dyDescent="0.25">
      <c r="B771" s="1">
        <f t="shared" si="82"/>
        <v>76.099999999999952</v>
      </c>
      <c r="C771" s="1">
        <f t="shared" si="83"/>
        <v>-129.97754526768551</v>
      </c>
      <c r="D771" s="1">
        <f t="shared" si="79"/>
        <v>51.740207897165661</v>
      </c>
      <c r="E771" s="1">
        <f t="shared" si="84"/>
        <v>51.740207897165661</v>
      </c>
      <c r="F771" s="1">
        <f t="shared" si="80"/>
        <v>3.2494386316921382</v>
      </c>
      <c r="G771" s="1"/>
      <c r="H771">
        <f t="shared" si="85"/>
        <v>4</v>
      </c>
      <c r="I771" s="1">
        <f t="shared" si="81"/>
        <v>76.099999999999952</v>
      </c>
    </row>
    <row r="772" spans="2:9" x14ac:dyDescent="0.25">
      <c r="B772" s="1">
        <f t="shared" si="82"/>
        <v>76.199999999999946</v>
      </c>
      <c r="C772" s="1">
        <f t="shared" si="83"/>
        <v>-124.80352447796895</v>
      </c>
      <c r="D772" s="1">
        <f t="shared" si="79"/>
        <v>52.065151760334878</v>
      </c>
      <c r="E772" s="1">
        <f t="shared" si="84"/>
        <v>52.065151760334878</v>
      </c>
      <c r="F772" s="1">
        <f t="shared" si="80"/>
        <v>3.1200881119492241</v>
      </c>
      <c r="G772" s="1"/>
      <c r="H772">
        <f t="shared" si="85"/>
        <v>4</v>
      </c>
      <c r="I772" s="1">
        <f t="shared" si="81"/>
        <v>76.199999999999946</v>
      </c>
    </row>
    <row r="773" spans="2:9" x14ac:dyDescent="0.25">
      <c r="B773" s="1">
        <f t="shared" si="82"/>
        <v>76.29999999999994</v>
      </c>
      <c r="C773" s="1">
        <f t="shared" si="83"/>
        <v>-119.59700930193546</v>
      </c>
      <c r="D773" s="1">
        <f t="shared" si="79"/>
        <v>52.377160571529799</v>
      </c>
      <c r="E773" s="1">
        <f t="shared" si="84"/>
        <v>52.377160571529799</v>
      </c>
      <c r="F773" s="1">
        <f t="shared" si="80"/>
        <v>2.9899252325483867</v>
      </c>
      <c r="G773" s="1"/>
      <c r="H773">
        <f t="shared" si="85"/>
        <v>4</v>
      </c>
      <c r="I773" s="1">
        <f t="shared" si="81"/>
        <v>76.29999999999994</v>
      </c>
    </row>
    <row r="774" spans="2:9" x14ac:dyDescent="0.25">
      <c r="B774" s="1">
        <f t="shared" si="82"/>
        <v>76.399999999999935</v>
      </c>
      <c r="C774" s="1">
        <f t="shared" si="83"/>
        <v>-114.35929324478248</v>
      </c>
      <c r="D774" s="1">
        <f t="shared" si="79"/>
        <v>52.676153094784638</v>
      </c>
      <c r="E774" s="1">
        <f t="shared" si="84"/>
        <v>52.676153094784638</v>
      </c>
      <c r="F774" s="1">
        <f t="shared" si="80"/>
        <v>2.8589823311195621</v>
      </c>
      <c r="G774" s="1"/>
      <c r="H774">
        <f t="shared" si="85"/>
        <v>4</v>
      </c>
      <c r="I774" s="1">
        <f t="shared" si="81"/>
        <v>76.399999999999935</v>
      </c>
    </row>
    <row r="775" spans="2:9" x14ac:dyDescent="0.25">
      <c r="B775" s="1">
        <f t="shared" si="82"/>
        <v>76.499999999999929</v>
      </c>
      <c r="C775" s="1">
        <f t="shared" si="83"/>
        <v>-109.09167793530402</v>
      </c>
      <c r="D775" s="1">
        <f t="shared" si="79"/>
        <v>52.962051327896596</v>
      </c>
      <c r="E775" s="1">
        <f t="shared" si="84"/>
        <v>52.962051327896596</v>
      </c>
      <c r="F775" s="1">
        <f t="shared" si="80"/>
        <v>2.7272919483826006</v>
      </c>
      <c r="G775" s="1"/>
      <c r="H775">
        <f t="shared" si="85"/>
        <v>4</v>
      </c>
      <c r="I775" s="1">
        <f t="shared" si="81"/>
        <v>76.499999999999929</v>
      </c>
    </row>
    <row r="776" spans="2:9" x14ac:dyDescent="0.25">
      <c r="B776" s="1">
        <f t="shared" si="82"/>
        <v>76.599999999999923</v>
      </c>
      <c r="C776" s="1">
        <f t="shared" si="83"/>
        <v>-103.79547280251435</v>
      </c>
      <c r="D776" s="1">
        <f t="shared" si="79"/>
        <v>53.234780522734859</v>
      </c>
      <c r="E776" s="1">
        <f t="shared" si="84"/>
        <v>53.234780522734859</v>
      </c>
      <c r="F776" s="1">
        <f t="shared" si="80"/>
        <v>2.5948868200628592</v>
      </c>
      <c r="G776" s="1"/>
      <c r="H776">
        <f t="shared" si="85"/>
        <v>4</v>
      </c>
      <c r="I776" s="1">
        <f t="shared" si="81"/>
        <v>76.599999999999923</v>
      </c>
    </row>
    <row r="777" spans="2:9" x14ac:dyDescent="0.25">
      <c r="B777" s="1">
        <f t="shared" si="82"/>
        <v>76.699999999999918</v>
      </c>
      <c r="C777" s="1">
        <f t="shared" si="83"/>
        <v>-98.471994750240867</v>
      </c>
      <c r="D777" s="1">
        <f t="shared" si="79"/>
        <v>53.494269204741144</v>
      </c>
      <c r="E777" s="1">
        <f t="shared" si="84"/>
        <v>53.494269204741144</v>
      </c>
      <c r="F777" s="1">
        <f t="shared" si="80"/>
        <v>2.4617998687560219</v>
      </c>
      <c r="G777" s="1"/>
      <c r="H777">
        <f t="shared" si="85"/>
        <v>4</v>
      </c>
      <c r="I777" s="1">
        <f t="shared" si="81"/>
        <v>76.699999999999918</v>
      </c>
    </row>
    <row r="778" spans="2:9" x14ac:dyDescent="0.25">
      <c r="B778" s="1">
        <f t="shared" si="82"/>
        <v>76.799999999999912</v>
      </c>
      <c r="C778" s="1">
        <f t="shared" si="83"/>
        <v>-93.122567829766751</v>
      </c>
      <c r="D778" s="1">
        <f t="shared" ref="D778:D841" si="86">E778</f>
        <v>53.740449191616747</v>
      </c>
      <c r="E778" s="1">
        <f t="shared" si="84"/>
        <v>53.740449191616747</v>
      </c>
      <c r="F778" s="1">
        <f t="shared" ref="F778:F841" si="87">-$C$3*C778/$C$4-$C$2/$C$4*E778</f>
        <v>2.3280641957441688</v>
      </c>
      <c r="G778" s="1"/>
      <c r="H778">
        <f t="shared" si="85"/>
        <v>4</v>
      </c>
      <c r="I778" s="1">
        <f t="shared" ref="I778:I841" si="88">B778</f>
        <v>76.799999999999912</v>
      </c>
    </row>
    <row r="779" spans="2:9" x14ac:dyDescent="0.25">
      <c r="B779" s="1">
        <f t="shared" ref="B779:B842" si="89">B778+$C$7</f>
        <v>76.899999999999906</v>
      </c>
      <c r="C779" s="1">
        <f t="shared" ref="C779:C842" si="90">C778+D778*$C$7</f>
        <v>-87.748522910605075</v>
      </c>
      <c r="D779" s="1">
        <f t="shared" si="86"/>
        <v>53.973255611191163</v>
      </c>
      <c r="E779" s="1">
        <f t="shared" ref="E779:E842" si="91">E778+F778*$C$7</f>
        <v>53.973255611191163</v>
      </c>
      <c r="F779" s="1">
        <f t="shared" si="87"/>
        <v>2.1937130727651271</v>
      </c>
      <c r="G779" s="1"/>
      <c r="H779">
        <f t="shared" ref="H779:H842" si="92">H778+(D779*D780&lt;0)*1</f>
        <v>4</v>
      </c>
      <c r="I779" s="1">
        <f t="shared" si="88"/>
        <v>76.899999999999906</v>
      </c>
    </row>
    <row r="780" spans="2:9" x14ac:dyDescent="0.25">
      <c r="B780" s="1">
        <f t="shared" si="89"/>
        <v>76.999999999999901</v>
      </c>
      <c r="C780" s="1">
        <f t="shared" si="90"/>
        <v>-82.351197349485957</v>
      </c>
      <c r="D780" s="1">
        <f t="shared" si="86"/>
        <v>54.192626918467674</v>
      </c>
      <c r="E780" s="1">
        <f t="shared" si="91"/>
        <v>54.192626918467674</v>
      </c>
      <c r="F780" s="1">
        <f t="shared" si="87"/>
        <v>2.0587799337371488</v>
      </c>
      <c r="G780" s="1"/>
      <c r="H780">
        <f t="shared" si="92"/>
        <v>4</v>
      </c>
      <c r="I780" s="1">
        <f t="shared" si="88"/>
        <v>76.999999999999901</v>
      </c>
    </row>
    <row r="781" spans="2:9" x14ac:dyDescent="0.25">
      <c r="B781" s="1">
        <f t="shared" si="89"/>
        <v>77.099999999999895</v>
      </c>
      <c r="C781" s="1">
        <f t="shared" si="90"/>
        <v>-76.931934657639189</v>
      </c>
      <c r="D781" s="1">
        <f t="shared" si="86"/>
        <v>54.398504911841385</v>
      </c>
      <c r="E781" s="1">
        <f t="shared" si="91"/>
        <v>54.398504911841385</v>
      </c>
      <c r="F781" s="1">
        <f t="shared" si="87"/>
        <v>1.9232983664409797</v>
      </c>
      <c r="G781" s="1"/>
      <c r="H781">
        <f t="shared" si="92"/>
        <v>4</v>
      </c>
      <c r="I781" s="1">
        <f t="shared" si="88"/>
        <v>77.099999999999895</v>
      </c>
    </row>
    <row r="782" spans="2:9" x14ac:dyDescent="0.25">
      <c r="B782" s="1">
        <f t="shared" si="89"/>
        <v>77.199999999999889</v>
      </c>
      <c r="C782" s="1">
        <f t="shared" si="90"/>
        <v>-71.492084166455044</v>
      </c>
      <c r="D782" s="1">
        <f t="shared" si="86"/>
        <v>54.590834748485484</v>
      </c>
      <c r="E782" s="1">
        <f t="shared" si="91"/>
        <v>54.590834748485484</v>
      </c>
      <c r="F782" s="1">
        <f t="shared" si="87"/>
        <v>1.7873021041613761</v>
      </c>
      <c r="G782" s="1"/>
      <c r="H782">
        <f t="shared" si="92"/>
        <v>4</v>
      </c>
      <c r="I782" s="1">
        <f t="shared" si="88"/>
        <v>77.199999999999889</v>
      </c>
    </row>
    <row r="783" spans="2:9" x14ac:dyDescent="0.25">
      <c r="B783" s="1">
        <f t="shared" si="89"/>
        <v>77.299999999999883</v>
      </c>
      <c r="C783" s="1">
        <f t="shared" si="90"/>
        <v>-66.033000691606489</v>
      </c>
      <c r="D783" s="1">
        <f t="shared" si="86"/>
        <v>54.769564958901618</v>
      </c>
      <c r="E783" s="1">
        <f t="shared" si="91"/>
        <v>54.769564958901618</v>
      </c>
      <c r="F783" s="1">
        <f t="shared" si="87"/>
        <v>1.6508250172901624</v>
      </c>
      <c r="G783" s="1"/>
      <c r="H783">
        <f t="shared" si="92"/>
        <v>4</v>
      </c>
      <c r="I783" s="1">
        <f t="shared" si="88"/>
        <v>77.299999999999883</v>
      </c>
    </row>
    <row r="784" spans="2:9" x14ac:dyDescent="0.25">
      <c r="B784" s="1">
        <f t="shared" si="89"/>
        <v>77.399999999999878</v>
      </c>
      <c r="C784" s="1">
        <f t="shared" si="90"/>
        <v>-60.556044195716325</v>
      </c>
      <c r="D784" s="1">
        <f t="shared" si="86"/>
        <v>54.934647460630636</v>
      </c>
      <c r="E784" s="1">
        <f t="shared" si="91"/>
        <v>54.934647460630636</v>
      </c>
      <c r="F784" s="1">
        <f t="shared" si="87"/>
        <v>1.5139011048929083</v>
      </c>
      <c r="G784" s="1"/>
      <c r="H784">
        <f t="shared" si="92"/>
        <v>4</v>
      </c>
      <c r="I784" s="1">
        <f t="shared" si="88"/>
        <v>77.399999999999878</v>
      </c>
    </row>
    <row r="785" spans="2:9" x14ac:dyDescent="0.25">
      <c r="B785" s="1">
        <f t="shared" si="89"/>
        <v>77.499999999999872</v>
      </c>
      <c r="C785" s="1">
        <f t="shared" si="90"/>
        <v>-55.062579449653263</v>
      </c>
      <c r="D785" s="1">
        <f t="shared" si="86"/>
        <v>55.086037571119924</v>
      </c>
      <c r="E785" s="1">
        <f t="shared" si="91"/>
        <v>55.086037571119924</v>
      </c>
      <c r="F785" s="1">
        <f t="shared" si="87"/>
        <v>1.3765644862413318</v>
      </c>
      <c r="G785" s="1"/>
      <c r="H785">
        <f t="shared" si="92"/>
        <v>4</v>
      </c>
      <c r="I785" s="1">
        <f t="shared" si="88"/>
        <v>77.499999999999872</v>
      </c>
    </row>
    <row r="786" spans="2:9" x14ac:dyDescent="0.25">
      <c r="B786" s="1">
        <f t="shared" si="89"/>
        <v>77.599999999999866</v>
      </c>
      <c r="C786" s="1">
        <f t="shared" si="90"/>
        <v>-49.553975692541272</v>
      </c>
      <c r="D786" s="1">
        <f t="shared" si="86"/>
        <v>55.223694019744059</v>
      </c>
      <c r="E786" s="1">
        <f t="shared" si="91"/>
        <v>55.223694019744059</v>
      </c>
      <c r="F786" s="1">
        <f t="shared" si="87"/>
        <v>1.238849392313532</v>
      </c>
      <c r="G786" s="1"/>
      <c r="H786">
        <f t="shared" si="92"/>
        <v>4</v>
      </c>
      <c r="I786" s="1">
        <f t="shared" si="88"/>
        <v>77.599999999999866</v>
      </c>
    </row>
    <row r="787" spans="2:9" x14ac:dyDescent="0.25">
      <c r="B787" s="1">
        <f t="shared" si="89"/>
        <v>77.699999999999861</v>
      </c>
      <c r="C787" s="1">
        <f t="shared" si="90"/>
        <v>-44.031606290566863</v>
      </c>
      <c r="D787" s="1">
        <f t="shared" si="86"/>
        <v>55.347578958975411</v>
      </c>
      <c r="E787" s="1">
        <f t="shared" si="91"/>
        <v>55.347578958975411</v>
      </c>
      <c r="F787" s="1">
        <f t="shared" si="87"/>
        <v>1.1007901572641716</v>
      </c>
      <c r="G787" s="1"/>
      <c r="H787">
        <f t="shared" si="92"/>
        <v>4</v>
      </c>
      <c r="I787" s="1">
        <f t="shared" si="88"/>
        <v>77.699999999999861</v>
      </c>
    </row>
    <row r="788" spans="2:9" x14ac:dyDescent="0.25">
      <c r="B788" s="1">
        <f t="shared" si="89"/>
        <v>77.799999999999855</v>
      </c>
      <c r="C788" s="1">
        <f t="shared" si="90"/>
        <v>-38.496848394669321</v>
      </c>
      <c r="D788" s="1">
        <f t="shared" si="86"/>
        <v>55.457657974701831</v>
      </c>
      <c r="E788" s="1">
        <f t="shared" si="91"/>
        <v>55.457657974701831</v>
      </c>
      <c r="F788" s="1">
        <f t="shared" si="87"/>
        <v>0.96242120986673307</v>
      </c>
      <c r="G788" s="1"/>
      <c r="H788">
        <f t="shared" si="92"/>
        <v>4</v>
      </c>
      <c r="I788" s="1">
        <f t="shared" si="88"/>
        <v>77.799999999999855</v>
      </c>
    </row>
    <row r="789" spans="2:9" x14ac:dyDescent="0.25">
      <c r="B789" s="1">
        <f t="shared" si="89"/>
        <v>77.899999999999849</v>
      </c>
      <c r="C789" s="1">
        <f t="shared" si="90"/>
        <v>-32.951082597199139</v>
      </c>
      <c r="D789" s="1">
        <f t="shared" si="86"/>
        <v>55.553900095688505</v>
      </c>
      <c r="E789" s="1">
        <f t="shared" si="91"/>
        <v>55.553900095688505</v>
      </c>
      <c r="F789" s="1">
        <f t="shared" si="87"/>
        <v>0.82377706492997849</v>
      </c>
      <c r="G789" s="1"/>
      <c r="H789">
        <f t="shared" si="92"/>
        <v>4</v>
      </c>
      <c r="I789" s="1">
        <f t="shared" si="88"/>
        <v>77.899999999999849</v>
      </c>
    </row>
    <row r="790" spans="2:9" x14ac:dyDescent="0.25">
      <c r="B790" s="1">
        <f t="shared" si="89"/>
        <v>77.999999999999844</v>
      </c>
      <c r="C790" s="1">
        <f t="shared" si="90"/>
        <v>-27.39569258763029</v>
      </c>
      <c r="D790" s="1">
        <f t="shared" si="86"/>
        <v>55.636277802181503</v>
      </c>
      <c r="E790" s="1">
        <f t="shared" si="91"/>
        <v>55.636277802181503</v>
      </c>
      <c r="F790" s="1">
        <f t="shared" si="87"/>
        <v>0.68489231469075729</v>
      </c>
      <c r="G790" s="1"/>
      <c r="H790">
        <f t="shared" si="92"/>
        <v>4</v>
      </c>
      <c r="I790" s="1">
        <f t="shared" si="88"/>
        <v>77.999999999999844</v>
      </c>
    </row>
    <row r="791" spans="2:9" x14ac:dyDescent="0.25">
      <c r="B791" s="1">
        <f t="shared" si="89"/>
        <v>78.099999999999838</v>
      </c>
      <c r="C791" s="1">
        <f t="shared" si="90"/>
        <v>-21.832064807412138</v>
      </c>
      <c r="D791" s="1">
        <f t="shared" si="86"/>
        <v>55.704767033650576</v>
      </c>
      <c r="E791" s="1">
        <f t="shared" si="91"/>
        <v>55.704767033650576</v>
      </c>
      <c r="F791" s="1">
        <f t="shared" si="87"/>
        <v>0.54580162018530343</v>
      </c>
      <c r="G791" s="1"/>
      <c r="H791">
        <f t="shared" si="92"/>
        <v>4</v>
      </c>
      <c r="I791" s="1">
        <f t="shared" si="88"/>
        <v>78.099999999999838</v>
      </c>
    </row>
    <row r="792" spans="2:9" x14ac:dyDescent="0.25">
      <c r="B792" s="1">
        <f t="shared" si="89"/>
        <v>78.199999999999832</v>
      </c>
      <c r="C792" s="1">
        <f t="shared" si="90"/>
        <v>-16.261588104047078</v>
      </c>
      <c r="D792" s="1">
        <f t="shared" si="86"/>
        <v>55.759347195669108</v>
      </c>
      <c r="E792" s="1">
        <f t="shared" si="91"/>
        <v>55.759347195669108</v>
      </c>
      <c r="F792" s="1">
        <f t="shared" si="87"/>
        <v>0.406539702601177</v>
      </c>
      <c r="G792" s="1"/>
      <c r="H792">
        <f t="shared" si="92"/>
        <v>4</v>
      </c>
      <c r="I792" s="1">
        <f t="shared" si="88"/>
        <v>78.199999999999832</v>
      </c>
    </row>
    <row r="793" spans="2:9" x14ac:dyDescent="0.25">
      <c r="B793" s="1">
        <f t="shared" si="89"/>
        <v>78.299999999999827</v>
      </c>
      <c r="C793" s="1">
        <f t="shared" si="90"/>
        <v>-10.685653384480167</v>
      </c>
      <c r="D793" s="1">
        <f t="shared" si="86"/>
        <v>55.800001165929224</v>
      </c>
      <c r="E793" s="1">
        <f t="shared" si="91"/>
        <v>55.800001165929224</v>
      </c>
      <c r="F793" s="1">
        <f t="shared" si="87"/>
        <v>0.26714133461200418</v>
      </c>
      <c r="G793" s="1"/>
      <c r="H793">
        <f t="shared" si="92"/>
        <v>4</v>
      </c>
      <c r="I793" s="1">
        <f t="shared" si="88"/>
        <v>78.299999999999827</v>
      </c>
    </row>
    <row r="794" spans="2:9" x14ac:dyDescent="0.25">
      <c r="B794" s="1">
        <f t="shared" si="89"/>
        <v>78.399999999999821</v>
      </c>
      <c r="C794" s="1">
        <f t="shared" si="90"/>
        <v>-5.1056532678872442</v>
      </c>
      <c r="D794" s="1">
        <f t="shared" si="86"/>
        <v>55.826715299390422</v>
      </c>
      <c r="E794" s="1">
        <f t="shared" si="91"/>
        <v>55.826715299390422</v>
      </c>
      <c r="F794" s="1">
        <f t="shared" si="87"/>
        <v>0.12764133169718112</v>
      </c>
      <c r="G794" s="1"/>
      <c r="H794">
        <f t="shared" si="92"/>
        <v>4</v>
      </c>
      <c r="I794" s="1">
        <f t="shared" si="88"/>
        <v>78.399999999999821</v>
      </c>
    </row>
    <row r="795" spans="2:9" x14ac:dyDescent="0.25">
      <c r="B795" s="1">
        <f t="shared" si="89"/>
        <v>78.499999999999815</v>
      </c>
      <c r="C795" s="1">
        <f t="shared" si="90"/>
        <v>0.4770182620517982</v>
      </c>
      <c r="D795" s="1">
        <f t="shared" si="86"/>
        <v>55.83947943256014</v>
      </c>
      <c r="E795" s="1">
        <f t="shared" si="91"/>
        <v>55.83947943256014</v>
      </c>
      <c r="F795" s="1">
        <f t="shared" si="87"/>
        <v>-1.1925456551294955E-2</v>
      </c>
      <c r="G795" s="1"/>
      <c r="H795">
        <f t="shared" si="92"/>
        <v>4</v>
      </c>
      <c r="I795" s="1">
        <f t="shared" si="88"/>
        <v>78.499999999999815</v>
      </c>
    </row>
    <row r="796" spans="2:9" x14ac:dyDescent="0.25">
      <c r="B796" s="1">
        <f t="shared" si="89"/>
        <v>78.59999999999981</v>
      </c>
      <c r="C796" s="1">
        <f t="shared" si="90"/>
        <v>6.0609662053078122</v>
      </c>
      <c r="D796" s="1">
        <f t="shared" si="86"/>
        <v>55.83828688690501</v>
      </c>
      <c r="E796" s="1">
        <f t="shared" si="91"/>
        <v>55.83828688690501</v>
      </c>
      <c r="F796" s="1">
        <f t="shared" si="87"/>
        <v>-0.15152415513269532</v>
      </c>
      <c r="G796" s="1"/>
      <c r="H796">
        <f t="shared" si="92"/>
        <v>4</v>
      </c>
      <c r="I796" s="1">
        <f t="shared" si="88"/>
        <v>78.59999999999981</v>
      </c>
    </row>
    <row r="797" spans="2:9" x14ac:dyDescent="0.25">
      <c r="B797" s="1">
        <f t="shared" si="89"/>
        <v>78.699999999999804</v>
      </c>
      <c r="C797" s="1">
        <f t="shared" si="90"/>
        <v>11.644794893998313</v>
      </c>
      <c r="D797" s="1">
        <f t="shared" si="86"/>
        <v>55.823134471391739</v>
      </c>
      <c r="E797" s="1">
        <f t="shared" si="91"/>
        <v>55.823134471391739</v>
      </c>
      <c r="F797" s="1">
        <f t="shared" si="87"/>
        <v>-0.29111987234995784</v>
      </c>
      <c r="G797" s="1"/>
      <c r="H797">
        <f t="shared" si="92"/>
        <v>4</v>
      </c>
      <c r="I797" s="1">
        <f t="shared" si="88"/>
        <v>78.699999999999804</v>
      </c>
    </row>
    <row r="798" spans="2:9" x14ac:dyDescent="0.25">
      <c r="B798" s="1">
        <f t="shared" si="89"/>
        <v>78.799999999999798</v>
      </c>
      <c r="C798" s="1">
        <f t="shared" si="90"/>
        <v>17.227108341137487</v>
      </c>
      <c r="D798" s="1">
        <f t="shared" si="86"/>
        <v>55.794022484156741</v>
      </c>
      <c r="E798" s="1">
        <f t="shared" si="91"/>
        <v>55.794022484156741</v>
      </c>
      <c r="F798" s="1">
        <f t="shared" si="87"/>
        <v>-0.43067770852843723</v>
      </c>
      <c r="G798" s="1"/>
      <c r="H798">
        <f t="shared" si="92"/>
        <v>4</v>
      </c>
      <c r="I798" s="1">
        <f t="shared" si="88"/>
        <v>78.799999999999798</v>
      </c>
    </row>
    <row r="799" spans="2:9" x14ac:dyDescent="0.25">
      <c r="B799" s="1">
        <f t="shared" si="89"/>
        <v>78.899999999999793</v>
      </c>
      <c r="C799" s="1">
        <f t="shared" si="90"/>
        <v>22.806510589553163</v>
      </c>
      <c r="D799" s="1">
        <f t="shared" si="86"/>
        <v>55.750954713303898</v>
      </c>
      <c r="E799" s="1">
        <f t="shared" si="91"/>
        <v>55.750954713303898</v>
      </c>
      <c r="F799" s="1">
        <f t="shared" si="87"/>
        <v>-0.5701627647388291</v>
      </c>
      <c r="G799" s="1"/>
      <c r="H799">
        <f t="shared" si="92"/>
        <v>4</v>
      </c>
      <c r="I799" s="1">
        <f t="shared" si="88"/>
        <v>78.899999999999793</v>
      </c>
    </row>
    <row r="800" spans="2:9" x14ac:dyDescent="0.25">
      <c r="B800" s="1">
        <f t="shared" si="89"/>
        <v>78.999999999999787</v>
      </c>
      <c r="C800" s="1">
        <f t="shared" si="90"/>
        <v>28.381606060883552</v>
      </c>
      <c r="D800" s="1">
        <f t="shared" si="86"/>
        <v>55.693938436830017</v>
      </c>
      <c r="E800" s="1">
        <f t="shared" si="91"/>
        <v>55.693938436830017</v>
      </c>
      <c r="F800" s="1">
        <f t="shared" si="87"/>
        <v>-0.70954015152208882</v>
      </c>
      <c r="G800" s="1"/>
      <c r="H800">
        <f t="shared" si="92"/>
        <v>4</v>
      </c>
      <c r="I800" s="1">
        <f t="shared" si="88"/>
        <v>78.999999999999787</v>
      </c>
    </row>
    <row r="801" spans="2:9" x14ac:dyDescent="0.25">
      <c r="B801" s="1">
        <f t="shared" si="89"/>
        <v>79.099999999999781</v>
      </c>
      <c r="C801" s="1">
        <f t="shared" si="90"/>
        <v>33.950999904566558</v>
      </c>
      <c r="D801" s="1">
        <f t="shared" si="86"/>
        <v>55.622984421677806</v>
      </c>
      <c r="E801" s="1">
        <f t="shared" si="91"/>
        <v>55.622984421677806</v>
      </c>
      <c r="F801" s="1">
        <f t="shared" si="87"/>
        <v>-0.84877499761416397</v>
      </c>
      <c r="G801" s="1"/>
      <c r="H801">
        <f t="shared" si="92"/>
        <v>4</v>
      </c>
      <c r="I801" s="1">
        <f t="shared" si="88"/>
        <v>79.099999999999781</v>
      </c>
    </row>
    <row r="802" spans="2:9" x14ac:dyDescent="0.25">
      <c r="B802" s="1">
        <f t="shared" si="89"/>
        <v>79.199999999999775</v>
      </c>
      <c r="C802" s="1">
        <f t="shared" si="90"/>
        <v>39.513298346734338</v>
      </c>
      <c r="D802" s="1">
        <f t="shared" si="86"/>
        <v>55.538106921916388</v>
      </c>
      <c r="E802" s="1">
        <f t="shared" si="91"/>
        <v>55.538106921916388</v>
      </c>
      <c r="F802" s="1">
        <f t="shared" si="87"/>
        <v>-0.98783245866835845</v>
      </c>
      <c r="G802" s="1"/>
      <c r="H802">
        <f t="shared" si="92"/>
        <v>4</v>
      </c>
      <c r="I802" s="1">
        <f t="shared" si="88"/>
        <v>79.199999999999775</v>
      </c>
    </row>
    <row r="803" spans="2:9" x14ac:dyDescent="0.25">
      <c r="B803" s="1">
        <f t="shared" si="89"/>
        <v>79.29999999999977</v>
      </c>
      <c r="C803" s="1">
        <f t="shared" si="90"/>
        <v>45.067109038925977</v>
      </c>
      <c r="D803" s="1">
        <f t="shared" si="86"/>
        <v>55.439323676049554</v>
      </c>
      <c r="E803" s="1">
        <f t="shared" si="91"/>
        <v>55.439323676049554</v>
      </c>
      <c r="F803" s="1">
        <f t="shared" si="87"/>
        <v>-1.1266777259731495</v>
      </c>
      <c r="G803" s="1"/>
      <c r="H803">
        <f t="shared" si="92"/>
        <v>4</v>
      </c>
      <c r="I803" s="1">
        <f t="shared" si="88"/>
        <v>79.29999999999977</v>
      </c>
    </row>
    <row r="804" spans="2:9" x14ac:dyDescent="0.25">
      <c r="B804" s="1">
        <f t="shared" si="89"/>
        <v>79.399999999999764</v>
      </c>
      <c r="C804" s="1">
        <f t="shared" si="90"/>
        <v>50.61104140653093</v>
      </c>
      <c r="D804" s="1">
        <f t="shared" si="86"/>
        <v>55.326655903452242</v>
      </c>
      <c r="E804" s="1">
        <f t="shared" si="91"/>
        <v>55.326655903452242</v>
      </c>
      <c r="F804" s="1">
        <f t="shared" si="87"/>
        <v>-1.2652760351632732</v>
      </c>
      <c r="G804" s="1"/>
      <c r="H804">
        <f t="shared" si="92"/>
        <v>4</v>
      </c>
      <c r="I804" s="1">
        <f t="shared" si="88"/>
        <v>79.399999999999764</v>
      </c>
    </row>
    <row r="805" spans="2:9" x14ac:dyDescent="0.25">
      <c r="B805" s="1">
        <f t="shared" si="89"/>
        <v>79.499999999999758</v>
      </c>
      <c r="C805" s="1">
        <f t="shared" si="90"/>
        <v>56.143706996876155</v>
      </c>
      <c r="D805" s="1">
        <f t="shared" si="86"/>
        <v>55.200128299935912</v>
      </c>
      <c r="E805" s="1">
        <f t="shared" si="91"/>
        <v>55.200128299935912</v>
      </c>
      <c r="F805" s="1">
        <f t="shared" si="87"/>
        <v>-1.4035926749219039</v>
      </c>
      <c r="G805" s="1"/>
      <c r="H805">
        <f t="shared" si="92"/>
        <v>4</v>
      </c>
      <c r="I805" s="1">
        <f t="shared" si="88"/>
        <v>79.499999999999758</v>
      </c>
    </row>
    <row r="806" spans="2:9" x14ac:dyDescent="0.25">
      <c r="B806" s="1">
        <f t="shared" si="89"/>
        <v>79.599999999999753</v>
      </c>
      <c r="C806" s="1">
        <f t="shared" si="90"/>
        <v>61.663719826869745</v>
      </c>
      <c r="D806" s="1">
        <f t="shared" si="86"/>
        <v>55.059769032443718</v>
      </c>
      <c r="E806" s="1">
        <f t="shared" si="91"/>
        <v>55.059769032443718</v>
      </c>
      <c r="F806" s="1">
        <f t="shared" si="87"/>
        <v>-1.5415929956717438</v>
      </c>
      <c r="G806" s="1"/>
      <c r="H806">
        <f t="shared" si="92"/>
        <v>4</v>
      </c>
      <c r="I806" s="1">
        <f t="shared" si="88"/>
        <v>79.599999999999753</v>
      </c>
    </row>
    <row r="807" spans="2:9" x14ac:dyDescent="0.25">
      <c r="B807" s="1">
        <f t="shared" si="89"/>
        <v>79.699999999999747</v>
      </c>
      <c r="C807" s="1">
        <f t="shared" si="90"/>
        <v>67.169696730114111</v>
      </c>
      <c r="D807" s="1">
        <f t="shared" si="86"/>
        <v>54.905609732876542</v>
      </c>
      <c r="E807" s="1">
        <f t="shared" si="91"/>
        <v>54.905609732876542</v>
      </c>
      <c r="F807" s="1">
        <f t="shared" si="87"/>
        <v>-1.6792424182528529</v>
      </c>
      <c r="G807" s="1"/>
      <c r="H807">
        <f t="shared" si="92"/>
        <v>4</v>
      </c>
      <c r="I807" s="1">
        <f t="shared" si="88"/>
        <v>79.699999999999747</v>
      </c>
    </row>
    <row r="808" spans="2:9" x14ac:dyDescent="0.25">
      <c r="B808" s="1">
        <f t="shared" si="89"/>
        <v>79.799999999999741</v>
      </c>
      <c r="C808" s="1">
        <f t="shared" si="90"/>
        <v>72.660257703401768</v>
      </c>
      <c r="D808" s="1">
        <f t="shared" si="86"/>
        <v>54.737685491051259</v>
      </c>
      <c r="E808" s="1">
        <f t="shared" si="91"/>
        <v>54.737685491051259</v>
      </c>
      <c r="F808" s="1">
        <f t="shared" si="87"/>
        <v>-1.8165064425850443</v>
      </c>
      <c r="G808" s="1"/>
      <c r="H808">
        <f t="shared" si="92"/>
        <v>4</v>
      </c>
      <c r="I808" s="1">
        <f t="shared" si="88"/>
        <v>79.799999999999741</v>
      </c>
    </row>
    <row r="809" spans="2:9" x14ac:dyDescent="0.25">
      <c r="B809" s="1">
        <f t="shared" si="89"/>
        <v>79.899999999999736</v>
      </c>
      <c r="C809" s="1">
        <f t="shared" si="90"/>
        <v>78.134026252506899</v>
      </c>
      <c r="D809" s="1">
        <f t="shared" si="86"/>
        <v>54.556034846792755</v>
      </c>
      <c r="E809" s="1">
        <f t="shared" si="91"/>
        <v>54.556034846792755</v>
      </c>
      <c r="F809" s="1">
        <f t="shared" si="87"/>
        <v>-1.9533506563126726</v>
      </c>
      <c r="G809" s="1"/>
      <c r="H809">
        <f t="shared" si="92"/>
        <v>4</v>
      </c>
      <c r="I809" s="1">
        <f t="shared" si="88"/>
        <v>79.899999999999736</v>
      </c>
    </row>
    <row r="810" spans="2:9" x14ac:dyDescent="0.25">
      <c r="B810" s="1">
        <f t="shared" si="89"/>
        <v>79.99999999999973</v>
      </c>
      <c r="C810" s="1">
        <f t="shared" si="90"/>
        <v>83.589629737186172</v>
      </c>
      <c r="D810" s="1">
        <f t="shared" si="86"/>
        <v>54.360699781161486</v>
      </c>
      <c r="E810" s="1">
        <f t="shared" si="91"/>
        <v>54.360699781161486</v>
      </c>
      <c r="F810" s="1">
        <f t="shared" si="87"/>
        <v>-2.0897407434296542</v>
      </c>
      <c r="G810" s="1"/>
      <c r="H810">
        <f t="shared" si="92"/>
        <v>4</v>
      </c>
      <c r="I810" s="1">
        <f t="shared" si="88"/>
        <v>79.99999999999973</v>
      </c>
    </row>
    <row r="811" spans="2:9" x14ac:dyDescent="0.25">
      <c r="B811" s="1">
        <f t="shared" si="89"/>
        <v>80.099999999999724</v>
      </c>
      <c r="C811" s="1">
        <f t="shared" si="90"/>
        <v>89.025699715302324</v>
      </c>
      <c r="D811" s="1">
        <f t="shared" si="86"/>
        <v>54.151725706818517</v>
      </c>
      <c r="E811" s="1">
        <f t="shared" si="91"/>
        <v>54.151725706818517</v>
      </c>
      <c r="F811" s="1">
        <f t="shared" si="87"/>
        <v>-2.225642492882558</v>
      </c>
      <c r="G811" s="1"/>
      <c r="H811">
        <f t="shared" si="92"/>
        <v>4</v>
      </c>
      <c r="I811" s="1">
        <f t="shared" si="88"/>
        <v>80.099999999999724</v>
      </c>
    </row>
    <row r="812" spans="2:9" x14ac:dyDescent="0.25">
      <c r="B812" s="1">
        <f t="shared" si="89"/>
        <v>80.199999999999719</v>
      </c>
      <c r="C812" s="1">
        <f t="shared" si="90"/>
        <v>94.44087228598417</v>
      </c>
      <c r="D812" s="1">
        <f t="shared" si="86"/>
        <v>53.929161457530263</v>
      </c>
      <c r="E812" s="1">
        <f t="shared" si="91"/>
        <v>53.929161457530263</v>
      </c>
      <c r="F812" s="1">
        <f t="shared" si="87"/>
        <v>-2.3610218071496045</v>
      </c>
      <c r="G812" s="1"/>
      <c r="H812">
        <f t="shared" si="92"/>
        <v>4</v>
      </c>
      <c r="I812" s="1">
        <f t="shared" si="88"/>
        <v>80.199999999999719</v>
      </c>
    </row>
    <row r="813" spans="2:9" x14ac:dyDescent="0.25">
      <c r="B813" s="1">
        <f t="shared" si="89"/>
        <v>80.299999999999713</v>
      </c>
      <c r="C813" s="1">
        <f t="shared" si="90"/>
        <v>99.83378843173719</v>
      </c>
      <c r="D813" s="1">
        <f t="shared" si="86"/>
        <v>53.693059276815305</v>
      </c>
      <c r="E813" s="1">
        <f t="shared" si="91"/>
        <v>53.693059276815305</v>
      </c>
      <c r="F813" s="1">
        <f t="shared" si="87"/>
        <v>-2.4958447107934298</v>
      </c>
      <c r="G813" s="1"/>
      <c r="H813">
        <f t="shared" si="92"/>
        <v>4</v>
      </c>
      <c r="I813" s="1">
        <f t="shared" si="88"/>
        <v>80.299999999999713</v>
      </c>
    </row>
    <row r="814" spans="2:9" x14ac:dyDescent="0.25">
      <c r="B814" s="1">
        <f t="shared" si="89"/>
        <v>80.399999999999707</v>
      </c>
      <c r="C814" s="1">
        <f t="shared" si="90"/>
        <v>105.20309435941871</v>
      </c>
      <c r="D814" s="1">
        <f t="shared" si="86"/>
        <v>53.44347480573596</v>
      </c>
      <c r="E814" s="1">
        <f t="shared" si="91"/>
        <v>53.44347480573596</v>
      </c>
      <c r="F814" s="1">
        <f t="shared" si="87"/>
        <v>-2.630077358985468</v>
      </c>
      <c r="G814" s="1"/>
      <c r="H814">
        <f t="shared" si="92"/>
        <v>4</v>
      </c>
      <c r="I814" s="1">
        <f t="shared" si="88"/>
        <v>80.399999999999707</v>
      </c>
    </row>
    <row r="815" spans="2:9" x14ac:dyDescent="0.25">
      <c r="B815" s="1">
        <f t="shared" si="89"/>
        <v>80.499999999999702</v>
      </c>
      <c r="C815" s="1">
        <f t="shared" si="90"/>
        <v>110.5474418399923</v>
      </c>
      <c r="D815" s="1">
        <f t="shared" si="86"/>
        <v>53.180467069837412</v>
      </c>
      <c r="E815" s="1">
        <f t="shared" si="91"/>
        <v>53.180467069837412</v>
      </c>
      <c r="F815" s="1">
        <f t="shared" si="87"/>
        <v>-2.7636860459998078</v>
      </c>
      <c r="G815" s="1"/>
      <c r="H815">
        <f t="shared" si="92"/>
        <v>4</v>
      </c>
      <c r="I815" s="1">
        <f t="shared" si="88"/>
        <v>80.499999999999702</v>
      </c>
    </row>
    <row r="816" spans="2:9" x14ac:dyDescent="0.25">
      <c r="B816" s="1">
        <f t="shared" si="89"/>
        <v>80.599999999999696</v>
      </c>
      <c r="C816" s="1">
        <f t="shared" si="90"/>
        <v>115.86548854697604</v>
      </c>
      <c r="D816" s="1">
        <f t="shared" si="86"/>
        <v>52.904098465237432</v>
      </c>
      <c r="E816" s="1">
        <f t="shared" si="91"/>
        <v>52.904098465237432</v>
      </c>
      <c r="F816" s="1">
        <f t="shared" si="87"/>
        <v>-2.896637213674401</v>
      </c>
      <c r="G816" s="1"/>
      <c r="H816">
        <f t="shared" si="92"/>
        <v>4</v>
      </c>
      <c r="I816" s="1">
        <f t="shared" si="88"/>
        <v>80.599999999999696</v>
      </c>
    </row>
    <row r="817" spans="2:9" x14ac:dyDescent="0.25">
      <c r="B817" s="1">
        <f t="shared" si="89"/>
        <v>80.69999999999969</v>
      </c>
      <c r="C817" s="1">
        <f t="shared" si="90"/>
        <v>121.15589839349978</v>
      </c>
      <c r="D817" s="1">
        <f t="shared" si="86"/>
        <v>52.614434743869992</v>
      </c>
      <c r="E817" s="1">
        <f t="shared" si="91"/>
        <v>52.614434743869992</v>
      </c>
      <c r="F817" s="1">
        <f t="shared" si="87"/>
        <v>-3.0288974598374949</v>
      </c>
      <c r="G817" s="1"/>
      <c r="H817">
        <f t="shared" si="92"/>
        <v>4</v>
      </c>
      <c r="I817" s="1">
        <f t="shared" si="88"/>
        <v>80.69999999999969</v>
      </c>
    </row>
    <row r="818" spans="2:9" x14ac:dyDescent="0.25">
      <c r="B818" s="1">
        <f t="shared" si="89"/>
        <v>80.799999999999685</v>
      </c>
      <c r="C818" s="1">
        <f t="shared" si="90"/>
        <v>126.41734186788678</v>
      </c>
      <c r="D818" s="1">
        <f t="shared" si="86"/>
        <v>52.311544997886244</v>
      </c>
      <c r="E818" s="1">
        <f t="shared" si="91"/>
        <v>52.311544997886244</v>
      </c>
      <c r="F818" s="1">
        <f t="shared" si="87"/>
        <v>-3.1604335466971696</v>
      </c>
      <c r="G818" s="1"/>
      <c r="H818">
        <f t="shared" si="92"/>
        <v>4</v>
      </c>
      <c r="I818" s="1">
        <f t="shared" si="88"/>
        <v>80.799999999999685</v>
      </c>
    </row>
    <row r="819" spans="2:9" x14ac:dyDescent="0.25">
      <c r="B819" s="1">
        <f t="shared" si="89"/>
        <v>80.899999999999679</v>
      </c>
      <c r="C819" s="1">
        <f t="shared" si="90"/>
        <v>131.64849636767539</v>
      </c>
      <c r="D819" s="1">
        <f t="shared" si="86"/>
        <v>51.995501643216528</v>
      </c>
      <c r="E819" s="1">
        <f t="shared" si="91"/>
        <v>51.995501643216528</v>
      </c>
      <c r="F819" s="1">
        <f t="shared" si="87"/>
        <v>-3.2912124091918851</v>
      </c>
      <c r="G819" s="1"/>
      <c r="H819">
        <f t="shared" si="92"/>
        <v>4</v>
      </c>
      <c r="I819" s="1">
        <f t="shared" si="88"/>
        <v>80.899999999999679</v>
      </c>
    </row>
    <row r="820" spans="2:9" x14ac:dyDescent="0.25">
      <c r="B820" s="1">
        <f t="shared" si="89"/>
        <v>80.999999999999673</v>
      </c>
      <c r="C820" s="1">
        <f t="shared" si="90"/>
        <v>136.84804653199706</v>
      </c>
      <c r="D820" s="1">
        <f t="shared" si="86"/>
        <v>51.666380402297342</v>
      </c>
      <c r="E820" s="1">
        <f t="shared" si="91"/>
        <v>51.666380402297342</v>
      </c>
      <c r="F820" s="1">
        <f t="shared" si="87"/>
        <v>-3.4212011632999264</v>
      </c>
      <c r="G820" s="1"/>
      <c r="H820">
        <f t="shared" si="92"/>
        <v>4</v>
      </c>
      <c r="I820" s="1">
        <f t="shared" si="88"/>
        <v>80.999999999999673</v>
      </c>
    </row>
    <row r="821" spans="2:9" x14ac:dyDescent="0.25">
      <c r="B821" s="1">
        <f t="shared" si="89"/>
        <v>81.099999999999667</v>
      </c>
      <c r="C821" s="1">
        <f t="shared" si="90"/>
        <v>142.0146845722268</v>
      </c>
      <c r="D821" s="1">
        <f t="shared" si="86"/>
        <v>51.324260285967348</v>
      </c>
      <c r="E821" s="1">
        <f t="shared" si="91"/>
        <v>51.324260285967348</v>
      </c>
      <c r="F821" s="1">
        <f t="shared" si="87"/>
        <v>-3.5503671143056703</v>
      </c>
      <c r="G821" s="1"/>
      <c r="H821">
        <f t="shared" si="92"/>
        <v>4</v>
      </c>
      <c r="I821" s="1">
        <f t="shared" si="88"/>
        <v>81.099999999999667</v>
      </c>
    </row>
    <row r="822" spans="2:9" x14ac:dyDescent="0.25">
      <c r="B822" s="1">
        <f t="shared" si="89"/>
        <v>81.199999999999662</v>
      </c>
      <c r="C822" s="1">
        <f t="shared" si="90"/>
        <v>147.14711060082354</v>
      </c>
      <c r="D822" s="1">
        <f t="shared" si="86"/>
        <v>50.969223574536784</v>
      </c>
      <c r="E822" s="1">
        <f t="shared" si="91"/>
        <v>50.969223574536784</v>
      </c>
      <c r="F822" s="1">
        <f t="shared" si="87"/>
        <v>-3.6786777650205886</v>
      </c>
      <c r="G822" s="1"/>
      <c r="H822">
        <f t="shared" si="92"/>
        <v>4</v>
      </c>
      <c r="I822" s="1">
        <f t="shared" si="88"/>
        <v>81.199999999999662</v>
      </c>
    </row>
    <row r="823" spans="2:9" x14ac:dyDescent="0.25">
      <c r="B823" s="1">
        <f t="shared" si="89"/>
        <v>81.299999999999656</v>
      </c>
      <c r="C823" s="1">
        <f t="shared" si="90"/>
        <v>152.24403295827722</v>
      </c>
      <c r="D823" s="1">
        <f t="shared" si="86"/>
        <v>50.601355798034724</v>
      </c>
      <c r="E823" s="1">
        <f t="shared" si="91"/>
        <v>50.601355798034724</v>
      </c>
      <c r="F823" s="1">
        <f t="shared" si="87"/>
        <v>-3.8061008239569305</v>
      </c>
      <c r="G823" s="1"/>
      <c r="H823">
        <f t="shared" si="92"/>
        <v>4</v>
      </c>
      <c r="I823" s="1">
        <f t="shared" si="88"/>
        <v>81.299999999999656</v>
      </c>
    </row>
    <row r="824" spans="2:9" x14ac:dyDescent="0.25">
      <c r="B824" s="1">
        <f t="shared" si="89"/>
        <v>81.39999999999965</v>
      </c>
      <c r="C824" s="1">
        <f t="shared" si="90"/>
        <v>157.30416853808069</v>
      </c>
      <c r="D824" s="1">
        <f t="shared" si="86"/>
        <v>50.220745715639033</v>
      </c>
      <c r="E824" s="1">
        <f t="shared" si="91"/>
        <v>50.220745715639033</v>
      </c>
      <c r="F824" s="1">
        <f t="shared" si="87"/>
        <v>-3.9326042134520174</v>
      </c>
      <c r="G824" s="1"/>
      <c r="H824">
        <f t="shared" si="92"/>
        <v>4</v>
      </c>
      <c r="I824" s="1">
        <f t="shared" si="88"/>
        <v>81.39999999999965</v>
      </c>
    </row>
    <row r="825" spans="2:9" x14ac:dyDescent="0.25">
      <c r="B825" s="1">
        <f t="shared" si="89"/>
        <v>81.499999999999645</v>
      </c>
      <c r="C825" s="1">
        <f t="shared" si="90"/>
        <v>162.32624310964459</v>
      </c>
      <c r="D825" s="1">
        <f t="shared" si="86"/>
        <v>49.82748529429383</v>
      </c>
      <c r="E825" s="1">
        <f t="shared" si="91"/>
        <v>49.82748529429383</v>
      </c>
      <c r="F825" s="1">
        <f t="shared" si="87"/>
        <v>-4.0581560777411152</v>
      </c>
      <c r="G825" s="1"/>
      <c r="H825">
        <f t="shared" si="92"/>
        <v>4</v>
      </c>
      <c r="I825" s="1">
        <f t="shared" si="88"/>
        <v>81.499999999999645</v>
      </c>
    </row>
    <row r="826" spans="2:9" x14ac:dyDescent="0.25">
      <c r="B826" s="1">
        <f t="shared" si="89"/>
        <v>81.599999999999639</v>
      </c>
      <c r="C826" s="1">
        <f t="shared" si="90"/>
        <v>167.30899163907398</v>
      </c>
      <c r="D826" s="1">
        <f t="shared" si="86"/>
        <v>49.421669686519721</v>
      </c>
      <c r="E826" s="1">
        <f t="shared" si="91"/>
        <v>49.421669686519721</v>
      </c>
      <c r="F826" s="1">
        <f t="shared" si="87"/>
        <v>-4.1827247909768497</v>
      </c>
      <c r="G826" s="1"/>
      <c r="H826">
        <f t="shared" si="92"/>
        <v>4</v>
      </c>
      <c r="I826" s="1">
        <f t="shared" si="88"/>
        <v>81.599999999999639</v>
      </c>
    </row>
    <row r="827" spans="2:9" x14ac:dyDescent="0.25">
      <c r="B827" s="1">
        <f t="shared" si="89"/>
        <v>81.699999999999633</v>
      </c>
      <c r="C827" s="1">
        <f t="shared" si="90"/>
        <v>172.25115860772596</v>
      </c>
      <c r="D827" s="1">
        <f t="shared" si="86"/>
        <v>49.003397207422033</v>
      </c>
      <c r="E827" s="1">
        <f t="shared" si="91"/>
        <v>49.003397207422033</v>
      </c>
      <c r="F827" s="1">
        <f t="shared" si="87"/>
        <v>-4.3062789651931492</v>
      </c>
      <c r="G827" s="1"/>
      <c r="H827">
        <f t="shared" si="92"/>
        <v>4</v>
      </c>
      <c r="I827" s="1">
        <f t="shared" si="88"/>
        <v>81.699999999999633</v>
      </c>
    </row>
    <row r="828" spans="2:9" x14ac:dyDescent="0.25">
      <c r="B828" s="1">
        <f t="shared" si="89"/>
        <v>81.799999999999628</v>
      </c>
      <c r="C828" s="1">
        <f t="shared" si="90"/>
        <v>177.15149832846816</v>
      </c>
      <c r="D828" s="1">
        <f t="shared" si="86"/>
        <v>48.572769310902721</v>
      </c>
      <c r="E828" s="1">
        <f t="shared" si="91"/>
        <v>48.572769310902721</v>
      </c>
      <c r="F828" s="1">
        <f t="shared" si="87"/>
        <v>-4.4287874582117039</v>
      </c>
      <c r="G828" s="1"/>
      <c r="H828">
        <f t="shared" si="92"/>
        <v>4</v>
      </c>
      <c r="I828" s="1">
        <f t="shared" si="88"/>
        <v>81.799999999999628</v>
      </c>
    </row>
    <row r="829" spans="2:9" x14ac:dyDescent="0.25">
      <c r="B829" s="1">
        <f t="shared" si="89"/>
        <v>81.899999999999622</v>
      </c>
      <c r="C829" s="1">
        <f t="shared" si="90"/>
        <v>182.00877525955843</v>
      </c>
      <c r="D829" s="1">
        <f t="shared" si="86"/>
        <v>48.129890565081553</v>
      </c>
      <c r="E829" s="1">
        <f t="shared" si="91"/>
        <v>48.129890565081553</v>
      </c>
      <c r="F829" s="1">
        <f t="shared" si="87"/>
        <v>-4.5502193814889607</v>
      </c>
      <c r="G829" s="1"/>
      <c r="H829">
        <f t="shared" si="92"/>
        <v>4</v>
      </c>
      <c r="I829" s="1">
        <f t="shared" si="88"/>
        <v>81.899999999999622</v>
      </c>
    </row>
    <row r="830" spans="2:9" x14ac:dyDescent="0.25">
      <c r="B830" s="1">
        <f t="shared" si="89"/>
        <v>81.999999999999616</v>
      </c>
      <c r="C830" s="1">
        <f t="shared" si="90"/>
        <v>186.82176431606658</v>
      </c>
      <c r="D830" s="1">
        <f t="shared" si="86"/>
        <v>47.674868626932657</v>
      </c>
      <c r="E830" s="1">
        <f t="shared" si="91"/>
        <v>47.674868626932657</v>
      </c>
      <c r="F830" s="1">
        <f t="shared" si="87"/>
        <v>-4.670544107901665</v>
      </c>
      <c r="G830" s="1"/>
      <c r="H830">
        <f t="shared" si="92"/>
        <v>4</v>
      </c>
      <c r="I830" s="1">
        <f t="shared" si="88"/>
        <v>81.999999999999616</v>
      </c>
    </row>
    <row r="831" spans="2:9" x14ac:dyDescent="0.25">
      <c r="B831" s="1">
        <f t="shared" si="89"/>
        <v>82.099999999999611</v>
      </c>
      <c r="C831" s="1">
        <f t="shared" si="90"/>
        <v>191.58925117875984</v>
      </c>
      <c r="D831" s="1">
        <f t="shared" si="86"/>
        <v>47.207814216142488</v>
      </c>
      <c r="E831" s="1">
        <f t="shared" si="91"/>
        <v>47.207814216142488</v>
      </c>
      <c r="F831" s="1">
        <f t="shared" si="87"/>
        <v>-4.7897312794689961</v>
      </c>
      <c r="G831" s="1"/>
      <c r="H831">
        <f t="shared" si="92"/>
        <v>4</v>
      </c>
      <c r="I831" s="1">
        <f t="shared" si="88"/>
        <v>82.099999999999611</v>
      </c>
    </row>
    <row r="832" spans="2:9" x14ac:dyDescent="0.25">
      <c r="B832" s="1">
        <f t="shared" si="89"/>
        <v>82.199999999999605</v>
      </c>
      <c r="C832" s="1">
        <f t="shared" si="90"/>
        <v>196.31003260037409</v>
      </c>
      <c r="D832" s="1">
        <f t="shared" si="86"/>
        <v>46.728841088195587</v>
      </c>
      <c r="E832" s="1">
        <f t="shared" si="91"/>
        <v>46.728841088195587</v>
      </c>
      <c r="F832" s="1">
        <f t="shared" si="87"/>
        <v>-4.9077508150093525</v>
      </c>
      <c r="G832" s="1"/>
      <c r="H832">
        <f t="shared" si="92"/>
        <v>4</v>
      </c>
      <c r="I832" s="1">
        <f t="shared" si="88"/>
        <v>82.199999999999605</v>
      </c>
    </row>
    <row r="833" spans="2:9" x14ac:dyDescent="0.25">
      <c r="B833" s="1">
        <f t="shared" si="89"/>
        <v>82.299999999999599</v>
      </c>
      <c r="C833" s="1">
        <f t="shared" si="90"/>
        <v>200.98291670919363</v>
      </c>
      <c r="D833" s="1">
        <f t="shared" si="86"/>
        <v>46.238066006694652</v>
      </c>
      <c r="E833" s="1">
        <f t="shared" si="91"/>
        <v>46.238066006694652</v>
      </c>
      <c r="F833" s="1">
        <f t="shared" si="87"/>
        <v>-5.0245729177298415</v>
      </c>
      <c r="G833" s="1"/>
      <c r="H833">
        <f t="shared" si="92"/>
        <v>4</v>
      </c>
      <c r="I833" s="1">
        <f t="shared" si="88"/>
        <v>82.299999999999599</v>
      </c>
    </row>
    <row r="834" spans="2:9" x14ac:dyDescent="0.25">
      <c r="B834" s="1">
        <f t="shared" si="89"/>
        <v>82.399999999999594</v>
      </c>
      <c r="C834" s="1">
        <f t="shared" si="90"/>
        <v>205.6067233098631</v>
      </c>
      <c r="D834" s="1">
        <f t="shared" si="86"/>
        <v>45.735608714921668</v>
      </c>
      <c r="E834" s="1">
        <f t="shared" si="91"/>
        <v>45.735608714921668</v>
      </c>
      <c r="F834" s="1">
        <f t="shared" si="87"/>
        <v>-5.1401680827465777</v>
      </c>
      <c r="G834" s="1"/>
      <c r="H834">
        <f t="shared" si="92"/>
        <v>4</v>
      </c>
      <c r="I834" s="1">
        <f t="shared" si="88"/>
        <v>82.399999999999594</v>
      </c>
    </row>
    <row r="835" spans="2:9" x14ac:dyDescent="0.25">
      <c r="B835" s="1">
        <f t="shared" si="89"/>
        <v>82.499999999999588</v>
      </c>
      <c r="C835" s="1">
        <f t="shared" si="90"/>
        <v>210.18028418135526</v>
      </c>
      <c r="D835" s="1">
        <f t="shared" si="86"/>
        <v>45.221591906647006</v>
      </c>
      <c r="E835" s="1">
        <f t="shared" si="91"/>
        <v>45.221591906647006</v>
      </c>
      <c r="F835" s="1">
        <f t="shared" si="87"/>
        <v>-5.2545071045338823</v>
      </c>
      <c r="G835" s="1"/>
      <c r="H835">
        <f t="shared" si="92"/>
        <v>4</v>
      </c>
      <c r="I835" s="1">
        <f t="shared" si="88"/>
        <v>82.499999999999588</v>
      </c>
    </row>
    <row r="836" spans="2:9" x14ac:dyDescent="0.25">
      <c r="B836" s="1">
        <f t="shared" si="89"/>
        <v>82.599999999999582</v>
      </c>
      <c r="C836" s="1">
        <f t="shared" si="90"/>
        <v>214.70244337201996</v>
      </c>
      <c r="D836" s="1">
        <f t="shared" si="86"/>
        <v>44.696141196193615</v>
      </c>
      <c r="E836" s="1">
        <f t="shared" si="91"/>
        <v>44.696141196193615</v>
      </c>
      <c r="F836" s="1">
        <f t="shared" si="87"/>
        <v>-5.3675610843004993</v>
      </c>
      <c r="G836" s="1"/>
      <c r="H836">
        <f t="shared" si="92"/>
        <v>4</v>
      </c>
      <c r="I836" s="1">
        <f t="shared" si="88"/>
        <v>82.599999999999582</v>
      </c>
    </row>
    <row r="837" spans="2:9" x14ac:dyDescent="0.25">
      <c r="B837" s="1">
        <f t="shared" si="89"/>
        <v>82.699999999999577</v>
      </c>
      <c r="C837" s="1">
        <f t="shared" si="90"/>
        <v>219.17205749163932</v>
      </c>
      <c r="D837" s="1">
        <f t="shared" si="86"/>
        <v>44.159385087763567</v>
      </c>
      <c r="E837" s="1">
        <f t="shared" si="91"/>
        <v>44.159385087763567</v>
      </c>
      <c r="F837" s="1">
        <f t="shared" si="87"/>
        <v>-5.4793014372909834</v>
      </c>
      <c r="G837" s="1"/>
      <c r="H837">
        <f t="shared" si="92"/>
        <v>4</v>
      </c>
      <c r="I837" s="1">
        <f t="shared" si="88"/>
        <v>82.699999999999577</v>
      </c>
    </row>
    <row r="838" spans="2:9" x14ac:dyDescent="0.25">
      <c r="B838" s="1">
        <f t="shared" si="89"/>
        <v>82.799999999999571</v>
      </c>
      <c r="C838" s="1">
        <f t="shared" si="90"/>
        <v>223.58799600041567</v>
      </c>
      <c r="D838" s="1">
        <f t="shared" si="86"/>
        <v>43.61145494403447</v>
      </c>
      <c r="E838" s="1">
        <f t="shared" si="91"/>
        <v>43.61145494403447</v>
      </c>
      <c r="F838" s="1">
        <f t="shared" si="87"/>
        <v>-5.589699900010392</v>
      </c>
      <c r="G838" s="1"/>
      <c r="H838">
        <f t="shared" si="92"/>
        <v>4</v>
      </c>
      <c r="I838" s="1">
        <f t="shared" si="88"/>
        <v>82.799999999999571</v>
      </c>
    </row>
    <row r="839" spans="2:9" x14ac:dyDescent="0.25">
      <c r="B839" s="1">
        <f t="shared" si="89"/>
        <v>82.899999999999565</v>
      </c>
      <c r="C839" s="1">
        <f t="shared" si="90"/>
        <v>227.94914149481912</v>
      </c>
      <c r="D839" s="1">
        <f t="shared" si="86"/>
        <v>43.052484954033432</v>
      </c>
      <c r="E839" s="1">
        <f t="shared" si="91"/>
        <v>43.052484954033432</v>
      </c>
      <c r="F839" s="1">
        <f t="shared" si="87"/>
        <v>-5.6987285373704779</v>
      </c>
      <c r="G839" s="1"/>
      <c r="H839">
        <f t="shared" si="92"/>
        <v>4</v>
      </c>
      <c r="I839" s="1">
        <f t="shared" si="88"/>
        <v>82.899999999999565</v>
      </c>
    </row>
    <row r="840" spans="2:9" x14ac:dyDescent="0.25">
      <c r="B840" s="1">
        <f t="shared" si="89"/>
        <v>82.999999999999559</v>
      </c>
      <c r="C840" s="1">
        <f t="shared" si="90"/>
        <v>232.25438999022245</v>
      </c>
      <c r="D840" s="1">
        <f t="shared" si="86"/>
        <v>42.482612100296386</v>
      </c>
      <c r="E840" s="1">
        <f t="shared" si="91"/>
        <v>42.482612100296386</v>
      </c>
      <c r="F840" s="1">
        <f t="shared" si="87"/>
        <v>-5.8063597497555612</v>
      </c>
      <c r="G840" s="1"/>
      <c r="H840">
        <f t="shared" si="92"/>
        <v>4</v>
      </c>
      <c r="I840" s="1">
        <f t="shared" si="88"/>
        <v>82.999999999999559</v>
      </c>
    </row>
    <row r="841" spans="2:9" x14ac:dyDescent="0.25">
      <c r="B841" s="1">
        <f t="shared" si="89"/>
        <v>83.099999999999554</v>
      </c>
      <c r="C841" s="1">
        <f t="shared" si="90"/>
        <v>236.50265120025207</v>
      </c>
      <c r="D841" s="1">
        <f t="shared" si="86"/>
        <v>41.901976125320829</v>
      </c>
      <c r="E841" s="1">
        <f t="shared" si="91"/>
        <v>41.901976125320829</v>
      </c>
      <c r="F841" s="1">
        <f t="shared" si="87"/>
        <v>-5.9125662800063026</v>
      </c>
      <c r="G841" s="1"/>
      <c r="H841">
        <f t="shared" si="92"/>
        <v>4</v>
      </c>
      <c r="I841" s="1">
        <f t="shared" si="88"/>
        <v>83.099999999999554</v>
      </c>
    </row>
    <row r="842" spans="2:9" x14ac:dyDescent="0.25">
      <c r="B842" s="1">
        <f t="shared" si="89"/>
        <v>83.199999999999548</v>
      </c>
      <c r="C842" s="1">
        <f t="shared" si="90"/>
        <v>240.69284881278415</v>
      </c>
      <c r="D842" s="1">
        <f t="shared" ref="D842:D905" si="93">E842</f>
        <v>41.3107194973202</v>
      </c>
      <c r="E842" s="1">
        <f t="shared" si="91"/>
        <v>41.3107194973202</v>
      </c>
      <c r="F842" s="1">
        <f t="shared" ref="F842:F905" si="94">-$C$3*C842/$C$4-$C$2/$C$4*E842</f>
        <v>-6.0173212203196043</v>
      </c>
      <c r="G842" s="1"/>
      <c r="H842">
        <f t="shared" si="92"/>
        <v>4</v>
      </c>
      <c r="I842" s="1">
        <f t="shared" ref="I842:I905" si="95">B842</f>
        <v>83.199999999999548</v>
      </c>
    </row>
    <row r="843" spans="2:9" x14ac:dyDescent="0.25">
      <c r="B843" s="1">
        <f t="shared" ref="B843:B906" si="96">B842+$C$7</f>
        <v>83.299999999999542</v>
      </c>
      <c r="C843" s="1">
        <f t="shared" ref="C843:C906" si="97">C842+D842*$C$7</f>
        <v>244.82392076251617</v>
      </c>
      <c r="D843" s="1">
        <f t="shared" si="93"/>
        <v>40.708987375288238</v>
      </c>
      <c r="E843" s="1">
        <f t="shared" ref="E843:E906" si="98">E842+F842*$C$7</f>
        <v>40.708987375288238</v>
      </c>
      <c r="F843" s="1">
        <f t="shared" si="94"/>
        <v>-6.1205980190629043</v>
      </c>
      <c r="G843" s="1"/>
      <c r="H843">
        <f t="shared" ref="H843:H906" si="99">H842+(D843*D844&lt;0)*1</f>
        <v>4</v>
      </c>
      <c r="I843" s="1">
        <f t="shared" si="95"/>
        <v>83.299999999999542</v>
      </c>
    </row>
    <row r="844" spans="2:9" x14ac:dyDescent="0.25">
      <c r="B844" s="1">
        <f t="shared" si="96"/>
        <v>83.399999999999537</v>
      </c>
      <c r="C844" s="1">
        <f t="shared" si="97"/>
        <v>248.894819500045</v>
      </c>
      <c r="D844" s="1">
        <f t="shared" si="93"/>
        <v>40.096927573381947</v>
      </c>
      <c r="E844" s="1">
        <f t="shared" si="98"/>
        <v>40.096927573381947</v>
      </c>
      <c r="F844" s="1">
        <f t="shared" si="94"/>
        <v>-6.2223704875011254</v>
      </c>
      <c r="G844" s="1"/>
      <c r="H844">
        <f t="shared" si="99"/>
        <v>4</v>
      </c>
      <c r="I844" s="1">
        <f t="shared" si="95"/>
        <v>83.399999999999537</v>
      </c>
    </row>
    <row r="845" spans="2:9" x14ac:dyDescent="0.25">
      <c r="B845" s="1">
        <f t="shared" si="96"/>
        <v>83.499999999999531</v>
      </c>
      <c r="C845" s="1">
        <f t="shared" si="97"/>
        <v>252.9045122573832</v>
      </c>
      <c r="D845" s="1">
        <f t="shared" si="93"/>
        <v>39.474690524631832</v>
      </c>
      <c r="E845" s="1">
        <f t="shared" si="98"/>
        <v>39.474690524631832</v>
      </c>
      <c r="F845" s="1">
        <f t="shared" si="94"/>
        <v>-6.3226128064345808</v>
      </c>
      <c r="G845" s="1"/>
      <c r="H845">
        <f t="shared" si="99"/>
        <v>4</v>
      </c>
      <c r="I845" s="1">
        <f t="shared" si="95"/>
        <v>83.499999999999531</v>
      </c>
    </row>
    <row r="846" spans="2:9" x14ac:dyDescent="0.25">
      <c r="B846" s="1">
        <f t="shared" si="96"/>
        <v>83.599999999999525</v>
      </c>
      <c r="C846" s="1">
        <f t="shared" si="97"/>
        <v>256.85198130984639</v>
      </c>
      <c r="D846" s="1">
        <f t="shared" si="93"/>
        <v>38.842429243988377</v>
      </c>
      <c r="E846" s="1">
        <f t="shared" si="98"/>
        <v>38.842429243988377</v>
      </c>
      <c r="F846" s="1">
        <f t="shared" si="94"/>
        <v>-6.4212995327461604</v>
      </c>
      <c r="G846" s="1"/>
      <c r="H846">
        <f t="shared" si="99"/>
        <v>4</v>
      </c>
      <c r="I846" s="1">
        <f t="shared" si="95"/>
        <v>83.599999999999525</v>
      </c>
    </row>
    <row r="847" spans="2:9" x14ac:dyDescent="0.25">
      <c r="B847" s="1">
        <f t="shared" si="96"/>
        <v>83.69999999999952</v>
      </c>
      <c r="C847" s="1">
        <f t="shared" si="97"/>
        <v>260.73622423424524</v>
      </c>
      <c r="D847" s="1">
        <f t="shared" si="93"/>
        <v>38.200299290713758</v>
      </c>
      <c r="E847" s="1">
        <f t="shared" si="98"/>
        <v>38.200299290713758</v>
      </c>
      <c r="F847" s="1">
        <f t="shared" si="94"/>
        <v>-6.518405605856131</v>
      </c>
      <c r="G847" s="1"/>
      <c r="H847">
        <f t="shared" si="99"/>
        <v>4</v>
      </c>
      <c r="I847" s="1">
        <f t="shared" si="95"/>
        <v>83.69999999999952</v>
      </c>
    </row>
    <row r="848" spans="2:9" x14ac:dyDescent="0.25">
      <c r="B848" s="1">
        <f t="shared" si="96"/>
        <v>83.799999999999514</v>
      </c>
      <c r="C848" s="1">
        <f t="shared" si="97"/>
        <v>264.55625416331662</v>
      </c>
      <c r="D848" s="1">
        <f t="shared" si="93"/>
        <v>37.548458730128146</v>
      </c>
      <c r="E848" s="1">
        <f t="shared" si="98"/>
        <v>37.548458730128146</v>
      </c>
      <c r="F848" s="1">
        <f t="shared" si="94"/>
        <v>-6.6139063540829159</v>
      </c>
      <c r="G848" s="1"/>
      <c r="H848">
        <f t="shared" si="99"/>
        <v>4</v>
      </c>
      <c r="I848" s="1">
        <f t="shared" si="95"/>
        <v>83.799999999999514</v>
      </c>
    </row>
    <row r="849" spans="2:9" x14ac:dyDescent="0.25">
      <c r="B849" s="1">
        <f t="shared" si="96"/>
        <v>83.899999999999508</v>
      </c>
      <c r="C849" s="1">
        <f t="shared" si="97"/>
        <v>268.31110003632944</v>
      </c>
      <c r="D849" s="1">
        <f t="shared" si="93"/>
        <v>36.887068094719858</v>
      </c>
      <c r="E849" s="1">
        <f t="shared" si="98"/>
        <v>36.887068094719858</v>
      </c>
      <c r="F849" s="1">
        <f t="shared" si="94"/>
        <v>-6.7077775009082359</v>
      </c>
      <c r="G849" s="1"/>
      <c r="H849">
        <f t="shared" si="99"/>
        <v>4</v>
      </c>
      <c r="I849" s="1">
        <f t="shared" si="95"/>
        <v>83.899999999999508</v>
      </c>
    </row>
    <row r="850" spans="2:9" x14ac:dyDescent="0.25">
      <c r="B850" s="1">
        <f t="shared" si="96"/>
        <v>83.999999999999503</v>
      </c>
      <c r="C850" s="1">
        <f t="shared" si="97"/>
        <v>271.9998068458014</v>
      </c>
      <c r="D850" s="1">
        <f t="shared" si="93"/>
        <v>36.216290344629037</v>
      </c>
      <c r="E850" s="1">
        <f t="shared" si="98"/>
        <v>36.216290344629037</v>
      </c>
      <c r="F850" s="1">
        <f t="shared" si="94"/>
        <v>-6.799995171145035</v>
      </c>
      <c r="G850" s="1"/>
      <c r="H850">
        <f t="shared" si="99"/>
        <v>4</v>
      </c>
      <c r="I850" s="1">
        <f t="shared" si="95"/>
        <v>83.999999999999503</v>
      </c>
    </row>
    <row r="851" spans="2:9" x14ac:dyDescent="0.25">
      <c r="B851" s="1">
        <f t="shared" si="96"/>
        <v>84.099999999999497</v>
      </c>
      <c r="C851" s="1">
        <f t="shared" si="97"/>
        <v>275.6214358802643</v>
      </c>
      <c r="D851" s="1">
        <f t="shared" si="93"/>
        <v>35.536290827514534</v>
      </c>
      <c r="E851" s="1">
        <f t="shared" si="98"/>
        <v>35.536290827514534</v>
      </c>
      <c r="F851" s="1">
        <f t="shared" si="94"/>
        <v>-6.8905358970066075</v>
      </c>
      <c r="G851" s="1"/>
      <c r="H851">
        <f t="shared" si="99"/>
        <v>4</v>
      </c>
      <c r="I851" s="1">
        <f t="shared" si="95"/>
        <v>84.099999999999497</v>
      </c>
    </row>
    <row r="852" spans="2:9" x14ac:dyDescent="0.25">
      <c r="B852" s="1">
        <f t="shared" si="96"/>
        <v>84.199999999999491</v>
      </c>
      <c r="C852" s="1">
        <f t="shared" si="97"/>
        <v>279.17506496301576</v>
      </c>
      <c r="D852" s="1">
        <f t="shared" si="93"/>
        <v>34.847237237813872</v>
      </c>
      <c r="E852" s="1">
        <f t="shared" si="98"/>
        <v>34.847237237813872</v>
      </c>
      <c r="F852" s="1">
        <f t="shared" si="94"/>
        <v>-6.9793766240753943</v>
      </c>
      <c r="G852" s="1"/>
      <c r="H852">
        <f t="shared" si="99"/>
        <v>4</v>
      </c>
      <c r="I852" s="1">
        <f t="shared" si="95"/>
        <v>84.199999999999491</v>
      </c>
    </row>
    <row r="853" spans="2:9" x14ac:dyDescent="0.25">
      <c r="B853" s="1">
        <f t="shared" si="96"/>
        <v>84.299999999999486</v>
      </c>
      <c r="C853" s="1">
        <f t="shared" si="97"/>
        <v>282.65978868679713</v>
      </c>
      <c r="D853" s="1">
        <f t="shared" si="93"/>
        <v>34.149299575406332</v>
      </c>
      <c r="E853" s="1">
        <f t="shared" si="98"/>
        <v>34.149299575406332</v>
      </c>
      <c r="F853" s="1">
        <f t="shared" si="94"/>
        <v>-7.0664947171699284</v>
      </c>
      <c r="G853" s="1"/>
      <c r="H853">
        <f t="shared" si="99"/>
        <v>4</v>
      </c>
      <c r="I853" s="1">
        <f t="shared" si="95"/>
        <v>84.299999999999486</v>
      </c>
    </row>
    <row r="854" spans="2:9" x14ac:dyDescent="0.25">
      <c r="B854" s="1">
        <f t="shared" si="96"/>
        <v>84.39999999999948</v>
      </c>
      <c r="C854" s="1">
        <f t="shared" si="97"/>
        <v>286.07471864433774</v>
      </c>
      <c r="D854" s="1">
        <f t="shared" si="93"/>
        <v>33.442650103689338</v>
      </c>
      <c r="E854" s="1">
        <f t="shared" si="98"/>
        <v>33.442650103689338</v>
      </c>
      <c r="F854" s="1">
        <f t="shared" si="94"/>
        <v>-7.1518679661084441</v>
      </c>
      <c r="G854" s="1"/>
      <c r="H854">
        <f t="shared" si="99"/>
        <v>4</v>
      </c>
      <c r="I854" s="1">
        <f t="shared" si="95"/>
        <v>84.39999999999948</v>
      </c>
    </row>
    <row r="855" spans="2:9" x14ac:dyDescent="0.25">
      <c r="B855" s="1">
        <f t="shared" si="96"/>
        <v>84.499999999999474</v>
      </c>
      <c r="C855" s="1">
        <f t="shared" si="97"/>
        <v>289.41898365470666</v>
      </c>
      <c r="D855" s="1">
        <f t="shared" si="93"/>
        <v>32.727463307078494</v>
      </c>
      <c r="E855" s="1">
        <f t="shared" si="98"/>
        <v>32.727463307078494</v>
      </c>
      <c r="F855" s="1">
        <f t="shared" si="94"/>
        <v>-7.2354745913676668</v>
      </c>
      <c r="G855" s="1"/>
      <c r="H855">
        <f t="shared" si="99"/>
        <v>4</v>
      </c>
      <c r="I855" s="1">
        <f t="shared" si="95"/>
        <v>84.499999999999474</v>
      </c>
    </row>
    <row r="856" spans="2:9" x14ac:dyDescent="0.25">
      <c r="B856" s="1">
        <f t="shared" si="96"/>
        <v>84.599999999999469</v>
      </c>
      <c r="C856" s="1">
        <f t="shared" si="97"/>
        <v>292.6917299854145</v>
      </c>
      <c r="D856" s="1">
        <f t="shared" si="93"/>
        <v>32.003915847941727</v>
      </c>
      <c r="E856" s="1">
        <f t="shared" si="98"/>
        <v>32.003915847941727</v>
      </c>
      <c r="F856" s="1">
        <f t="shared" si="94"/>
        <v>-7.3172932496353624</v>
      </c>
      <c r="G856" s="1"/>
      <c r="H856">
        <f t="shared" si="99"/>
        <v>4</v>
      </c>
      <c r="I856" s="1">
        <f t="shared" si="95"/>
        <v>84.599999999999469</v>
      </c>
    </row>
    <row r="857" spans="2:9" x14ac:dyDescent="0.25">
      <c r="B857" s="1">
        <f t="shared" si="96"/>
        <v>84.699999999999463</v>
      </c>
      <c r="C857" s="1">
        <f t="shared" si="97"/>
        <v>295.89212157020864</v>
      </c>
      <c r="D857" s="1">
        <f t="shared" si="93"/>
        <v>31.272186522978192</v>
      </c>
      <c r="E857" s="1">
        <f t="shared" si="98"/>
        <v>31.272186522978192</v>
      </c>
      <c r="F857" s="1">
        <f t="shared" si="94"/>
        <v>-7.3973030392552168</v>
      </c>
      <c r="G857" s="1"/>
      <c r="H857">
        <f t="shared" si="99"/>
        <v>4</v>
      </c>
      <c r="I857" s="1">
        <f t="shared" si="95"/>
        <v>84.699999999999463</v>
      </c>
    </row>
    <row r="858" spans="2:9" x14ac:dyDescent="0.25">
      <c r="B858" s="1">
        <f t="shared" si="96"/>
        <v>84.799999999999457</v>
      </c>
      <c r="C858" s="1">
        <f t="shared" si="97"/>
        <v>299.01934022250646</v>
      </c>
      <c r="D858" s="1">
        <f t="shared" si="93"/>
        <v>30.532456219052669</v>
      </c>
      <c r="E858" s="1">
        <f t="shared" si="98"/>
        <v>30.532456219052669</v>
      </c>
      <c r="F858" s="1">
        <f t="shared" si="94"/>
        <v>-7.4754835055626616</v>
      </c>
      <c r="G858" s="1"/>
      <c r="H858">
        <f t="shared" si="99"/>
        <v>4</v>
      </c>
      <c r="I858" s="1">
        <f t="shared" si="95"/>
        <v>84.799999999999457</v>
      </c>
    </row>
    <row r="859" spans="2:9" x14ac:dyDescent="0.25">
      <c r="B859" s="1">
        <f t="shared" si="96"/>
        <v>84.899999999999451</v>
      </c>
      <c r="C859" s="1">
        <f t="shared" si="97"/>
        <v>302.07258584441172</v>
      </c>
      <c r="D859" s="1">
        <f t="shared" si="93"/>
        <v>29.784907868496404</v>
      </c>
      <c r="E859" s="1">
        <f t="shared" si="98"/>
        <v>29.784907868496404</v>
      </c>
      <c r="F859" s="1">
        <f t="shared" si="94"/>
        <v>-7.5518146461102935</v>
      </c>
      <c r="G859" s="1"/>
      <c r="H859">
        <f t="shared" si="99"/>
        <v>4</v>
      </c>
      <c r="I859" s="1">
        <f t="shared" si="95"/>
        <v>84.899999999999451</v>
      </c>
    </row>
    <row r="860" spans="2:9" x14ac:dyDescent="0.25">
      <c r="B860" s="1">
        <f t="shared" si="96"/>
        <v>84.999999999999446</v>
      </c>
      <c r="C860" s="1">
        <f t="shared" si="97"/>
        <v>305.05107663126137</v>
      </c>
      <c r="D860" s="1">
        <f t="shared" si="93"/>
        <v>29.029726403885373</v>
      </c>
      <c r="E860" s="1">
        <f t="shared" si="98"/>
        <v>29.029726403885373</v>
      </c>
      <c r="F860" s="1">
        <f t="shared" si="94"/>
        <v>-7.6262769157815349</v>
      </c>
      <c r="G860" s="1"/>
      <c r="H860">
        <f t="shared" si="99"/>
        <v>4</v>
      </c>
      <c r="I860" s="1">
        <f t="shared" si="95"/>
        <v>84.999999999999446</v>
      </c>
    </row>
    <row r="861" spans="2:9" x14ac:dyDescent="0.25">
      <c r="B861" s="1">
        <f t="shared" si="96"/>
        <v>85.09999999999944</v>
      </c>
      <c r="C861" s="1">
        <f t="shared" si="97"/>
        <v>307.95404927164992</v>
      </c>
      <c r="D861" s="1">
        <f t="shared" si="93"/>
        <v>28.26709871230722</v>
      </c>
      <c r="E861" s="1">
        <f t="shared" si="98"/>
        <v>28.26709871230722</v>
      </c>
      <c r="F861" s="1">
        <f t="shared" si="94"/>
        <v>-7.6988512317912488</v>
      </c>
      <c r="G861" s="1"/>
      <c r="H861">
        <f t="shared" si="99"/>
        <v>4</v>
      </c>
      <c r="I861" s="1">
        <f t="shared" si="95"/>
        <v>85.09999999999944</v>
      </c>
    </row>
    <row r="862" spans="2:9" x14ac:dyDescent="0.25">
      <c r="B862" s="1">
        <f t="shared" si="96"/>
        <v>85.199999999999434</v>
      </c>
      <c r="C862" s="1">
        <f t="shared" si="97"/>
        <v>310.78075914288064</v>
      </c>
      <c r="D862" s="1">
        <f t="shared" si="93"/>
        <v>27.497213589128094</v>
      </c>
      <c r="E862" s="1">
        <f t="shared" si="98"/>
        <v>27.497213589128094</v>
      </c>
      <c r="F862" s="1">
        <f t="shared" si="94"/>
        <v>-7.769518978572016</v>
      </c>
      <c r="G862" s="1"/>
      <c r="H862">
        <f t="shared" si="99"/>
        <v>4</v>
      </c>
      <c r="I862" s="1">
        <f t="shared" si="95"/>
        <v>85.199999999999434</v>
      </c>
    </row>
    <row r="863" spans="2:9" x14ac:dyDescent="0.25">
      <c r="B863" s="1">
        <f t="shared" si="96"/>
        <v>85.299999999999429</v>
      </c>
      <c r="C863" s="1">
        <f t="shared" si="97"/>
        <v>313.53048050179348</v>
      </c>
      <c r="D863" s="1">
        <f t="shared" si="93"/>
        <v>26.720261691270892</v>
      </c>
      <c r="E863" s="1">
        <f t="shared" si="98"/>
        <v>26.720261691270892</v>
      </c>
      <c r="F863" s="1">
        <f t="shared" si="94"/>
        <v>-7.8382620125448375</v>
      </c>
      <c r="G863" s="1"/>
      <c r="H863">
        <f t="shared" si="99"/>
        <v>4</v>
      </c>
      <c r="I863" s="1">
        <f t="shared" si="95"/>
        <v>85.299999999999429</v>
      </c>
    </row>
    <row r="864" spans="2:9" x14ac:dyDescent="0.25">
      <c r="B864" s="1">
        <f t="shared" si="96"/>
        <v>85.399999999999423</v>
      </c>
      <c r="C864" s="1">
        <f t="shared" si="97"/>
        <v>316.20250667092057</v>
      </c>
      <c r="D864" s="1">
        <f t="shared" si="93"/>
        <v>25.936435490016407</v>
      </c>
      <c r="E864" s="1">
        <f t="shared" si="98"/>
        <v>25.936435490016407</v>
      </c>
      <c r="F864" s="1">
        <f t="shared" si="94"/>
        <v>-7.9050626667730146</v>
      </c>
      <c r="G864" s="1"/>
      <c r="H864">
        <f t="shared" si="99"/>
        <v>4</v>
      </c>
      <c r="I864" s="1">
        <f t="shared" si="95"/>
        <v>85.399999999999423</v>
      </c>
    </row>
    <row r="865" spans="2:9" x14ac:dyDescent="0.25">
      <c r="B865" s="1">
        <f t="shared" si="96"/>
        <v>85.499999999999417</v>
      </c>
      <c r="C865" s="1">
        <f t="shared" si="97"/>
        <v>318.7961502199222</v>
      </c>
      <c r="D865" s="1">
        <f t="shared" si="93"/>
        <v>25.145929223339106</v>
      </c>
      <c r="E865" s="1">
        <f t="shared" si="98"/>
        <v>25.145929223339106</v>
      </c>
      <c r="F865" s="1">
        <f t="shared" si="94"/>
        <v>-7.9699037554980556</v>
      </c>
      <c r="G865" s="1"/>
      <c r="H865">
        <f t="shared" si="99"/>
        <v>4</v>
      </c>
      <c r="I865" s="1">
        <f t="shared" si="95"/>
        <v>85.499999999999417</v>
      </c>
    </row>
    <row r="866" spans="2:9" x14ac:dyDescent="0.25">
      <c r="B866" s="1">
        <f t="shared" si="96"/>
        <v>85.599999999999412</v>
      </c>
      <c r="C866" s="1">
        <f t="shared" si="97"/>
        <v>321.31074314225611</v>
      </c>
      <c r="D866" s="1">
        <f t="shared" si="93"/>
        <v>24.348938847789299</v>
      </c>
      <c r="E866" s="1">
        <f t="shared" si="98"/>
        <v>24.348938847789299</v>
      </c>
      <c r="F866" s="1">
        <f t="shared" si="94"/>
        <v>-8.0327685785564036</v>
      </c>
      <c r="G866" s="1"/>
      <c r="H866">
        <f t="shared" si="99"/>
        <v>4</v>
      </c>
      <c r="I866" s="1">
        <f t="shared" si="95"/>
        <v>85.599999999999412</v>
      </c>
    </row>
    <row r="867" spans="2:9" x14ac:dyDescent="0.25">
      <c r="B867" s="1">
        <f t="shared" si="96"/>
        <v>85.699999999999406</v>
      </c>
      <c r="C867" s="1">
        <f t="shared" si="97"/>
        <v>323.74563702703506</v>
      </c>
      <c r="D867" s="1">
        <f t="shared" si="93"/>
        <v>23.545661989933659</v>
      </c>
      <c r="E867" s="1">
        <f t="shared" si="98"/>
        <v>23.545661989933659</v>
      </c>
      <c r="F867" s="1">
        <f t="shared" si="94"/>
        <v>-8.0936409256758761</v>
      </c>
      <c r="G867" s="1"/>
      <c r="H867">
        <f t="shared" si="99"/>
        <v>4</v>
      </c>
      <c r="I867" s="1">
        <f t="shared" si="95"/>
        <v>85.699999999999406</v>
      </c>
    </row>
    <row r="868" spans="2:9" x14ac:dyDescent="0.25">
      <c r="B868" s="1">
        <f t="shared" si="96"/>
        <v>85.7999999999994</v>
      </c>
      <c r="C868" s="1">
        <f t="shared" si="97"/>
        <v>326.10020322602844</v>
      </c>
      <c r="D868" s="1">
        <f t="shared" si="93"/>
        <v>22.736297897366072</v>
      </c>
      <c r="E868" s="1">
        <f t="shared" si="98"/>
        <v>22.736297897366072</v>
      </c>
      <c r="F868" s="1">
        <f t="shared" si="94"/>
        <v>-8.1525050806507107</v>
      </c>
      <c r="G868" s="1"/>
      <c r="H868">
        <f t="shared" si="99"/>
        <v>4</v>
      </c>
      <c r="I868" s="1">
        <f t="shared" si="95"/>
        <v>85.7999999999994</v>
      </c>
    </row>
    <row r="869" spans="2:9" x14ac:dyDescent="0.25">
      <c r="B869" s="1">
        <f t="shared" si="96"/>
        <v>85.899999999999395</v>
      </c>
      <c r="C869" s="1">
        <f t="shared" si="97"/>
        <v>328.37383301576506</v>
      </c>
      <c r="D869" s="1">
        <f t="shared" si="93"/>
        <v>21.921047389301002</v>
      </c>
      <c r="E869" s="1">
        <f t="shared" si="98"/>
        <v>21.921047389301002</v>
      </c>
      <c r="F869" s="1">
        <f t="shared" si="94"/>
        <v>-8.2093458253941272</v>
      </c>
      <c r="G869" s="1"/>
      <c r="H869">
        <f t="shared" si="99"/>
        <v>4</v>
      </c>
      <c r="I869" s="1">
        <f t="shared" si="95"/>
        <v>85.899999999999395</v>
      </c>
    </row>
    <row r="870" spans="2:9" x14ac:dyDescent="0.25">
      <c r="B870" s="1">
        <f t="shared" si="96"/>
        <v>85.999999999999389</v>
      </c>
      <c r="C870" s="1">
        <f t="shared" si="97"/>
        <v>330.56593775469514</v>
      </c>
      <c r="D870" s="1">
        <f t="shared" si="93"/>
        <v>21.10011280676159</v>
      </c>
      <c r="E870" s="1">
        <f t="shared" si="98"/>
        <v>21.10011280676159</v>
      </c>
      <c r="F870" s="1">
        <f t="shared" si="94"/>
        <v>-8.2641484438673789</v>
      </c>
      <c r="G870" s="1"/>
      <c r="H870">
        <f t="shared" si="99"/>
        <v>4</v>
      </c>
      <c r="I870" s="1">
        <f t="shared" si="95"/>
        <v>85.999999999999389</v>
      </c>
    </row>
    <row r="871" spans="2:9" x14ac:dyDescent="0.25">
      <c r="B871" s="1">
        <f t="shared" si="96"/>
        <v>86.099999999999383</v>
      </c>
      <c r="C871" s="1">
        <f t="shared" si="97"/>
        <v>332.67594903537127</v>
      </c>
      <c r="D871" s="1">
        <f t="shared" si="93"/>
        <v>20.273697962374854</v>
      </c>
      <c r="E871" s="1">
        <f t="shared" si="98"/>
        <v>20.273697962374854</v>
      </c>
      <c r="F871" s="1">
        <f t="shared" si="94"/>
        <v>-8.3168987258842826</v>
      </c>
      <c r="G871" s="1"/>
      <c r="H871">
        <f t="shared" si="99"/>
        <v>4</v>
      </c>
      <c r="I871" s="1">
        <f t="shared" si="95"/>
        <v>86.099999999999383</v>
      </c>
    </row>
    <row r="872" spans="2:9" x14ac:dyDescent="0.25">
      <c r="B872" s="1">
        <f t="shared" si="96"/>
        <v>86.199999999999378</v>
      </c>
      <c r="C872" s="1">
        <f t="shared" si="97"/>
        <v>334.70331883160878</v>
      </c>
      <c r="D872" s="1">
        <f t="shared" si="93"/>
        <v>19.442008089786427</v>
      </c>
      <c r="E872" s="1">
        <f t="shared" si="98"/>
        <v>19.442008089786427</v>
      </c>
      <c r="F872" s="1">
        <f t="shared" si="94"/>
        <v>-8.3675829707902203</v>
      </c>
      <c r="G872" s="1"/>
      <c r="H872">
        <f t="shared" si="99"/>
        <v>4</v>
      </c>
      <c r="I872" s="1">
        <f t="shared" si="95"/>
        <v>86.199999999999378</v>
      </c>
    </row>
    <row r="873" spans="2:9" x14ac:dyDescent="0.25">
      <c r="B873" s="1">
        <f t="shared" si="96"/>
        <v>86.299999999999372</v>
      </c>
      <c r="C873" s="1">
        <f t="shared" si="97"/>
        <v>336.6475196405874</v>
      </c>
      <c r="D873" s="1">
        <f t="shared" si="93"/>
        <v>18.605249792707404</v>
      </c>
      <c r="E873" s="1">
        <f t="shared" si="98"/>
        <v>18.605249792707404</v>
      </c>
      <c r="F873" s="1">
        <f t="shared" si="94"/>
        <v>-8.4161879910146862</v>
      </c>
      <c r="G873" s="1"/>
      <c r="H873">
        <f t="shared" si="99"/>
        <v>4</v>
      </c>
      <c r="I873" s="1">
        <f t="shared" si="95"/>
        <v>86.299999999999372</v>
      </c>
    </row>
    <row r="874" spans="2:9" x14ac:dyDescent="0.25">
      <c r="B874" s="1">
        <f t="shared" si="96"/>
        <v>86.399999999999366</v>
      </c>
      <c r="C874" s="1">
        <f t="shared" si="97"/>
        <v>338.50804461985814</v>
      </c>
      <c r="D874" s="1">
        <f t="shared" si="93"/>
        <v>17.763630993605936</v>
      </c>
      <c r="E874" s="1">
        <f t="shared" si="98"/>
        <v>17.763630993605936</v>
      </c>
      <c r="F874" s="1">
        <f t="shared" si="94"/>
        <v>-8.4627011154964542</v>
      </c>
      <c r="G874" s="1"/>
      <c r="H874">
        <f t="shared" si="99"/>
        <v>4</v>
      </c>
      <c r="I874" s="1">
        <f t="shared" si="95"/>
        <v>86.399999999999366</v>
      </c>
    </row>
    <row r="875" spans="2:9" x14ac:dyDescent="0.25">
      <c r="B875" s="1">
        <f t="shared" si="96"/>
        <v>86.499999999999361</v>
      </c>
      <c r="C875" s="1">
        <f t="shared" si="97"/>
        <v>340.28440771921873</v>
      </c>
      <c r="D875" s="1">
        <f t="shared" si="93"/>
        <v>16.91736088205629</v>
      </c>
      <c r="E875" s="1">
        <f t="shared" si="98"/>
        <v>16.91736088205629</v>
      </c>
      <c r="F875" s="1">
        <f t="shared" si="94"/>
        <v>-8.507110192980468</v>
      </c>
      <c r="G875" s="1"/>
      <c r="H875">
        <f t="shared" si="99"/>
        <v>4</v>
      </c>
      <c r="I875" s="1">
        <f t="shared" si="95"/>
        <v>86.499999999999361</v>
      </c>
    </row>
    <row r="876" spans="2:9" x14ac:dyDescent="0.25">
      <c r="B876" s="1">
        <f t="shared" si="96"/>
        <v>86.599999999999355</v>
      </c>
      <c r="C876" s="1">
        <f t="shared" si="97"/>
        <v>341.97614380742436</v>
      </c>
      <c r="D876" s="1">
        <f t="shared" si="93"/>
        <v>16.066649862758243</v>
      </c>
      <c r="E876" s="1">
        <f t="shared" si="98"/>
        <v>16.066649862758243</v>
      </c>
      <c r="F876" s="1">
        <f t="shared" si="94"/>
        <v>-8.5494035951856091</v>
      </c>
      <c r="G876" s="1"/>
      <c r="H876">
        <f t="shared" si="99"/>
        <v>4</v>
      </c>
      <c r="I876" s="1">
        <f t="shared" si="95"/>
        <v>86.599999999999355</v>
      </c>
    </row>
    <row r="877" spans="2:9" x14ac:dyDescent="0.25">
      <c r="B877" s="1">
        <f t="shared" si="96"/>
        <v>86.699999999999349</v>
      </c>
      <c r="C877" s="1">
        <f t="shared" si="97"/>
        <v>343.58280879370017</v>
      </c>
      <c r="D877" s="1">
        <f t="shared" si="93"/>
        <v>15.211709503239682</v>
      </c>
      <c r="E877" s="1">
        <f t="shared" si="98"/>
        <v>15.211709503239682</v>
      </c>
      <c r="F877" s="1">
        <f t="shared" si="94"/>
        <v>-8.5895702198425052</v>
      </c>
      <c r="G877" s="1"/>
      <c r="H877">
        <f t="shared" si="99"/>
        <v>4</v>
      </c>
      <c r="I877" s="1">
        <f t="shared" si="95"/>
        <v>86.699999999999349</v>
      </c>
    </row>
    <row r="878" spans="2:9" x14ac:dyDescent="0.25">
      <c r="B878" s="1">
        <f t="shared" si="96"/>
        <v>86.799999999999343</v>
      </c>
      <c r="C878" s="1">
        <f t="shared" si="97"/>
        <v>345.10397974402412</v>
      </c>
      <c r="D878" s="1">
        <f t="shared" si="93"/>
        <v>14.352752481255431</v>
      </c>
      <c r="E878" s="1">
        <f t="shared" si="98"/>
        <v>14.352752481255431</v>
      </c>
      <c r="F878" s="1">
        <f t="shared" si="94"/>
        <v>-8.627599493600604</v>
      </c>
      <c r="G878" s="1"/>
      <c r="H878">
        <f t="shared" si="99"/>
        <v>4</v>
      </c>
      <c r="I878" s="1">
        <f t="shared" si="95"/>
        <v>86.799999999999343</v>
      </c>
    </row>
    <row r="879" spans="2:9" x14ac:dyDescent="0.25">
      <c r="B879" s="1">
        <f t="shared" si="96"/>
        <v>86.899999999999338</v>
      </c>
      <c r="C879" s="1">
        <f t="shared" si="97"/>
        <v>346.53925499214967</v>
      </c>
      <c r="D879" s="1">
        <f t="shared" si="93"/>
        <v>13.489992531895371</v>
      </c>
      <c r="E879" s="1">
        <f t="shared" si="98"/>
        <v>13.489992531895371</v>
      </c>
      <c r="F879" s="1">
        <f t="shared" si="94"/>
        <v>-8.6634813748037427</v>
      </c>
      <c r="G879" s="1"/>
      <c r="H879">
        <f t="shared" si="99"/>
        <v>4</v>
      </c>
      <c r="I879" s="1">
        <f t="shared" si="95"/>
        <v>86.899999999999338</v>
      </c>
    </row>
    <row r="880" spans="2:9" x14ac:dyDescent="0.25">
      <c r="B880" s="1">
        <f t="shared" si="96"/>
        <v>86.999999999999332</v>
      </c>
      <c r="C880" s="1">
        <f t="shared" si="97"/>
        <v>347.88825424533923</v>
      </c>
      <c r="D880" s="1">
        <f t="shared" si="93"/>
        <v>12.623644394414997</v>
      </c>
      <c r="E880" s="1">
        <f t="shared" si="98"/>
        <v>12.623644394414997</v>
      </c>
      <c r="F880" s="1">
        <f t="shared" si="94"/>
        <v>-8.6972063561334814</v>
      </c>
      <c r="G880" s="1"/>
      <c r="H880">
        <f t="shared" si="99"/>
        <v>4</v>
      </c>
      <c r="I880" s="1">
        <f t="shared" si="95"/>
        <v>86.999999999999332</v>
      </c>
    </row>
    <row r="881" spans="2:9" x14ac:dyDescent="0.25">
      <c r="B881" s="1">
        <f t="shared" si="96"/>
        <v>87.099999999999326</v>
      </c>
      <c r="C881" s="1">
        <f t="shared" si="97"/>
        <v>349.15061868478074</v>
      </c>
      <c r="D881" s="1">
        <f t="shared" si="93"/>
        <v>11.753923758801649</v>
      </c>
      <c r="E881" s="1">
        <f t="shared" si="98"/>
        <v>11.753923758801649</v>
      </c>
      <c r="F881" s="1">
        <f t="shared" si="94"/>
        <v>-8.7287654671195192</v>
      </c>
      <c r="G881" s="1"/>
      <c r="H881">
        <f t="shared" si="99"/>
        <v>4</v>
      </c>
      <c r="I881" s="1">
        <f t="shared" si="95"/>
        <v>87.099999999999326</v>
      </c>
    </row>
    <row r="882" spans="2:9" x14ac:dyDescent="0.25">
      <c r="B882" s="1">
        <f t="shared" si="96"/>
        <v>87.199999999999321</v>
      </c>
      <c r="C882" s="1">
        <f t="shared" si="97"/>
        <v>350.3260110606609</v>
      </c>
      <c r="D882" s="1">
        <f t="shared" si="93"/>
        <v>10.881047212089697</v>
      </c>
      <c r="E882" s="1">
        <f t="shared" si="98"/>
        <v>10.881047212089697</v>
      </c>
      <c r="F882" s="1">
        <f t="shared" si="94"/>
        <v>-8.7581502765165222</v>
      </c>
      <c r="G882" s="1"/>
      <c r="H882">
        <f t="shared" si="99"/>
        <v>4</v>
      </c>
      <c r="I882" s="1">
        <f t="shared" si="95"/>
        <v>87.199999999999321</v>
      </c>
    </row>
    <row r="883" spans="2:9" x14ac:dyDescent="0.25">
      <c r="B883" s="1">
        <f t="shared" si="96"/>
        <v>87.299999999999315</v>
      </c>
      <c r="C883" s="1">
        <f t="shared" si="97"/>
        <v>351.4141157818699</v>
      </c>
      <c r="D883" s="1">
        <f t="shared" si="93"/>
        <v>10.005232184438045</v>
      </c>
      <c r="E883" s="1">
        <f t="shared" si="98"/>
        <v>10.005232184438045</v>
      </c>
      <c r="F883" s="1">
        <f t="shared" si="94"/>
        <v>-8.7853528945467474</v>
      </c>
      <c r="G883" s="1"/>
      <c r="H883">
        <f t="shared" si="99"/>
        <v>4</v>
      </c>
      <c r="I883" s="1">
        <f t="shared" si="95"/>
        <v>87.299999999999315</v>
      </c>
    </row>
    <row r="884" spans="2:9" x14ac:dyDescent="0.25">
      <c r="B884" s="1">
        <f t="shared" si="96"/>
        <v>87.399999999999309</v>
      </c>
      <c r="C884" s="1">
        <f t="shared" si="97"/>
        <v>352.41463900031368</v>
      </c>
      <c r="D884" s="1">
        <f t="shared" si="93"/>
        <v>9.12669689498337</v>
      </c>
      <c r="E884" s="1">
        <f t="shared" si="98"/>
        <v>9.12669689498337</v>
      </c>
      <c r="F884" s="1">
        <f t="shared" si="94"/>
        <v>-8.8103659750078425</v>
      </c>
      <c r="G884" s="1"/>
      <c r="H884">
        <f t="shared" si="99"/>
        <v>4</v>
      </c>
      <c r="I884" s="1">
        <f t="shared" si="95"/>
        <v>87.399999999999309</v>
      </c>
    </row>
    <row r="885" spans="2:9" x14ac:dyDescent="0.25">
      <c r="B885" s="1">
        <f t="shared" si="96"/>
        <v>87.499999999999304</v>
      </c>
      <c r="C885" s="1">
        <f t="shared" si="97"/>
        <v>353.32730868981201</v>
      </c>
      <c r="D885" s="1">
        <f t="shared" si="93"/>
        <v>8.2456602974825852</v>
      </c>
      <c r="E885" s="1">
        <f t="shared" si="98"/>
        <v>8.2456602974825852</v>
      </c>
      <c r="F885" s="1">
        <f t="shared" si="94"/>
        <v>-8.8331827172453004</v>
      </c>
      <c r="G885" s="1"/>
      <c r="H885">
        <f t="shared" si="99"/>
        <v>4</v>
      </c>
      <c r="I885" s="1">
        <f t="shared" si="95"/>
        <v>87.499999999999304</v>
      </c>
    </row>
    <row r="886" spans="2:9" x14ac:dyDescent="0.25">
      <c r="B886" s="1">
        <f t="shared" si="96"/>
        <v>87.599999999999298</v>
      </c>
      <c r="C886" s="1">
        <f t="shared" si="97"/>
        <v>354.15187471956028</v>
      </c>
      <c r="D886" s="1">
        <f t="shared" si="93"/>
        <v>7.3623420257580552</v>
      </c>
      <c r="E886" s="1">
        <f t="shared" si="98"/>
        <v>7.3623420257580552</v>
      </c>
      <c r="F886" s="1">
        <f t="shared" si="94"/>
        <v>-8.8537968679890078</v>
      </c>
      <c r="G886" s="1"/>
      <c r="H886">
        <f t="shared" si="99"/>
        <v>4</v>
      </c>
      <c r="I886" s="1">
        <f t="shared" si="95"/>
        <v>87.599999999999298</v>
      </c>
    </row>
    <row r="887" spans="2:9" x14ac:dyDescent="0.25">
      <c r="B887" s="1">
        <f t="shared" si="96"/>
        <v>87.699999999999292</v>
      </c>
      <c r="C887" s="1">
        <f t="shared" si="97"/>
        <v>354.8881089221361</v>
      </c>
      <c r="D887" s="1">
        <f t="shared" si="93"/>
        <v>6.4769623389591544</v>
      </c>
      <c r="E887" s="1">
        <f t="shared" si="98"/>
        <v>6.4769623389591544</v>
      </c>
      <c r="F887" s="1">
        <f t="shared" si="94"/>
        <v>-8.8722027230534035</v>
      </c>
      <c r="G887" s="1"/>
      <c r="H887">
        <f t="shared" si="99"/>
        <v>4</v>
      </c>
      <c r="I887" s="1">
        <f t="shared" si="95"/>
        <v>87.699999999999292</v>
      </c>
    </row>
    <row r="888" spans="2:9" x14ac:dyDescent="0.25">
      <c r="B888" s="1">
        <f t="shared" si="96"/>
        <v>87.799999999999287</v>
      </c>
      <c r="C888" s="1">
        <f t="shared" si="97"/>
        <v>355.53580515603204</v>
      </c>
      <c r="D888" s="1">
        <f t="shared" si="93"/>
        <v>5.5897420666538142</v>
      </c>
      <c r="E888" s="1">
        <f t="shared" si="98"/>
        <v>5.5897420666538142</v>
      </c>
      <c r="F888" s="1">
        <f t="shared" si="94"/>
        <v>-8.8883951289008021</v>
      </c>
      <c r="G888" s="1"/>
      <c r="H888">
        <f t="shared" si="99"/>
        <v>4</v>
      </c>
      <c r="I888" s="1">
        <f t="shared" si="95"/>
        <v>87.799999999999287</v>
      </c>
    </row>
    <row r="889" spans="2:9" x14ac:dyDescent="0.25">
      <c r="B889" s="1">
        <f t="shared" si="96"/>
        <v>87.899999999999281</v>
      </c>
      <c r="C889" s="1">
        <f t="shared" si="97"/>
        <v>356.09477936269741</v>
      </c>
      <c r="D889" s="1">
        <f t="shared" si="93"/>
        <v>4.7009025537637337</v>
      </c>
      <c r="E889" s="1">
        <f t="shared" si="98"/>
        <v>4.7009025537637337</v>
      </c>
      <c r="F889" s="1">
        <f t="shared" si="94"/>
        <v>-8.9023694840674352</v>
      </c>
      <c r="G889" s="1"/>
      <c r="H889">
        <f t="shared" si="99"/>
        <v>4</v>
      </c>
      <c r="I889" s="1">
        <f t="shared" si="95"/>
        <v>87.899999999999281</v>
      </c>
    </row>
    <row r="890" spans="2:9" x14ac:dyDescent="0.25">
      <c r="B890" s="1">
        <f t="shared" si="96"/>
        <v>87.999999999999275</v>
      </c>
      <c r="C890" s="1">
        <f t="shared" si="97"/>
        <v>356.56486961807377</v>
      </c>
      <c r="D890" s="1">
        <f t="shared" si="93"/>
        <v>3.8106656053569901</v>
      </c>
      <c r="E890" s="1">
        <f t="shared" si="98"/>
        <v>3.8106656053569901</v>
      </c>
      <c r="F890" s="1">
        <f t="shared" si="94"/>
        <v>-8.9141217404518454</v>
      </c>
      <c r="G890" s="1"/>
      <c r="H890">
        <f t="shared" si="99"/>
        <v>4</v>
      </c>
      <c r="I890" s="1">
        <f t="shared" si="95"/>
        <v>87.999999999999275</v>
      </c>
    </row>
    <row r="891" spans="2:9" x14ac:dyDescent="0.25">
      <c r="B891" s="1">
        <f t="shared" si="96"/>
        <v>88.09999999999927</v>
      </c>
      <c r="C891" s="1">
        <f t="shared" si="97"/>
        <v>356.94593617860949</v>
      </c>
      <c r="D891" s="1">
        <f t="shared" si="93"/>
        <v>2.9192534313118053</v>
      </c>
      <c r="E891" s="1">
        <f t="shared" si="98"/>
        <v>2.9192534313118053</v>
      </c>
      <c r="F891" s="1">
        <f t="shared" si="94"/>
        <v>-8.9236484044652382</v>
      </c>
      <c r="G891" s="1"/>
      <c r="H891">
        <f t="shared" si="99"/>
        <v>4</v>
      </c>
      <c r="I891" s="1">
        <f t="shared" si="95"/>
        <v>88.09999999999927</v>
      </c>
    </row>
    <row r="892" spans="2:9" x14ac:dyDescent="0.25">
      <c r="B892" s="1">
        <f t="shared" si="96"/>
        <v>88.199999999999264</v>
      </c>
      <c r="C892" s="1">
        <f t="shared" si="97"/>
        <v>357.23786152174068</v>
      </c>
      <c r="D892" s="1">
        <f t="shared" si="93"/>
        <v>2.0268885908652816</v>
      </c>
      <c r="E892" s="1">
        <f t="shared" si="98"/>
        <v>2.0268885908652816</v>
      </c>
      <c r="F892" s="1">
        <f t="shared" si="94"/>
        <v>-8.9309465380435178</v>
      </c>
      <c r="G892" s="1"/>
      <c r="H892">
        <f t="shared" si="99"/>
        <v>4</v>
      </c>
      <c r="I892" s="1">
        <f t="shared" si="95"/>
        <v>88.199999999999264</v>
      </c>
    </row>
    <row r="893" spans="2:9" x14ac:dyDescent="0.25">
      <c r="B893" s="1">
        <f t="shared" si="96"/>
        <v>88.299999999999258</v>
      </c>
      <c r="C893" s="1">
        <f t="shared" si="97"/>
        <v>357.44055038082723</v>
      </c>
      <c r="D893" s="1">
        <f t="shared" si="93"/>
        <v>1.1337939370609298</v>
      </c>
      <c r="E893" s="1">
        <f t="shared" si="98"/>
        <v>1.1337939370609298</v>
      </c>
      <c r="F893" s="1">
        <f t="shared" si="94"/>
        <v>-8.9360137595206819</v>
      </c>
      <c r="G893" s="1"/>
      <c r="H893">
        <f t="shared" si="99"/>
        <v>4</v>
      </c>
      <c r="I893" s="1">
        <f t="shared" si="95"/>
        <v>88.299999999999258</v>
      </c>
    </row>
    <row r="894" spans="2:9" x14ac:dyDescent="0.25">
      <c r="B894" s="1">
        <f t="shared" si="96"/>
        <v>88.399999999999253</v>
      </c>
      <c r="C894" s="1">
        <f t="shared" si="97"/>
        <v>357.55392977453334</v>
      </c>
      <c r="D894" s="1">
        <f t="shared" si="93"/>
        <v>0.24019256110886156</v>
      </c>
      <c r="E894" s="1">
        <f t="shared" si="98"/>
        <v>0.24019256110886156</v>
      </c>
      <c r="F894" s="1">
        <f t="shared" si="94"/>
        <v>-8.9388482443633333</v>
      </c>
      <c r="G894" s="1"/>
      <c r="H894">
        <f t="shared" si="99"/>
        <v>5</v>
      </c>
      <c r="I894" s="1">
        <f t="shared" si="95"/>
        <v>88.399999999999253</v>
      </c>
    </row>
    <row r="895" spans="2:9" x14ac:dyDescent="0.25">
      <c r="B895" s="1">
        <f t="shared" si="96"/>
        <v>88.499999999999247</v>
      </c>
      <c r="C895" s="1">
        <f t="shared" si="97"/>
        <v>357.57794903064422</v>
      </c>
      <c r="D895" s="1">
        <f t="shared" si="93"/>
        <v>-0.65369226332747177</v>
      </c>
      <c r="E895" s="1">
        <f t="shared" si="98"/>
        <v>-0.65369226332747177</v>
      </c>
      <c r="F895" s="1">
        <f t="shared" si="94"/>
        <v>-8.9394487257661055</v>
      </c>
      <c r="G895" s="1"/>
      <c r="H895">
        <f t="shared" si="99"/>
        <v>5</v>
      </c>
      <c r="I895" s="1">
        <f t="shared" si="95"/>
        <v>88.499999999999247</v>
      </c>
    </row>
    <row r="896" spans="2:9" x14ac:dyDescent="0.25">
      <c r="B896" s="1">
        <f t="shared" si="96"/>
        <v>88.599999999999241</v>
      </c>
      <c r="C896" s="1">
        <f t="shared" si="97"/>
        <v>357.51257980431149</v>
      </c>
      <c r="D896" s="1">
        <f t="shared" si="93"/>
        <v>-1.5476371359040824</v>
      </c>
      <c r="E896" s="1">
        <f t="shared" si="98"/>
        <v>-1.5476371359040824</v>
      </c>
      <c r="F896" s="1">
        <f t="shared" si="94"/>
        <v>-8.9378144951077871</v>
      </c>
      <c r="G896" s="1"/>
      <c r="H896">
        <f t="shared" si="99"/>
        <v>5</v>
      </c>
      <c r="I896" s="1">
        <f t="shared" si="95"/>
        <v>88.599999999999241</v>
      </c>
    </row>
    <row r="897" spans="2:9" x14ac:dyDescent="0.25">
      <c r="B897" s="1">
        <f t="shared" si="96"/>
        <v>88.699999999999235</v>
      </c>
      <c r="C897" s="1">
        <f t="shared" si="97"/>
        <v>357.35781609072109</v>
      </c>
      <c r="D897" s="1">
        <f t="shared" si="93"/>
        <v>-2.4414185854148611</v>
      </c>
      <c r="E897" s="1">
        <f t="shared" si="98"/>
        <v>-2.4414185854148611</v>
      </c>
      <c r="F897" s="1">
        <f t="shared" si="94"/>
        <v>-8.9339454022680282</v>
      </c>
      <c r="G897" s="1"/>
      <c r="H897">
        <f t="shared" si="99"/>
        <v>5</v>
      </c>
      <c r="I897" s="1">
        <f t="shared" si="95"/>
        <v>88.699999999999235</v>
      </c>
    </row>
    <row r="898" spans="2:9" x14ac:dyDescent="0.25">
      <c r="B898" s="1">
        <f t="shared" si="96"/>
        <v>88.79999999999923</v>
      </c>
      <c r="C898" s="1">
        <f t="shared" si="97"/>
        <v>357.11367423217962</v>
      </c>
      <c r="D898" s="1">
        <f t="shared" si="93"/>
        <v>-3.3348131256416638</v>
      </c>
      <c r="E898" s="1">
        <f t="shared" si="98"/>
        <v>-3.3348131256416638</v>
      </c>
      <c r="F898" s="1">
        <f t="shared" si="94"/>
        <v>-8.9278418558044912</v>
      </c>
      <c r="G898" s="1"/>
      <c r="H898">
        <f t="shared" si="99"/>
        <v>5</v>
      </c>
      <c r="I898" s="1">
        <f t="shared" si="95"/>
        <v>88.79999999999923</v>
      </c>
    </row>
    <row r="899" spans="2:9" x14ac:dyDescent="0.25">
      <c r="B899" s="1">
        <f t="shared" si="96"/>
        <v>88.899999999999224</v>
      </c>
      <c r="C899" s="1">
        <f t="shared" si="97"/>
        <v>356.78019291961544</v>
      </c>
      <c r="D899" s="1">
        <f t="shared" si="93"/>
        <v>-4.2275973112221132</v>
      </c>
      <c r="E899" s="1">
        <f t="shared" si="98"/>
        <v>-4.2275973112221132</v>
      </c>
      <c r="F899" s="1">
        <f t="shared" si="94"/>
        <v>-8.9195048229903868</v>
      </c>
      <c r="G899" s="1"/>
      <c r="H899">
        <f t="shared" si="99"/>
        <v>5</v>
      </c>
      <c r="I899" s="1">
        <f t="shared" si="95"/>
        <v>88.899999999999224</v>
      </c>
    </row>
    <row r="900" spans="2:9" x14ac:dyDescent="0.25">
      <c r="B900" s="1">
        <f t="shared" si="96"/>
        <v>88.999999999999218</v>
      </c>
      <c r="C900" s="1">
        <f t="shared" si="97"/>
        <v>356.35743318849325</v>
      </c>
      <c r="D900" s="1">
        <f t="shared" si="93"/>
        <v>-5.1195477935211517</v>
      </c>
      <c r="E900" s="1">
        <f t="shared" si="98"/>
        <v>-5.1195477935211517</v>
      </c>
      <c r="F900" s="1">
        <f t="shared" si="94"/>
        <v>-8.9089358297123322</v>
      </c>
      <c r="G900" s="1"/>
      <c r="H900">
        <f t="shared" si="99"/>
        <v>5</v>
      </c>
      <c r="I900" s="1">
        <f t="shared" si="95"/>
        <v>88.999999999999218</v>
      </c>
    </row>
    <row r="901" spans="2:9" x14ac:dyDescent="0.25">
      <c r="B901" s="1">
        <f t="shared" si="96"/>
        <v>89.099999999999213</v>
      </c>
      <c r="C901" s="1">
        <f t="shared" si="97"/>
        <v>355.84547840914115</v>
      </c>
      <c r="D901" s="1">
        <f t="shared" si="93"/>
        <v>-6.010441376492385</v>
      </c>
      <c r="E901" s="1">
        <f t="shared" si="98"/>
        <v>-6.010441376492385</v>
      </c>
      <c r="F901" s="1">
        <f t="shared" si="94"/>
        <v>-8.8961369602285298</v>
      </c>
      <c r="G901" s="1"/>
      <c r="H901">
        <f t="shared" si="99"/>
        <v>5</v>
      </c>
      <c r="I901" s="1">
        <f t="shared" si="95"/>
        <v>89.099999999999213</v>
      </c>
    </row>
    <row r="902" spans="2:9" x14ac:dyDescent="0.25">
      <c r="B902" s="1">
        <f t="shared" si="96"/>
        <v>89.199999999999207</v>
      </c>
      <c r="C902" s="1">
        <f t="shared" si="97"/>
        <v>355.24443427149191</v>
      </c>
      <c r="D902" s="1">
        <f t="shared" si="93"/>
        <v>-6.9000550725152383</v>
      </c>
      <c r="E902" s="1">
        <f t="shared" si="98"/>
        <v>-6.9000550725152383</v>
      </c>
      <c r="F902" s="1">
        <f t="shared" si="94"/>
        <v>-8.8811108567872985</v>
      </c>
      <c r="G902" s="1"/>
      <c r="H902">
        <f t="shared" si="99"/>
        <v>5</v>
      </c>
      <c r="I902" s="1">
        <f t="shared" si="95"/>
        <v>89.199999999999207</v>
      </c>
    </row>
    <row r="903" spans="2:9" x14ac:dyDescent="0.25">
      <c r="B903" s="1">
        <f t="shared" si="96"/>
        <v>89.299999999999201</v>
      </c>
      <c r="C903" s="1">
        <f t="shared" si="97"/>
        <v>354.55442876424041</v>
      </c>
      <c r="D903" s="1">
        <f t="shared" si="93"/>
        <v>-7.7881661581939685</v>
      </c>
      <c r="E903" s="1">
        <f t="shared" si="98"/>
        <v>-7.7881661581939685</v>
      </c>
      <c r="F903" s="1">
        <f t="shared" si="94"/>
        <v>-8.863860719106011</v>
      </c>
      <c r="G903" s="1"/>
      <c r="H903">
        <f t="shared" si="99"/>
        <v>5</v>
      </c>
      <c r="I903" s="1">
        <f t="shared" si="95"/>
        <v>89.299999999999201</v>
      </c>
    </row>
    <row r="904" spans="2:9" x14ac:dyDescent="0.25">
      <c r="B904" s="1">
        <f t="shared" si="96"/>
        <v>89.399999999999196</v>
      </c>
      <c r="C904" s="1">
        <f t="shared" si="97"/>
        <v>353.77561214842103</v>
      </c>
      <c r="D904" s="1">
        <f t="shared" si="93"/>
        <v>-8.6745522301045703</v>
      </c>
      <c r="E904" s="1">
        <f t="shared" si="98"/>
        <v>-8.6745522301045703</v>
      </c>
      <c r="F904" s="1">
        <f t="shared" si="94"/>
        <v>-8.8443903037105258</v>
      </c>
      <c r="G904" s="1"/>
      <c r="H904">
        <f t="shared" si="99"/>
        <v>5</v>
      </c>
      <c r="I904" s="1">
        <f t="shared" si="95"/>
        <v>89.399999999999196</v>
      </c>
    </row>
    <row r="905" spans="2:9" x14ac:dyDescent="0.25">
      <c r="B905" s="1">
        <f t="shared" si="96"/>
        <v>89.49999999999919</v>
      </c>
      <c r="C905" s="1">
        <f t="shared" si="97"/>
        <v>352.90815692541059</v>
      </c>
      <c r="D905" s="1">
        <f t="shared" si="93"/>
        <v>-9.5589912604756222</v>
      </c>
      <c r="E905" s="1">
        <f t="shared" si="98"/>
        <v>-9.5589912604756222</v>
      </c>
      <c r="F905" s="1">
        <f t="shared" si="94"/>
        <v>-8.8227039231352649</v>
      </c>
      <c r="G905" s="1"/>
      <c r="H905">
        <f t="shared" si="99"/>
        <v>5</v>
      </c>
      <c r="I905" s="1">
        <f t="shared" si="95"/>
        <v>89.49999999999919</v>
      </c>
    </row>
    <row r="906" spans="2:9" x14ac:dyDescent="0.25">
      <c r="B906" s="1">
        <f t="shared" si="96"/>
        <v>89.599999999999184</v>
      </c>
      <c r="C906" s="1">
        <f t="shared" si="97"/>
        <v>351.95225779936305</v>
      </c>
      <c r="D906" s="1">
        <f t="shared" ref="D906:D969" si="100">E906</f>
        <v>-10.441261652789148</v>
      </c>
      <c r="E906" s="1">
        <f t="shared" si="98"/>
        <v>-10.441261652789148</v>
      </c>
      <c r="F906" s="1">
        <f t="shared" ref="F906:F969" si="101">-$C$3*C906/$C$4-$C$2/$C$4*E906</f>
        <v>-8.798806444984077</v>
      </c>
      <c r="G906" s="1"/>
      <c r="H906">
        <f t="shared" si="99"/>
        <v>5</v>
      </c>
      <c r="I906" s="1">
        <f t="shared" ref="I906:I969" si="102">B906</f>
        <v>89.599999999999184</v>
      </c>
    </row>
    <row r="907" spans="2:9" x14ac:dyDescent="0.25">
      <c r="B907" s="1">
        <f t="shared" ref="B907:B970" si="103">B906+$C$7</f>
        <v>89.699999999999179</v>
      </c>
      <c r="C907" s="1">
        <f t="shared" ref="C907:C970" si="104">C906+D906*$C$7</f>
        <v>350.90813163408416</v>
      </c>
      <c r="D907" s="1">
        <f t="shared" si="100"/>
        <v>-11.321142297287556</v>
      </c>
      <c r="E907" s="1">
        <f t="shared" ref="E907:E970" si="105">E906+F906*$C$7</f>
        <v>-11.321142297287556</v>
      </c>
      <c r="F907" s="1">
        <f t="shared" si="101"/>
        <v>-8.772703290852105</v>
      </c>
      <c r="G907" s="1"/>
      <c r="H907">
        <f t="shared" ref="H907:H970" si="106">H906+(D907*D908&lt;0)*1</f>
        <v>5</v>
      </c>
      <c r="I907" s="1">
        <f t="shared" si="102"/>
        <v>89.699999999999179</v>
      </c>
    </row>
    <row r="908" spans="2:9" x14ac:dyDescent="0.25">
      <c r="B908" s="1">
        <f t="shared" si="103"/>
        <v>89.799999999999173</v>
      </c>
      <c r="C908" s="1">
        <f t="shared" si="104"/>
        <v>349.7760174043554</v>
      </c>
      <c r="D908" s="1">
        <f t="shared" si="100"/>
        <v>-12.198412626372766</v>
      </c>
      <c r="E908" s="1">
        <f t="shared" si="105"/>
        <v>-12.198412626372766</v>
      </c>
      <c r="F908" s="1">
        <f t="shared" si="101"/>
        <v>-8.7444004351088847</v>
      </c>
      <c r="G908" s="1"/>
      <c r="H908">
        <f t="shared" si="106"/>
        <v>5</v>
      </c>
      <c r="I908" s="1">
        <f t="shared" si="102"/>
        <v>89.799999999999173</v>
      </c>
    </row>
    <row r="909" spans="2:9" x14ac:dyDescent="0.25">
      <c r="B909" s="1">
        <f t="shared" si="103"/>
        <v>89.899999999999167</v>
      </c>
      <c r="C909" s="1">
        <f t="shared" si="104"/>
        <v>348.55617614171814</v>
      </c>
      <c r="D909" s="1">
        <f t="shared" si="100"/>
        <v>-13.072852669883655</v>
      </c>
      <c r="E909" s="1">
        <f t="shared" si="105"/>
        <v>-13.072852669883655</v>
      </c>
      <c r="F909" s="1">
        <f t="shared" si="101"/>
        <v>-8.7139044035429531</v>
      </c>
      <c r="G909" s="1"/>
      <c r="H909">
        <f t="shared" si="106"/>
        <v>5</v>
      </c>
      <c r="I909" s="1">
        <f t="shared" si="102"/>
        <v>89.899999999999167</v>
      </c>
    </row>
    <row r="910" spans="2:9" x14ac:dyDescent="0.25">
      <c r="B910" s="1">
        <f t="shared" si="103"/>
        <v>89.999999999999162</v>
      </c>
      <c r="C910" s="1">
        <f t="shared" si="104"/>
        <v>347.2488908747298</v>
      </c>
      <c r="D910" s="1">
        <f t="shared" si="100"/>
        <v>-13.94424311023795</v>
      </c>
      <c r="E910" s="1">
        <f t="shared" si="105"/>
        <v>-13.94424311023795</v>
      </c>
      <c r="F910" s="1">
        <f t="shared" si="101"/>
        <v>-8.6812222718682452</v>
      </c>
      <c r="G910" s="1"/>
      <c r="H910">
        <f t="shared" si="106"/>
        <v>5</v>
      </c>
      <c r="I910" s="1">
        <f t="shared" si="102"/>
        <v>89.999999999999162</v>
      </c>
    </row>
    <row r="911" spans="2:9" x14ac:dyDescent="0.25">
      <c r="B911" s="1">
        <f t="shared" si="103"/>
        <v>90.099999999999156</v>
      </c>
      <c r="C911" s="1">
        <f t="shared" si="104"/>
        <v>345.85446656370601</v>
      </c>
      <c r="D911" s="1">
        <f t="shared" si="100"/>
        <v>-14.812365337424776</v>
      </c>
      <c r="E911" s="1">
        <f t="shared" si="105"/>
        <v>-14.812365337424776</v>
      </c>
      <c r="F911" s="1">
        <f t="shared" si="101"/>
        <v>-8.6463616640926499</v>
      </c>
      <c r="G911" s="1"/>
      <c r="H911">
        <f t="shared" si="106"/>
        <v>5</v>
      </c>
      <c r="I911" s="1">
        <f t="shared" si="102"/>
        <v>90.099999999999156</v>
      </c>
    </row>
    <row r="912" spans="2:9" x14ac:dyDescent="0.25">
      <c r="B912" s="1">
        <f t="shared" si="103"/>
        <v>90.19999999999915</v>
      </c>
      <c r="C912" s="1">
        <f t="shared" si="104"/>
        <v>344.37323002996351</v>
      </c>
      <c r="D912" s="1">
        <f t="shared" si="100"/>
        <v>-15.677001503834042</v>
      </c>
      <c r="E912" s="1">
        <f t="shared" si="105"/>
        <v>-15.677001503834042</v>
      </c>
      <c r="F912" s="1">
        <f t="shared" si="101"/>
        <v>-8.6093307507490877</v>
      </c>
      <c r="G912" s="1"/>
      <c r="H912">
        <f t="shared" si="106"/>
        <v>5</v>
      </c>
      <c r="I912" s="1">
        <f t="shared" si="102"/>
        <v>90.19999999999915</v>
      </c>
    </row>
    <row r="913" spans="2:9" x14ac:dyDescent="0.25">
      <c r="B913" s="1">
        <f t="shared" si="103"/>
        <v>90.299999999999145</v>
      </c>
      <c r="C913" s="1">
        <f t="shared" si="104"/>
        <v>342.80552987958009</v>
      </c>
      <c r="D913" s="1">
        <f t="shared" si="100"/>
        <v>-16.537934578908949</v>
      </c>
      <c r="E913" s="1">
        <f t="shared" si="105"/>
        <v>-16.537934578908949</v>
      </c>
      <c r="F913" s="1">
        <f t="shared" si="101"/>
        <v>-8.5701382469895027</v>
      </c>
      <c r="G913" s="1"/>
      <c r="H913">
        <f t="shared" si="106"/>
        <v>5</v>
      </c>
      <c r="I913" s="1">
        <f t="shared" si="102"/>
        <v>90.299999999999145</v>
      </c>
    </row>
    <row r="914" spans="2:9" x14ac:dyDescent="0.25">
      <c r="B914" s="1">
        <f t="shared" si="103"/>
        <v>90.399999999999139</v>
      </c>
      <c r="C914" s="1">
        <f t="shared" si="104"/>
        <v>341.15173642168918</v>
      </c>
      <c r="D914" s="1">
        <f t="shared" si="100"/>
        <v>-17.394948403607899</v>
      </c>
      <c r="E914" s="1">
        <f t="shared" si="105"/>
        <v>-17.394948403607899</v>
      </c>
      <c r="F914" s="1">
        <f t="shared" si="101"/>
        <v>-8.5287934105422298</v>
      </c>
      <c r="G914" s="1"/>
      <c r="H914">
        <f t="shared" si="106"/>
        <v>5</v>
      </c>
      <c r="I914" s="1">
        <f t="shared" si="102"/>
        <v>90.399999999999139</v>
      </c>
    </row>
    <row r="915" spans="2:9" x14ac:dyDescent="0.25">
      <c r="B915" s="1">
        <f t="shared" si="103"/>
        <v>90.499999999999133</v>
      </c>
      <c r="C915" s="1">
        <f t="shared" si="104"/>
        <v>339.41224158132837</v>
      </c>
      <c r="D915" s="1">
        <f t="shared" si="100"/>
        <v>-18.247827744662121</v>
      </c>
      <c r="E915" s="1">
        <f t="shared" si="105"/>
        <v>-18.247827744662121</v>
      </c>
      <c r="F915" s="1">
        <f t="shared" si="101"/>
        <v>-8.4853060395332101</v>
      </c>
      <c r="G915" s="1"/>
      <c r="H915">
        <f t="shared" si="106"/>
        <v>5</v>
      </c>
      <c r="I915" s="1">
        <f t="shared" si="102"/>
        <v>90.499999999999133</v>
      </c>
    </row>
    <row r="916" spans="2:9" x14ac:dyDescent="0.25">
      <c r="B916" s="1">
        <f t="shared" si="103"/>
        <v>90.599999999999127</v>
      </c>
      <c r="C916" s="1">
        <f t="shared" si="104"/>
        <v>337.58745880686217</v>
      </c>
      <c r="D916" s="1">
        <f t="shared" si="100"/>
        <v>-19.096358348615443</v>
      </c>
      <c r="E916" s="1">
        <f t="shared" si="105"/>
        <v>-19.096358348615443</v>
      </c>
      <c r="F916" s="1">
        <f t="shared" si="101"/>
        <v>-8.439686470171555</v>
      </c>
      <c r="G916" s="1"/>
      <c r="H916">
        <f t="shared" si="106"/>
        <v>5</v>
      </c>
      <c r="I916" s="1">
        <f t="shared" si="102"/>
        <v>90.599999999999127</v>
      </c>
    </row>
    <row r="917" spans="2:9" x14ac:dyDescent="0.25">
      <c r="B917" s="1">
        <f t="shared" si="103"/>
        <v>90.699999999999122</v>
      </c>
      <c r="C917" s="1">
        <f t="shared" si="104"/>
        <v>335.67782297200063</v>
      </c>
      <c r="D917" s="1">
        <f t="shared" si="100"/>
        <v>-19.940326995632599</v>
      </c>
      <c r="E917" s="1">
        <f t="shared" si="105"/>
        <v>-19.940326995632599</v>
      </c>
      <c r="F917" s="1">
        <f t="shared" si="101"/>
        <v>-8.3919455743000153</v>
      </c>
      <c r="G917" s="1"/>
      <c r="H917">
        <f t="shared" si="106"/>
        <v>5</v>
      </c>
      <c r="I917" s="1">
        <f t="shared" si="102"/>
        <v>90.699999999999122</v>
      </c>
    </row>
    <row r="918" spans="2:9" x14ac:dyDescent="0.25">
      <c r="B918" s="1">
        <f t="shared" si="103"/>
        <v>90.799999999999116</v>
      </c>
      <c r="C918" s="1">
        <f t="shared" si="104"/>
        <v>333.68379027243736</v>
      </c>
      <c r="D918" s="1">
        <f t="shared" si="100"/>
        <v>-20.779521553062601</v>
      </c>
      <c r="E918" s="1">
        <f t="shared" si="105"/>
        <v>-20.779521553062601</v>
      </c>
      <c r="F918" s="1">
        <f t="shared" si="101"/>
        <v>-8.3420947568109352</v>
      </c>
      <c r="G918" s="1"/>
      <c r="H918">
        <f t="shared" si="106"/>
        <v>5</v>
      </c>
      <c r="I918" s="1">
        <f t="shared" si="102"/>
        <v>90.799999999999116</v>
      </c>
    </row>
    <row r="919" spans="2:9" x14ac:dyDescent="0.25">
      <c r="B919" s="1">
        <f t="shared" si="103"/>
        <v>90.89999999999911</v>
      </c>
      <c r="C919" s="1">
        <f t="shared" si="104"/>
        <v>331.6058381171311</v>
      </c>
      <c r="D919" s="1">
        <f t="shared" si="100"/>
        <v>-21.613731028743693</v>
      </c>
      <c r="E919" s="1">
        <f t="shared" si="105"/>
        <v>-21.613731028743693</v>
      </c>
      <c r="F919" s="1">
        <f t="shared" si="101"/>
        <v>-8.2901459529282775</v>
      </c>
      <c r="G919" s="1"/>
      <c r="H919">
        <f t="shared" si="106"/>
        <v>5</v>
      </c>
      <c r="I919" s="1">
        <f t="shared" si="102"/>
        <v>90.89999999999911</v>
      </c>
    </row>
    <row r="920" spans="2:9" x14ac:dyDescent="0.25">
      <c r="B920" s="1">
        <f t="shared" si="103"/>
        <v>90.999999999999105</v>
      </c>
      <c r="C920" s="1">
        <f t="shared" si="104"/>
        <v>329.44446501425671</v>
      </c>
      <c r="D920" s="1">
        <f t="shared" si="100"/>
        <v>-22.442745624036522</v>
      </c>
      <c r="E920" s="1">
        <f t="shared" si="105"/>
        <v>-22.442745624036522</v>
      </c>
      <c r="F920" s="1">
        <f t="shared" si="101"/>
        <v>-8.2361116253564184</v>
      </c>
      <c r="G920" s="1"/>
      <c r="H920">
        <f t="shared" si="106"/>
        <v>5</v>
      </c>
      <c r="I920" s="1">
        <f t="shared" si="102"/>
        <v>90.999999999999105</v>
      </c>
    </row>
    <row r="921" spans="2:9" x14ac:dyDescent="0.25">
      <c r="B921" s="1">
        <f t="shared" si="103"/>
        <v>91.099999999999099</v>
      </c>
      <c r="C921" s="1">
        <f t="shared" si="104"/>
        <v>327.20019045185308</v>
      </c>
      <c r="D921" s="1">
        <f t="shared" si="100"/>
        <v>-23.266356786572164</v>
      </c>
      <c r="E921" s="1">
        <f t="shared" si="105"/>
        <v>-23.266356786572164</v>
      </c>
      <c r="F921" s="1">
        <f t="shared" si="101"/>
        <v>-8.1800047612963276</v>
      </c>
      <c r="G921" s="1"/>
      <c r="H921">
        <f t="shared" si="106"/>
        <v>5</v>
      </c>
      <c r="I921" s="1">
        <f t="shared" si="102"/>
        <v>91.099999999999099</v>
      </c>
    </row>
    <row r="922" spans="2:9" x14ac:dyDescent="0.25">
      <c r="B922" s="1">
        <f t="shared" si="103"/>
        <v>91.199999999999093</v>
      </c>
      <c r="C922" s="1">
        <f t="shared" si="104"/>
        <v>324.87355477319585</v>
      </c>
      <c r="D922" s="1">
        <f t="shared" si="100"/>
        <v>-24.084357262701797</v>
      </c>
      <c r="E922" s="1">
        <f t="shared" si="105"/>
        <v>-24.084357262701797</v>
      </c>
      <c r="F922" s="1">
        <f t="shared" si="101"/>
        <v>-8.1218388693298973</v>
      </c>
      <c r="G922" s="1"/>
      <c r="H922">
        <f t="shared" si="106"/>
        <v>5</v>
      </c>
      <c r="I922" s="1">
        <f t="shared" si="102"/>
        <v>91.199999999999093</v>
      </c>
    </row>
    <row r="923" spans="2:9" x14ac:dyDescent="0.25">
      <c r="B923" s="1">
        <f t="shared" si="103"/>
        <v>91.299999999999088</v>
      </c>
      <c r="C923" s="1">
        <f t="shared" si="104"/>
        <v>322.46511904692568</v>
      </c>
      <c r="D923" s="1">
        <f t="shared" si="100"/>
        <v>-24.896541149634785</v>
      </c>
      <c r="E923" s="1">
        <f t="shared" si="105"/>
        <v>-24.896541149634785</v>
      </c>
      <c r="F923" s="1">
        <f t="shared" si="101"/>
        <v>-8.061627976173142</v>
      </c>
      <c r="G923" s="1"/>
      <c r="H923">
        <f t="shared" si="106"/>
        <v>5</v>
      </c>
      <c r="I923" s="1">
        <f t="shared" si="102"/>
        <v>91.299999999999088</v>
      </c>
    </row>
    <row r="924" spans="2:9" x14ac:dyDescent="0.25">
      <c r="B924" s="1">
        <f t="shared" si="103"/>
        <v>91.399999999999082</v>
      </c>
      <c r="C924" s="1">
        <f t="shared" si="104"/>
        <v>319.97546493196222</v>
      </c>
      <c r="D924" s="1">
        <f t="shared" si="100"/>
        <v>-25.7027039472521</v>
      </c>
      <c r="E924" s="1">
        <f t="shared" si="105"/>
        <v>-25.7027039472521</v>
      </c>
      <c r="F924" s="1">
        <f t="shared" si="101"/>
        <v>-7.9993866232990563</v>
      </c>
      <c r="G924" s="1"/>
      <c r="H924">
        <f t="shared" si="106"/>
        <v>5</v>
      </c>
      <c r="I924" s="1">
        <f t="shared" si="102"/>
        <v>91.399999999999082</v>
      </c>
    </row>
    <row r="925" spans="2:9" x14ac:dyDescent="0.25">
      <c r="B925" s="1">
        <f t="shared" si="103"/>
        <v>91.499999999999076</v>
      </c>
      <c r="C925" s="1">
        <f t="shared" si="104"/>
        <v>317.40519453723704</v>
      </c>
      <c r="D925" s="1">
        <f t="shared" si="100"/>
        <v>-26.502642609582004</v>
      </c>
      <c r="E925" s="1">
        <f t="shared" si="105"/>
        <v>-26.502642609582004</v>
      </c>
      <c r="F925" s="1">
        <f t="shared" si="101"/>
        <v>-7.9351298634309266</v>
      </c>
      <c r="G925" s="1"/>
      <c r="H925">
        <f t="shared" si="106"/>
        <v>5</v>
      </c>
      <c r="I925" s="1">
        <f t="shared" si="102"/>
        <v>91.499999999999076</v>
      </c>
    </row>
    <row r="926" spans="2:9" x14ac:dyDescent="0.25">
      <c r="B926" s="1">
        <f t="shared" si="103"/>
        <v>91.599999999999071</v>
      </c>
      <c r="C926" s="1">
        <f t="shared" si="104"/>
        <v>314.75493027627886</v>
      </c>
      <c r="D926" s="1">
        <f t="shared" si="100"/>
        <v>-27.296155595925097</v>
      </c>
      <c r="E926" s="1">
        <f t="shared" si="105"/>
        <v>-27.296155595925097</v>
      </c>
      <c r="F926" s="1">
        <f t="shared" si="101"/>
        <v>-7.8688732569069719</v>
      </c>
      <c r="G926" s="1"/>
      <c r="H926">
        <f t="shared" si="106"/>
        <v>5</v>
      </c>
      <c r="I926" s="1">
        <f t="shared" si="102"/>
        <v>91.599999999999071</v>
      </c>
    </row>
    <row r="927" spans="2:9" x14ac:dyDescent="0.25">
      <c r="B927" s="1">
        <f t="shared" si="103"/>
        <v>91.699999999999065</v>
      </c>
      <c r="C927" s="1">
        <f t="shared" si="104"/>
        <v>312.02531471668635</v>
      </c>
      <c r="D927" s="1">
        <f t="shared" si="100"/>
        <v>-28.083042921615792</v>
      </c>
      <c r="E927" s="1">
        <f t="shared" si="105"/>
        <v>-28.083042921615792</v>
      </c>
      <c r="F927" s="1">
        <f t="shared" si="101"/>
        <v>-7.8006328679171588</v>
      </c>
      <c r="G927" s="1"/>
      <c r="H927">
        <f t="shared" si="106"/>
        <v>5</v>
      </c>
      <c r="I927" s="1">
        <f t="shared" si="102"/>
        <v>91.699999999999065</v>
      </c>
    </row>
    <row r="928" spans="2:9" x14ac:dyDescent="0.25">
      <c r="B928" s="1">
        <f t="shared" si="103"/>
        <v>91.799999999999059</v>
      </c>
      <c r="C928" s="1">
        <f t="shared" si="104"/>
        <v>309.2170104245248</v>
      </c>
      <c r="D928" s="1">
        <f t="shared" si="100"/>
        <v>-28.863106208407508</v>
      </c>
      <c r="E928" s="1">
        <f t="shared" si="105"/>
        <v>-28.863106208407508</v>
      </c>
      <c r="F928" s="1">
        <f t="shared" si="101"/>
        <v>-7.7304252606131207</v>
      </c>
      <c r="G928" s="1"/>
      <c r="H928">
        <f t="shared" si="106"/>
        <v>5</v>
      </c>
      <c r="I928" s="1">
        <f t="shared" si="102"/>
        <v>91.799999999999059</v>
      </c>
    </row>
    <row r="929" spans="2:9" x14ac:dyDescent="0.25">
      <c r="B929" s="1">
        <f t="shared" si="103"/>
        <v>91.899999999999054</v>
      </c>
      <c r="C929" s="1">
        <f t="shared" si="104"/>
        <v>306.33069980368407</v>
      </c>
      <c r="D929" s="1">
        <f t="shared" si="100"/>
        <v>-29.636148734468819</v>
      </c>
      <c r="E929" s="1">
        <f t="shared" si="105"/>
        <v>-29.636148734468819</v>
      </c>
      <c r="F929" s="1">
        <f t="shared" si="101"/>
        <v>-7.6582674950921019</v>
      </c>
      <c r="G929" s="1"/>
      <c r="H929">
        <f t="shared" si="106"/>
        <v>5</v>
      </c>
      <c r="I929" s="1">
        <f t="shared" si="102"/>
        <v>91.899999999999054</v>
      </c>
    </row>
    <row r="930" spans="2:9" x14ac:dyDescent="0.25">
      <c r="B930" s="1">
        <f t="shared" si="103"/>
        <v>91.999999999999048</v>
      </c>
      <c r="C930" s="1">
        <f t="shared" si="104"/>
        <v>303.36708493023718</v>
      </c>
      <c r="D930" s="1">
        <f t="shared" si="100"/>
        <v>-30.401975483978028</v>
      </c>
      <c r="E930" s="1">
        <f t="shared" si="105"/>
        <v>-30.401975483978028</v>
      </c>
      <c r="F930" s="1">
        <f t="shared" si="101"/>
        <v>-7.5841771232559303</v>
      </c>
      <c r="G930" s="1"/>
      <c r="H930">
        <f t="shared" si="106"/>
        <v>5</v>
      </c>
      <c r="I930" s="1">
        <f t="shared" si="102"/>
        <v>91.999999999999048</v>
      </c>
    </row>
    <row r="931" spans="2:9" x14ac:dyDescent="0.25">
      <c r="B931" s="1">
        <f t="shared" si="103"/>
        <v>92.099999999999042</v>
      </c>
      <c r="C931" s="1">
        <f t="shared" si="104"/>
        <v>300.32688738183936</v>
      </c>
      <c r="D931" s="1">
        <f t="shared" si="100"/>
        <v>-31.16039319630362</v>
      </c>
      <c r="E931" s="1">
        <f t="shared" si="105"/>
        <v>-31.16039319630362</v>
      </c>
      <c r="F931" s="1">
        <f t="shared" si="101"/>
        <v>-7.5081721845459839</v>
      </c>
      <c r="G931" s="1"/>
      <c r="H931">
        <f t="shared" si="106"/>
        <v>5</v>
      </c>
      <c r="I931" s="1">
        <f t="shared" si="102"/>
        <v>92.099999999999042</v>
      </c>
    </row>
    <row r="932" spans="2:9" x14ac:dyDescent="0.25">
      <c r="B932" s="1">
        <f t="shared" si="103"/>
        <v>92.199999999999037</v>
      </c>
      <c r="C932" s="1">
        <f t="shared" si="104"/>
        <v>297.21084806220898</v>
      </c>
      <c r="D932" s="1">
        <f t="shared" si="100"/>
        <v>-31.911210414758219</v>
      </c>
      <c r="E932" s="1">
        <f t="shared" si="105"/>
        <v>-31.911210414758219</v>
      </c>
      <c r="F932" s="1">
        <f t="shared" si="101"/>
        <v>-7.4302712015552252</v>
      </c>
      <c r="G932" s="1"/>
      <c r="H932">
        <f t="shared" si="106"/>
        <v>5</v>
      </c>
      <c r="I932" s="1">
        <f t="shared" si="102"/>
        <v>92.199999999999037</v>
      </c>
    </row>
    <row r="933" spans="2:9" x14ac:dyDescent="0.25">
      <c r="B933" s="1">
        <f t="shared" si="103"/>
        <v>92.299999999999031</v>
      </c>
      <c r="C933" s="1">
        <f t="shared" si="104"/>
        <v>294.01972702073317</v>
      </c>
      <c r="D933" s="1">
        <f t="shared" si="100"/>
        <v>-32.65423753491374</v>
      </c>
      <c r="E933" s="1">
        <f t="shared" si="105"/>
        <v>-32.65423753491374</v>
      </c>
      <c r="F933" s="1">
        <f t="shared" si="101"/>
        <v>-7.3504931755183298</v>
      </c>
      <c r="G933" s="1"/>
      <c r="H933">
        <f t="shared" si="106"/>
        <v>5</v>
      </c>
      <c r="I933" s="1">
        <f t="shared" si="102"/>
        <v>92.299999999999031</v>
      </c>
    </row>
    <row r="934" spans="2:9" x14ac:dyDescent="0.25">
      <c r="B934" s="1">
        <f t="shared" si="103"/>
        <v>92.399999999999025</v>
      </c>
      <c r="C934" s="1">
        <f t="shared" si="104"/>
        <v>290.75430326724182</v>
      </c>
      <c r="D934" s="1">
        <f t="shared" si="100"/>
        <v>-33.389286852465574</v>
      </c>
      <c r="E934" s="1">
        <f t="shared" si="105"/>
        <v>-33.389286852465574</v>
      </c>
      <c r="F934" s="1">
        <f t="shared" si="101"/>
        <v>-7.2688575816810461</v>
      </c>
      <c r="G934" s="1"/>
      <c r="H934">
        <f t="shared" si="106"/>
        <v>5</v>
      </c>
      <c r="I934" s="1">
        <f t="shared" si="102"/>
        <v>92.399999999999025</v>
      </c>
    </row>
    <row r="935" spans="2:9" x14ac:dyDescent="0.25">
      <c r="B935" s="1">
        <f t="shared" si="103"/>
        <v>92.499999999999019</v>
      </c>
      <c r="C935" s="1">
        <f t="shared" si="104"/>
        <v>287.41537458199525</v>
      </c>
      <c r="D935" s="1">
        <f t="shared" si="100"/>
        <v>-34.116172610633676</v>
      </c>
      <c r="E935" s="1">
        <f t="shared" si="105"/>
        <v>-34.116172610633676</v>
      </c>
      <c r="F935" s="1">
        <f t="shared" si="101"/>
        <v>-7.1853843645498818</v>
      </c>
      <c r="G935" s="1"/>
      <c r="H935">
        <f t="shared" si="106"/>
        <v>5</v>
      </c>
      <c r="I935" s="1">
        <f t="shared" si="102"/>
        <v>92.499999999999019</v>
      </c>
    </row>
    <row r="936" spans="2:9" x14ac:dyDescent="0.25">
      <c r="B936" s="1">
        <f t="shared" si="103"/>
        <v>92.599999999999014</v>
      </c>
      <c r="C936" s="1">
        <f t="shared" si="104"/>
        <v>284.00375732093187</v>
      </c>
      <c r="D936" s="1">
        <f t="shared" si="100"/>
        <v>-34.834711047088661</v>
      </c>
      <c r="E936" s="1">
        <f t="shared" si="105"/>
        <v>-34.834711047088661</v>
      </c>
      <c r="F936" s="1">
        <f t="shared" si="101"/>
        <v>-7.1000939330232971</v>
      </c>
      <c r="G936" s="1"/>
      <c r="H936">
        <f t="shared" si="106"/>
        <v>5</v>
      </c>
      <c r="I936" s="1">
        <f t="shared" si="102"/>
        <v>92.599999999999014</v>
      </c>
    </row>
    <row r="937" spans="2:9" x14ac:dyDescent="0.25">
      <c r="B937" s="1">
        <f t="shared" si="103"/>
        <v>92.699999999999008</v>
      </c>
      <c r="C937" s="1">
        <f t="shared" si="104"/>
        <v>280.52028621622298</v>
      </c>
      <c r="D937" s="1">
        <f t="shared" si="100"/>
        <v>-35.544720440390989</v>
      </c>
      <c r="E937" s="1">
        <f t="shared" si="105"/>
        <v>-35.544720440390989</v>
      </c>
      <c r="F937" s="1">
        <f t="shared" si="101"/>
        <v>-7.0130071554055746</v>
      </c>
      <c r="G937" s="1"/>
      <c r="H937">
        <f t="shared" si="106"/>
        <v>5</v>
      </c>
      <c r="I937" s="1">
        <f t="shared" si="102"/>
        <v>92.699999999999008</v>
      </c>
    </row>
    <row r="938" spans="2:9" x14ac:dyDescent="0.25">
      <c r="B938" s="1">
        <f t="shared" si="103"/>
        <v>92.799999999999002</v>
      </c>
      <c r="C938" s="1">
        <f t="shared" si="104"/>
        <v>276.96581417218391</v>
      </c>
      <c r="D938" s="1">
        <f t="shared" si="100"/>
        <v>-36.246021155931544</v>
      </c>
      <c r="E938" s="1">
        <f t="shared" si="105"/>
        <v>-36.246021155931544</v>
      </c>
      <c r="F938" s="1">
        <f t="shared" si="101"/>
        <v>-6.9241453543045983</v>
      </c>
      <c r="G938" s="1"/>
      <c r="H938">
        <f t="shared" si="106"/>
        <v>5</v>
      </c>
      <c r="I938" s="1">
        <f t="shared" si="102"/>
        <v>92.799999999999002</v>
      </c>
    </row>
    <row r="939" spans="2:9" x14ac:dyDescent="0.25">
      <c r="B939" s="1">
        <f t="shared" si="103"/>
        <v>92.899999999998997</v>
      </c>
      <c r="C939" s="1">
        <f t="shared" si="104"/>
        <v>273.34121205659073</v>
      </c>
      <c r="D939" s="1">
        <f t="shared" si="100"/>
        <v>-36.938435691362002</v>
      </c>
      <c r="E939" s="1">
        <f t="shared" si="105"/>
        <v>-36.938435691362002</v>
      </c>
      <c r="F939" s="1">
        <f t="shared" si="101"/>
        <v>-6.8335303014147684</v>
      </c>
      <c r="G939" s="1"/>
      <c r="H939">
        <f t="shared" si="106"/>
        <v>5</v>
      </c>
      <c r="I939" s="1">
        <f t="shared" si="102"/>
        <v>92.899999999998997</v>
      </c>
    </row>
    <row r="940" spans="2:9" x14ac:dyDescent="0.25">
      <c r="B940" s="1">
        <f t="shared" si="103"/>
        <v>92.999999999998991</v>
      </c>
      <c r="C940" s="1">
        <f t="shared" si="104"/>
        <v>269.64736848745451</v>
      </c>
      <c r="D940" s="1">
        <f t="shared" si="100"/>
        <v>-37.621788721503478</v>
      </c>
      <c r="E940" s="1">
        <f t="shared" si="105"/>
        <v>-37.621788721503478</v>
      </c>
      <c r="F940" s="1">
        <f t="shared" si="101"/>
        <v>-6.7411842121863632</v>
      </c>
      <c r="G940" s="1"/>
      <c r="H940">
        <f t="shared" si="106"/>
        <v>5</v>
      </c>
      <c r="I940" s="1">
        <f t="shared" si="102"/>
        <v>92.999999999998991</v>
      </c>
    </row>
    <row r="941" spans="2:9" x14ac:dyDescent="0.25">
      <c r="B941" s="1">
        <f t="shared" si="103"/>
        <v>93.099999999998985</v>
      </c>
      <c r="C941" s="1">
        <f t="shared" si="104"/>
        <v>265.88518961530417</v>
      </c>
      <c r="D941" s="1">
        <f t="shared" si="100"/>
        <v>-38.295907142722115</v>
      </c>
      <c r="E941" s="1">
        <f t="shared" si="105"/>
        <v>-38.295907142722115</v>
      </c>
      <c r="F941" s="1">
        <f t="shared" si="101"/>
        <v>-6.6471297403826046</v>
      </c>
      <c r="G941" s="1"/>
      <c r="H941">
        <f t="shared" si="106"/>
        <v>5</v>
      </c>
      <c r="I941" s="1">
        <f t="shared" si="102"/>
        <v>93.099999999998985</v>
      </c>
    </row>
    <row r="942" spans="2:9" x14ac:dyDescent="0.25">
      <c r="B942" s="1">
        <f t="shared" si="103"/>
        <v>93.19999999999898</v>
      </c>
      <c r="C942" s="1">
        <f t="shared" si="104"/>
        <v>262.05559890103194</v>
      </c>
      <c r="D942" s="1">
        <f t="shared" si="100"/>
        <v>-38.960620116760374</v>
      </c>
      <c r="E942" s="1">
        <f t="shared" si="105"/>
        <v>-38.960620116760374</v>
      </c>
      <c r="F942" s="1">
        <f t="shared" si="101"/>
        <v>-6.5513899725257989</v>
      </c>
      <c r="G942" s="1"/>
      <c r="H942">
        <f t="shared" si="106"/>
        <v>5</v>
      </c>
      <c r="I942" s="1">
        <f t="shared" si="102"/>
        <v>93.19999999999898</v>
      </c>
    </row>
    <row r="943" spans="2:9" x14ac:dyDescent="0.25">
      <c r="B943" s="1">
        <f t="shared" si="103"/>
        <v>93.299999999998974</v>
      </c>
      <c r="C943" s="1">
        <f t="shared" si="104"/>
        <v>258.15953688935588</v>
      </c>
      <c r="D943" s="1">
        <f t="shared" si="100"/>
        <v>-39.615759114012953</v>
      </c>
      <c r="E943" s="1">
        <f t="shared" si="105"/>
        <v>-39.615759114012953</v>
      </c>
      <c r="F943" s="1">
        <f t="shared" si="101"/>
        <v>-6.4539884222338975</v>
      </c>
      <c r="G943" s="1"/>
      <c r="H943">
        <f t="shared" si="106"/>
        <v>5</v>
      </c>
      <c r="I943" s="1">
        <f t="shared" si="102"/>
        <v>93.299999999998974</v>
      </c>
    </row>
    <row r="944" spans="2:9" x14ac:dyDescent="0.25">
      <c r="B944" s="1">
        <f t="shared" si="103"/>
        <v>93.399999999998968</v>
      </c>
      <c r="C944" s="1">
        <f t="shared" si="104"/>
        <v>254.19796097795458</v>
      </c>
      <c r="D944" s="1">
        <f t="shared" si="100"/>
        <v>-40.261157956236346</v>
      </c>
      <c r="E944" s="1">
        <f t="shared" si="105"/>
        <v>-40.261157956236346</v>
      </c>
      <c r="F944" s="1">
        <f t="shared" si="101"/>
        <v>-6.3549490244488647</v>
      </c>
      <c r="G944" s="1"/>
      <c r="H944">
        <f t="shared" si="106"/>
        <v>5</v>
      </c>
      <c r="I944" s="1">
        <f t="shared" si="102"/>
        <v>93.399999999998968</v>
      </c>
    </row>
    <row r="945" spans="2:9" x14ac:dyDescent="0.25">
      <c r="B945" s="1">
        <f t="shared" si="103"/>
        <v>93.499999999998963</v>
      </c>
      <c r="C945" s="1">
        <f t="shared" si="104"/>
        <v>250.17184518233094</v>
      </c>
      <c r="D945" s="1">
        <f t="shared" si="100"/>
        <v>-40.896652858681236</v>
      </c>
      <c r="E945" s="1">
        <f t="shared" si="105"/>
        <v>-40.896652858681236</v>
      </c>
      <c r="F945" s="1">
        <f t="shared" si="101"/>
        <v>-6.2542961295582735</v>
      </c>
      <c r="G945" s="1"/>
      <c r="H945">
        <f t="shared" si="106"/>
        <v>5</v>
      </c>
      <c r="I945" s="1">
        <f t="shared" si="102"/>
        <v>93.499999999998963</v>
      </c>
    </row>
    <row r="946" spans="2:9" x14ac:dyDescent="0.25">
      <c r="B946" s="1">
        <f t="shared" si="103"/>
        <v>93.599999999998957</v>
      </c>
      <c r="C946" s="1">
        <f t="shared" si="104"/>
        <v>246.0821798964628</v>
      </c>
      <c r="D946" s="1">
        <f t="shared" si="100"/>
        <v>-41.522082471637063</v>
      </c>
      <c r="E946" s="1">
        <f t="shared" si="105"/>
        <v>-41.522082471637063</v>
      </c>
      <c r="F946" s="1">
        <f t="shared" si="101"/>
        <v>-6.1520544974115703</v>
      </c>
      <c r="G946" s="1"/>
      <c r="H946">
        <f t="shared" si="106"/>
        <v>5</v>
      </c>
      <c r="I946" s="1">
        <f t="shared" si="102"/>
        <v>93.599999999998957</v>
      </c>
    </row>
    <row r="947" spans="2:9" x14ac:dyDescent="0.25">
      <c r="B947" s="1">
        <f t="shared" si="103"/>
        <v>93.699999999998951</v>
      </c>
      <c r="C947" s="1">
        <f t="shared" si="104"/>
        <v>241.92997164929909</v>
      </c>
      <c r="D947" s="1">
        <f t="shared" si="100"/>
        <v>-42.137287921378217</v>
      </c>
      <c r="E947" s="1">
        <f t="shared" si="105"/>
        <v>-42.137287921378217</v>
      </c>
      <c r="F947" s="1">
        <f t="shared" si="101"/>
        <v>-6.0482492912324775</v>
      </c>
      <c r="G947" s="1"/>
      <c r="H947">
        <f t="shared" si="106"/>
        <v>5</v>
      </c>
      <c r="I947" s="1">
        <f t="shared" si="102"/>
        <v>93.699999999998951</v>
      </c>
    </row>
    <row r="948" spans="2:9" x14ac:dyDescent="0.25">
      <c r="B948" s="1">
        <f t="shared" si="103"/>
        <v>93.799999999998946</v>
      </c>
      <c r="C948" s="1">
        <f t="shared" si="104"/>
        <v>237.71624285716126</v>
      </c>
      <c r="D948" s="1">
        <f t="shared" si="100"/>
        <v>-42.742112850501464</v>
      </c>
      <c r="E948" s="1">
        <f t="shared" si="105"/>
        <v>-42.742112850501464</v>
      </c>
      <c r="F948" s="1">
        <f t="shared" si="101"/>
        <v>-5.9429060714290323</v>
      </c>
      <c r="G948" s="1"/>
      <c r="H948">
        <f t="shared" si="106"/>
        <v>5</v>
      </c>
      <c r="I948" s="1">
        <f t="shared" si="102"/>
        <v>93.799999999998946</v>
      </c>
    </row>
    <row r="949" spans="2:9" x14ac:dyDescent="0.25">
      <c r="B949" s="1">
        <f t="shared" si="103"/>
        <v>93.89999999999894</v>
      </c>
      <c r="C949" s="1">
        <f t="shared" si="104"/>
        <v>233.44203157211112</v>
      </c>
      <c r="D949" s="1">
        <f t="shared" si="100"/>
        <v>-43.336403457644366</v>
      </c>
      <c r="E949" s="1">
        <f t="shared" si="105"/>
        <v>-43.336403457644366</v>
      </c>
      <c r="F949" s="1">
        <f t="shared" si="101"/>
        <v>-5.836050789302778</v>
      </c>
      <c r="G949" s="1"/>
      <c r="H949">
        <f t="shared" si="106"/>
        <v>5</v>
      </c>
      <c r="I949" s="1">
        <f t="shared" si="102"/>
        <v>93.89999999999894</v>
      </c>
    </row>
    <row r="950" spans="2:9" x14ac:dyDescent="0.25">
      <c r="B950" s="1">
        <f t="shared" si="103"/>
        <v>93.999999999998934</v>
      </c>
      <c r="C950" s="1">
        <f t="shared" si="104"/>
        <v>229.10839122634667</v>
      </c>
      <c r="D950" s="1">
        <f t="shared" si="100"/>
        <v>-43.920008536574642</v>
      </c>
      <c r="E950" s="1">
        <f t="shared" si="105"/>
        <v>-43.920008536574642</v>
      </c>
      <c r="F950" s="1">
        <f t="shared" si="101"/>
        <v>-5.7277097806586674</v>
      </c>
      <c r="G950" s="1"/>
      <c r="H950">
        <f t="shared" si="106"/>
        <v>5</v>
      </c>
      <c r="I950" s="1">
        <f t="shared" si="102"/>
        <v>93.999999999998934</v>
      </c>
    </row>
    <row r="951" spans="2:9" x14ac:dyDescent="0.25">
      <c r="B951" s="1">
        <f t="shared" si="103"/>
        <v>94.099999999998929</v>
      </c>
      <c r="C951" s="1">
        <f t="shared" si="104"/>
        <v>224.7163903726892</v>
      </c>
      <c r="D951" s="1">
        <f t="shared" si="100"/>
        <v>-44.49277951464051</v>
      </c>
      <c r="E951" s="1">
        <f t="shared" si="105"/>
        <v>-44.49277951464051</v>
      </c>
      <c r="F951" s="1">
        <f t="shared" si="101"/>
        <v>-5.6179097593172305</v>
      </c>
      <c r="G951" s="1"/>
      <c r="H951">
        <f t="shared" si="106"/>
        <v>5</v>
      </c>
      <c r="I951" s="1">
        <f t="shared" si="102"/>
        <v>94.099999999998929</v>
      </c>
    </row>
    <row r="952" spans="2:9" x14ac:dyDescent="0.25">
      <c r="B952" s="1">
        <f t="shared" si="103"/>
        <v>94.199999999998923</v>
      </c>
      <c r="C952" s="1">
        <f t="shared" si="104"/>
        <v>220.26711242122516</v>
      </c>
      <c r="D952" s="1">
        <f t="shared" si="100"/>
        <v>-45.054570490572232</v>
      </c>
      <c r="E952" s="1">
        <f t="shared" si="105"/>
        <v>-45.054570490572232</v>
      </c>
      <c r="F952" s="1">
        <f t="shared" si="101"/>
        <v>-5.5066778105306291</v>
      </c>
      <c r="G952" s="1"/>
      <c r="H952">
        <f t="shared" si="106"/>
        <v>5</v>
      </c>
      <c r="I952" s="1">
        <f t="shared" si="102"/>
        <v>94.199999999998923</v>
      </c>
    </row>
    <row r="953" spans="2:9" x14ac:dyDescent="0.25">
      <c r="B953" s="1">
        <f t="shared" si="103"/>
        <v>94.299999999998917</v>
      </c>
      <c r="C953" s="1">
        <f t="shared" si="104"/>
        <v>215.76165537216795</v>
      </c>
      <c r="D953" s="1">
        <f t="shared" si="100"/>
        <v>-45.605238271625296</v>
      </c>
      <c r="E953" s="1">
        <f t="shared" si="105"/>
        <v>-45.605238271625296</v>
      </c>
      <c r="F953" s="1">
        <f t="shared" si="101"/>
        <v>-5.3940413843041988</v>
      </c>
      <c r="G953" s="1"/>
      <c r="H953">
        <f t="shared" si="106"/>
        <v>5</v>
      </c>
      <c r="I953" s="1">
        <f t="shared" si="102"/>
        <v>94.299999999998917</v>
      </c>
    </row>
    <row r="954" spans="2:9" x14ac:dyDescent="0.25">
      <c r="B954" s="1">
        <f t="shared" si="103"/>
        <v>94.399999999998911</v>
      </c>
      <c r="C954" s="1">
        <f t="shared" si="104"/>
        <v>211.20113154500541</v>
      </c>
      <c r="D954" s="1">
        <f t="shared" si="100"/>
        <v>-46.144642410055717</v>
      </c>
      <c r="E954" s="1">
        <f t="shared" si="105"/>
        <v>-46.144642410055717</v>
      </c>
      <c r="F954" s="1">
        <f t="shared" si="101"/>
        <v>-5.280028288625136</v>
      </c>
      <c r="G954" s="1"/>
      <c r="H954">
        <f t="shared" si="106"/>
        <v>5</v>
      </c>
      <c r="I954" s="1">
        <f t="shared" si="102"/>
        <v>94.399999999998911</v>
      </c>
    </row>
    <row r="955" spans="2:9" x14ac:dyDescent="0.25">
      <c r="B955" s="1">
        <f t="shared" si="103"/>
        <v>94.499999999998906</v>
      </c>
      <c r="C955" s="1">
        <f t="shared" si="104"/>
        <v>206.58666730399983</v>
      </c>
      <c r="D955" s="1">
        <f t="shared" si="100"/>
        <v>-46.672645238918228</v>
      </c>
      <c r="E955" s="1">
        <f t="shared" si="105"/>
        <v>-46.672645238918228</v>
      </c>
      <c r="F955" s="1">
        <f t="shared" si="101"/>
        <v>-5.1646666825999965</v>
      </c>
      <c r="G955" s="1"/>
      <c r="H955">
        <f t="shared" si="106"/>
        <v>5</v>
      </c>
      <c r="I955" s="1">
        <f t="shared" si="102"/>
        <v>94.499999999998906</v>
      </c>
    </row>
    <row r="956" spans="2:9" x14ac:dyDescent="0.25">
      <c r="B956" s="1">
        <f t="shared" si="103"/>
        <v>94.5999999999989</v>
      </c>
      <c r="C956" s="1">
        <f t="shared" si="104"/>
        <v>201.91940278010802</v>
      </c>
      <c r="D956" s="1">
        <f t="shared" si="100"/>
        <v>-47.18911190717823</v>
      </c>
      <c r="E956" s="1">
        <f t="shared" si="105"/>
        <v>-47.18911190717823</v>
      </c>
      <c r="F956" s="1">
        <f t="shared" si="101"/>
        <v>-5.0479850695027011</v>
      </c>
      <c r="G956" s="1"/>
      <c r="H956">
        <f t="shared" si="106"/>
        <v>5</v>
      </c>
      <c r="I956" s="1">
        <f t="shared" si="102"/>
        <v>94.5999999999989</v>
      </c>
    </row>
    <row r="957" spans="2:9" x14ac:dyDescent="0.25">
      <c r="B957" s="1">
        <f t="shared" si="103"/>
        <v>94.699999999998894</v>
      </c>
      <c r="C957" s="1">
        <f t="shared" si="104"/>
        <v>197.2004915893902</v>
      </c>
      <c r="D957" s="1">
        <f t="shared" si="100"/>
        <v>-47.693910414128503</v>
      </c>
      <c r="E957" s="1">
        <f t="shared" si="105"/>
        <v>-47.693910414128503</v>
      </c>
      <c r="F957" s="1">
        <f t="shared" si="101"/>
        <v>-4.9300122897347549</v>
      </c>
      <c r="G957" s="1"/>
      <c r="H957">
        <f t="shared" si="106"/>
        <v>5</v>
      </c>
      <c r="I957" s="1">
        <f t="shared" si="102"/>
        <v>94.699999999998894</v>
      </c>
    </row>
    <row r="958" spans="2:9" x14ac:dyDescent="0.25">
      <c r="B958" s="1">
        <f t="shared" si="103"/>
        <v>94.799999999998889</v>
      </c>
      <c r="C958" s="1">
        <f t="shared" si="104"/>
        <v>192.43110054797734</v>
      </c>
      <c r="D958" s="1">
        <f t="shared" si="100"/>
        <v>-48.186911643101979</v>
      </c>
      <c r="E958" s="1">
        <f t="shared" si="105"/>
        <v>-48.186911643101979</v>
      </c>
      <c r="F958" s="1">
        <f t="shared" si="101"/>
        <v>-4.810777513699434</v>
      </c>
      <c r="G958" s="1"/>
      <c r="H958">
        <f t="shared" si="106"/>
        <v>5</v>
      </c>
      <c r="I958" s="1">
        <f t="shared" si="102"/>
        <v>94.799999999998889</v>
      </c>
    </row>
    <row r="959" spans="2:9" x14ac:dyDescent="0.25">
      <c r="B959" s="1">
        <f t="shared" si="103"/>
        <v>94.899999999998883</v>
      </c>
      <c r="C959" s="1">
        <f t="shared" si="104"/>
        <v>187.61240938366714</v>
      </c>
      <c r="D959" s="1">
        <f t="shared" si="100"/>
        <v>-48.667989394471924</v>
      </c>
      <c r="E959" s="1">
        <f t="shared" si="105"/>
        <v>-48.667989394471924</v>
      </c>
      <c r="F959" s="1">
        <f t="shared" si="101"/>
        <v>-4.6903102345916787</v>
      </c>
      <c r="G959" s="1"/>
      <c r="H959">
        <f t="shared" si="106"/>
        <v>5</v>
      </c>
      <c r="I959" s="1">
        <f t="shared" si="102"/>
        <v>94.899999999998883</v>
      </c>
    </row>
    <row r="960" spans="2:9" x14ac:dyDescent="0.25">
      <c r="B960" s="1">
        <f t="shared" si="103"/>
        <v>94.999999999998877</v>
      </c>
      <c r="C960" s="1">
        <f t="shared" si="104"/>
        <v>182.74561044421995</v>
      </c>
      <c r="D960" s="1">
        <f t="shared" si="100"/>
        <v>-49.13702041793109</v>
      </c>
      <c r="E960" s="1">
        <f t="shared" si="105"/>
        <v>-49.13702041793109</v>
      </c>
      <c r="F960" s="1">
        <f t="shared" si="101"/>
        <v>-4.5686402611054993</v>
      </c>
      <c r="G960" s="1"/>
      <c r="H960">
        <f t="shared" si="106"/>
        <v>5</v>
      </c>
      <c r="I960" s="1">
        <f t="shared" si="102"/>
        <v>94.999999999998877</v>
      </c>
    </row>
    <row r="961" spans="2:9" x14ac:dyDescent="0.25">
      <c r="B961" s="1">
        <f t="shared" si="103"/>
        <v>95.099999999998872</v>
      </c>
      <c r="C961" s="1">
        <f t="shared" si="104"/>
        <v>177.83190840242685</v>
      </c>
      <c r="D961" s="1">
        <f t="shared" si="100"/>
        <v>-49.593884444041642</v>
      </c>
      <c r="E961" s="1">
        <f t="shared" si="105"/>
        <v>-49.593884444041642</v>
      </c>
      <c r="F961" s="1">
        <f t="shared" si="101"/>
        <v>-4.4457977100606714</v>
      </c>
      <c r="G961" s="1"/>
      <c r="H961">
        <f t="shared" si="106"/>
        <v>5</v>
      </c>
      <c r="I961" s="1">
        <f t="shared" si="102"/>
        <v>95.099999999998872</v>
      </c>
    </row>
    <row r="962" spans="2:9" x14ac:dyDescent="0.25">
      <c r="B962" s="1">
        <f t="shared" si="103"/>
        <v>95.199999999998866</v>
      </c>
      <c r="C962" s="1">
        <f t="shared" si="104"/>
        <v>172.87251995802268</v>
      </c>
      <c r="D962" s="1">
        <f t="shared" si="100"/>
        <v>-50.038464215047711</v>
      </c>
      <c r="E962" s="1">
        <f t="shared" si="105"/>
        <v>-50.038464215047711</v>
      </c>
      <c r="F962" s="1">
        <f t="shared" si="101"/>
        <v>-4.3218129989505671</v>
      </c>
      <c r="G962" s="1"/>
      <c r="H962">
        <f t="shared" si="106"/>
        <v>5</v>
      </c>
      <c r="I962" s="1">
        <f t="shared" si="102"/>
        <v>95.199999999998866</v>
      </c>
    </row>
    <row r="963" spans="2:9" x14ac:dyDescent="0.25">
      <c r="B963" s="1">
        <f t="shared" si="103"/>
        <v>95.29999999999886</v>
      </c>
      <c r="C963" s="1">
        <f t="shared" si="104"/>
        <v>167.86867353651792</v>
      </c>
      <c r="D963" s="1">
        <f t="shared" si="100"/>
        <v>-50.470645514942767</v>
      </c>
      <c r="E963" s="1">
        <f t="shared" si="105"/>
        <v>-50.470645514942767</v>
      </c>
      <c r="F963" s="1">
        <f t="shared" si="101"/>
        <v>-4.1967168384129483</v>
      </c>
      <c r="G963" s="1"/>
      <c r="H963">
        <f t="shared" si="106"/>
        <v>5</v>
      </c>
      <c r="I963" s="1">
        <f t="shared" si="102"/>
        <v>95.29999999999886</v>
      </c>
    </row>
    <row r="964" spans="2:9" x14ac:dyDescent="0.25">
      <c r="B964" s="1">
        <f t="shared" si="103"/>
        <v>95.399999999998855</v>
      </c>
      <c r="C964" s="1">
        <f t="shared" si="104"/>
        <v>162.82160898502363</v>
      </c>
      <c r="D964" s="1">
        <f t="shared" si="100"/>
        <v>-50.890317198784061</v>
      </c>
      <c r="E964" s="1">
        <f t="shared" si="105"/>
        <v>-50.890317198784061</v>
      </c>
      <c r="F964" s="1">
        <f t="shared" si="101"/>
        <v>-4.0705402246255913</v>
      </c>
      <c r="G964" s="1"/>
      <c r="H964">
        <f t="shared" si="106"/>
        <v>5</v>
      </c>
      <c r="I964" s="1">
        <f t="shared" si="102"/>
        <v>95.399999999998855</v>
      </c>
    </row>
    <row r="965" spans="2:9" x14ac:dyDescent="0.25">
      <c r="B965" s="1">
        <f t="shared" si="103"/>
        <v>95.499999999998849</v>
      </c>
      <c r="C965" s="1">
        <f t="shared" si="104"/>
        <v>157.73257726514521</v>
      </c>
      <c r="D965" s="1">
        <f t="shared" si="100"/>
        <v>-51.297371221246621</v>
      </c>
      <c r="E965" s="1">
        <f t="shared" si="105"/>
        <v>-51.297371221246621</v>
      </c>
      <c r="F965" s="1">
        <f t="shared" si="101"/>
        <v>-3.9433144316286306</v>
      </c>
      <c r="G965" s="1"/>
      <c r="H965">
        <f t="shared" si="106"/>
        <v>5</v>
      </c>
      <c r="I965" s="1">
        <f t="shared" si="102"/>
        <v>95.499999999998849</v>
      </c>
    </row>
    <row r="966" spans="2:9" x14ac:dyDescent="0.25">
      <c r="B966" s="1">
        <f t="shared" si="103"/>
        <v>95.599999999998843</v>
      </c>
      <c r="C966" s="1">
        <f t="shared" si="104"/>
        <v>152.60284014302056</v>
      </c>
      <c r="D966" s="1">
        <f t="shared" si="100"/>
        <v>-51.691702664409483</v>
      </c>
      <c r="E966" s="1">
        <f t="shared" si="105"/>
        <v>-51.691702664409483</v>
      </c>
      <c r="F966" s="1">
        <f t="shared" si="101"/>
        <v>-3.8150710035755142</v>
      </c>
      <c r="G966" s="1"/>
      <c r="H966">
        <f t="shared" si="106"/>
        <v>5</v>
      </c>
      <c r="I966" s="1">
        <f t="shared" si="102"/>
        <v>95.599999999998843</v>
      </c>
    </row>
    <row r="967" spans="2:9" x14ac:dyDescent="0.25">
      <c r="B967" s="1">
        <f t="shared" si="103"/>
        <v>95.699999999998838</v>
      </c>
      <c r="C967" s="1">
        <f t="shared" si="104"/>
        <v>147.43366987657961</v>
      </c>
      <c r="D967" s="1">
        <f t="shared" si="100"/>
        <v>-52.073209764767036</v>
      </c>
      <c r="E967" s="1">
        <f t="shared" si="105"/>
        <v>-52.073209764767036</v>
      </c>
      <c r="F967" s="1">
        <f t="shared" si="101"/>
        <v>-3.6858417469144906</v>
      </c>
      <c r="G967" s="1"/>
      <c r="H967">
        <f t="shared" si="106"/>
        <v>5</v>
      </c>
      <c r="I967" s="1">
        <f t="shared" si="102"/>
        <v>95.699999999998838</v>
      </c>
    </row>
    <row r="968" spans="2:9" x14ac:dyDescent="0.25">
      <c r="B968" s="1">
        <f t="shared" si="103"/>
        <v>95.799999999998832</v>
      </c>
      <c r="C968" s="1">
        <f t="shared" si="104"/>
        <v>142.22634890010292</v>
      </c>
      <c r="D968" s="1">
        <f t="shared" si="100"/>
        <v>-52.441793939458485</v>
      </c>
      <c r="E968" s="1">
        <f t="shared" si="105"/>
        <v>-52.441793939458485</v>
      </c>
      <c r="F968" s="1">
        <f t="shared" si="101"/>
        <v>-3.5556587225025731</v>
      </c>
      <c r="G968" s="1"/>
      <c r="H968">
        <f t="shared" si="106"/>
        <v>5</v>
      </c>
      <c r="I968" s="1">
        <f t="shared" si="102"/>
        <v>95.799999999998832</v>
      </c>
    </row>
    <row r="969" spans="2:9" x14ac:dyDescent="0.25">
      <c r="B969" s="1">
        <f t="shared" si="103"/>
        <v>95.899999999998826</v>
      </c>
      <c r="C969" s="1">
        <f t="shared" si="104"/>
        <v>136.98216950615708</v>
      </c>
      <c r="D969" s="1">
        <f t="shared" si="100"/>
        <v>-52.797359811708745</v>
      </c>
      <c r="E969" s="1">
        <f t="shared" si="105"/>
        <v>-52.797359811708745</v>
      </c>
      <c r="F969" s="1">
        <f t="shared" si="101"/>
        <v>-3.4245542376539273</v>
      </c>
      <c r="G969" s="1"/>
      <c r="H969">
        <f t="shared" si="106"/>
        <v>5</v>
      </c>
      <c r="I969" s="1">
        <f t="shared" si="102"/>
        <v>95.899999999998826</v>
      </c>
    </row>
    <row r="970" spans="2:9" x14ac:dyDescent="0.25">
      <c r="B970" s="1">
        <f t="shared" si="103"/>
        <v>95.99999999999882</v>
      </c>
      <c r="C970" s="1">
        <f t="shared" si="104"/>
        <v>131.70243352498619</v>
      </c>
      <c r="D970" s="1">
        <f t="shared" ref="D970:D1033" si="107">E970</f>
        <v>-53.139815235474138</v>
      </c>
      <c r="E970" s="1">
        <f t="shared" si="105"/>
        <v>-53.139815235474138</v>
      </c>
      <c r="F970" s="1">
        <f t="shared" ref="F970:F1033" si="108">-$C$3*C970/$C$4-$C$2/$C$4*E970</f>
        <v>-3.2925608381246549</v>
      </c>
      <c r="G970" s="1"/>
      <c r="H970">
        <f t="shared" si="106"/>
        <v>5</v>
      </c>
      <c r="I970" s="1">
        <f t="shared" ref="I970:I1010" si="109">B970</f>
        <v>95.99999999999882</v>
      </c>
    </row>
    <row r="971" spans="2:9" x14ac:dyDescent="0.25">
      <c r="B971" s="1">
        <f t="shared" ref="B971:B1010" si="110">B970+$C$7</f>
        <v>96.099999999998815</v>
      </c>
      <c r="C971" s="1">
        <f t="shared" ref="C971:C1010" si="111">C970+D970*$C$7</f>
        <v>126.38845200143878</v>
      </c>
      <c r="D971" s="1">
        <f t="shared" si="107"/>
        <v>-53.469071319286606</v>
      </c>
      <c r="E971" s="1">
        <f t="shared" ref="E971:E1010" si="112">E970+F970*$C$7</f>
        <v>-53.469071319286606</v>
      </c>
      <c r="F971" s="1">
        <f t="shared" si="108"/>
        <v>-3.1597113000359696</v>
      </c>
      <c r="G971" s="1"/>
      <c r="H971">
        <f t="shared" ref="H971:H1010" si="113">H970+(D971*D972&lt;0)*1</f>
        <v>5</v>
      </c>
      <c r="I971" s="1">
        <f t="shared" si="109"/>
        <v>96.099999999998815</v>
      </c>
    </row>
    <row r="972" spans="2:9" x14ac:dyDescent="0.25">
      <c r="B972" s="1">
        <f t="shared" si="110"/>
        <v>96.199999999998809</v>
      </c>
      <c r="C972" s="1">
        <f t="shared" si="111"/>
        <v>121.04154486951012</v>
      </c>
      <c r="D972" s="1">
        <f t="shared" si="107"/>
        <v>-53.785042449290202</v>
      </c>
      <c r="E972" s="1">
        <f t="shared" si="112"/>
        <v>-53.785042449290202</v>
      </c>
      <c r="F972" s="1">
        <f t="shared" si="108"/>
        <v>-3.0260386217377531</v>
      </c>
      <c r="G972" s="1"/>
      <c r="H972">
        <f t="shared" si="113"/>
        <v>5</v>
      </c>
      <c r="I972" s="1">
        <f t="shared" si="109"/>
        <v>96.199999999998809</v>
      </c>
    </row>
    <row r="973" spans="2:9" x14ac:dyDescent="0.25">
      <c r="B973" s="1">
        <f t="shared" si="110"/>
        <v>96.299999999998803</v>
      </c>
      <c r="C973" s="1">
        <f t="shared" si="111"/>
        <v>115.6630406245811</v>
      </c>
      <c r="D973" s="1">
        <f t="shared" si="107"/>
        <v>-54.087646311463978</v>
      </c>
      <c r="E973" s="1">
        <f t="shared" si="112"/>
        <v>-54.087646311463978</v>
      </c>
      <c r="F973" s="1">
        <f t="shared" si="108"/>
        <v>-2.8915760156145276</v>
      </c>
      <c r="G973" s="1"/>
      <c r="H973">
        <f t="shared" si="113"/>
        <v>5</v>
      </c>
      <c r="I973" s="1">
        <f t="shared" si="109"/>
        <v>96.299999999998803</v>
      </c>
    </row>
    <row r="974" spans="2:9" x14ac:dyDescent="0.25">
      <c r="B974" s="1">
        <f t="shared" si="110"/>
        <v>96.399999999998798</v>
      </c>
      <c r="C974" s="1">
        <f t="shared" si="111"/>
        <v>110.2542759934347</v>
      </c>
      <c r="D974" s="1">
        <f t="shared" si="107"/>
        <v>-54.376803913025434</v>
      </c>
      <c r="E974" s="1">
        <f t="shared" si="112"/>
        <v>-54.376803913025434</v>
      </c>
      <c r="F974" s="1">
        <f t="shared" si="108"/>
        <v>-2.7563568998358678</v>
      </c>
      <c r="G974" s="1"/>
      <c r="H974">
        <f t="shared" si="113"/>
        <v>5</v>
      </c>
      <c r="I974" s="1">
        <f t="shared" si="109"/>
        <v>96.399999999998798</v>
      </c>
    </row>
    <row r="975" spans="2:9" x14ac:dyDescent="0.25">
      <c r="B975" s="1">
        <f t="shared" si="110"/>
        <v>96.499999999998792</v>
      </c>
      <c r="C975" s="1">
        <f t="shared" si="111"/>
        <v>104.81659560213215</v>
      </c>
      <c r="D975" s="1">
        <f t="shared" si="107"/>
        <v>-54.652439603009022</v>
      </c>
      <c r="E975" s="1">
        <f t="shared" si="112"/>
        <v>-54.652439603009022</v>
      </c>
      <c r="F975" s="1">
        <f t="shared" si="108"/>
        <v>-2.6204148900533042</v>
      </c>
      <c r="G975" s="1"/>
      <c r="H975">
        <f t="shared" si="113"/>
        <v>5</v>
      </c>
      <c r="I975" s="1">
        <f t="shared" si="109"/>
        <v>96.499999999998792</v>
      </c>
    </row>
    <row r="976" spans="2:9" x14ac:dyDescent="0.25">
      <c r="B976" s="1">
        <f t="shared" si="110"/>
        <v>96.599999999998786</v>
      </c>
      <c r="C976" s="1">
        <f t="shared" si="111"/>
        <v>99.351351641831258</v>
      </c>
      <c r="D976" s="1">
        <f t="shared" si="107"/>
        <v>-54.914481092014356</v>
      </c>
      <c r="E976" s="1">
        <f t="shared" si="112"/>
        <v>-54.914481092014356</v>
      </c>
      <c r="F976" s="1">
        <f t="shared" si="108"/>
        <v>-2.4837837910457816</v>
      </c>
      <c r="G976" s="1"/>
      <c r="H976">
        <f t="shared" si="113"/>
        <v>5</v>
      </c>
      <c r="I976" s="1">
        <f t="shared" si="109"/>
        <v>96.599999999998786</v>
      </c>
    </row>
    <row r="977" spans="2:9" x14ac:dyDescent="0.25">
      <c r="B977" s="1">
        <f t="shared" si="110"/>
        <v>96.699999999998781</v>
      </c>
      <c r="C977" s="1">
        <f t="shared" si="111"/>
        <v>93.859903532629829</v>
      </c>
      <c r="D977" s="1">
        <f t="shared" si="107"/>
        <v>-55.162859471118935</v>
      </c>
      <c r="E977" s="1">
        <f t="shared" si="112"/>
        <v>-55.162859471118935</v>
      </c>
      <c r="F977" s="1">
        <f t="shared" si="108"/>
        <v>-2.3464975883157457</v>
      </c>
      <c r="G977" s="1"/>
      <c r="H977">
        <f t="shared" si="113"/>
        <v>5</v>
      </c>
      <c r="I977" s="1">
        <f t="shared" si="109"/>
        <v>96.699999999998781</v>
      </c>
    </row>
    <row r="978" spans="2:9" x14ac:dyDescent="0.25">
      <c r="B978" s="1">
        <f t="shared" si="110"/>
        <v>96.799999999998775</v>
      </c>
      <c r="C978" s="1">
        <f t="shared" si="111"/>
        <v>88.343617585517933</v>
      </c>
      <c r="D978" s="1">
        <f t="shared" si="107"/>
        <v>-55.397509229950508</v>
      </c>
      <c r="E978" s="1">
        <f t="shared" si="112"/>
        <v>-55.397509229950508</v>
      </c>
      <c r="F978" s="1">
        <f t="shared" si="108"/>
        <v>-2.2085904396379483</v>
      </c>
      <c r="G978" s="1"/>
      <c r="H978">
        <f t="shared" si="113"/>
        <v>5</v>
      </c>
      <c r="I978" s="1">
        <f t="shared" si="109"/>
        <v>96.799999999998775</v>
      </c>
    </row>
    <row r="979" spans="2:9" x14ac:dyDescent="0.25">
      <c r="B979" s="1">
        <f t="shared" si="110"/>
        <v>96.899999999998769</v>
      </c>
      <c r="C979" s="1">
        <f t="shared" si="111"/>
        <v>82.803866662522879</v>
      </c>
      <c r="D979" s="1">
        <f t="shared" si="107"/>
        <v>-55.618368273914299</v>
      </c>
      <c r="E979" s="1">
        <f t="shared" si="112"/>
        <v>-55.618368273914299</v>
      </c>
      <c r="F979" s="1">
        <f t="shared" si="108"/>
        <v>-2.0700966665630722</v>
      </c>
      <c r="G979" s="1"/>
      <c r="H979">
        <f t="shared" si="113"/>
        <v>5</v>
      </c>
      <c r="I979" s="1">
        <f t="shared" si="109"/>
        <v>96.899999999998769</v>
      </c>
    </row>
    <row r="980" spans="2:9" x14ac:dyDescent="0.25">
      <c r="B980" s="1">
        <f t="shared" si="110"/>
        <v>96.999999999998764</v>
      </c>
      <c r="C980" s="1">
        <f t="shared" si="111"/>
        <v>77.242029835131447</v>
      </c>
      <c r="D980" s="1">
        <f t="shared" si="107"/>
        <v>-55.825377940570604</v>
      </c>
      <c r="E980" s="1">
        <f t="shared" si="112"/>
        <v>-55.825377940570604</v>
      </c>
      <c r="F980" s="1">
        <f t="shared" si="108"/>
        <v>-1.9310507458782862</v>
      </c>
      <c r="G980" s="1"/>
      <c r="H980">
        <f t="shared" si="113"/>
        <v>5</v>
      </c>
      <c r="I980" s="1">
        <f t="shared" si="109"/>
        <v>96.999999999998764</v>
      </c>
    </row>
    <row r="981" spans="2:9" x14ac:dyDescent="0.25">
      <c r="B981" s="1">
        <f t="shared" si="110"/>
        <v>97.099999999998758</v>
      </c>
      <c r="C981" s="1">
        <f t="shared" si="111"/>
        <v>71.659492041074387</v>
      </c>
      <c r="D981" s="1">
        <f t="shared" si="107"/>
        <v>-56.018483015158431</v>
      </c>
      <c r="E981" s="1">
        <f t="shared" si="112"/>
        <v>-56.018483015158431</v>
      </c>
      <c r="F981" s="1">
        <f t="shared" si="108"/>
        <v>-1.7914873010268597</v>
      </c>
      <c r="G981" s="1"/>
      <c r="H981">
        <f t="shared" si="113"/>
        <v>5</v>
      </c>
      <c r="I981" s="1">
        <f t="shared" si="109"/>
        <v>97.099999999998758</v>
      </c>
    </row>
    <row r="982" spans="2:9" x14ac:dyDescent="0.25">
      <c r="B982" s="1">
        <f t="shared" si="110"/>
        <v>97.199999999998752</v>
      </c>
      <c r="C982" s="1">
        <f t="shared" si="111"/>
        <v>66.057643739558543</v>
      </c>
      <c r="D982" s="1">
        <f t="shared" si="107"/>
        <v>-56.19763174526112</v>
      </c>
      <c r="E982" s="1">
        <f t="shared" si="112"/>
        <v>-56.19763174526112</v>
      </c>
      <c r="F982" s="1">
        <f t="shared" si="108"/>
        <v>-1.6514410934889636</v>
      </c>
      <c r="G982" s="1"/>
      <c r="H982">
        <f t="shared" si="113"/>
        <v>5</v>
      </c>
      <c r="I982" s="1">
        <f t="shared" si="109"/>
        <v>97.199999999998752</v>
      </c>
    </row>
    <row r="983" spans="2:9" x14ac:dyDescent="0.25">
      <c r="B983" s="1">
        <f t="shared" si="110"/>
        <v>97.299999999998747</v>
      </c>
      <c r="C983" s="1">
        <f t="shared" si="111"/>
        <v>60.43788056503243</v>
      </c>
      <c r="D983" s="1">
        <f t="shared" si="107"/>
        <v>-56.362775854610014</v>
      </c>
      <c r="E983" s="1">
        <f t="shared" si="112"/>
        <v>-56.362775854610014</v>
      </c>
      <c r="F983" s="1">
        <f t="shared" si="108"/>
        <v>-1.5109470141258108</v>
      </c>
      <c r="G983" s="1"/>
      <c r="H983">
        <f t="shared" si="113"/>
        <v>5</v>
      </c>
      <c r="I983" s="1">
        <f t="shared" si="109"/>
        <v>97.299999999998747</v>
      </c>
    </row>
    <row r="984" spans="2:9" x14ac:dyDescent="0.25">
      <c r="B984" s="1">
        <f t="shared" si="110"/>
        <v>97.399999999998741</v>
      </c>
      <c r="C984" s="1">
        <f t="shared" si="111"/>
        <v>54.801602979571427</v>
      </c>
      <c r="D984" s="1">
        <f t="shared" si="107"/>
        <v>-56.513870556022596</v>
      </c>
      <c r="E984" s="1">
        <f t="shared" si="112"/>
        <v>-56.513870556022596</v>
      </c>
      <c r="F984" s="1">
        <f t="shared" si="108"/>
        <v>-1.3700400744892858</v>
      </c>
      <c r="G984" s="1"/>
      <c r="H984">
        <f t="shared" si="113"/>
        <v>5</v>
      </c>
      <c r="I984" s="1">
        <f t="shared" si="109"/>
        <v>97.399999999998741</v>
      </c>
    </row>
    <row r="985" spans="2:9" x14ac:dyDescent="0.25">
      <c r="B985" s="1">
        <f t="shared" si="110"/>
        <v>97.499999999998735</v>
      </c>
      <c r="C985" s="1">
        <f t="shared" si="111"/>
        <v>49.150215923969171</v>
      </c>
      <c r="D985" s="1">
        <f t="shared" si="107"/>
        <v>-56.650874563471525</v>
      </c>
      <c r="E985" s="1">
        <f t="shared" si="112"/>
        <v>-56.650874563471525</v>
      </c>
      <c r="F985" s="1">
        <f t="shared" si="108"/>
        <v>-1.2287553980992294</v>
      </c>
      <c r="G985" s="1"/>
      <c r="H985">
        <f t="shared" si="113"/>
        <v>5</v>
      </c>
      <c r="I985" s="1">
        <f t="shared" si="109"/>
        <v>97.499999999998735</v>
      </c>
    </row>
    <row r="986" spans="2:9" x14ac:dyDescent="0.25">
      <c r="B986" s="1">
        <f t="shared" si="110"/>
        <v>97.59999999999873</v>
      </c>
      <c r="C986" s="1">
        <f t="shared" si="111"/>
        <v>43.485128467622019</v>
      </c>
      <c r="D986" s="1">
        <f t="shared" si="107"/>
        <v>-56.773750103281451</v>
      </c>
      <c r="E986" s="1">
        <f t="shared" si="112"/>
        <v>-56.773750103281451</v>
      </c>
      <c r="F986" s="1">
        <f t="shared" si="108"/>
        <v>-1.0871282116905505</v>
      </c>
      <c r="G986" s="1"/>
      <c r="H986">
        <f t="shared" si="113"/>
        <v>5</v>
      </c>
      <c r="I986" s="1">
        <f t="shared" si="109"/>
        <v>97.59999999999873</v>
      </c>
    </row>
    <row r="987" spans="2:9" x14ac:dyDescent="0.25">
      <c r="B987" s="1">
        <f t="shared" si="110"/>
        <v>97.699999999998724</v>
      </c>
      <c r="C987" s="1">
        <f t="shared" si="111"/>
        <v>37.80775345729387</v>
      </c>
      <c r="D987" s="1">
        <f t="shared" si="107"/>
        <v>-56.882462924450508</v>
      </c>
      <c r="E987" s="1">
        <f t="shared" si="112"/>
        <v>-56.882462924450508</v>
      </c>
      <c r="F987" s="1">
        <f t="shared" si="108"/>
        <v>-0.94519383643234678</v>
      </c>
      <c r="G987" s="1"/>
      <c r="H987">
        <f t="shared" si="113"/>
        <v>5</v>
      </c>
      <c r="I987" s="1">
        <f t="shared" si="109"/>
        <v>97.699999999998724</v>
      </c>
    </row>
    <row r="988" spans="2:9" x14ac:dyDescent="0.25">
      <c r="B988" s="1">
        <f t="shared" si="110"/>
        <v>97.799999999998718</v>
      </c>
      <c r="C988" s="1">
        <f t="shared" si="111"/>
        <v>32.11950716484882</v>
      </c>
      <c r="D988" s="1">
        <f t="shared" si="107"/>
        <v>-56.976982308093746</v>
      </c>
      <c r="E988" s="1">
        <f t="shared" si="112"/>
        <v>-56.976982308093746</v>
      </c>
      <c r="F988" s="1">
        <f t="shared" si="108"/>
        <v>-0.80298767912122049</v>
      </c>
      <c r="G988" s="1"/>
      <c r="H988">
        <f t="shared" si="113"/>
        <v>5</v>
      </c>
      <c r="I988" s="1">
        <f t="shared" si="109"/>
        <v>97.799999999998718</v>
      </c>
    </row>
    <row r="989" spans="2:9" x14ac:dyDescent="0.25">
      <c r="B989" s="1">
        <f t="shared" si="110"/>
        <v>97.899999999998712</v>
      </c>
      <c r="C989" s="1">
        <f t="shared" si="111"/>
        <v>26.421808934039444</v>
      </c>
      <c r="D989" s="1">
        <f t="shared" si="107"/>
        <v>-57.057281076005864</v>
      </c>
      <c r="E989" s="1">
        <f t="shared" si="112"/>
        <v>-57.057281076005864</v>
      </c>
      <c r="F989" s="1">
        <f t="shared" si="108"/>
        <v>-0.66054522335098609</v>
      </c>
      <c r="G989" s="1"/>
      <c r="H989">
        <f t="shared" si="113"/>
        <v>5</v>
      </c>
      <c r="I989" s="1">
        <f t="shared" si="109"/>
        <v>97.899999999998712</v>
      </c>
    </row>
    <row r="990" spans="2:9" x14ac:dyDescent="0.25">
      <c r="B990" s="1">
        <f t="shared" si="110"/>
        <v>97.999999999998707</v>
      </c>
      <c r="C990" s="1">
        <f t="shared" si="111"/>
        <v>20.716080826438855</v>
      </c>
      <c r="D990" s="1">
        <f t="shared" si="107"/>
        <v>-57.123335598340965</v>
      </c>
      <c r="E990" s="1">
        <f t="shared" si="112"/>
        <v>-57.123335598340965</v>
      </c>
      <c r="F990" s="1">
        <f t="shared" si="108"/>
        <v>-0.51790202066097135</v>
      </c>
      <c r="G990" s="1"/>
      <c r="H990">
        <f t="shared" si="113"/>
        <v>5</v>
      </c>
      <c r="I990" s="1">
        <f t="shared" si="109"/>
        <v>97.999999999998707</v>
      </c>
    </row>
    <row r="991" spans="2:9" x14ac:dyDescent="0.25">
      <c r="B991" s="1">
        <f t="shared" si="110"/>
        <v>98.099999999998701</v>
      </c>
      <c r="C991" s="1">
        <f t="shared" si="111"/>
        <v>15.003747266604758</v>
      </c>
      <c r="D991" s="1">
        <f t="shared" si="107"/>
        <v>-57.175125800407059</v>
      </c>
      <c r="E991" s="1">
        <f t="shared" si="112"/>
        <v>-57.175125800407059</v>
      </c>
      <c r="F991" s="1">
        <f t="shared" si="108"/>
        <v>-0.37509368166511897</v>
      </c>
      <c r="G991" s="1"/>
      <c r="H991">
        <f t="shared" si="113"/>
        <v>5</v>
      </c>
      <c r="I991" s="1">
        <f t="shared" si="109"/>
        <v>98.099999999998701</v>
      </c>
    </row>
    <row r="992" spans="2:9" x14ac:dyDescent="0.25">
      <c r="B992" s="1">
        <f t="shared" si="110"/>
        <v>98.199999999998695</v>
      </c>
      <c r="C992" s="1">
        <f t="shared" si="111"/>
        <v>9.2862346865640522</v>
      </c>
      <c r="D992" s="1">
        <f t="shared" si="107"/>
        <v>-57.21263516857357</v>
      </c>
      <c r="E992" s="1">
        <f t="shared" si="112"/>
        <v>-57.21263516857357</v>
      </c>
      <c r="F992" s="1">
        <f t="shared" si="108"/>
        <v>-0.2321558671641013</v>
      </c>
      <c r="G992" s="1"/>
      <c r="H992">
        <f t="shared" si="113"/>
        <v>5</v>
      </c>
      <c r="I992" s="1">
        <f t="shared" si="109"/>
        <v>98.199999999998695</v>
      </c>
    </row>
    <row r="993" spans="2:9" x14ac:dyDescent="0.25">
      <c r="B993" s="1">
        <f t="shared" si="110"/>
        <v>98.29999999999869</v>
      </c>
      <c r="C993" s="1">
        <f t="shared" si="111"/>
        <v>3.5649711697066948</v>
      </c>
      <c r="D993" s="1">
        <f t="shared" si="107"/>
        <v>-57.235850755289981</v>
      </c>
      <c r="E993" s="1">
        <f t="shared" si="112"/>
        <v>-57.235850755289981</v>
      </c>
      <c r="F993" s="1">
        <f t="shared" si="108"/>
        <v>-8.9124279242667373E-2</v>
      </c>
      <c r="G993" s="1"/>
      <c r="H993">
        <f t="shared" si="113"/>
        <v>5</v>
      </c>
      <c r="I993" s="1">
        <f t="shared" si="109"/>
        <v>98.29999999999869</v>
      </c>
    </row>
    <row r="994" spans="2:9" x14ac:dyDescent="0.25">
      <c r="B994" s="1">
        <f t="shared" si="110"/>
        <v>98.399999999998684</v>
      </c>
      <c r="C994" s="1">
        <f t="shared" si="111"/>
        <v>-2.1586139058223033</v>
      </c>
      <c r="D994" s="1">
        <f t="shared" si="107"/>
        <v>-57.244763183214246</v>
      </c>
      <c r="E994" s="1">
        <f t="shared" si="112"/>
        <v>-57.244763183214246</v>
      </c>
      <c r="F994" s="1">
        <f t="shared" si="108"/>
        <v>5.3965347645557583E-2</v>
      </c>
      <c r="G994" s="1"/>
      <c r="H994">
        <f t="shared" si="113"/>
        <v>5</v>
      </c>
      <c r="I994" s="1">
        <f t="shared" si="109"/>
        <v>98.399999999998684</v>
      </c>
    </row>
    <row r="995" spans="2:9" x14ac:dyDescent="0.25">
      <c r="B995" s="1">
        <f t="shared" si="110"/>
        <v>98.499999999998678</v>
      </c>
      <c r="C995" s="1">
        <f t="shared" si="111"/>
        <v>-7.8830902241437286</v>
      </c>
      <c r="D995" s="1">
        <f t="shared" si="107"/>
        <v>-57.239366648449689</v>
      </c>
      <c r="E995" s="1">
        <f t="shared" si="112"/>
        <v>-57.239366648449689</v>
      </c>
      <c r="F995" s="1">
        <f t="shared" si="108"/>
        <v>0.19707725560359324</v>
      </c>
      <c r="G995" s="1"/>
      <c r="H995">
        <f t="shared" si="113"/>
        <v>5</v>
      </c>
      <c r="I995" s="1">
        <f t="shared" si="109"/>
        <v>98.499999999998678</v>
      </c>
    </row>
    <row r="996" spans="2:9" x14ac:dyDescent="0.25">
      <c r="B996" s="1">
        <f t="shared" si="110"/>
        <v>98.599999999998673</v>
      </c>
      <c r="C996" s="1">
        <f t="shared" si="111"/>
        <v>-13.607026888988699</v>
      </c>
      <c r="D996" s="1">
        <f t="shared" si="107"/>
        <v>-57.21965892288933</v>
      </c>
      <c r="E996" s="1">
        <f t="shared" si="112"/>
        <v>-57.21965892288933</v>
      </c>
      <c r="F996" s="1">
        <f t="shared" si="108"/>
        <v>0.34017567222471751</v>
      </c>
      <c r="G996" s="1"/>
      <c r="H996">
        <f t="shared" si="113"/>
        <v>5</v>
      </c>
      <c r="I996" s="1">
        <f t="shared" si="109"/>
        <v>98.599999999998673</v>
      </c>
    </row>
    <row r="997" spans="2:9" x14ac:dyDescent="0.25">
      <c r="B997" s="1">
        <f t="shared" si="110"/>
        <v>98.699999999998667</v>
      </c>
      <c r="C997" s="1">
        <f t="shared" si="111"/>
        <v>-19.328992781277634</v>
      </c>
      <c r="D997" s="1">
        <f t="shared" si="107"/>
        <v>-57.18564135566686</v>
      </c>
      <c r="E997" s="1">
        <f t="shared" si="112"/>
        <v>-57.18564135566686</v>
      </c>
      <c r="F997" s="1">
        <f t="shared" si="108"/>
        <v>0.48322481953194085</v>
      </c>
      <c r="G997" s="1"/>
      <c r="H997">
        <f t="shared" si="113"/>
        <v>5</v>
      </c>
      <c r="I997" s="1">
        <f t="shared" si="109"/>
        <v>98.699999999998667</v>
      </c>
    </row>
    <row r="998" spans="2:9" x14ac:dyDescent="0.25">
      <c r="B998" s="1">
        <f t="shared" si="110"/>
        <v>98.799999999998661</v>
      </c>
      <c r="C998" s="1">
        <f t="shared" si="111"/>
        <v>-25.047556916844322</v>
      </c>
      <c r="D998" s="1">
        <f t="shared" si="107"/>
        <v>-57.137318873713667</v>
      </c>
      <c r="E998" s="1">
        <f t="shared" si="112"/>
        <v>-57.137318873713667</v>
      </c>
      <c r="F998" s="1">
        <f t="shared" si="108"/>
        <v>0.62618892292110806</v>
      </c>
      <c r="G998" s="1"/>
      <c r="H998">
        <f t="shared" si="113"/>
        <v>5</v>
      </c>
      <c r="I998" s="1">
        <f t="shared" si="109"/>
        <v>98.799999999998661</v>
      </c>
    </row>
    <row r="999" spans="2:9" x14ac:dyDescent="0.25">
      <c r="B999" s="1">
        <f t="shared" si="110"/>
        <v>98.899999999998656</v>
      </c>
      <c r="C999" s="1">
        <f t="shared" si="111"/>
        <v>-30.761288804215688</v>
      </c>
      <c r="D999" s="1">
        <f t="shared" si="107"/>
        <v>-57.07469998142156</v>
      </c>
      <c r="E999" s="1">
        <f t="shared" si="112"/>
        <v>-57.07469998142156</v>
      </c>
      <c r="F999" s="1">
        <f t="shared" si="108"/>
        <v>0.76903222010539229</v>
      </c>
      <c r="G999" s="1"/>
      <c r="H999">
        <f t="shared" si="113"/>
        <v>5</v>
      </c>
      <c r="I999" s="1">
        <f t="shared" si="109"/>
        <v>98.899999999998656</v>
      </c>
    </row>
    <row r="1000" spans="2:9" x14ac:dyDescent="0.25">
      <c r="B1000" s="1">
        <f t="shared" si="110"/>
        <v>98.99999999999865</v>
      </c>
      <c r="C1000" s="1">
        <f t="shared" si="111"/>
        <v>-36.468758802357847</v>
      </c>
      <c r="D1000" s="1">
        <f t="shared" si="107"/>
        <v>-56.997796759411024</v>
      </c>
      <c r="E1000" s="1">
        <f t="shared" si="112"/>
        <v>-56.997796759411024</v>
      </c>
      <c r="F1000" s="1">
        <f t="shared" si="108"/>
        <v>0.9117189700589462</v>
      </c>
      <c r="G1000" s="1"/>
      <c r="H1000">
        <f t="shared" si="113"/>
        <v>5</v>
      </c>
      <c r="I1000" s="1">
        <f t="shared" si="109"/>
        <v>98.99999999999865</v>
      </c>
    </row>
    <row r="1001" spans="2:9" x14ac:dyDescent="0.25">
      <c r="B1001" s="1">
        <f t="shared" si="110"/>
        <v>99.099999999998644</v>
      </c>
      <c r="C1001" s="1">
        <f t="shared" si="111"/>
        <v>-42.168538478298949</v>
      </c>
      <c r="D1001" s="1">
        <f t="shared" si="107"/>
        <v>-56.906624862405131</v>
      </c>
      <c r="E1001" s="1">
        <f t="shared" si="112"/>
        <v>-56.906624862405131</v>
      </c>
      <c r="F1001" s="1">
        <f t="shared" si="108"/>
        <v>1.0542134619574737</v>
      </c>
      <c r="G1001" s="1"/>
      <c r="H1001">
        <f t="shared" si="113"/>
        <v>5</v>
      </c>
      <c r="I1001" s="1">
        <f t="shared" si="109"/>
        <v>99.099999999998644</v>
      </c>
    </row>
    <row r="1002" spans="2:9" x14ac:dyDescent="0.25">
      <c r="B1002" s="1">
        <f t="shared" si="110"/>
        <v>99.199999999998639</v>
      </c>
      <c r="C1002" s="1">
        <f t="shared" si="111"/>
        <v>-47.859200964539461</v>
      </c>
      <c r="D1002" s="1">
        <f t="shared" si="107"/>
        <v>-56.801203516209384</v>
      </c>
      <c r="E1002" s="1">
        <f t="shared" si="112"/>
        <v>-56.801203516209384</v>
      </c>
      <c r="F1002" s="1">
        <f t="shared" si="108"/>
        <v>1.1964800241134865</v>
      </c>
      <c r="G1002" s="1"/>
      <c r="H1002">
        <f t="shared" si="113"/>
        <v>5</v>
      </c>
      <c r="I1002" s="1">
        <f t="shared" si="109"/>
        <v>99.199999999998639</v>
      </c>
    </row>
    <row r="1003" spans="2:9" x14ac:dyDescent="0.25">
      <c r="B1003" s="1">
        <f t="shared" si="110"/>
        <v>99.299999999998633</v>
      </c>
      <c r="C1003" s="1">
        <f t="shared" si="111"/>
        <v>-53.539321316160397</v>
      </c>
      <c r="D1003" s="1">
        <f t="shared" si="107"/>
        <v>-56.681555513798038</v>
      </c>
      <c r="E1003" s="1">
        <f t="shared" si="112"/>
        <v>-56.681555513798038</v>
      </c>
      <c r="F1003" s="1">
        <f t="shared" si="108"/>
        <v>1.3384830329040101</v>
      </c>
      <c r="G1003" s="1"/>
      <c r="H1003">
        <f t="shared" si="113"/>
        <v>5</v>
      </c>
      <c r="I1003" s="1">
        <f t="shared" si="109"/>
        <v>99.299999999998633</v>
      </c>
    </row>
    <row r="1004" spans="2:9" x14ac:dyDescent="0.25">
      <c r="B1004" s="1">
        <f t="shared" si="110"/>
        <v>99.399999999998627</v>
      </c>
      <c r="C1004" s="1">
        <f t="shared" si="111"/>
        <v>-59.207476867540201</v>
      </c>
      <c r="D1004" s="1">
        <f t="shared" si="107"/>
        <v>-56.547707210507639</v>
      </c>
      <c r="E1004" s="1">
        <f t="shared" si="112"/>
        <v>-56.547707210507639</v>
      </c>
      <c r="F1004" s="1">
        <f t="shared" si="108"/>
        <v>1.4801869216885051</v>
      </c>
      <c r="G1004" s="1"/>
      <c r="H1004">
        <f t="shared" si="113"/>
        <v>5</v>
      </c>
      <c r="I1004" s="1">
        <f t="shared" si="109"/>
        <v>99.399999999998627</v>
      </c>
    </row>
    <row r="1005" spans="2:9" x14ac:dyDescent="0.25">
      <c r="B1005" s="1">
        <f t="shared" si="110"/>
        <v>99.499999999998622</v>
      </c>
      <c r="C1005" s="1">
        <f t="shared" si="111"/>
        <v>-64.862247588590961</v>
      </c>
      <c r="D1005" s="1">
        <f t="shared" si="107"/>
        <v>-56.399688518338792</v>
      </c>
      <c r="E1005" s="1">
        <f t="shared" si="112"/>
        <v>-56.399688518338792</v>
      </c>
      <c r="F1005" s="1">
        <f t="shared" si="108"/>
        <v>1.6215561897147741</v>
      </c>
      <c r="G1005" s="1"/>
      <c r="H1005">
        <f t="shared" si="113"/>
        <v>5</v>
      </c>
      <c r="I1005" s="1">
        <f t="shared" si="109"/>
        <v>99.499999999998622</v>
      </c>
    </row>
    <row r="1006" spans="2:9" x14ac:dyDescent="0.25">
      <c r="B1006" s="1">
        <f t="shared" si="110"/>
        <v>99.599999999998616</v>
      </c>
      <c r="C1006" s="1">
        <f t="shared" si="111"/>
        <v>-70.502216440424846</v>
      </c>
      <c r="D1006" s="1">
        <f t="shared" si="107"/>
        <v>-56.237532899367316</v>
      </c>
      <c r="E1006" s="1">
        <f t="shared" si="112"/>
        <v>-56.237532899367316</v>
      </c>
      <c r="F1006" s="1">
        <f t="shared" si="108"/>
        <v>1.7625554110106212</v>
      </c>
      <c r="G1006" s="1"/>
      <c r="H1006">
        <f t="shared" si="113"/>
        <v>5</v>
      </c>
      <c r="I1006" s="1">
        <f t="shared" si="109"/>
        <v>99.599999999998616</v>
      </c>
    </row>
    <row r="1007" spans="2:9" x14ac:dyDescent="0.25">
      <c r="B1007" s="1">
        <f t="shared" si="110"/>
        <v>99.69999999999861</v>
      </c>
      <c r="C1007" s="1">
        <f t="shared" si="111"/>
        <v>-76.125969730361575</v>
      </c>
      <c r="D1007" s="1">
        <f t="shared" si="107"/>
        <v>-56.061277358266253</v>
      </c>
      <c r="E1007" s="1">
        <f t="shared" si="112"/>
        <v>-56.061277358266253</v>
      </c>
      <c r="F1007" s="1">
        <f t="shared" si="108"/>
        <v>1.9031492432590396</v>
      </c>
      <c r="G1007" s="1"/>
      <c r="H1007">
        <f t="shared" si="113"/>
        <v>5</v>
      </c>
      <c r="I1007" s="1">
        <f t="shared" si="109"/>
        <v>99.69999999999861</v>
      </c>
    </row>
    <row r="1008" spans="2:9" x14ac:dyDescent="0.25">
      <c r="B1008" s="1">
        <f t="shared" si="110"/>
        <v>99.799999999998604</v>
      </c>
      <c r="C1008" s="1">
        <f t="shared" si="111"/>
        <v>-81.732097466188208</v>
      </c>
      <c r="D1008" s="1">
        <f t="shared" si="107"/>
        <v>-55.870962433940349</v>
      </c>
      <c r="E1008" s="1">
        <f t="shared" si="112"/>
        <v>-55.870962433940349</v>
      </c>
      <c r="F1008" s="1">
        <f t="shared" si="108"/>
        <v>2.0433024366547055</v>
      </c>
      <c r="G1008" s="1"/>
      <c r="H1008">
        <f t="shared" si="113"/>
        <v>5</v>
      </c>
      <c r="I1008" s="1">
        <f t="shared" si="109"/>
        <v>99.799999999998604</v>
      </c>
    </row>
    <row r="1009" spans="2:9" x14ac:dyDescent="0.25">
      <c r="B1009" s="1">
        <f t="shared" si="110"/>
        <v>99.899999999998599</v>
      </c>
      <c r="C1009" s="1">
        <f t="shared" si="111"/>
        <v>-87.319193709582237</v>
      </c>
      <c r="D1009" s="1">
        <f t="shared" si="107"/>
        <v>-55.666632190274882</v>
      </c>
      <c r="E1009" s="1">
        <f t="shared" si="112"/>
        <v>-55.666632190274882</v>
      </c>
      <c r="F1009" s="1">
        <f t="shared" si="108"/>
        <v>2.1829798427395559</v>
      </c>
      <c r="G1009" s="1"/>
      <c r="H1009">
        <f t="shared" si="113"/>
        <v>5</v>
      </c>
      <c r="I1009" s="1">
        <f t="shared" si="109"/>
        <v>99.899999999998599</v>
      </c>
    </row>
    <row r="1010" spans="2:9" x14ac:dyDescent="0.25">
      <c r="B1010" s="1">
        <f t="shared" si="110"/>
        <v>99.999999999998593</v>
      </c>
      <c r="C1010" s="1">
        <f t="shared" si="111"/>
        <v>-92.885856928609726</v>
      </c>
      <c r="D1010" s="1">
        <f t="shared" si="107"/>
        <v>-55.448334206000929</v>
      </c>
      <c r="E1010" s="1">
        <f t="shared" si="112"/>
        <v>-55.448334206000929</v>
      </c>
      <c r="F1010" s="1">
        <f t="shared" si="108"/>
        <v>2.3221464232152433</v>
      </c>
      <c r="G1010" s="1"/>
      <c r="H1010">
        <f t="shared" si="113"/>
        <v>5</v>
      </c>
      <c r="I1010" s="1">
        <f t="shared" si="109"/>
        <v>99.999999999998593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7" r:id="rId3" name="Scroll Bar 7">
              <controlPr defaultSize="0" autoPict="0">
                <anchor moveWithCells="1">
                  <from>
                    <xdr:col>16</xdr:col>
                    <xdr:colOff>19050</xdr:colOff>
                    <xdr:row>0</xdr:row>
                    <xdr:rowOff>95250</xdr:rowOff>
                  </from>
                  <to>
                    <xdr:col>16</xdr:col>
                    <xdr:colOff>228600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A1:J1008"/>
  <sheetViews>
    <sheetView tabSelected="1" zoomScale="200" zoomScaleNormal="200" workbookViewId="0">
      <selection activeCell="E8" sqref="E8"/>
    </sheetView>
  </sheetViews>
  <sheetFormatPr defaultRowHeight="15" x14ac:dyDescent="0.25"/>
  <cols>
    <col min="4" max="4" width="3.85546875" customWidth="1"/>
  </cols>
  <sheetData>
    <row r="1" spans="1:10" x14ac:dyDescent="0.25">
      <c r="A1" s="5" t="s">
        <v>38</v>
      </c>
    </row>
    <row r="2" spans="1:10" x14ac:dyDescent="0.25">
      <c r="A2" t="s">
        <v>17</v>
      </c>
      <c r="E2" s="4" t="s">
        <v>16</v>
      </c>
      <c r="F2" s="4" t="s">
        <v>15</v>
      </c>
      <c r="G2" s="4" t="s">
        <v>14</v>
      </c>
      <c r="I2" s="4" t="s">
        <v>13</v>
      </c>
      <c r="J2" s="4" t="s">
        <v>1</v>
      </c>
    </row>
    <row r="3" spans="1:10" x14ac:dyDescent="0.25">
      <c r="A3" t="s">
        <v>11</v>
      </c>
      <c r="E3" s="4">
        <v>0.1</v>
      </c>
      <c r="F3" s="4">
        <v>4</v>
      </c>
      <c r="G3" s="4">
        <v>0</v>
      </c>
      <c r="I3" s="4">
        <v>1</v>
      </c>
      <c r="J3" s="1">
        <f ca="1">VLOOKUP(I3,$E$8:$F$1008,2,0)</f>
        <v>320.74296621503476</v>
      </c>
    </row>
    <row r="4" spans="1:10" x14ac:dyDescent="0.25">
      <c r="A4" t="s">
        <v>9</v>
      </c>
      <c r="I4" s="4">
        <v>3</v>
      </c>
      <c r="J4" s="1">
        <f ca="1">VLOOKUP(I4,$E$8:$F$1008,2,0)</f>
        <v>323.38706443569646</v>
      </c>
    </row>
    <row r="5" spans="1:10" x14ac:dyDescent="0.25">
      <c r="A5" s="3" t="s">
        <v>7</v>
      </c>
      <c r="B5" s="2">
        <v>0.1</v>
      </c>
    </row>
    <row r="6" spans="1:10" x14ac:dyDescent="0.25">
      <c r="A6" s="3"/>
      <c r="C6" s="2"/>
      <c r="D6" s="2"/>
    </row>
    <row r="7" spans="1:10" x14ac:dyDescent="0.25">
      <c r="A7" t="s">
        <v>4</v>
      </c>
      <c r="B7" t="s">
        <v>1</v>
      </c>
      <c r="C7" t="s">
        <v>3</v>
      </c>
      <c r="E7" t="s">
        <v>2</v>
      </c>
      <c r="F7" t="s">
        <v>1</v>
      </c>
    </row>
    <row r="8" spans="1:10" x14ac:dyDescent="0.25">
      <c r="A8" s="1">
        <v>0</v>
      </c>
      <c r="B8" s="1">
        <v>50</v>
      </c>
      <c r="C8" s="1">
        <v>50</v>
      </c>
      <c r="D8" s="1"/>
      <c r="E8">
        <f ca="1">(C8*C9&lt;0)*1</f>
        <v>0</v>
      </c>
      <c r="F8" s="1">
        <f t="shared" ref="F8:F71" si="0">B8</f>
        <v>50</v>
      </c>
      <c r="H8" t="s">
        <v>12</v>
      </c>
    </row>
    <row r="9" spans="1:10" x14ac:dyDescent="0.25">
      <c r="A9" s="1">
        <f t="array" aca="1" ref="A9:C9" ca="1">ODE_RK4(A8:C8,$B$5,$E$3,$F$3,$G$3)</f>
        <v>0.1</v>
      </c>
      <c r="B9" s="1">
        <f ca="1"/>
        <v>54.994635481770835</v>
      </c>
      <c r="C9" s="1">
        <f ca="1"/>
        <v>49.869795638020832</v>
      </c>
      <c r="D9" s="1"/>
      <c r="E9">
        <f t="shared" ref="E9:E72" ca="1" si="1">(C9*C10&lt;0)*1+E8</f>
        <v>0</v>
      </c>
      <c r="F9" s="1">
        <f t="shared" ca="1" si="0"/>
        <v>54.994635481770835</v>
      </c>
      <c r="H9" t="s">
        <v>10</v>
      </c>
    </row>
    <row r="10" spans="1:10" x14ac:dyDescent="0.25">
      <c r="A10" s="1">
        <f t="array" aca="1" ref="A10:C10" ca="1">ODE_RK4(A9:C9,$B$5,$E$3,$F$3,$G$3)</f>
        <v>0.2</v>
      </c>
      <c r="B10" s="1">
        <f ca="1"/>
        <v>59.975730666206466</v>
      </c>
      <c r="C10" s="1">
        <f ca="1"/>
        <v>49.727118640327973</v>
      </c>
      <c r="D10" s="1"/>
      <c r="E10">
        <f t="shared" ca="1" si="1"/>
        <v>0</v>
      </c>
      <c r="F10" s="1">
        <f t="shared" ca="1" si="0"/>
        <v>59.975730666206466</v>
      </c>
      <c r="H10" t="s">
        <v>8</v>
      </c>
    </row>
    <row r="11" spans="1:10" x14ac:dyDescent="0.25">
      <c r="A11" s="1">
        <f t="array" aca="1" ref="A11:C11" ca="1">ODE_RK4(A10:C10,$B$5,$E$3,$F$3,$G$3)</f>
        <v>0.30000000000000004</v>
      </c>
      <c r="B11" s="1">
        <f ca="1"/>
        <v>64.942039739142515</v>
      </c>
      <c r="C11" s="1">
        <f ca="1"/>
        <v>49.572004155823564</v>
      </c>
      <c r="D11" s="1"/>
      <c r="E11">
        <f t="shared" ca="1" si="1"/>
        <v>0</v>
      </c>
      <c r="F11" s="1">
        <f t="shared" ca="1" si="0"/>
        <v>64.942039739142515</v>
      </c>
      <c r="H11" t="s">
        <v>6</v>
      </c>
    </row>
    <row r="12" spans="1:10" x14ac:dyDescent="0.25">
      <c r="A12" s="1">
        <f t="array" aca="1" ref="A12:C12" ca="1">ODE_RK4(A11:C11,$B$5,$E$3,$F$3,$G$3)</f>
        <v>0.4</v>
      </c>
      <c r="B12" s="1">
        <f ca="1"/>
        <v>69.892320530965677</v>
      </c>
      <c r="C12" s="1">
        <f ca="1"/>
        <v>49.404490444186543</v>
      </c>
      <c r="D12" s="1"/>
      <c r="E12">
        <f t="shared" ca="1" si="1"/>
        <v>0</v>
      </c>
      <c r="F12" s="1">
        <f t="shared" ca="1" si="0"/>
        <v>69.892320530965677</v>
      </c>
      <c r="H12" t="s">
        <v>5</v>
      </c>
    </row>
    <row r="13" spans="1:10" x14ac:dyDescent="0.25">
      <c r="A13" s="1">
        <f t="array" aca="1" ref="A13:C13" ca="1">ODE_RK4(A12:C12,$B$5,$E$3,$F$3,$G$3)</f>
        <v>0.5</v>
      </c>
      <c r="B13" s="1">
        <f ca="1"/>
        <v>74.825334827302015</v>
      </c>
      <c r="C13" s="1">
        <f ca="1"/>
        <v>49.224618866437496</v>
      </c>
      <c r="D13" s="1"/>
      <c r="E13">
        <f t="shared" ca="1" si="1"/>
        <v>0</v>
      </c>
      <c r="F13" s="1">
        <f t="shared" ca="1" si="0"/>
        <v>74.825334827302015</v>
      </c>
      <c r="H13" t="s">
        <v>0</v>
      </c>
    </row>
    <row r="14" spans="1:10" x14ac:dyDescent="0.25">
      <c r="A14" s="1">
        <f t="array" aca="1" ref="A14:C14" ca="1">ODE_RK4(A13:C13,$B$5,$E$3,$F$3,$G$3)</f>
        <v>0.6</v>
      </c>
      <c r="B14" s="1">
        <f ca="1"/>
        <v>79.739848678729444</v>
      </c>
      <c r="C14" s="1">
        <f ca="1"/>
        <v>49.032433874727829</v>
      </c>
      <c r="D14" s="1"/>
      <c r="E14">
        <f t="shared" ca="1" si="1"/>
        <v>0</v>
      </c>
      <c r="F14" s="1">
        <f t="shared" ca="1" si="0"/>
        <v>79.739848678729444</v>
      </c>
    </row>
    <row r="15" spans="1:10" x14ac:dyDescent="0.25">
      <c r="A15" s="1">
        <f t="array" aca="1" ref="A15:C15" ca="1">ODE_RK4(A14:C14,$B$5,$E$3,$F$3,$G$3)</f>
        <v>0.7</v>
      </c>
      <c r="B15" s="1">
        <f ca="1"/>
        <v>84.634632709436929</v>
      </c>
      <c r="C15" s="1">
        <f ca="1"/>
        <v>48.827983001355712</v>
      </c>
      <c r="D15" s="1"/>
      <c r="E15">
        <f t="shared" ca="1" si="1"/>
        <v>0</v>
      </c>
      <c r="F15" s="1">
        <f t="shared" ca="1" si="0"/>
        <v>84.634632709436929</v>
      </c>
    </row>
    <row r="16" spans="1:10" x14ac:dyDescent="0.25">
      <c r="A16" s="1">
        <f t="array" aca="1" ref="A16:C16" ca="1">ODE_RK4(A15:C15,$B$5,$E$3,$F$3,$G$3)</f>
        <v>0.79999999999999993</v>
      </c>
      <c r="B16" s="1">
        <f ca="1"/>
        <v>89.508462424753063</v>
      </c>
      <c r="C16" s="1">
        <f ca="1"/>
        <v>48.611316847011594</v>
      </c>
      <c r="D16" s="1"/>
      <c r="E16">
        <f t="shared" ca="1" si="1"/>
        <v>0</v>
      </c>
      <c r="F16" s="1">
        <f t="shared" ca="1" si="0"/>
        <v>89.508462424753063</v>
      </c>
    </row>
    <row r="17" spans="1:6" x14ac:dyDescent="0.25">
      <c r="A17" s="1">
        <f t="array" aca="1" ref="A17:C17" ca="1">ODE_RK4(A16:C16,$B$5,$E$3,$F$3,$G$3)</f>
        <v>0.89999999999999991</v>
      </c>
      <c r="B17" s="1">
        <f ca="1"/>
        <v>94.360118517467313</v>
      </c>
      <c r="C17" s="1">
        <f ca="1"/>
        <v>48.382489068256092</v>
      </c>
      <c r="D17" s="1"/>
      <c r="E17">
        <f t="shared" ca="1" si="1"/>
        <v>0</v>
      </c>
      <c r="F17" s="1">
        <f t="shared" ca="1" si="0"/>
        <v>94.360118517467313</v>
      </c>
    </row>
    <row r="18" spans="1:6" x14ac:dyDescent="0.25">
      <c r="A18" s="1">
        <f t="array" aca="1" ref="A18:C18" ca="1">ODE_RK4(A17:C17,$B$5,$E$3,$F$3,$G$3)</f>
        <v>0.99999999999999989</v>
      </c>
      <c r="B18" s="1">
        <f ca="1"/>
        <v>99.188387172867081</v>
      </c>
      <c r="C18" s="1">
        <f ca="1"/>
        <v>48.141556364233438</v>
      </c>
      <c r="D18" s="1"/>
      <c r="E18">
        <f t="shared" ca="1" si="1"/>
        <v>0</v>
      </c>
      <c r="F18" s="1">
        <f t="shared" ca="1" si="0"/>
        <v>99.188387172867081</v>
      </c>
    </row>
    <row r="19" spans="1:6" x14ac:dyDescent="0.25">
      <c r="A19" s="1">
        <f t="array" aca="1" ref="A19:C19" ca="1">ODE_RK4(A18:C18,$B$5,$E$3,$F$3,$G$3)</f>
        <v>1.0999999999999999</v>
      </c>
      <c r="B19" s="1">
        <f ca="1"/>
        <v>103.9920603724145</v>
      </c>
      <c r="C19" s="1">
        <f ca="1"/>
        <v>47.888578462623727</v>
      </c>
      <c r="D19" s="1"/>
      <c r="E19">
        <f t="shared" ca="1" si="1"/>
        <v>0</v>
      </c>
      <c r="F19" s="1">
        <f t="shared" ca="1" si="0"/>
        <v>103.9920603724145</v>
      </c>
    </row>
    <row r="20" spans="1:6" x14ac:dyDescent="0.25">
      <c r="A20" s="1">
        <f t="array" aca="1" ref="A20:C20" ca="1">ODE_RK4(A19:C19,$B$5,$E$3,$F$3,$G$3)</f>
        <v>1.2</v>
      </c>
      <c r="B20" s="1">
        <f ca="1"/>
        <v>108.76993619598672</v>
      </c>
      <c r="C20" s="1">
        <f ca="1"/>
        <v>47.623618104837469</v>
      </c>
      <c r="D20" s="1"/>
      <c r="E20">
        <f t="shared" ca="1" si="1"/>
        <v>0</v>
      </c>
      <c r="F20" s="1">
        <f t="shared" ca="1" si="0"/>
        <v>108.76993619598672</v>
      </c>
    </row>
    <row r="21" spans="1:6" x14ac:dyDescent="0.25">
      <c r="A21" s="1">
        <f t="array" aca="1" ref="A21:C21" ca="1">ODE_RK4(A20:C20,$B$5,$E$3,$F$3,$G$3)</f>
        <v>1.3</v>
      </c>
      <c r="B21" s="1">
        <f ca="1"/>
        <v>113.52081912260432</v>
      </c>
      <c r="C21" s="1">
        <f ca="1"/>
        <v>47.346741030456101</v>
      </c>
      <c r="D21" s="1"/>
      <c r="E21">
        <f t="shared" ca="1" si="1"/>
        <v>0</v>
      </c>
      <c r="F21" s="1">
        <f t="shared" ca="1" si="0"/>
        <v>113.52081912260432</v>
      </c>
    </row>
    <row r="22" spans="1:6" x14ac:dyDescent="0.25">
      <c r="A22" s="1">
        <f t="array" aca="1" ref="A22:C22" ca="1">ODE_RK4(A21:C21,$B$5,$E$3,$F$3,$G$3)</f>
        <v>1.4000000000000001</v>
      </c>
      <c r="B22" s="1">
        <f ca="1"/>
        <v>118.2435203295725</v>
      </c>
      <c r="C22" s="1">
        <f ca="1"/>
        <v>47.058015960922312</v>
      </c>
      <c r="D22" s="1"/>
      <c r="E22">
        <f t="shared" ca="1" si="1"/>
        <v>0</v>
      </c>
      <c r="F22" s="1">
        <f t="shared" ca="1" si="0"/>
        <v>118.2435203295725</v>
      </c>
    </row>
    <row r="23" spans="1:6" x14ac:dyDescent="0.25">
      <c r="A23" s="1">
        <f t="array" aca="1" ref="A23:C23" ca="1">ODE_RK4(A22:C22,$B$5,$E$3,$F$3,$G$3)</f>
        <v>1.5000000000000002</v>
      </c>
      <c r="B23" s="1">
        <f ca="1"/>
        <v>122.93685798996012</v>
      </c>
      <c r="C23" s="1">
        <f ca="1"/>
        <v>46.757514582484269</v>
      </c>
      <c r="D23" s="1"/>
      <c r="E23">
        <f t="shared" ca="1" si="1"/>
        <v>0</v>
      </c>
      <c r="F23" s="1">
        <f t="shared" ca="1" si="0"/>
        <v>122.93685798996012</v>
      </c>
    </row>
    <row r="24" spans="1:6" x14ac:dyDescent="0.25">
      <c r="A24" s="1">
        <f t="array" aca="1" ref="A24:C24" ca="1">ODE_RK4(A23:C23,$B$5,$E$3,$F$3,$G$3)</f>
        <v>1.6000000000000003</v>
      </c>
      <c r="B24" s="1">
        <f ca="1"/>
        <v>127.59965756834222</v>
      </c>
      <c r="C24" s="1">
        <f ca="1"/>
        <v>46.445311528397902</v>
      </c>
      <c r="D24" s="1"/>
      <c r="E24">
        <f t="shared" ca="1" si="1"/>
        <v>0</v>
      </c>
      <c r="F24" s="1">
        <f t="shared" ca="1" si="0"/>
        <v>127.59965756834222</v>
      </c>
    </row>
    <row r="25" spans="1:6" x14ac:dyDescent="0.25">
      <c r="A25" s="1">
        <f t="array" aca="1" ref="A25:C25" ca="1">ODE_RK4(A24:C24,$B$5,$E$3,$F$3,$G$3)</f>
        <v>1.7000000000000004</v>
      </c>
      <c r="B25" s="1">
        <f ca="1"/>
        <v>132.23075211473218</v>
      </c>
      <c r="C25" s="1">
        <f ca="1"/>
        <v>46.121484360391754</v>
      </c>
      <c r="D25" s="1"/>
      <c r="E25">
        <f t="shared" ca="1" si="1"/>
        <v>0</v>
      </c>
      <c r="F25" s="1">
        <f t="shared" ca="1" si="0"/>
        <v>132.23075211473218</v>
      </c>
    </row>
    <row r="26" spans="1:6" x14ac:dyDescent="0.25">
      <c r="A26" s="1">
        <f t="array" aca="1" ref="A26:C26" ca="1">ODE_RK4(A25:C25,$B$5,$E$3,$F$3,$G$3)</f>
        <v>1.8000000000000005</v>
      </c>
      <c r="B26" s="1">
        <f ca="1"/>
        <v>136.82898255662957</v>
      </c>
      <c r="C26" s="1">
        <f ca="1"/>
        <v>45.786113549398905</v>
      </c>
      <c r="D26" s="1"/>
      <c r="E26">
        <f t="shared" ca="1" si="1"/>
        <v>0</v>
      </c>
      <c r="F26" s="1">
        <f t="shared" ca="1" si="0"/>
        <v>136.82898255662957</v>
      </c>
    </row>
    <row r="27" spans="1:6" x14ac:dyDescent="0.25">
      <c r="A27" s="1">
        <f t="array" aca="1" ref="A27:C27" ca="1">ODE_RK4(A26:C26,$B$5,$E$3,$F$3,$G$3)</f>
        <v>1.9000000000000006</v>
      </c>
      <c r="B27" s="1">
        <f ca="1"/>
        <v>141.39319798911103</v>
      </c>
      <c r="C27" s="1">
        <f ca="1"/>
        <v>45.439282455560864</v>
      </c>
      <c r="D27" s="1"/>
      <c r="E27">
        <f t="shared" ca="1" si="1"/>
        <v>0</v>
      </c>
      <c r="F27" s="1">
        <f t="shared" ca="1" si="0"/>
        <v>141.39319798911103</v>
      </c>
    </row>
    <row r="28" spans="1:6" x14ac:dyDescent="0.25">
      <c r="A28" s="1">
        <f t="array" aca="1" ref="A28:C28" ca="1">ODE_RK4(A27:C27,$B$5,$E$3,$F$3,$G$3)</f>
        <v>2.0000000000000004</v>
      </c>
      <c r="B28" s="1">
        <f ca="1"/>
        <v>145.92225596289131</v>
      </c>
      <c r="C28" s="1">
        <f ca="1"/>
        <v>45.081077307508288</v>
      </c>
      <c r="D28" s="1"/>
      <c r="E28">
        <f t="shared" ca="1" si="1"/>
        <v>0</v>
      </c>
      <c r="F28" s="1">
        <f t="shared" ca="1" si="0"/>
        <v>145.92225596289131</v>
      </c>
    </row>
    <row r="29" spans="1:6" x14ac:dyDescent="0.25">
      <c r="A29" s="1">
        <f t="array" aca="1" ref="A29:C29" ca="1">ODE_RK4(A28:C28,$B$5,$E$3,$F$3,$G$3)</f>
        <v>2.1000000000000005</v>
      </c>
      <c r="B29" s="1">
        <f ca="1"/>
        <v>150.41502277028235</v>
      </c>
      <c r="C29" s="1">
        <f ca="1"/>
        <v>44.711587180923758</v>
      </c>
      <c r="D29" s="1"/>
      <c r="E29">
        <f t="shared" ca="1" si="1"/>
        <v>0</v>
      </c>
      <c r="F29" s="1">
        <f t="shared" ca="1" si="0"/>
        <v>150.41502277028235</v>
      </c>
    </row>
    <row r="30" spans="1:6" x14ac:dyDescent="0.25">
      <c r="A30" s="1">
        <f t="array" aca="1" ref="A30:C30" ca="1">ODE_RK4(A29:C29,$B$5,$E$3,$F$3,$G$3)</f>
        <v>2.2000000000000006</v>
      </c>
      <c r="B30" s="1">
        <f ca="1"/>
        <v>154.8703737289791</v>
      </c>
      <c r="C30" s="1">
        <f ca="1"/>
        <v>44.330903976391902</v>
      </c>
      <c r="D30" s="1"/>
      <c r="E30">
        <f t="shared" ca="1" si="1"/>
        <v>0</v>
      </c>
      <c r="F30" s="1">
        <f t="shared" ca="1" si="0"/>
        <v>154.8703737289791</v>
      </c>
    </row>
    <row r="31" spans="1:6" x14ac:dyDescent="0.25">
      <c r="A31" s="1">
        <f t="array" aca="1" ref="A31:C31" ca="1">ODE_RK4(A30:C30,$B$5,$E$3,$F$3,$G$3)</f>
        <v>2.3000000000000007</v>
      </c>
      <c r="B31" s="1">
        <f ca="1"/>
        <v>159.28719346360074</v>
      </c>
      <c r="C31" s="1">
        <f ca="1"/>
        <v>43.939122396542395</v>
      </c>
      <c r="D31" s="1"/>
      <c r="E31">
        <f t="shared" ca="1" si="1"/>
        <v>0</v>
      </c>
      <c r="F31" s="1">
        <f t="shared" ca="1" si="0"/>
        <v>159.28719346360074</v>
      </c>
    </row>
    <row r="32" spans="1:6" x14ac:dyDescent="0.25">
      <c r="A32" s="1">
        <f t="array" aca="1" ref="A32:C32" ca="1">ODE_RK4(A31:C31,$B$5,$E$3,$F$3,$G$3)</f>
        <v>2.4000000000000008</v>
      </c>
      <c r="B32" s="1">
        <f ca="1"/>
        <v>163.6643761849169</v>
      </c>
      <c r="C32" s="1">
        <f ca="1"/>
        <v>43.536339922491472</v>
      </c>
      <c r="D32" s="1"/>
      <c r="E32">
        <f t="shared" ca="1" si="1"/>
        <v>0</v>
      </c>
      <c r="F32" s="1">
        <f t="shared" ca="1" si="0"/>
        <v>163.6643761849169</v>
      </c>
    </row>
    <row r="33" spans="1:6" x14ac:dyDescent="0.25">
      <c r="A33" s="1">
        <f t="array" aca="1" ref="A33:C33" ca="1">ODE_RK4(A32:C32,$B$5,$E$3,$F$3,$G$3)</f>
        <v>2.5000000000000009</v>
      </c>
      <c r="B33" s="1">
        <f ca="1"/>
        <v>168.00082596668918</v>
      </c>
      <c r="C33" s="1">
        <f ca="1"/>
        <v>43.122656789587921</v>
      </c>
      <c r="D33" s="1"/>
      <c r="E33">
        <f t="shared" ca="1" si="1"/>
        <v>0</v>
      </c>
      <c r="F33" s="1">
        <f t="shared" ca="1" si="0"/>
        <v>168.00082596668918</v>
      </c>
    </row>
    <row r="34" spans="1:6" x14ac:dyDescent="0.25">
      <c r="A34" s="1">
        <f t="array" aca="1" ref="A34:C34" ca="1">ODE_RK4(A33:C33,$B$5,$E$3,$F$3,$G$3)</f>
        <v>2.600000000000001</v>
      </c>
      <c r="B34" s="1">
        <f ca="1"/>
        <v>172.29545702005839</v>
      </c>
      <c r="C34" s="1">
        <f ca="1"/>
        <v>42.698175962469435</v>
      </c>
      <c r="D34" s="1"/>
      <c r="E34">
        <f t="shared" ca="1" si="1"/>
        <v>0</v>
      </c>
      <c r="F34" s="1">
        <f t="shared" ca="1" si="0"/>
        <v>172.29545702005839</v>
      </c>
    </row>
    <row r="35" spans="1:6" x14ac:dyDescent="0.25">
      <c r="A35" s="1">
        <f t="array" aca="1" ref="A35:C35" ca="1">ODE_RK4(A34:C34,$B$5,$E$3,$F$3,$G$3)</f>
        <v>2.7000000000000011</v>
      </c>
      <c r="B35" s="1">
        <f ca="1"/>
        <v>176.54719396540889</v>
      </c>
      <c r="C35" s="1">
        <f ca="1"/>
        <v>42.263003109435694</v>
      </c>
      <c r="D35" s="1"/>
      <c r="E35">
        <f t="shared" ca="1" si="1"/>
        <v>0</v>
      </c>
      <c r="F35" s="1">
        <f t="shared" ca="1" si="0"/>
        <v>176.54719396540889</v>
      </c>
    </row>
    <row r="36" spans="1:6" x14ac:dyDescent="0.25">
      <c r="A36" s="1">
        <f t="array" aca="1" ref="A36:C36" ca="1">ODE_RK4(A35:C35,$B$5,$E$3,$F$3,$G$3)</f>
        <v>2.8000000000000012</v>
      </c>
      <c r="B36" s="1">
        <f ca="1"/>
        <v>180.75497210164218</v>
      </c>
      <c r="C36" s="1">
        <f ca="1"/>
        <v>41.81724657614442</v>
      </c>
      <c r="D36" s="1"/>
      <c r="E36">
        <f t="shared" ca="1" si="1"/>
        <v>0</v>
      </c>
      <c r="F36" s="1">
        <f t="shared" ca="1" si="0"/>
        <v>180.75497210164218</v>
      </c>
    </row>
    <row r="37" spans="1:6" x14ac:dyDescent="0.25">
      <c r="A37" s="1">
        <f t="array" aca="1" ref="A37:C37" ca="1">ODE_RK4(A36:C36,$B$5,$E$3,$F$3,$G$3)</f>
        <v>2.9000000000000012</v>
      </c>
      <c r="B37" s="1">
        <f ca="1"/>
        <v>184.91773767279184</v>
      </c>
      <c r="C37" s="1">
        <f ca="1"/>
        <v>41.361017358637035</v>
      </c>
      <c r="D37" s="1"/>
      <c r="E37">
        <f t="shared" ca="1" si="1"/>
        <v>0</v>
      </c>
      <c r="F37" s="1">
        <f t="shared" ca="1" si="0"/>
        <v>184.91773767279184</v>
      </c>
    </row>
    <row r="38" spans="1:6" x14ac:dyDescent="0.25">
      <c r="A38" s="1">
        <f t="array" aca="1" ref="A38:C38" ca="1">ODE_RK4(A37:C37,$B$5,$E$3,$F$3,$G$3)</f>
        <v>3.0000000000000013</v>
      </c>
      <c r="B38" s="1">
        <f ca="1"/>
        <v>189.03444813191368</v>
      </c>
      <c r="C38" s="1">
        <f ca="1"/>
        <v>40.894429075700614</v>
      </c>
      <c r="D38" s="1"/>
      <c r="E38">
        <f t="shared" ca="1" si="1"/>
        <v>0</v>
      </c>
      <c r="F38" s="1">
        <f t="shared" ca="1" si="0"/>
        <v>189.03444813191368</v>
      </c>
    </row>
    <row r="39" spans="1:6" x14ac:dyDescent="0.25">
      <c r="A39" s="1">
        <f t="array" aca="1" ref="A39:C39" ca="1">ODE_RK4(A38:C38,$B$5,$E$3,$F$3,$G$3)</f>
        <v>3.1000000000000014</v>
      </c>
      <c r="B39" s="1">
        <f ca="1"/>
        <v>193.10407240218441</v>
      </c>
      <c r="C39" s="1">
        <f ca="1"/>
        <v>40.417597940572996</v>
      </c>
      <c r="D39" s="1"/>
      <c r="E39">
        <f t="shared" ca="1" si="1"/>
        <v>0</v>
      </c>
      <c r="F39" s="1">
        <f t="shared" ca="1" si="0"/>
        <v>193.10407240218441</v>
      </c>
    </row>
    <row r="40" spans="1:6" x14ac:dyDescent="0.25">
      <c r="A40" s="1">
        <f t="array" aca="1" ref="A40:C40" ca="1">ODE_RK4(A39:C39,$B$5,$E$3,$F$3,$G$3)</f>
        <v>3.2000000000000015</v>
      </c>
      <c r="B40" s="1">
        <f ca="1"/>
        <v>197.12559113514385</v>
      </c>
      <c r="C40" s="1">
        <f ca="1"/>
        <v>39.930642731998127</v>
      </c>
      <c r="D40" s="1"/>
      <c r="E40">
        <f t="shared" ca="1" si="1"/>
        <v>0</v>
      </c>
      <c r="F40" s="1">
        <f t="shared" ca="1" si="0"/>
        <v>197.12559113514385</v>
      </c>
    </row>
    <row r="41" spans="1:6" x14ac:dyDescent="0.25">
      <c r="A41" s="1">
        <f t="array" aca="1" ref="A41:C41" ca="1">ODE_RK4(A40:C40,$B$5,$E$3,$F$3,$G$3)</f>
        <v>3.3000000000000016</v>
      </c>
      <c r="B41" s="1">
        <f ca="1"/>
        <v>201.09799696601584</v>
      </c>
      <c r="C41" s="1">
        <f ca="1"/>
        <v>39.433684764638848</v>
      </c>
      <c r="D41" s="1"/>
      <c r="E41">
        <f t="shared" ca="1" si="1"/>
        <v>0</v>
      </c>
      <c r="F41" s="1">
        <f t="shared" ca="1" si="0"/>
        <v>201.09799696601584</v>
      </c>
    </row>
    <row r="42" spans="1:6" x14ac:dyDescent="0.25">
      <c r="A42" s="1">
        <f t="array" aca="1" ref="A42:C42" ca="1">ODE_RK4(A41:C41,$B$5,$E$3,$F$3,$G$3)</f>
        <v>3.4000000000000017</v>
      </c>
      <c r="B42" s="1">
        <f ca="1"/>
        <v>205.02029476604389</v>
      </c>
      <c r="C42" s="1">
        <f ca="1"/>
        <v>38.926847858854451</v>
      </c>
      <c r="D42" s="1"/>
      <c r="E42">
        <f t="shared" ca="1" si="1"/>
        <v>0</v>
      </c>
      <c r="F42" s="1">
        <f t="shared" ca="1" si="0"/>
        <v>205.02029476604389</v>
      </c>
    </row>
    <row r="43" spans="1:6" x14ac:dyDescent="0.25">
      <c r="A43" s="1">
        <f t="array" aca="1" ref="A43:C43" ca="1">ODE_RK4(A42:C42,$B$5,$E$3,$F$3,$G$3)</f>
        <v>3.5000000000000018</v>
      </c>
      <c r="B43" s="1">
        <f ca="1"/>
        <v>208.89150189177849</v>
      </c>
      <c r="C43" s="1">
        <f ca="1"/>
        <v>38.410258309850569</v>
      </c>
      <c r="D43" s="1"/>
      <c r="E43">
        <f t="shared" ca="1" si="1"/>
        <v>0</v>
      </c>
      <c r="F43" s="1">
        <f t="shared" ca="1" si="0"/>
        <v>208.89150189177849</v>
      </c>
    </row>
    <row r="44" spans="1:6" x14ac:dyDescent="0.25">
      <c r="A44" s="1">
        <f t="array" aca="1" ref="A44:C44" ca="1">ODE_RK4(A43:C43,$B$5,$E$3,$F$3,$G$3)</f>
        <v>3.6000000000000019</v>
      </c>
      <c r="B44" s="1">
        <f ca="1"/>
        <v>212.71064843125342</v>
      </c>
      <c r="C44" s="1">
        <f ca="1"/>
        <v>37.884044856209123</v>
      </c>
      <c r="D44" s="1"/>
      <c r="E44">
        <f t="shared" ca="1" si="1"/>
        <v>0</v>
      </c>
      <c r="F44" s="1">
        <f t="shared" ca="1" si="0"/>
        <v>212.71064843125342</v>
      </c>
    </row>
    <row r="45" spans="1:6" x14ac:dyDescent="0.25">
      <c r="A45" s="1">
        <f t="array" aca="1" ref="A45:C45" ca="1">ODE_RK4(A44:C44,$B$5,$E$3,$F$3,$G$3)</f>
        <v>3.700000000000002</v>
      </c>
      <c r="B45" s="1">
        <f ca="1"/>
        <v>216.47677744698956</v>
      </c>
      <c r="C45" s="1">
        <f ca="1"/>
        <v>37.348338647806059</v>
      </c>
      <c r="D45" s="1"/>
      <c r="E45">
        <f t="shared" ca="1" si="1"/>
        <v>0</v>
      </c>
      <c r="F45" s="1">
        <f t="shared" ca="1" si="0"/>
        <v>216.47677744698956</v>
      </c>
    </row>
    <row r="46" spans="1:6" x14ac:dyDescent="0.25">
      <c r="A46" s="1">
        <f t="array" aca="1" ref="A46:C46" ca="1">ODE_RK4(A45:C45,$B$5,$E$3,$F$3,$G$3)</f>
        <v>3.800000000000002</v>
      </c>
      <c r="B46" s="1">
        <f ca="1"/>
        <v>220.1889452157653</v>
      </c>
      <c r="C46" s="1">
        <f ca="1"/>
        <v>36.803273213124996</v>
      </c>
      <c r="D46" s="1"/>
      <c r="E46">
        <f t="shared" ca="1" si="1"/>
        <v>0</v>
      </c>
      <c r="F46" s="1">
        <f t="shared" ca="1" si="0"/>
        <v>220.1889452157653</v>
      </c>
    </row>
    <row r="47" spans="1:6" x14ac:dyDescent="0.25">
      <c r="A47" s="1">
        <f t="array" aca="1" ref="A47:C47" ca="1">ODE_RK4(A46:C46,$B$5,$E$3,$F$3,$G$3)</f>
        <v>3.9000000000000021</v>
      </c>
      <c r="B47" s="1">
        <f ca="1"/>
        <v>223.84622146509338</v>
      </c>
      <c r="C47" s="1">
        <f ca="1"/>
        <v>36.248984425974825</v>
      </c>
      <c r="D47" s="1"/>
      <c r="E47">
        <f t="shared" ca="1" si="1"/>
        <v>0</v>
      </c>
      <c r="F47" s="1">
        <f t="shared" ca="1" si="0"/>
        <v>223.84622146509338</v>
      </c>
    </row>
    <row r="48" spans="1:6" x14ac:dyDescent="0.25">
      <c r="A48" s="1">
        <f t="array" aca="1" ref="A48:C48" ca="1">ODE_RK4(A47:C47,$B$5,$E$3,$F$3,$G$3)</f>
        <v>4.0000000000000018</v>
      </c>
      <c r="B48" s="1">
        <f ca="1"/>
        <v>227.44768960634502</v>
      </c>
      <c r="C48" s="1">
        <f ca="1"/>
        <v>35.68561047161964</v>
      </c>
      <c r="D48" s="1"/>
      <c r="E48">
        <f t="shared" ca="1" si="1"/>
        <v>0</v>
      </c>
      <c r="F48" s="1">
        <f t="shared" ca="1" si="0"/>
        <v>227.44768960634502</v>
      </c>
    </row>
    <row r="49" spans="1:6" x14ac:dyDescent="0.25">
      <c r="A49" s="1">
        <f t="array" aca="1" ref="A49:C49" ca="1">ODE_RK4(A48:C48,$B$5,$E$3,$F$3,$G$3)</f>
        <v>4.1000000000000014</v>
      </c>
      <c r="B49" s="1">
        <f ca="1"/>
        <v>230.99244696446277</v>
      </c>
      <c r="C49" s="1">
        <f ca="1"/>
        <v>35.113291812329372</v>
      </c>
      <c r="D49" s="1"/>
      <c r="E49">
        <f t="shared" ca="1" si="1"/>
        <v>0</v>
      </c>
      <c r="F49" s="1">
        <f t="shared" ca="1" si="0"/>
        <v>230.99244696446277</v>
      </c>
    </row>
    <row r="50" spans="1:6" x14ac:dyDescent="0.25">
      <c r="A50" s="1">
        <f t="array" aca="1" ref="A50:C50" ca="1">ODE_RK4(A49:C49,$B$5,$E$3,$F$3,$G$3)</f>
        <v>4.2000000000000011</v>
      </c>
      <c r="B50" s="1">
        <f ca="1"/>
        <v>234.47960500420476</v>
      </c>
      <c r="C50" s="1">
        <f ca="1"/>
        <v>34.53217115235978</v>
      </c>
      <c r="D50" s="1"/>
      <c r="E50">
        <f t="shared" ca="1" si="1"/>
        <v>0</v>
      </c>
      <c r="F50" s="1">
        <f t="shared" ca="1" si="0"/>
        <v>234.47960500420476</v>
      </c>
    </row>
    <row r="51" spans="1:6" x14ac:dyDescent="0.25">
      <c r="A51" s="1">
        <f t="array" aca="1" ref="A51:C51" ca="1">ODE_RK4(A50:C50,$B$5,$E$3,$F$3,$G$3)</f>
        <v>4.3000000000000007</v>
      </c>
      <c r="B51" s="1">
        <f ca="1"/>
        <v>237.90828955286327</v>
      </c>
      <c r="C51" s="1">
        <f ca="1"/>
        <v>33.94239340237047</v>
      </c>
      <c r="D51" s="1"/>
      <c r="E51">
        <f t="shared" ca="1" si="1"/>
        <v>0</v>
      </c>
      <c r="F51" s="1">
        <f t="shared" ca="1" si="0"/>
        <v>237.90828955286327</v>
      </c>
    </row>
    <row r="52" spans="1:6" x14ac:dyDescent="0.25">
      <c r="A52" s="1">
        <f t="array" aca="1" ref="A52:C52" ca="1">ODE_RK4(A51:C51,$B$5,$E$3,$F$3,$G$3)</f>
        <v>4.4000000000000004</v>
      </c>
      <c r="B52" s="1">
        <f ca="1"/>
        <v>241.27764101940227</v>
      </c>
      <c r="C52" s="1">
        <f ca="1"/>
        <v>33.344105643289843</v>
      </c>
      <c r="D52" s="1"/>
      <c r="E52">
        <f t="shared" ca="1" si="1"/>
        <v>0</v>
      </c>
      <c r="F52" s="1">
        <f t="shared" ca="1" si="0"/>
        <v>241.27764101940227</v>
      </c>
    </row>
    <row r="53" spans="1:6" x14ac:dyDescent="0.25">
      <c r="A53" s="1">
        <f t="array" aca="1" ref="A53:C53" ca="1">ODE_RK4(A52:C52,$B$5,$E$3,$F$3,$G$3)</f>
        <v>4.5</v>
      </c>
      <c r="B53" s="1">
        <f ca="1"/>
        <v>244.58681460995854</v>
      </c>
      <c r="C53" s="1">
        <f ca="1"/>
        <v>32.737457089636003</v>
      </c>
      <c r="D53" s="1"/>
      <c r="E53">
        <f t="shared" ca="1" si="1"/>
        <v>0</v>
      </c>
      <c r="F53" s="1">
        <f t="shared" ca="1" si="0"/>
        <v>244.58681460995854</v>
      </c>
    </row>
    <row r="54" spans="1:6" x14ac:dyDescent="0.25">
      <c r="A54" s="1">
        <f t="array" aca="1" ref="A54:C54" ca="1">ODE_RK4(A53:C53,$B$5,$E$3,$F$3,$G$3)</f>
        <v>4.5999999999999996</v>
      </c>
      <c r="B54" s="1">
        <f ca="1"/>
        <v>247.83498053965261</v>
      </c>
      <c r="C54" s="1">
        <f ca="1"/>
        <v>32.122599052302725</v>
      </c>
      <c r="D54" s="1"/>
      <c r="E54">
        <f t="shared" ca="1" si="1"/>
        <v>0</v>
      </c>
      <c r="F54" s="1">
        <f t="shared" ca="1" si="0"/>
        <v>247.83498053965261</v>
      </c>
    </row>
    <row r="55" spans="1:6" x14ac:dyDescent="0.25">
      <c r="A55" s="1">
        <f t="array" aca="1" ref="A55:C55" ca="1">ODE_RK4(A54:C54,$B$5,$E$3,$F$3,$G$3)</f>
        <v>4.6999999999999993</v>
      </c>
      <c r="B55" s="1">
        <f ca="1"/>
        <v>251.02132424065641</v>
      </c>
      <c r="C55" s="1">
        <f ca="1"/>
        <v>31.499684900819801</v>
      </c>
      <c r="D55" s="1"/>
      <c r="E55">
        <f t="shared" ca="1" si="1"/>
        <v>0</v>
      </c>
      <c r="F55" s="1">
        <f t="shared" ca="1" si="0"/>
        <v>251.02132424065641</v>
      </c>
    </row>
    <row r="56" spans="1:6" x14ac:dyDescent="0.25">
      <c r="A56" s="1">
        <f t="array" aca="1" ref="A56:C56" ca="1">ODE_RK4(A55:C55,$B$5,$E$3,$F$3,$G$3)</f>
        <v>4.7999999999999989</v>
      </c>
      <c r="B56" s="1">
        <f ca="1"/>
        <v>254.14504656646537</v>
      </c>
      <c r="C56" s="1">
        <f ca="1"/>
        <v>30.868870025097163</v>
      </c>
      <c r="D56" s="1"/>
      <c r="E56">
        <f t="shared" ca="1" si="1"/>
        <v>0</v>
      </c>
      <c r="F56" s="1">
        <f t="shared" ca="1" si="0"/>
        <v>254.14504656646537</v>
      </c>
    </row>
    <row r="57" spans="1:6" x14ac:dyDescent="0.25">
      <c r="A57" s="1">
        <f t="array" aca="1" ref="A57:C57" ca="1">ODE_RK4(A56:C56,$B$5,$E$3,$F$3,$G$3)</f>
        <v>4.8999999999999986</v>
      </c>
      <c r="B57" s="1">
        <f ca="1"/>
        <v>257.20536399232361</v>
      </c>
      <c r="C57" s="1">
        <f ca="1"/>
        <v>30.230311796662324</v>
      </c>
      <c r="D57" s="1"/>
      <c r="E57">
        <f t="shared" ca="1" si="1"/>
        <v>0</v>
      </c>
      <c r="F57" s="1">
        <f t="shared" ca="1" si="0"/>
        <v>257.20536399232361</v>
      </c>
    </row>
    <row r="58" spans="1:6" x14ac:dyDescent="0.25">
      <c r="A58" s="1">
        <f t="array" aca="1" ref="A58:C58" ca="1">ODE_RK4(A57:C57,$B$5,$E$3,$F$3,$G$3)</f>
        <v>4.9999999999999982</v>
      </c>
      <c r="B58" s="1">
        <f ca="1"/>
        <v>260.20150881175243</v>
      </c>
      <c r="C58" s="1">
        <f ca="1"/>
        <v>29.58416952940081</v>
      </c>
      <c r="D58" s="1"/>
      <c r="E58">
        <f t="shared" ca="1" si="1"/>
        <v>0</v>
      </c>
      <c r="F58" s="1">
        <f t="shared" ca="1" si="0"/>
        <v>260.20150881175243</v>
      </c>
    </row>
    <row r="59" spans="1:6" x14ac:dyDescent="0.25">
      <c r="A59" s="1">
        <f t="array" aca="1" ref="A59:C59" ca="1">ODE_RK4(A58:C58,$B$5,$E$3,$F$3,$G$3)</f>
        <v>5.0999999999999979</v>
      </c>
      <c r="B59" s="1">
        <f ca="1"/>
        <v>263.13272932913225</v>
      </c>
      <c r="C59" s="1">
        <f ca="1"/>
        <v>28.930604439809379</v>
      </c>
      <c r="D59" s="1"/>
      <c r="E59">
        <f t="shared" ca="1" si="1"/>
        <v>0</v>
      </c>
      <c r="F59" s="1">
        <f t="shared" ca="1" si="0"/>
        <v>263.13272932913225</v>
      </c>
    </row>
    <row r="60" spans="1:6" x14ac:dyDescent="0.25">
      <c r="A60" s="1">
        <f t="array" aca="1" ref="A60:C60" ca="1">ODE_RK4(A59:C59,$B$5,$E$3,$F$3,$G$3)</f>
        <v>5.1999999999999975</v>
      </c>
      <c r="B60" s="1">
        <f ca="1"/>
        <v>265.99829004828996</v>
      </c>
      <c r="C60" s="1">
        <f ca="1"/>
        <v>28.269779606771937</v>
      </c>
      <c r="D60" s="1"/>
      <c r="E60">
        <f t="shared" ca="1" si="1"/>
        <v>0</v>
      </c>
      <c r="F60" s="1">
        <f t="shared" ca="1" si="0"/>
        <v>265.99829004828996</v>
      </c>
    </row>
    <row r="61" spans="1:6" x14ac:dyDescent="0.25">
      <c r="A61" s="1">
        <f t="array" aca="1" ref="A61:C61" ca="1">ODE_RK4(A60:C60,$B$5,$E$3,$F$3,$G$3)</f>
        <v>5.2999999999999972</v>
      </c>
      <c r="B61" s="1">
        <f ca="1"/>
        <v>268.79747185704446</v>
      </c>
      <c r="C61" s="1">
        <f ca="1"/>
        <v>27.601859930868194</v>
      </c>
      <c r="D61" s="1"/>
      <c r="E61">
        <f t="shared" ca="1" si="1"/>
        <v>0</v>
      </c>
      <c r="F61" s="1">
        <f t="shared" ca="1" si="0"/>
        <v>268.79747185704446</v>
      </c>
    </row>
    <row r="62" spans="1:6" x14ac:dyDescent="0.25">
      <c r="A62" s="1">
        <f t="array" aca="1" ref="A62:C62" ca="1">ODE_RK4(A61:C61,$B$5,$E$3,$F$3,$G$3)</f>
        <v>5.3999999999999968</v>
      </c>
      <c r="B62" s="1">
        <f ca="1"/>
        <v>271.52957220766393</v>
      </c>
      <c r="C62" s="1">
        <f ca="1"/>
        <v>26.927012093225194</v>
      </c>
      <c r="D62" s="1"/>
      <c r="E62">
        <f t="shared" ca="1" si="1"/>
        <v>0</v>
      </c>
      <c r="F62" s="1">
        <f t="shared" ca="1" si="0"/>
        <v>271.52957220766393</v>
      </c>
    </row>
    <row r="63" spans="1:6" x14ac:dyDescent="0.25">
      <c r="A63" s="1">
        <f t="array" aca="1" ref="A63:C63" ca="1">ODE_RK4(A62:C62,$B$5,$E$3,$F$3,$G$3)</f>
        <v>5.4999999999999964</v>
      </c>
      <c r="B63" s="1">
        <f ca="1"/>
        <v>274.19390529318952</v>
      </c>
      <c r="C63" s="1">
        <f ca="1"/>
        <v>26.245404513922033</v>
      </c>
      <c r="D63" s="1"/>
      <c r="E63">
        <f t="shared" ca="1" si="1"/>
        <v>0</v>
      </c>
      <c r="F63" s="1">
        <f t="shared" ca="1" si="0"/>
        <v>274.19390529318952</v>
      </c>
    </row>
    <row r="64" spans="1:6" x14ac:dyDescent="0.25">
      <c r="A64" s="1">
        <f t="array" aca="1" ref="A64:C64" ca="1">ODE_RK4(A63:C63,$B$5,$E$3,$F$3,$G$3)</f>
        <v>5.5999999999999961</v>
      </c>
      <c r="B64" s="1">
        <f ca="1"/>
        <v>276.78980221958125</v>
      </c>
      <c r="C64" s="1">
        <f ca="1"/>
        <v>25.557207309958081</v>
      </c>
      <c r="D64" s="1"/>
      <c r="E64">
        <f t="shared" ca="1" si="1"/>
        <v>0</v>
      </c>
      <c r="F64" s="1">
        <f t="shared" ca="1" si="0"/>
        <v>276.78980221958125</v>
      </c>
    </row>
    <row r="65" spans="1:6" x14ac:dyDescent="0.25">
      <c r="A65" s="1">
        <f t="array" aca="1" ref="A65:C65" ca="1">ODE_RK4(A64:C64,$B$5,$E$3,$F$3,$G$3)</f>
        <v>5.6999999999999957</v>
      </c>
      <c r="B65" s="1">
        <f ca="1"/>
        <v>279.31661117364308</v>
      </c>
      <c r="C65" s="1">
        <f ca="1"/>
        <v>24.862592252795253</v>
      </c>
      <c r="D65" s="1"/>
      <c r="E65">
        <f t="shared" ca="1" si="1"/>
        <v>0</v>
      </c>
      <c r="F65" s="1">
        <f t="shared" ca="1" si="0"/>
        <v>279.31661117364308</v>
      </c>
    </row>
    <row r="66" spans="1:6" x14ac:dyDescent="0.25">
      <c r="A66" s="1">
        <f t="array" aca="1" ref="A66:C66" ca="1">ODE_RK4(A65:C65,$B$5,$E$3,$F$3,$G$3)</f>
        <v>5.7999999999999954</v>
      </c>
      <c r="B66" s="1">
        <f ca="1"/>
        <v>281.77369758668476</v>
      </c>
      <c r="C66" s="1">
        <f ca="1"/>
        <v>24.161732725484892</v>
      </c>
      <c r="D66" s="1"/>
      <c r="E66">
        <f t="shared" ca="1" si="1"/>
        <v>0</v>
      </c>
      <c r="F66" s="1">
        <f t="shared" ca="1" si="0"/>
        <v>281.77369758668476</v>
      </c>
    </row>
    <row r="67" spans="1:6" x14ac:dyDescent="0.25">
      <c r="A67" s="1">
        <f t="array" aca="1" ref="A67:C67" ca="1">ODE_RK4(A66:C66,$B$5,$E$3,$F$3,$G$3)</f>
        <v>5.899999999999995</v>
      </c>
      <c r="B67" s="1">
        <f ca="1"/>
        <v>284.16044429387938</v>
      </c>
      <c r="C67" s="1">
        <f ca="1"/>
        <v>23.45480367938999</v>
      </c>
      <c r="D67" s="1"/>
      <c r="E67">
        <f t="shared" ca="1" si="1"/>
        <v>0</v>
      </c>
      <c r="F67" s="1">
        <f t="shared" ca="1" si="0"/>
        <v>284.16044429387938</v>
      </c>
    </row>
    <row r="68" spans="1:6" x14ac:dyDescent="0.25">
      <c r="A68" s="1">
        <f t="array" aca="1" ref="A68:C68" ca="1">ODE_RK4(A67:C67,$B$5,$E$3,$F$3,$G$3)</f>
        <v>5.9999999999999947</v>
      </c>
      <c r="B68" s="1">
        <f ca="1"/>
        <v>286.47625168927686</v>
      </c>
      <c r="C68" s="1">
        <f ca="1"/>
        <v>22.741981590513507</v>
      </c>
      <c r="D68" s="1"/>
      <c r="E68">
        <f t="shared" ca="1" si="1"/>
        <v>0</v>
      </c>
      <c r="F68" s="1">
        <f t="shared" ca="1" si="0"/>
        <v>286.47625168927686</v>
      </c>
    </row>
    <row r="69" spans="1:6" x14ac:dyDescent="0.25">
      <c r="A69" s="1">
        <f t="array" aca="1" ref="A69:C69" ca="1">ODE_RK4(A68:C68,$B$5,$E$3,$F$3,$G$3)</f>
        <v>6.0999999999999943</v>
      </c>
      <c r="B69" s="1">
        <f ca="1"/>
        <v>288.72053787643404</v>
      </c>
      <c r="C69" s="1">
        <f ca="1"/>
        <v>22.023444415443755</v>
      </c>
      <c r="D69" s="1"/>
      <c r="E69">
        <f t="shared" ca="1" si="1"/>
        <v>0</v>
      </c>
      <c r="F69" s="1">
        <f t="shared" ca="1" si="0"/>
        <v>288.72053787643404</v>
      </c>
    </row>
    <row r="70" spans="1:6" x14ac:dyDescent="0.25">
      <c r="A70" s="1">
        <f t="array" aca="1" ref="A70:C70" ca="1">ODE_RK4(A69:C69,$B$5,$E$3,$F$3,$G$3)</f>
        <v>6.199999999999994</v>
      </c>
      <c r="B70" s="1">
        <f ca="1"/>
        <v>290.89273881462401</v>
      </c>
      <c r="C70" s="1">
        <f ca="1"/>
        <v>21.299371546927777</v>
      </c>
      <c r="D70" s="1"/>
      <c r="E70">
        <f t="shared" ca="1" si="1"/>
        <v>0</v>
      </c>
      <c r="F70" s="1">
        <f t="shared" ca="1" si="0"/>
        <v>290.89273881462401</v>
      </c>
    </row>
    <row r="71" spans="1:6" x14ac:dyDescent="0.25">
      <c r="A71" s="1">
        <f t="array" aca="1" ref="A71:C71" ca="1">ODE_RK4(A70:C70,$B$5,$E$3,$F$3,$G$3)</f>
        <v>6.2999999999999936</v>
      </c>
      <c r="B71" s="1">
        <f ca="1"/>
        <v>292.99230846058742</v>
      </c>
      <c r="C71" s="1">
        <f ca="1"/>
        <v>20.569943769083856</v>
      </c>
      <c r="D71" s="1"/>
      <c r="E71">
        <f t="shared" ca="1" si="1"/>
        <v>0</v>
      </c>
      <c r="F71" s="1">
        <f t="shared" ca="1" si="0"/>
        <v>292.99230846058742</v>
      </c>
    </row>
    <row r="72" spans="1:6" x14ac:dyDescent="0.25">
      <c r="A72" s="1">
        <f t="array" aca="1" ref="A72:C72" ca="1">ODE_RK4(A71:C71,$B$5,$E$3,$F$3,$G$3)</f>
        <v>6.3999999999999932</v>
      </c>
      <c r="B72" s="1">
        <f ca="1"/>
        <v>295.01871890579065</v>
      </c>
      <c r="C72" s="1">
        <f ca="1"/>
        <v>19.83534321226432</v>
      </c>
      <c r="D72" s="1"/>
      <c r="E72">
        <f t="shared" ca="1" si="1"/>
        <v>0</v>
      </c>
      <c r="F72" s="1">
        <f t="shared" ref="F72:F135" ca="1" si="2">B72</f>
        <v>295.01871890579065</v>
      </c>
    </row>
    <row r="73" spans="1:6" x14ac:dyDescent="0.25">
      <c r="A73" s="1">
        <f t="array" aca="1" ref="A73:C73" ca="1">ODE_RK4(A72:C72,$B$5,$E$3,$F$3,$G$3)</f>
        <v>6.4999999999999929</v>
      </c>
      <c r="B73" s="1">
        <f ca="1"/>
        <v>296.9714605091558</v>
      </c>
      <c r="C73" s="1">
        <f ca="1"/>
        <v>19.095753307579916</v>
      </c>
      <c r="D73" s="1"/>
      <c r="E73">
        <f t="shared" ref="E73:E136" ca="1" si="3">(C73*C74&lt;0)*1+E72</f>
        <v>0</v>
      </c>
      <c r="F73" s="1">
        <f t="shared" ca="1" si="2"/>
        <v>296.9714605091558</v>
      </c>
    </row>
    <row r="74" spans="1:6" x14ac:dyDescent="0.25">
      <c r="A74" s="1">
        <f t="array" aca="1" ref="A74:C74" ca="1">ODE_RK4(A73:C73,$B$5,$E$3,$F$3,$G$3)</f>
        <v>6.5999999999999925</v>
      </c>
      <c r="B74" s="1">
        <f ca="1"/>
        <v>298.85004202522993</v>
      </c>
      <c r="C74" s="1">
        <f ca="1"/>
        <v>18.351358741097101</v>
      </c>
      <c r="D74" s="1"/>
      <c r="E74">
        <f t="shared" ca="1" si="3"/>
        <v>0</v>
      </c>
      <c r="F74" s="1">
        <f t="shared" ca="1" si="2"/>
        <v>298.85004202522993</v>
      </c>
    </row>
    <row r="75" spans="1:6" x14ac:dyDescent="0.25">
      <c r="A75" s="1">
        <f t="array" aca="1" ref="A75:C75" ca="1">ODE_RK4(A74:C74,$B$5,$E$3,$F$3,$G$3)</f>
        <v>6.6999999999999922</v>
      </c>
      <c r="B75" s="1">
        <f ca="1"/>
        <v>300.65399072776029</v>
      </c>
      <c r="C75" s="1">
        <f ca="1"/>
        <v>17.602345407719692</v>
      </c>
      <c r="D75" s="1"/>
      <c r="E75">
        <f t="shared" ca="1" si="3"/>
        <v>0</v>
      </c>
      <c r="F75" s="1">
        <f t="shared" ca="1" si="2"/>
        <v>300.65399072776029</v>
      </c>
    </row>
    <row r="76" spans="1:6" x14ac:dyDescent="0.25">
      <c r="A76" s="1">
        <f t="array" aca="1" ref="A76:C76" ca="1">ODE_RK4(A75:C75,$B$5,$E$3,$F$3,$G$3)</f>
        <v>6.7999999999999918</v>
      </c>
      <c r="B76" s="1">
        <f ca="1"/>
        <v>302.38285252864529</v>
      </c>
      <c r="C76" s="1">
        <f ca="1"/>
        <v>16.848900364766401</v>
      </c>
      <c r="D76" s="1"/>
      <c r="E76">
        <f t="shared" ca="1" si="3"/>
        <v>0</v>
      </c>
      <c r="F76" s="1">
        <f t="shared" ca="1" si="2"/>
        <v>302.38285252864529</v>
      </c>
    </row>
    <row r="77" spans="1:6" x14ac:dyDescent="0.25">
      <c r="A77" s="1">
        <f t="array" aca="1" ref="A77:C77" ca="1">ODE_RK4(A76:C76,$B$5,$E$3,$F$3,$G$3)</f>
        <v>6.8999999999999915</v>
      </c>
      <c r="B77" s="1">
        <f ca="1"/>
        <v>304.03619209223092</v>
      </c>
      <c r="C77" s="1">
        <f ca="1"/>
        <v>16.091211785255815</v>
      </c>
      <c r="D77" s="1"/>
      <c r="E77">
        <f t="shared" ca="1" si="3"/>
        <v>0</v>
      </c>
      <c r="F77" s="1">
        <f t="shared" ca="1" si="2"/>
        <v>304.03619209223092</v>
      </c>
    </row>
    <row r="78" spans="1:6" x14ac:dyDescent="0.25">
      <c r="A78" s="1">
        <f t="array" aca="1" ref="A78:C78" ca="1">ODE_RK4(A77:C77,$B$5,$E$3,$F$3,$G$3)</f>
        <v>6.9999999999999911</v>
      </c>
      <c r="B78" s="1">
        <f ca="1"/>
        <v>305.61359294492388</v>
      </c>
      <c r="C78" s="1">
        <f ca="1"/>
        <v>15.329468910910547</v>
      </c>
      <c r="D78" s="1"/>
      <c r="E78">
        <f t="shared" ca="1" si="3"/>
        <v>0</v>
      </c>
      <c r="F78" s="1">
        <f t="shared" ca="1" si="2"/>
        <v>305.61359294492388</v>
      </c>
    </row>
    <row r="79" spans="1:6" x14ac:dyDescent="0.25">
      <c r="A79" s="1">
        <f t="array" aca="1" ref="A79:C79" ca="1">ODE_RK4(A78:C78,$B$5,$E$3,$F$3,$G$3)</f>
        <v>7.0999999999999908</v>
      </c>
      <c r="B79" s="1">
        <f ca="1"/>
        <v>307.11465758009388</v>
      </c>
      <c r="C79" s="1">
        <f ca="1"/>
        <v>14.563862004892213</v>
      </c>
      <c r="D79" s="1"/>
      <c r="E79">
        <f t="shared" ca="1" si="3"/>
        <v>0</v>
      </c>
      <c r="F79" s="1">
        <f t="shared" ca="1" si="2"/>
        <v>307.11465758009388</v>
      </c>
    </row>
    <row r="80" spans="1:6" x14ac:dyDescent="0.25">
      <c r="A80" s="1">
        <f t="array" aca="1" ref="A80:C80" ca="1">ODE_RK4(A79:C79,$B$5,$E$3,$F$3,$G$3)</f>
        <v>7.1999999999999904</v>
      </c>
      <c r="B80" s="1">
        <f ca="1"/>
        <v>308.53900755823861</v>
      </c>
      <c r="C80" s="1">
        <f ca="1"/>
        <v>13.794582304279121</v>
      </c>
      <c r="D80" s="1"/>
      <c r="E80">
        <f t="shared" ca="1" si="3"/>
        <v>0</v>
      </c>
      <c r="F80" s="1">
        <f t="shared" ca="1" si="2"/>
        <v>308.53900755823861</v>
      </c>
    </row>
    <row r="81" spans="1:6" x14ac:dyDescent="0.25">
      <c r="A81" s="1">
        <f t="array" aca="1" ref="A81:C81" ca="1">ODE_RK4(A80:C80,$B$5,$E$3,$F$3,$G$3)</f>
        <v>7.2999999999999901</v>
      </c>
      <c r="B81" s="1">
        <f ca="1"/>
        <v>309.88628360238636</v>
      </c>
      <c r="C81" s="1">
        <f ca="1"/>
        <v>13.02182197229849</v>
      </c>
      <c r="D81" s="1"/>
      <c r="E81">
        <f t="shared" ca="1" si="3"/>
        <v>0</v>
      </c>
      <c r="F81" s="1">
        <f t="shared" ca="1" si="2"/>
        <v>309.88628360238636</v>
      </c>
    </row>
    <row r="82" spans="1:6" x14ac:dyDescent="0.25">
      <c r="A82" s="1">
        <f t="array" aca="1" ref="A82:C82" ca="1">ODE_RK4(A81:C81,$B$5,$E$3,$F$3,$G$3)</f>
        <v>7.3999999999999897</v>
      </c>
      <c r="B82" s="1">
        <f ca="1"/>
        <v>311.15614568871172</v>
      </c>
      <c r="C82" s="1">
        <f ca="1"/>
        <v>12.245774050325146</v>
      </c>
      <c r="D82" s="1"/>
      <c r="E82">
        <f t="shared" ca="1" si="3"/>
        <v>0</v>
      </c>
      <c r="F82" s="1">
        <f t="shared" ca="1" si="2"/>
        <v>311.15614568871172</v>
      </c>
    </row>
    <row r="83" spans="1:6" x14ac:dyDescent="0.25">
      <c r="A83" s="1">
        <f t="array" aca="1" ref="A83:C83" ca="1">ODE_RK4(A82:C82,$B$5,$E$3,$F$3,$G$3)</f>
        <v>7.4999999999999893</v>
      </c>
      <c r="B83" s="1">
        <f ca="1"/>
        <v>312.34827313234234</v>
      </c>
      <c r="C83" s="1">
        <f ca="1"/>
        <v>11.466632409658692</v>
      </c>
      <c r="D83" s="1"/>
      <c r="E83">
        <f t="shared" ca="1" si="3"/>
        <v>0</v>
      </c>
      <c r="F83" s="1">
        <f t="shared" ca="1" si="2"/>
        <v>312.34827313234234</v>
      </c>
    </row>
    <row r="84" spans="1:6" x14ac:dyDescent="0.25">
      <c r="A84" s="1">
        <f t="array" aca="1" ref="A84:C84" ca="1">ODE_RK4(A83:C83,$B$5,$E$3,$F$3,$G$3)</f>
        <v>7.599999999999989</v>
      </c>
      <c r="B84" s="1">
        <f ca="1"/>
        <v>313.46236466833415</v>
      </c>
      <c r="C84" s="1">
        <f ca="1"/>
        <v>10.684591703091179</v>
      </c>
      <c r="D84" s="1"/>
      <c r="E84">
        <f t="shared" ca="1" si="3"/>
        <v>0</v>
      </c>
      <c r="F84" s="1">
        <f t="shared" ca="1" si="2"/>
        <v>313.46236466833415</v>
      </c>
    </row>
    <row r="85" spans="1:6" x14ac:dyDescent="0.25">
      <c r="A85" s="1">
        <f t="array" aca="1" ref="A85:C85" ca="1">ODE_RK4(A84:C84,$B$5,$E$3,$F$3,$G$3)</f>
        <v>7.6999999999999886</v>
      </c>
      <c r="B85" s="1">
        <f ca="1"/>
        <v>314.49813852779533</v>
      </c>
      <c r="C85" s="1">
        <f ca="1"/>
        <v>9.8998473162774072</v>
      </c>
      <c r="D85" s="1"/>
      <c r="E85">
        <f t="shared" ca="1" si="3"/>
        <v>0</v>
      </c>
      <c r="F85" s="1">
        <f t="shared" ca="1" si="2"/>
        <v>314.49813852779533</v>
      </c>
    </row>
    <row r="86" spans="1:6" x14ac:dyDescent="0.25">
      <c r="A86" s="1">
        <f t="array" aca="1" ref="A86:C86" ca="1">ODE_RK4(A85:C85,$B$5,$E$3,$F$3,$G$3)</f>
        <v>7.7999999999999883</v>
      </c>
      <c r="B86" s="1">
        <f ca="1"/>
        <v>315.45533250913968</v>
      </c>
      <c r="C86" s="1">
        <f ca="1"/>
        <v>9.112595318919972</v>
      </c>
      <c r="D86" s="1"/>
      <c r="E86">
        <f t="shared" ca="1" si="3"/>
        <v>0</v>
      </c>
      <c r="F86" s="1">
        <f t="shared" ca="1" si="2"/>
        <v>315.45533250913968</v>
      </c>
    </row>
    <row r="87" spans="1:6" x14ac:dyDescent="0.25">
      <c r="A87" s="1">
        <f t="array" aca="1" ref="A87:C87" ca="1">ODE_RK4(A86:C86,$B$5,$E$3,$F$3,$G$3)</f>
        <v>7.8999999999999879</v>
      </c>
      <c r="B87" s="1">
        <f ca="1"/>
        <v>316.33370404445071</v>
      </c>
      <c r="C87" s="1">
        <f ca="1"/>
        <v>8.3230324157812792</v>
      </c>
      <c r="D87" s="1"/>
      <c r="E87">
        <f t="shared" ca="1" si="3"/>
        <v>0</v>
      </c>
      <c r="F87" s="1">
        <f t="shared" ca="1" si="2"/>
        <v>316.33370404445071</v>
      </c>
    </row>
    <row r="88" spans="1:6" x14ac:dyDescent="0.25">
      <c r="A88" s="1">
        <f t="array" aca="1" ref="A88:C88" ca="1">ODE_RK4(A87:C87,$B$5,$E$3,$F$3,$G$3)</f>
        <v>7.9999999999999876</v>
      </c>
      <c r="B88" s="1">
        <f ca="1"/>
        <v>317.13303026094076</v>
      </c>
      <c r="C88" s="1">
        <f ca="1"/>
        <v>7.5313558975347519</v>
      </c>
      <c r="D88" s="1"/>
      <c r="E88">
        <f t="shared" ca="1" si="3"/>
        <v>0</v>
      </c>
      <c r="F88" s="1">
        <f t="shared" ca="1" si="2"/>
        <v>317.13303026094076</v>
      </c>
    </row>
    <row r="89" spans="1:6" x14ac:dyDescent="0.25">
      <c r="A89" s="1">
        <f t="array" aca="1" ref="A89:C89" ca="1">ODE_RK4(A88:C88,$B$5,$E$3,$F$3,$G$3)</f>
        <v>8.0999999999999872</v>
      </c>
      <c r="B89" s="1">
        <f ca="1"/>
        <v>317.85310803748848</v>
      </c>
      <c r="C89" s="1">
        <f ca="1"/>
        <v>6.7377635914675151</v>
      </c>
      <c r="D89" s="1"/>
      <c r="E89">
        <f t="shared" ca="1" si="3"/>
        <v>0</v>
      </c>
      <c r="F89" s="1">
        <f t="shared" ca="1" si="2"/>
        <v>317.85310803748848</v>
      </c>
    </row>
    <row r="90" spans="1:6" x14ac:dyDescent="0.25">
      <c r="A90" s="1">
        <f t="array" aca="1" ref="A90:C90" ca="1">ODE_RK4(A89:C89,$B$5,$E$3,$F$3,$G$3)</f>
        <v>8.1999999999999869</v>
      </c>
      <c r="B90" s="1">
        <f ca="1"/>
        <v>318.49375405624136</v>
      </c>
      <c r="C90" s="1">
        <f ca="1"/>
        <v>5.9424538120468782</v>
      </c>
      <c r="D90" s="1"/>
      <c r="E90">
        <f t="shared" ca="1" si="3"/>
        <v>0</v>
      </c>
      <c r="F90" s="1">
        <f t="shared" ca="1" si="2"/>
        <v>318.49375405624136</v>
      </c>
    </row>
    <row r="91" spans="1:6" x14ac:dyDescent="0.25">
      <c r="A91" s="1">
        <f t="array" aca="1" ref="A91:C91" ca="1">ODE_RK4(A90:C90,$B$5,$E$3,$F$3,$G$3)</f>
        <v>8.2999999999999865</v>
      </c>
      <c r="B91" s="1">
        <f ca="1"/>
        <v>319.05480484926909</v>
      </c>
      <c r="C91" s="1">
        <f ca="1"/>
        <v>5.1456253113629593</v>
      </c>
      <c r="D91" s="1"/>
      <c r="E91">
        <f t="shared" ca="1" si="3"/>
        <v>0</v>
      </c>
      <c r="F91" s="1">
        <f t="shared" ca="1" si="2"/>
        <v>319.05480484926909</v>
      </c>
    </row>
    <row r="92" spans="1:6" x14ac:dyDescent="0.25">
      <c r="A92" s="1">
        <f t="array" aca="1" ref="A92:C92" ca="1">ODE_RK4(A91:C91,$B$5,$E$3,$F$3,$G$3)</f>
        <v>8.3999999999999861</v>
      </c>
      <c r="B92" s="1">
        <f ca="1"/>
        <v>319.53611684025708</v>
      </c>
      <c r="C92" s="1">
        <f ca="1"/>
        <v>4.347477229459848</v>
      </c>
      <c r="D92" s="1"/>
      <c r="E92">
        <f t="shared" ca="1" si="3"/>
        <v>0</v>
      </c>
      <c r="F92" s="1">
        <f t="shared" ca="1" si="2"/>
        <v>319.53611684025708</v>
      </c>
    </row>
    <row r="93" spans="1:6" x14ac:dyDescent="0.25">
      <c r="A93" s="1">
        <f t="array" aca="1" ref="A93:C93" ca="1">ODE_RK4(A92:C92,$B$5,$E$3,$F$3,$G$3)</f>
        <v>8.4999999999999858</v>
      </c>
      <c r="B93" s="1">
        <f ca="1"/>
        <v>319.93756638122852</v>
      </c>
      <c r="C93" s="1">
        <f ca="1"/>
        <v>3.548209044567709</v>
      </c>
      <c r="D93" s="1"/>
      <c r="E93">
        <f t="shared" ca="1" si="3"/>
        <v>0</v>
      </c>
      <c r="F93" s="1">
        <f t="shared" ca="1" si="2"/>
        <v>319.93756638122852</v>
      </c>
    </row>
    <row r="94" spans="1:6" x14ac:dyDescent="0.25">
      <c r="A94" s="1">
        <f t="array" aca="1" ref="A94:C94" ca="1">ODE_RK4(A93:C93,$B$5,$E$3,$F$3,$G$3)</f>
        <v>8.5999999999999854</v>
      </c>
      <c r="B94" s="1">
        <f ca="1"/>
        <v>320.25904978428605</v>
      </c>
      <c r="C94" s="1">
        <f ca="1"/>
        <v>2.748020523248266</v>
      </c>
      <c r="D94" s="1"/>
      <c r="E94">
        <f t="shared" ca="1" si="3"/>
        <v>0</v>
      </c>
      <c r="F94" s="1">
        <f t="shared" ca="1" si="2"/>
        <v>320.25904978428605</v>
      </c>
    </row>
    <row r="95" spans="1:6" x14ac:dyDescent="0.25">
      <c r="A95" s="1">
        <f t="array" aca="1" ref="A95:C95" ca="1">ODE_RK4(A94:C94,$B$5,$E$3,$F$3,$G$3)</f>
        <v>8.6999999999999851</v>
      </c>
      <c r="B95" s="1">
        <f ca="1"/>
        <v>320.50048334836487</v>
      </c>
      <c r="C95" s="1">
        <f ca="1"/>
        <v>1.9471116704661284</v>
      </c>
      <c r="D95" s="1"/>
      <c r="E95">
        <f t="shared" ca="1" si="3"/>
        <v>0</v>
      </c>
      <c r="F95" s="1">
        <f t="shared" ca="1" si="2"/>
        <v>320.50048334836487</v>
      </c>
    </row>
    <row r="96" spans="1:6" x14ac:dyDescent="0.25">
      <c r="A96" s="1">
        <f t="array" aca="1" ref="A96:C96" ca="1">ODE_RK4(A95:C95,$B$5,$E$3,$F$3,$G$3)</f>
        <v>8.7999999999999847</v>
      </c>
      <c r="B96" s="1">
        <f ca="1"/>
        <v>320.66180338099042</v>
      </c>
      <c r="C96" s="1">
        <f ca="1"/>
        <v>1.1456826795984392</v>
      </c>
      <c r="D96" s="1"/>
      <c r="E96">
        <f t="shared" ca="1" si="3"/>
        <v>0</v>
      </c>
      <c r="F96" s="1">
        <f t="shared" ca="1" si="2"/>
        <v>320.66180338099042</v>
      </c>
    </row>
    <row r="97" spans="1:6" x14ac:dyDescent="0.25">
      <c r="A97" s="1">
        <f t="array" aca="1" ref="A97:C97" ca="1">ODE_RK4(A96:C96,$B$5,$E$3,$F$3,$G$3)</f>
        <v>8.8999999999999844</v>
      </c>
      <c r="B97" s="1">
        <f ca="1"/>
        <v>320.74296621503476</v>
      </c>
      <c r="C97" s="1">
        <f ca="1"/>
        <v>0.34393388239533507</v>
      </c>
      <c r="D97" s="1"/>
      <c r="E97">
        <f t="shared" ca="1" si="3"/>
        <v>1</v>
      </c>
      <c r="F97" s="1">
        <f t="shared" ca="1" si="2"/>
        <v>320.74296621503476</v>
      </c>
    </row>
    <row r="98" spans="1:6" x14ac:dyDescent="0.25">
      <c r="A98" s="1">
        <f t="array" aca="1" ref="A98:C98" ca="1">ODE_RK4(A97:C97,$B$5,$E$3,$F$3,$G$3)</f>
        <v>8.999999999999984</v>
      </c>
      <c r="B98" s="1">
        <f ca="1"/>
        <v>320.74394822046759</v>
      </c>
      <c r="C98" s="1">
        <f ca="1"/>
        <v>-0.45793430109626854</v>
      </c>
      <c r="D98" s="1"/>
      <c r="E98">
        <f t="shared" ca="1" si="3"/>
        <v>1</v>
      </c>
      <c r="F98" s="1">
        <f t="shared" ca="1" si="2"/>
        <v>320.74394822046759</v>
      </c>
    </row>
    <row r="99" spans="1:6" x14ac:dyDescent="0.25">
      <c r="A99" s="1">
        <f t="array" aca="1" ref="A99:C99" ca="1">ODE_RK4(A98:C98,$B$5,$E$3,$F$3,$G$3)</f>
        <v>9.0999999999999837</v>
      </c>
      <c r="B99" s="1">
        <f ca="1"/>
        <v>320.66474581109838</v>
      </c>
      <c r="C99" s="1">
        <f ca="1"/>
        <v>-1.259721412633054</v>
      </c>
      <c r="D99" s="1"/>
      <c r="E99">
        <f t="shared" ca="1" si="3"/>
        <v>1</v>
      </c>
      <c r="F99" s="1">
        <f t="shared" ca="1" si="2"/>
        <v>320.66474581109838</v>
      </c>
    </row>
    <row r="100" spans="1:6" x14ac:dyDescent="0.25">
      <c r="A100" s="1">
        <f t="array" aca="1" ref="A100:C100" ca="1">ODE_RK4(A99:C99,$B$5,$E$3,$F$3,$G$3)</f>
        <v>9.1999999999999833</v>
      </c>
      <c r="B100" s="1">
        <f ca="1"/>
        <v>320.50537544630805</v>
      </c>
      <c r="C100" s="1">
        <f ca="1"/>
        <v>-2.0612270058873134</v>
      </c>
      <c r="D100" s="1"/>
      <c r="E100">
        <f t="shared" ca="1" si="3"/>
        <v>1</v>
      </c>
      <c r="F100" s="1">
        <f t="shared" ca="1" si="2"/>
        <v>320.50537544630805</v>
      </c>
    </row>
    <row r="101" spans="1:6" x14ac:dyDescent="0.25">
      <c r="A101" s="1">
        <f t="array" aca="1" ref="A101:C101" ca="1">ODE_RK4(A100:C100,$B$5,$E$3,$F$3,$G$3)</f>
        <v>9.2999999999999829</v>
      </c>
      <c r="B101" s="1">
        <f ca="1"/>
        <v>320.26587362776945</v>
      </c>
      <c r="C101" s="1">
        <f ca="1"/>
        <v>-2.8622506965580694</v>
      </c>
      <c r="D101" s="1"/>
      <c r="E101">
        <f t="shared" ca="1" si="3"/>
        <v>1</v>
      </c>
      <c r="F101" s="1">
        <f t="shared" ca="1" si="2"/>
        <v>320.26587362776945</v>
      </c>
    </row>
    <row r="102" spans="1:6" x14ac:dyDescent="0.25">
      <c r="A102" s="1">
        <f t="array" aca="1" ref="A102:C102" ca="1">ODE_RK4(A101:C101,$B$5,$E$3,$F$3,$G$3)</f>
        <v>9.3999999999999826</v>
      </c>
      <c r="B102" s="1">
        <f ca="1"/>
        <v>319.94629689115703</v>
      </c>
      <c r="C102" s="1">
        <f ca="1"/>
        <v>-3.66259221246878</v>
      </c>
      <c r="D102" s="1"/>
      <c r="E102">
        <f t="shared" ca="1" si="3"/>
        <v>1</v>
      </c>
      <c r="F102" s="1">
        <f t="shared" ca="1" si="2"/>
        <v>319.94629689115703</v>
      </c>
    </row>
    <row r="103" spans="1:6" x14ac:dyDescent="0.25">
      <c r="A103" s="1">
        <f t="array" aca="1" ref="A103:C103" ca="1">ODE_RK4(A102:C102,$B$5,$E$3,$F$3,$G$3)</f>
        <v>9.4999999999999822</v>
      </c>
      <c r="B103" s="1">
        <f ca="1"/>
        <v>319.54672179284807</v>
      </c>
      <c r="C103" s="1">
        <f ca="1"/>
        <v>-4.4620514436390959</v>
      </c>
      <c r="D103" s="1"/>
      <c r="E103">
        <f t="shared" ca="1" si="3"/>
        <v>1</v>
      </c>
      <c r="F103" s="1">
        <f t="shared" ca="1" si="2"/>
        <v>319.54672179284807</v>
      </c>
    </row>
    <row r="104" spans="1:6" x14ac:dyDescent="0.25">
      <c r="A104" s="1">
        <f t="array" aca="1" ref="A104:C104" ca="1">ODE_RK4(A103:C103,$B$5,$E$3,$F$3,$G$3)</f>
        <v>9.5999999999999819</v>
      </c>
      <c r="B104" s="1">
        <f ca="1"/>
        <v>319.06724489161797</v>
      </c>
      <c r="C104" s="1">
        <f ca="1"/>
        <v>-5.2604284923181597</v>
      </c>
      <c r="D104" s="1"/>
      <c r="E104">
        <f t="shared" ca="1" si="3"/>
        <v>1</v>
      </c>
      <c r="F104" s="1">
        <f t="shared" ca="1" si="2"/>
        <v>319.06724489161797</v>
      </c>
    </row>
    <row r="105" spans="1:6" x14ac:dyDescent="0.25">
      <c r="A105" s="1">
        <f t="array" aca="1" ref="A105:C105" ca="1">ODE_RK4(A104:C104,$B$5,$E$3,$F$3,$G$3)</f>
        <v>9.6999999999999815</v>
      </c>
      <c r="B105" s="1">
        <f ca="1"/>
        <v>318.50798272533444</v>
      </c>
      <c r="C105" s="1">
        <f ca="1"/>
        <v>-6.0575237229669305</v>
      </c>
      <c r="D105" s="1"/>
      <c r="E105">
        <f t="shared" ca="1" si="3"/>
        <v>1</v>
      </c>
      <c r="F105" s="1">
        <f t="shared" ca="1" si="2"/>
        <v>318.50798272533444</v>
      </c>
    </row>
    <row r="106" spans="1:6" x14ac:dyDescent="0.25">
      <c r="A106" s="1">
        <f t="array" aca="1" ref="A106:C106" ca="1">ODE_RK4(A105:C105,$B$5,$E$3,$F$3,$G$3)</f>
        <v>9.7999999999999812</v>
      </c>
      <c r="B106" s="1">
        <f ca="1"/>
        <v>317.86907178265608</v>
      </c>
      <c r="C106" s="1">
        <f ca="1"/>
        <v>-6.8531378121770414</v>
      </c>
      <c r="D106" s="1"/>
      <c r="E106">
        <f t="shared" ca="1" si="3"/>
        <v>1</v>
      </c>
      <c r="F106" s="1">
        <f t="shared" ca="1" si="2"/>
        <v>317.86907178265608</v>
      </c>
    </row>
    <row r="107" spans="1:6" x14ac:dyDescent="0.25">
      <c r="A107" s="1">
        <f t="array" aca="1" ref="A107:C107" ca="1">ODE_RK4(A106:C106,$B$5,$E$3,$F$3,$G$3)</f>
        <v>9.8999999999999808</v>
      </c>
      <c r="B107" s="1">
        <f ca="1"/>
        <v>317.15066846974202</v>
      </c>
      <c r="C107" s="1">
        <f ca="1"/>
        <v>-7.6470717985137036</v>
      </c>
      <c r="D107" s="1"/>
      <c r="E107">
        <f t="shared" ca="1" si="3"/>
        <v>1</v>
      </c>
      <c r="F107" s="1">
        <f t="shared" ca="1" si="2"/>
        <v>317.15066846974202</v>
      </c>
    </row>
    <row r="108" spans="1:6" x14ac:dyDescent="0.25">
      <c r="A108" s="1">
        <f t="array" aca="1" ref="A108:C108" ca="1">ODE_RK4(A107:C107,$B$5,$E$3,$F$3,$G$3)</f>
        <v>9.9999999999999805</v>
      </c>
      <c r="B108" s="1">
        <f ca="1"/>
        <v>316.35294907198102</v>
      </c>
      <c r="C108" s="1">
        <f ca="1"/>
        <v>-8.4391271322701975</v>
      </c>
      <c r="D108" s="1"/>
      <c r="E108">
        <f t="shared" ca="1" si="3"/>
        <v>1</v>
      </c>
      <c r="F108" s="1">
        <f t="shared" ca="1" si="2"/>
        <v>316.35294907198102</v>
      </c>
    </row>
    <row r="109" spans="1:6" x14ac:dyDescent="0.25">
      <c r="A109" s="1">
        <f t="array" aca="1" ref="A109:C109" ca="1">ODE_RK4(A108:C108,$B$5,$E$3,$F$3,$G$3)</f>
        <v>10.09999999999998</v>
      </c>
      <c r="B109" s="1">
        <f ca="1"/>
        <v>315.4761097107492</v>
      </c>
      <c r="C109" s="1">
        <f ca="1"/>
        <v>-9.2291057251215065</v>
      </c>
      <c r="D109" s="1"/>
      <c r="E109">
        <f t="shared" ca="1" si="3"/>
        <v>1</v>
      </c>
      <c r="F109" s="1">
        <f t="shared" ca="1" si="2"/>
        <v>315.4761097107492</v>
      </c>
    </row>
    <row r="110" spans="1:6" x14ac:dyDescent="0.25">
      <c r="A110" s="1">
        <f t="array" aca="1" ref="A110:C110" ca="1">ODE_RK4(A109:C109,$B$5,$E$3,$F$3,$G$3)</f>
        <v>10.19999999999998</v>
      </c>
      <c r="B110" s="1">
        <f ca="1"/>
        <v>314.52036629520711</v>
      </c>
      <c r="C110" s="1">
        <f ca="1"/>
        <v>-10.016809999664673</v>
      </c>
      <c r="D110" s="1"/>
      <c r="E110">
        <f t="shared" ca="1" si="3"/>
        <v>1</v>
      </c>
      <c r="F110" s="1">
        <f t="shared" ca="1" si="2"/>
        <v>314.52036629520711</v>
      </c>
    </row>
    <row r="111" spans="1:6" x14ac:dyDescent="0.25">
      <c r="A111" s="1">
        <f t="array" aca="1" ref="A111:C111" ca="1">ODE_RK4(A110:C110,$B$5,$E$3,$F$3,$G$3)</f>
        <v>10.299999999999979</v>
      </c>
      <c r="B111" s="1">
        <f ca="1"/>
        <v>313.48595446914788</v>
      </c>
      <c r="C111" s="1">
        <f ca="1"/>
        <v>-10.802042938833496</v>
      </c>
      <c r="D111" s="1"/>
      <c r="E111">
        <f t="shared" ca="1" si="3"/>
        <v>1</v>
      </c>
      <c r="F111" s="1">
        <f t="shared" ca="1" si="2"/>
        <v>313.48595446914788</v>
      </c>
    </row>
    <row r="112" spans="1:6" x14ac:dyDescent="0.25">
      <c r="A112" s="1">
        <f t="array" aca="1" ref="A112:C112" ca="1">ODE_RK4(A111:C111,$B$5,$E$3,$F$3,$G$3)</f>
        <v>10.399999999999979</v>
      </c>
      <c r="B112" s="1">
        <f ca="1"/>
        <v>312.37312955290969</v>
      </c>
      <c r="C112" s="1">
        <f ca="1"/>
        <v>-11.584608135175205</v>
      </c>
      <c r="D112" s="1"/>
      <c r="E112">
        <f t="shared" ca="1" si="3"/>
        <v>1</v>
      </c>
      <c r="F112" s="1">
        <f t="shared" ca="1" si="2"/>
        <v>312.37312955290969</v>
      </c>
    </row>
    <row r="113" spans="1:6" x14ac:dyDescent="0.25">
      <c r="A113" s="1">
        <f t="array" aca="1" ref="A113:C113" ca="1">ODE_RK4(A112:C112,$B$5,$E$3,$F$3,$G$3)</f>
        <v>10.499999999999979</v>
      </c>
      <c r="B113" s="1">
        <f ca="1"/>
        <v>311.18216648036667</v>
      </c>
      <c r="C113" s="1">
        <f ca="1"/>
        <v>-12.364309839976778</v>
      </c>
      <c r="D113" s="1"/>
      <c r="E113">
        <f t="shared" ca="1" si="3"/>
        <v>1</v>
      </c>
      <c r="F113" s="1">
        <f t="shared" ca="1" si="2"/>
        <v>311.18216648036667</v>
      </c>
    </row>
    <row r="114" spans="1:6" x14ac:dyDescent="0.25">
      <c r="A114" s="1">
        <f t="array" aca="1" ref="A114:C114" ca="1">ODE_RK4(A113:C113,$B$5,$E$3,$F$3,$G$3)</f>
        <v>10.599999999999978</v>
      </c>
      <c r="B114" s="1">
        <f ca="1"/>
        <v>309.913359731014</v>
      </c>
      <c r="C114" s="1">
        <f ca="1"/>
        <v>-13.140953012228636</v>
      </c>
      <c r="D114" s="1"/>
      <c r="E114">
        <f t="shared" ca="1" si="3"/>
        <v>1</v>
      </c>
      <c r="F114" s="1">
        <f t="shared" ca="1" si="2"/>
        <v>309.913359731014</v>
      </c>
    </row>
    <row r="115" spans="1:6" x14ac:dyDescent="0.25">
      <c r="A115" s="1">
        <f t="array" aca="1" ref="A115:C115" ca="1">ODE_RK4(A114:C114,$B$5,$E$3,$F$3,$G$3)</f>
        <v>10.699999999999978</v>
      </c>
      <c r="B115" s="1">
        <f ca="1"/>
        <v>308.56702325716367</v>
      </c>
      <c r="C115" s="1">
        <f ca="1"/>
        <v>-13.91434336741345</v>
      </c>
      <c r="D115" s="1"/>
      <c r="E115">
        <f t="shared" ca="1" si="3"/>
        <v>1</v>
      </c>
      <c r="F115" s="1">
        <f t="shared" ca="1" si="2"/>
        <v>308.56702325716367</v>
      </c>
    </row>
    <row r="116" spans="1:6" x14ac:dyDescent="0.25">
      <c r="A116" s="1">
        <f t="array" aca="1" ref="A116:C116" ca="1">ODE_RK4(A115:C115,$B$5,$E$3,$F$3,$G$3)</f>
        <v>10.799999999999978</v>
      </c>
      <c r="B116" s="1">
        <f ca="1"/>
        <v>307.14349040626939</v>
      </c>
      <c r="C116" s="1">
        <f ca="1"/>
        <v>-14.684287426107863</v>
      </c>
      <c r="D116" s="1"/>
      <c r="E116">
        <f t="shared" ca="1" si="3"/>
        <v>1</v>
      </c>
      <c r="F116" s="1">
        <f t="shared" ca="1" si="2"/>
        <v>307.14349040626939</v>
      </c>
    </row>
    <row r="117" spans="1:6" x14ac:dyDescent="0.25">
      <c r="A117" s="1">
        <f t="array" aca="1" ref="A117:C117" ca="1">ODE_RK4(A116:C116,$B$5,$E$3,$F$3,$G$3)</f>
        <v>10.899999999999977</v>
      </c>
      <c r="B117" s="1">
        <f ca="1"/>
        <v>305.64311383839924</v>
      </c>
      <c r="C117" s="1">
        <f ca="1"/>
        <v>-15.450592562384962</v>
      </c>
      <c r="D117" s="1"/>
      <c r="E117">
        <f t="shared" ca="1" si="3"/>
        <v>1</v>
      </c>
      <c r="F117" s="1">
        <f t="shared" ca="1" si="2"/>
        <v>305.64311383839924</v>
      </c>
    </row>
    <row r="118" spans="1:6" x14ac:dyDescent="0.25">
      <c r="A118" s="1">
        <f t="array" aca="1" ref="A118:C118" ca="1">ODE_RK4(A117:C117,$B$5,$E$3,$F$3,$G$3)</f>
        <v>10.999999999999977</v>
      </c>
      <c r="B118" s="1">
        <f ca="1"/>
        <v>304.06626543887717</v>
      </c>
      <c r="C118" s="1">
        <f ca="1"/>
        <v>-16.213067052005403</v>
      </c>
      <c r="D118" s="1"/>
      <c r="E118">
        <f t="shared" ca="1" si="3"/>
        <v>1</v>
      </c>
      <c r="F118" s="1">
        <f t="shared" ca="1" si="2"/>
        <v>304.06626543887717</v>
      </c>
    </row>
    <row r="119" spans="1:6" x14ac:dyDescent="0.25">
      <c r="A119" s="1">
        <f t="array" aca="1" ref="A119:C119" ca="1">ODE_RK4(A118:C118,$B$5,$E$3,$F$3,$G$3)</f>
        <v>11.099999999999977</v>
      </c>
      <c r="B119" s="1">
        <f ca="1"/>
        <v>302.41333622611421</v>
      </c>
      <c r="C119" s="1">
        <f ca="1"/>
        <v>-16.971520120385122</v>
      </c>
      <c r="D119" s="1"/>
      <c r="E119">
        <f t="shared" ca="1" si="3"/>
        <v>1</v>
      </c>
      <c r="F119" s="1">
        <f t="shared" ca="1" si="2"/>
        <v>302.41333622611421</v>
      </c>
    </row>
    <row r="120" spans="1:6" x14ac:dyDescent="0.25">
      <c r="A120" s="1">
        <f t="array" aca="1" ref="A120:C120" ca="1">ODE_RK4(A119:C119,$B$5,$E$3,$F$3,$G$3)</f>
        <v>11.199999999999976</v>
      </c>
      <c r="B120" s="1">
        <f ca="1"/>
        <v>300.68473625465322</v>
      </c>
      <c r="C120" s="1">
        <f ca="1"/>
        <v>-17.725761990327641</v>
      </c>
      <c r="D120" s="1"/>
      <c r="E120">
        <f t="shared" ca="1" si="3"/>
        <v>1</v>
      </c>
      <c r="F120" s="1">
        <f t="shared" ca="1" si="2"/>
        <v>300.68473625465322</v>
      </c>
    </row>
    <row r="121" spans="1:6" x14ac:dyDescent="0.25">
      <c r="A121" s="1">
        <f t="array" aca="1" ref="A121:C121" ca="1">ODE_RK4(A120:C120,$B$5,$E$3,$F$3,$G$3)</f>
        <v>11.299999999999976</v>
      </c>
      <c r="B121" s="1">
        <f ca="1"/>
        <v>298.88089451345007</v>
      </c>
      <c r="C121" s="1">
        <f ca="1"/>
        <v>-18.475603929509013</v>
      </c>
      <c r="D121" s="1"/>
      <c r="E121">
        <f t="shared" ca="1" si="3"/>
        <v>1</v>
      </c>
      <c r="F121" s="1">
        <f t="shared" ca="1" si="2"/>
        <v>298.88089451345007</v>
      </c>
    </row>
    <row r="122" spans="1:6" x14ac:dyDescent="0.25">
      <c r="A122" s="1">
        <f t="array" aca="1" ref="A122:C122" ca="1">ODE_RK4(A121:C121,$B$5,$E$3,$F$3,$G$3)</f>
        <v>11.399999999999975</v>
      </c>
      <c r="B122" s="1">
        <f ca="1"/>
        <v>297.00225881941748</v>
      </c>
      <c r="C122" s="1">
        <f ca="1"/>
        <v>-19.22085829770354</v>
      </c>
      <c r="D122" s="1"/>
      <c r="E122">
        <f t="shared" ca="1" si="3"/>
        <v>1</v>
      </c>
      <c r="F122" s="1">
        <f t="shared" ca="1" si="2"/>
        <v>297.00225881941748</v>
      </c>
    </row>
    <row r="123" spans="1:6" x14ac:dyDescent="0.25">
      <c r="A123" s="1">
        <f t="array" aca="1" ref="A123:C123" ca="1">ODE_RK4(A122:C122,$B$5,$E$3,$F$3,$G$3)</f>
        <v>11.499999999999975</v>
      </c>
      <c r="B123" s="1">
        <f ca="1"/>
        <v>295.04929570625728</v>
      </c>
      <c r="C123" s="1">
        <f ca="1"/>
        <v>-19.961338593738429</v>
      </c>
      <c r="D123" s="1"/>
      <c r="E123">
        <f t="shared" ca="1" si="3"/>
        <v>1</v>
      </c>
      <c r="F123" s="1">
        <f t="shared" ca="1" si="2"/>
        <v>295.04929570625728</v>
      </c>
    </row>
    <row r="124" spans="1:6" x14ac:dyDescent="0.25">
      <c r="A124" s="1">
        <f t="array" aca="1" ref="A124:C124" ca="1">ODE_RK4(A123:C123,$B$5,$E$3,$F$3,$G$3)</f>
        <v>11.599999999999975</v>
      </c>
      <c r="B124" s="1">
        <f ca="1"/>
        <v>293.02249030860924</v>
      </c>
      <c r="C124" s="1">
        <f ca="1"/>
        <v>-20.696859502165658</v>
      </c>
      <c r="D124" s="1"/>
      <c r="E124">
        <f t="shared" ca="1" si="3"/>
        <v>1</v>
      </c>
      <c r="F124" s="1">
        <f t="shared" ca="1" si="2"/>
        <v>293.02249030860924</v>
      </c>
    </row>
    <row r="125" spans="1:6" x14ac:dyDescent="0.25">
      <c r="A125" s="1">
        <f t="array" aca="1" ref="A125:C125" ca="1">ODE_RK4(A124:C124,$B$5,$E$3,$F$3,$G$3)</f>
        <v>11.699999999999974</v>
      </c>
      <c r="B125" s="1">
        <f ca="1"/>
        <v>290.92234624154452</v>
      </c>
      <c r="C125" s="1">
        <f ca="1"/>
        <v>-21.427236939639354</v>
      </c>
      <c r="D125" s="1"/>
      <c r="E125">
        <f t="shared" ca="1" si="3"/>
        <v>1</v>
      </c>
      <c r="F125" s="1">
        <f t="shared" ca="1" si="2"/>
        <v>290.92234624154452</v>
      </c>
    </row>
    <row r="126" spans="1:6" x14ac:dyDescent="0.25">
      <c r="A126" s="1">
        <f t="array" aca="1" ref="A126:C126" ca="1">ODE_RK4(A125:C125,$B$5,$E$3,$F$3,$G$3)</f>
        <v>11.799999999999974</v>
      </c>
      <c r="B126" s="1">
        <f ca="1"/>
        <v>288.74938547543434</v>
      </c>
      <c r="C126" s="1">
        <f ca="1"/>
        <v>-22.152288100987082</v>
      </c>
      <c r="D126" s="1"/>
      <c r="E126">
        <f t="shared" ca="1" si="3"/>
        <v>1</v>
      </c>
      <c r="F126" s="1">
        <f t="shared" ca="1" si="2"/>
        <v>288.74938547543434</v>
      </c>
    </row>
    <row r="127" spans="1:6" x14ac:dyDescent="0.25">
      <c r="A127" s="1">
        <f t="array" aca="1" ref="A127:C127" ca="1">ODE_RK4(A126:C126,$B$5,$E$3,$F$3,$G$3)</f>
        <v>11.899999999999974</v>
      </c>
      <c r="B127" s="1">
        <f ca="1"/>
        <v>286.50414820622467</v>
      </c>
      <c r="C127" s="1">
        <f ca="1"/>
        <v>-22.871831504963534</v>
      </c>
      <c r="D127" s="1"/>
      <c r="E127">
        <f t="shared" ca="1" si="3"/>
        <v>1</v>
      </c>
      <c r="F127" s="1">
        <f t="shared" ca="1" si="2"/>
        <v>286.50414820622467</v>
      </c>
    </row>
    <row r="128" spans="1:6" x14ac:dyDescent="0.25">
      <c r="A128" s="1">
        <f t="array" aca="1" ref="A128:C128" ca="1">ODE_RK4(A127:C127,$B$5,$E$3,$F$3,$G$3)</f>
        <v>11.999999999999973</v>
      </c>
      <c r="B128" s="1">
        <f ca="1"/>
        <v>284.18719272114924</v>
      </c>
      <c r="C128" s="1">
        <f ca="1"/>
        <v>-23.585687039675115</v>
      </c>
      <c r="D128" s="1"/>
      <c r="E128">
        <f t="shared" ca="1" si="3"/>
        <v>1</v>
      </c>
      <c r="F128" s="1">
        <f t="shared" ca="1" si="2"/>
        <v>284.18719272114924</v>
      </c>
    </row>
    <row r="129" spans="1:6" x14ac:dyDescent="0.25">
      <c r="A129" s="1">
        <f t="array" aca="1" ref="A129:C129" ca="1">ODE_RK4(A128:C128,$B$5,$E$3,$F$3,$G$3)</f>
        <v>12.099999999999973</v>
      </c>
      <c r="B129" s="1">
        <f ca="1"/>
        <v>281.799095259914</v>
      </c>
      <c r="C129" s="1">
        <f ca="1"/>
        <v>-24.293676007664121</v>
      </c>
      <c r="D129" s="1"/>
      <c r="E129">
        <f t="shared" ca="1" si="3"/>
        <v>1</v>
      </c>
      <c r="F129" s="1">
        <f t="shared" ca="1" si="2"/>
        <v>281.799095259914</v>
      </c>
    </row>
    <row r="130" spans="1:6" x14ac:dyDescent="0.25">
      <c r="A130" s="1">
        <f t="array" aca="1" ref="A130:C130" ca="1">ODE_RK4(A129:C129,$B$5,$E$3,$F$3,$G$3)</f>
        <v>12.199999999999973</v>
      </c>
      <c r="B130" s="1">
        <f ca="1"/>
        <v>279.3404498713881</v>
      </c>
      <c r="C130" s="1">
        <f ca="1"/>
        <v>-24.995621170641183</v>
      </c>
      <c r="D130" s="1"/>
      <c r="E130">
        <f t="shared" ca="1" si="3"/>
        <v>1</v>
      </c>
      <c r="F130" s="1">
        <f t="shared" ca="1" si="2"/>
        <v>279.3404498713881</v>
      </c>
    </row>
    <row r="131" spans="1:6" x14ac:dyDescent="0.25">
      <c r="A131" s="1">
        <f t="array" aca="1" ref="A131:C131" ca="1">ODE_RK4(A130:C130,$B$5,$E$3,$F$3,$G$3)</f>
        <v>12.299999999999972</v>
      </c>
      <c r="B131" s="1">
        <f ca="1"/>
        <v>276.81186826583644</v>
      </c>
      <c r="C131" s="1">
        <f ca="1"/>
        <v>-25.69134679385478</v>
      </c>
      <c r="D131" s="1"/>
      <c r="E131">
        <f t="shared" ca="1" si="3"/>
        <v>1</v>
      </c>
      <c r="F131" s="1">
        <f t="shared" ca="1" si="2"/>
        <v>276.81186826583644</v>
      </c>
    </row>
    <row r="132" spans="1:6" x14ac:dyDescent="0.25">
      <c r="A132" s="1">
        <f t="array" aca="1" ref="A132:C132" ca="1">ODE_RK4(A131:C131,$B$5,$E$3,$F$3,$G$3)</f>
        <v>12.399999999999972</v>
      </c>
      <c r="B132" s="1">
        <f ca="1"/>
        <v>274.21397966273076</v>
      </c>
      <c r="C132" s="1">
        <f ca="1"/>
        <v>-26.380678690086743</v>
      </c>
      <c r="D132" s="1"/>
      <c r="E132">
        <f t="shared" ca="1" si="3"/>
        <v>1</v>
      </c>
      <c r="F132" s="1">
        <f t="shared" ca="1" si="2"/>
        <v>274.21397966273076</v>
      </c>
    </row>
    <row r="133" spans="1:6" x14ac:dyDescent="0.25">
      <c r="A133" s="1">
        <f t="array" aca="1" ref="A133:C133" ca="1">ODE_RK4(A132:C132,$B$5,$E$3,$F$3,$G$3)</f>
        <v>12.499999999999972</v>
      </c>
      <c r="B133" s="1">
        <f ca="1"/>
        <v>271.5474306341776</v>
      </c>
      <c r="C133" s="1">
        <f ca="1"/>
        <v>-27.063444263262699</v>
      </c>
      <c r="D133" s="1"/>
      <c r="E133">
        <f t="shared" ca="1" si="3"/>
        <v>1</v>
      </c>
      <c r="F133" s="1">
        <f t="shared" ca="1" si="2"/>
        <v>271.5474306341776</v>
      </c>
    </row>
    <row r="134" spans="1:6" x14ac:dyDescent="0.25">
      <c r="A134" s="1">
        <f t="array" aca="1" ref="A134:C134" ca="1">ODE_RK4(A133:C133,$B$5,$E$3,$F$3,$G$3)</f>
        <v>12.599999999999971</v>
      </c>
      <c r="B134" s="1">
        <f ca="1"/>
        <v>268.81288494400098</v>
      </c>
      <c r="C134" s="1">
        <f ca="1"/>
        <v>-27.739472551666562</v>
      </c>
      <c r="D134" s="1"/>
      <c r="E134">
        <f t="shared" ca="1" si="3"/>
        <v>1</v>
      </c>
      <c r="F134" s="1">
        <f t="shared" ca="1" si="2"/>
        <v>268.81288494400098</v>
      </c>
    </row>
    <row r="135" spans="1:6" x14ac:dyDescent="0.25">
      <c r="A135" s="1">
        <f t="array" aca="1" ref="A135:C135" ca="1">ODE_RK4(A134:C134,$B$5,$E$3,$F$3,$G$3)</f>
        <v>12.699999999999971</v>
      </c>
      <c r="B135" s="1">
        <f ca="1"/>
        <v>266.01102338252116</v>
      </c>
      <c r="C135" s="1">
        <f ca="1"/>
        <v>-28.408594270748235</v>
      </c>
      <c r="D135" s="1"/>
      <c r="E135">
        <f t="shared" ca="1" si="3"/>
        <v>1</v>
      </c>
      <c r="F135" s="1">
        <f t="shared" ca="1" si="2"/>
        <v>266.01102338252116</v>
      </c>
    </row>
    <row r="136" spans="1:6" x14ac:dyDescent="0.25">
      <c r="A136" s="1">
        <f t="array" aca="1" ref="A136:C136" ca="1">ODE_RK4(A135:C135,$B$5,$E$3,$F$3,$G$3)</f>
        <v>12.799999999999971</v>
      </c>
      <c r="B136" s="1">
        <f ca="1"/>
        <v>263.14254359706962</v>
      </c>
      <c r="C136" s="1">
        <f ca="1"/>
        <v>-29.070641855513824</v>
      </c>
      <c r="D136" s="1"/>
      <c r="E136">
        <f t="shared" ca="1" si="3"/>
        <v>1</v>
      </c>
      <c r="F136" s="1">
        <f t="shared" ref="F136:F199" ca="1" si="4">B136</f>
        <v>263.14254359706962</v>
      </c>
    </row>
    <row r="137" spans="1:6" x14ac:dyDescent="0.25">
      <c r="A137" s="1">
        <f t="array" aca="1" ref="A137:C137" ca="1">ODE_RK4(A136:C136,$B$5,$E$3,$F$3,$G$3)</f>
        <v>12.89999999999997</v>
      </c>
      <c r="B137" s="1">
        <f ca="1"/>
        <v>260.20815991828289</v>
      </c>
      <c r="C137" s="1">
        <f ca="1"/>
        <v>-29.725449502487727</v>
      </c>
      <c r="D137" s="1"/>
      <c r="E137">
        <f t="shared" ref="E137:E200" ca="1" si="5">(C137*C138&lt;0)*1+E136</f>
        <v>1</v>
      </c>
      <c r="F137" s="1">
        <f t="shared" ca="1" si="4"/>
        <v>260.20815991828289</v>
      </c>
    </row>
    <row r="138" spans="1:6" x14ac:dyDescent="0.25">
      <c r="A138" s="1">
        <f t="array" aca="1" ref="A138:C138" ca="1">ODE_RK4(A137:C137,$B$5,$E$3,$F$3,$G$3)</f>
        <v>12.99999999999997</v>
      </c>
      <c r="B138" s="1">
        <f ca="1"/>
        <v>257.20860318221838</v>
      </c>
      <c r="C138" s="1">
        <f ca="1"/>
        <v>-30.372853211236112</v>
      </c>
      <c r="D138" s="1"/>
      <c r="E138">
        <f t="shared" ca="1" si="5"/>
        <v>1</v>
      </c>
      <c r="F138" s="1">
        <f t="shared" ca="1" si="4"/>
        <v>257.20860318221838</v>
      </c>
    </row>
    <row r="139" spans="1:6" x14ac:dyDescent="0.25">
      <c r="A139" s="1">
        <f t="array" aca="1" ref="A139:C139" ca="1">ODE_RK4(A138:C138,$B$5,$E$3,$F$3,$G$3)</f>
        <v>13.099999999999969</v>
      </c>
      <c r="B139" s="1">
        <f ca="1"/>
        <v>254.1446205483366</v>
      </c>
      <c r="C139" s="1">
        <f ca="1"/>
        <v>-31.01269082544135</v>
      </c>
      <c r="D139" s="1"/>
      <c r="E139">
        <f t="shared" ca="1" si="5"/>
        <v>1</v>
      </c>
      <c r="F139" s="1">
        <f t="shared" ca="1" si="4"/>
        <v>254.1446205483366</v>
      </c>
    </row>
    <row r="140" spans="1:6" x14ac:dyDescent="0.25">
      <c r="A140" s="1">
        <f t="array" aca="1" ref="A140:C140" ca="1">ODE_RK4(A139:C139,$B$5,$E$3,$F$3,$G$3)</f>
        <v>13.199999999999969</v>
      </c>
      <c r="B140" s="1">
        <f ca="1"/>
        <v>251.01697531339499</v>
      </c>
      <c r="C140" s="1">
        <f ca="1"/>
        <v>-31.64480207351717</v>
      </c>
      <c r="D140" s="1"/>
      <c r="E140">
        <f t="shared" ca="1" si="5"/>
        <v>1</v>
      </c>
      <c r="F140" s="1">
        <f t="shared" ca="1" si="4"/>
        <v>251.01697531339499</v>
      </c>
    </row>
    <row r="141" spans="1:6" x14ac:dyDescent="0.25">
      <c r="A141" s="1">
        <f t="array" aca="1" ref="A141:C141" ca="1">ODE_RK4(A140:C140,$B$5,$E$3,$F$3,$G$3)</f>
        <v>13.299999999999969</v>
      </c>
      <c r="B141" s="1">
        <f ca="1"/>
        <v>247.82644672129962</v>
      </c>
      <c r="C141" s="1">
        <f ca="1"/>
        <v>-32.269028608754304</v>
      </c>
      <c r="D141" s="1"/>
      <c r="E141">
        <f t="shared" ca="1" si="5"/>
        <v>1</v>
      </c>
      <c r="F141" s="1">
        <f t="shared" ca="1" si="4"/>
        <v>247.82644672129962</v>
      </c>
    </row>
    <row r="142" spans="1:6" x14ac:dyDescent="0.25">
      <c r="A142" s="1">
        <f t="array" aca="1" ref="A142:C142" ca="1">ODE_RK4(A141:C141,$B$5,$E$3,$F$3,$G$3)</f>
        <v>13.399999999999968</v>
      </c>
      <c r="B142" s="1">
        <f ca="1"/>
        <v>244.57382976896247</v>
      </c>
      <c r="C142" s="1">
        <f ca="1"/>
        <v>-32.885214048986626</v>
      </c>
      <c r="D142" s="1"/>
      <c r="E142">
        <f t="shared" ca="1" si="5"/>
        <v>1</v>
      </c>
      <c r="F142" s="1">
        <f t="shared" ca="1" si="4"/>
        <v>244.57382976896247</v>
      </c>
    </row>
    <row r="143" spans="1:6" x14ac:dyDescent="0.25">
      <c r="A143" s="1">
        <f t="array" aca="1" ref="A143:C143" ca="1">ODE_RK4(A142:C142,$B$5,$E$3,$F$3,$G$3)</f>
        <v>13.499999999999968</v>
      </c>
      <c r="B143" s="1">
        <f ca="1"/>
        <v>241.2599350082123</v>
      </c>
      <c r="C143" s="1">
        <f ca="1"/>
        <v>-33.493204015767766</v>
      </c>
      <c r="D143" s="1"/>
      <c r="E143">
        <f t="shared" ca="1" si="5"/>
        <v>1</v>
      </c>
      <c r="F143" s="1">
        <f t="shared" ca="1" si="4"/>
        <v>241.2599350082123</v>
      </c>
    </row>
    <row r="144" spans="1:6" x14ac:dyDescent="0.25">
      <c r="A144" s="1">
        <f t="array" aca="1" ref="A144:C144" ca="1">ODE_RK4(A143:C143,$B$5,$E$3,$F$3,$G$3)</f>
        <v>13.599999999999968</v>
      </c>
      <c r="B144" s="1">
        <f ca="1"/>
        <v>237.88558834380859</v>
      </c>
      <c r="C144" s="1">
        <f ca="1"/>
        <v>-34.092846173048507</v>
      </c>
      <c r="D144" s="1"/>
      <c r="E144">
        <f t="shared" ca="1" si="5"/>
        <v>1</v>
      </c>
      <c r="F144" s="1">
        <f t="shared" ca="1" si="4"/>
        <v>237.88558834380859</v>
      </c>
    </row>
    <row r="145" spans="1:6" x14ac:dyDescent="0.25">
      <c r="A145" s="1">
        <f t="array" aca="1" ref="A145:C145" ca="1">ODE_RK4(A144:C144,$B$5,$E$3,$F$3,$G$3)</f>
        <v>13.699999999999967</v>
      </c>
      <c r="B145" s="1">
        <f ca="1"/>
        <v>234.45163082760908</v>
      </c>
      <c r="C145" s="1">
        <f ca="1"/>
        <v>-34.683990265345138</v>
      </c>
      <c r="D145" s="1"/>
      <c r="E145">
        <f t="shared" ca="1" si="5"/>
        <v>1</v>
      </c>
      <c r="F145" s="1">
        <f t="shared" ca="1" si="4"/>
        <v>234.45163082760908</v>
      </c>
    </row>
    <row r="146" spans="1:6" x14ac:dyDescent="0.25">
      <c r="A146" s="1">
        <f t="array" aca="1" ref="A146:C146" ca="1">ODE_RK4(A145:C145,$B$5,$E$3,$F$3,$G$3)</f>
        <v>13.799999999999967</v>
      </c>
      <c r="B146" s="1">
        <f ca="1"/>
        <v>230.95891844894183</v>
      </c>
      <c r="C146" s="1">
        <f ca="1"/>
        <v>-35.266488155389304</v>
      </c>
      <c r="D146" s="1"/>
      <c r="E146">
        <f t="shared" ca="1" si="5"/>
        <v>1</v>
      </c>
      <c r="F146" s="1">
        <f t="shared" ca="1" si="4"/>
        <v>230.95891844894183</v>
      </c>
    </row>
    <row r="147" spans="1:6" x14ac:dyDescent="0.25">
      <c r="A147" s="1">
        <f t="array" aca="1" ref="A147:C147" ca="1">ODE_RK4(A146:C146,$B$5,$E$3,$F$3,$G$3)</f>
        <v>13.899999999999967</v>
      </c>
      <c r="B147" s="1">
        <f ca="1"/>
        <v>227.40832192123437</v>
      </c>
      <c r="C147" s="1">
        <f ca="1"/>
        <v>-35.840193861249872</v>
      </c>
      <c r="D147" s="1"/>
      <c r="E147">
        <f t="shared" ca="1" si="5"/>
        <v>1</v>
      </c>
      <c r="F147" s="1">
        <f t="shared" ca="1" si="4"/>
        <v>227.40832192123437</v>
      </c>
    </row>
    <row r="148" spans="1:6" x14ac:dyDescent="0.25">
      <c r="A148" s="1">
        <f t="array" aca="1" ref="A148:C148" ca="1">ODE_RK4(A147:C147,$B$5,$E$3,$F$3,$G$3)</f>
        <v>13.999999999999966</v>
      </c>
      <c r="B148" s="1">
        <f ca="1"/>
        <v>223.80072646495299</v>
      </c>
      <c r="C148" s="1">
        <f ca="1"/>
        <v>-36.404963592917511</v>
      </c>
      <c r="D148" s="1"/>
      <c r="E148">
        <f t="shared" ca="1" si="5"/>
        <v>1</v>
      </c>
      <c r="F148" s="1">
        <f t="shared" ca="1" si="4"/>
        <v>223.80072646495299</v>
      </c>
    </row>
    <row r="149" spans="1:6" x14ac:dyDescent="0.25">
      <c r="A149" s="1">
        <f t="array" aca="1" ref="A149:C149" ca="1">ODE_RK4(A148:C148,$B$5,$E$3,$F$3,$G$3)</f>
        <v>14.099999999999966</v>
      </c>
      <c r="B149" s="1">
        <f ca="1"/>
        <v>220.13703158690623</v>
      </c>
      <c r="C149" s="1">
        <f ca="1"/>
        <v>-36.960655788342841</v>
      </c>
      <c r="D149" s="1"/>
      <c r="E149">
        <f t="shared" ca="1" si="5"/>
        <v>1</v>
      </c>
      <c r="F149" s="1">
        <f t="shared" ca="1" si="4"/>
        <v>220.13703158690623</v>
      </c>
    </row>
    <row r="150" spans="1:6" x14ac:dyDescent="0.25">
      <c r="A150" s="1">
        <f t="array" aca="1" ref="A150:C150" ca="1">ODE_RK4(A149:C149,$B$5,$E$3,$F$3,$G$3)</f>
        <v>14.199999999999966</v>
      </c>
      <c r="B150" s="1">
        <f ca="1"/>
        <v>216.41815085596775</v>
      </c>
      <c r="C150" s="1">
        <f ca="1"/>
        <v>-37.507131148919079</v>
      </c>
      <c r="D150" s="1"/>
      <c r="E150">
        <f t="shared" ca="1" si="5"/>
        <v>1</v>
      </c>
      <c r="F150" s="1">
        <f t="shared" ca="1" si="4"/>
        <v>216.41815085596775</v>
      </c>
    </row>
    <row r="151" spans="1:6" x14ac:dyDescent="0.25">
      <c r="A151" s="1">
        <f t="array" aca="1" ref="A151:C151" ca="1">ODE_RK4(A150:C150,$B$5,$E$3,$F$3,$G$3)</f>
        <v>14.299999999999965</v>
      </c>
      <c r="B151" s="1">
        <f ca="1"/>
        <v>212.64501167527433</v>
      </c>
      <c r="C151" s="1">
        <f ca="1"/>
        <v>-38.044252674400362</v>
      </c>
      <c r="D151" s="1"/>
      <c r="E151">
        <f t="shared" ca="1" si="5"/>
        <v>1</v>
      </c>
      <c r="F151" s="1">
        <f t="shared" ca="1" si="4"/>
        <v>212.64501167527433</v>
      </c>
    </row>
    <row r="152" spans="1:6" x14ac:dyDescent="0.25">
      <c r="A152" s="1">
        <f t="array" aca="1" ref="A152:C152" ca="1">ODE_RK4(A151:C151,$B$5,$E$3,$F$3,$G$3)</f>
        <v>14.399999999999965</v>
      </c>
      <c r="B152" s="1">
        <f ca="1"/>
        <v>208.81855505095592</v>
      </c>
      <c r="C152" s="1">
        <f ca="1"/>
        <v>-38.571885697246884</v>
      </c>
      <c r="D152" s="1"/>
      <c r="E152">
        <f t="shared" ca="1" si="5"/>
        <v>1</v>
      </c>
      <c r="F152" s="1">
        <f t="shared" ca="1" si="4"/>
        <v>208.81855505095592</v>
      </c>
    </row>
    <row r="153" spans="1:6" x14ac:dyDescent="0.25">
      <c r="A153" s="1">
        <f t="array" aca="1" ref="A153:C153" ca="1">ODE_RK4(A152:C152,$B$5,$E$3,$F$3,$G$3)</f>
        <v>14.499999999999964</v>
      </c>
      <c r="B153" s="1">
        <f ca="1"/>
        <v>204.93973535745539</v>
      </c>
      <c r="C153" s="1">
        <f ca="1"/>
        <v>-39.089897916388338</v>
      </c>
      <c r="D153" s="1"/>
      <c r="E153">
        <f t="shared" ca="1" si="5"/>
        <v>1</v>
      </c>
      <c r="F153" s="1">
        <f t="shared" ca="1" si="4"/>
        <v>204.93973535745539</v>
      </c>
    </row>
    <row r="154" spans="1:6" x14ac:dyDescent="0.25">
      <c r="A154" s="1">
        <f t="array" aca="1" ref="A154:C154" ca="1">ODE_RK4(A153:C153,$B$5,$E$3,$F$3,$G$3)</f>
        <v>14.599999999999964</v>
      </c>
      <c r="B154" s="1">
        <f ca="1"/>
        <v>201.00952009949643</v>
      </c>
      <c r="C154" s="1">
        <f ca="1"/>
        <v>-39.598159430397168</v>
      </c>
      <c r="D154" s="1"/>
      <c r="E154">
        <f t="shared" ca="1" si="5"/>
        <v>1</v>
      </c>
      <c r="F154" s="1">
        <f t="shared" ca="1" si="4"/>
        <v>201.00952009949643</v>
      </c>
    </row>
    <row r="155" spans="1:6" x14ac:dyDescent="0.25">
      <c r="A155" s="1">
        <f t="array" aca="1" ref="A155:C155" ca="1">ODE_RK4(A154:C154,$B$5,$E$3,$F$3,$G$3)</f>
        <v>14.699999999999964</v>
      </c>
      <c r="B155" s="1">
        <f ca="1"/>
        <v>197.02888967075904</v>
      </c>
      <c r="C155" s="1">
        <f ca="1"/>
        <v>-40.096542770063252</v>
      </c>
      <c r="D155" s="1"/>
      <c r="E155">
        <f t="shared" ca="1" si="5"/>
        <v>1</v>
      </c>
      <c r="F155" s="1">
        <f t="shared" ca="1" si="4"/>
        <v>197.02888967075904</v>
      </c>
    </row>
    <row r="156" spans="1:6" x14ac:dyDescent="0.25">
      <c r="A156" s="1">
        <f t="array" aca="1" ref="A156:C156" ca="1">ODE_RK4(A155:C155,$B$5,$E$3,$F$3,$G$3)</f>
        <v>14.799999999999963</v>
      </c>
      <c r="B156" s="1">
        <f ca="1"/>
        <v>192.99883710932286</v>
      </c>
      <c r="C156" s="1">
        <f ca="1"/>
        <v>-40.584922930361969</v>
      </c>
      <c r="D156" s="1"/>
      <c r="E156">
        <f t="shared" ca="1" si="5"/>
        <v>1</v>
      </c>
      <c r="F156" s="1">
        <f t="shared" ca="1" si="4"/>
        <v>192.99883710932286</v>
      </c>
    </row>
    <row r="157" spans="1:6" x14ac:dyDescent="0.25">
      <c r="A157" s="1">
        <f t="array" aca="1" ref="A157:C157" ca="1">ODE_RK4(A156:C156,$B$5,$E$3,$F$3,$G$3)</f>
        <v>14.899999999999963</v>
      </c>
      <c r="B157" s="1">
        <f ca="1"/>
        <v>188.92036784993917</v>
      </c>
      <c r="C157" s="1">
        <f ca="1"/>
        <v>-41.063177401807501</v>
      </c>
      <c r="D157" s="1"/>
      <c r="E157">
        <f t="shared" ca="1" si="5"/>
        <v>1</v>
      </c>
      <c r="F157" s="1">
        <f t="shared" ca="1" si="4"/>
        <v>188.92036784993917</v>
      </c>
    </row>
    <row r="158" spans="1:6" x14ac:dyDescent="0.25">
      <c r="A158" s="1">
        <f t="array" aca="1" ref="A158:C158" ca="1">ODE_RK4(A157:C157,$B$5,$E$3,$F$3,$G$3)</f>
        <v>14.999999999999963</v>
      </c>
      <c r="B158" s="1">
        <f ca="1"/>
        <v>184.7944994731935</v>
      </c>
      <c r="C158" s="1">
        <f ca="1"/>
        <v>-41.531186201183601</v>
      </c>
      <c r="D158" s="1"/>
      <c r="E158">
        <f t="shared" ca="1" si="5"/>
        <v>1</v>
      </c>
      <c r="F158" s="1">
        <f t="shared" ca="1" si="4"/>
        <v>184.7944994731935</v>
      </c>
    </row>
    <row r="159" spans="1:6" x14ac:dyDescent="0.25">
      <c r="A159" s="1">
        <f t="array" aca="1" ref="A159:C159" ca="1">ODE_RK4(A158:C158,$B$5,$E$3,$F$3,$G$3)</f>
        <v>15.099999999999962</v>
      </c>
      <c r="B159" s="1">
        <f ca="1"/>
        <v>180.6222614516214</v>
      </c>
      <c r="C159" s="1">
        <f ca="1"/>
        <v>-41.98883190164409</v>
      </c>
      <c r="D159" s="1"/>
      <c r="E159">
        <f t="shared" ca="1" si="5"/>
        <v>1</v>
      </c>
      <c r="F159" s="1">
        <f t="shared" ca="1" si="4"/>
        <v>180.6222614516214</v>
      </c>
    </row>
    <row r="160" spans="1:6" x14ac:dyDescent="0.25">
      <c r="A160" s="1">
        <f t="array" aca="1" ref="A160:C160" ca="1">ODE_RK4(A159:C159,$B$5,$E$3,$F$3,$G$3)</f>
        <v>15.199999999999962</v>
      </c>
      <c r="B160" s="1">
        <f ca="1"/>
        <v>176.40469489284069</v>
      </c>
      <c r="C160" s="1">
        <f ca="1"/>
        <v>-42.435999662175504</v>
      </c>
      <c r="D160" s="1"/>
      <c r="E160">
        <f t="shared" ca="1" si="5"/>
        <v>1</v>
      </c>
      <c r="F160" s="1">
        <f t="shared" ca="1" si="4"/>
        <v>176.40469489284069</v>
      </c>
    </row>
    <row r="161" spans="1:6" x14ac:dyDescent="0.25">
      <c r="A161" s="1">
        <f t="array" aca="1" ref="A161:C161" ca="1">ODE_RK4(A160:C160,$B$5,$E$3,$F$3,$G$3)</f>
        <v>15.299999999999962</v>
      </c>
      <c r="B161" s="1">
        <f ca="1"/>
        <v>172.14285227976436</v>
      </c>
      <c r="C161" s="1">
        <f ca="1"/>
        <v>-42.872577256414552</v>
      </c>
      <c r="D161" s="1"/>
      <c r="E161">
        <f t="shared" ca="1" si="5"/>
        <v>1</v>
      </c>
      <c r="F161" s="1">
        <f t="shared" ca="1" si="4"/>
        <v>172.14285227976436</v>
      </c>
    </row>
    <row r="162" spans="1:6" x14ac:dyDescent="0.25">
      <c r="A162" s="1">
        <f t="array" aca="1" ref="A162:C162" ca="1">ODE_RK4(A161:C161,$B$5,$E$3,$F$3,$G$3)</f>
        <v>15.399999999999961</v>
      </c>
      <c r="B162" s="1">
        <f ca="1"/>
        <v>167.83779720795869</v>
      </c>
      <c r="C162" s="1">
        <f ca="1"/>
        <v>-43.298455100813086</v>
      </c>
      <c r="D162" s="1"/>
      <c r="E162">
        <f t="shared" ca="1" si="5"/>
        <v>1</v>
      </c>
      <c r="F162" s="1">
        <f t="shared" ca="1" si="4"/>
        <v>167.83779720795869</v>
      </c>
    </row>
    <row r="163" spans="1:6" x14ac:dyDescent="0.25">
      <c r="A163" s="1">
        <f t="array" aca="1" ref="A163:C163" ca="1">ODE_RK4(A162:C162,$B$5,$E$3,$F$3,$G$3)</f>
        <v>15.499999999999961</v>
      </c>
      <c r="B163" s="1">
        <f ca="1"/>
        <v>163.49060412021254</v>
      </c>
      <c r="C163" s="1">
        <f ca="1"/>
        <v>-43.713526282143604</v>
      </c>
      <c r="D163" s="1"/>
      <c r="E163">
        <f t="shared" ca="1" si="5"/>
        <v>1</v>
      </c>
      <c r="F163" s="1">
        <f t="shared" ca="1" si="4"/>
        <v>163.49060412021254</v>
      </c>
    </row>
    <row r="164" spans="1:6" x14ac:dyDescent="0.25">
      <c r="A164" s="1">
        <f t="array" aca="1" ref="A164:C164" ca="1">ODE_RK4(A163:C163,$B$5,$E$3,$F$3,$G$3)</f>
        <v>15.599999999999961</v>
      </c>
      <c r="B164" s="1">
        <f ca="1"/>
        <v>159.10235803838367</v>
      </c>
      <c r="C164" s="1">
        <f ca="1"/>
        <v>-44.117686584338287</v>
      </c>
      <c r="D164" s="1"/>
      <c r="E164">
        <f t="shared" ca="1" si="5"/>
        <v>1</v>
      </c>
      <c r="F164" s="1">
        <f t="shared" ca="1" si="4"/>
        <v>159.10235803838367</v>
      </c>
    </row>
    <row r="165" spans="1:6" x14ac:dyDescent="0.25">
      <c r="A165" s="1">
        <f t="array" aca="1" ref="A165:C165" ca="1">ODE_RK4(A164:C164,$B$5,$E$3,$F$3,$G$3)</f>
        <v>15.69999999999996</v>
      </c>
      <c r="B165" s="1">
        <f ca="1"/>
        <v>154.67415429258929</v>
      </c>
      <c r="C165" s="1">
        <f ca="1"/>
        <v>-44.510834514654896</v>
      </c>
      <c r="D165" s="1"/>
      <c r="E165">
        <f t="shared" ca="1" si="5"/>
        <v>1</v>
      </c>
      <c r="F165" s="1">
        <f t="shared" ca="1" si="4"/>
        <v>154.67415429258929</v>
      </c>
    </row>
    <row r="166" spans="1:6" x14ac:dyDescent="0.25">
      <c r="A166" s="1">
        <f t="array" aca="1" ref="A166:C166" ca="1">ODE_RK4(A165:C165,$B$5,$E$3,$F$3,$G$3)</f>
        <v>15.79999999999996</v>
      </c>
      <c r="B166" s="1">
        <f ca="1"/>
        <v>150.20709824780815</v>
      </c>
      <c r="C166" s="1">
        <f ca="1"/>
        <v>-44.892871329162936</v>
      </c>
      <c r="D166" s="1"/>
      <c r="E166">
        <f t="shared" ca="1" si="5"/>
        <v>1</v>
      </c>
      <c r="F166" s="1">
        <f t="shared" ca="1" si="4"/>
        <v>150.20709824780815</v>
      </c>
    </row>
    <row r="167" spans="1:6" x14ac:dyDescent="0.25">
      <c r="A167" s="1">
        <f t="array" aca="1" ref="A167:C167" ca="1">ODE_RK4(A166:C166,$B$5,$E$3,$F$3,$G$3)</f>
        <v>15.899999999999959</v>
      </c>
      <c r="B167" s="1">
        <f ca="1"/>
        <v>145.70230502796278</v>
      </c>
      <c r="C167" s="1">
        <f ca="1"/>
        <v>-45.263701057543713</v>
      </c>
      <c r="D167" s="1"/>
      <c r="E167">
        <f t="shared" ca="1" si="5"/>
        <v>1</v>
      </c>
      <c r="F167" s="1">
        <f t="shared" ca="1" si="4"/>
        <v>145.70230502796278</v>
      </c>
    </row>
    <row r="168" spans="1:6" x14ac:dyDescent="0.25">
      <c r="A168" s="1">
        <f t="array" aca="1" ref="A168:C168" ca="1">ODE_RK4(A167:C167,$B$5,$E$3,$F$3,$G$3)</f>
        <v>15.999999999999959</v>
      </c>
      <c r="B168" s="1">
        <f ca="1"/>
        <v>141.16089923755035</v>
      </c>
      <c r="C168" s="1">
        <f ca="1"/>
        <v>-45.62323052719799</v>
      </c>
      <c r="D168" s="1"/>
      <c r="E168">
        <f t="shared" ca="1" si="5"/>
        <v>1</v>
      </c>
      <c r="F168" s="1">
        <f t="shared" ca="1" si="4"/>
        <v>141.16089923755035</v>
      </c>
    </row>
    <row r="169" spans="1:6" x14ac:dyDescent="0.25">
      <c r="A169" s="1">
        <f t="array" aca="1" ref="A169:C169" ca="1">ODE_RK4(A168:C168,$B$5,$E$3,$F$3,$G$3)</f>
        <v>16.099999999999959</v>
      </c>
      <c r="B169" s="1">
        <f ca="1"/>
        <v>136.58401468089195</v>
      </c>
      <c r="C169" s="1">
        <f ca="1"/>
        <v>-45.971369386655276</v>
      </c>
      <c r="D169" s="1"/>
      <c r="E169">
        <f t="shared" ca="1" si="5"/>
        <v>1</v>
      </c>
      <c r="F169" s="1">
        <f t="shared" ca="1" si="4"/>
        <v>136.58401468089195</v>
      </c>
    </row>
    <row r="170" spans="1:6" x14ac:dyDescent="0.25">
      <c r="A170" s="1">
        <f t="array" aca="1" ref="A170:C170" ca="1">ODE_RK4(A169:C169,$B$5,$E$3,$F$3,$G$3)</f>
        <v>16.19999999999996</v>
      </c>
      <c r="B170" s="1">
        <f ca="1"/>
        <v>131.97279407907027</v>
      </c>
      <c r="C170" s="1">
        <f ca="1"/>
        <v>-46.308030128278801</v>
      </c>
      <c r="D170" s="1"/>
      <c r="E170">
        <f t="shared" ca="1" si="5"/>
        <v>1</v>
      </c>
      <c r="F170" s="1">
        <f t="shared" ca="1" si="4"/>
        <v>131.97279407907027</v>
      </c>
    </row>
    <row r="171" spans="1:6" x14ac:dyDescent="0.25">
      <c r="A171" s="1">
        <f t="array" aca="1" ref="A171:C171" ca="1">ODE_RK4(A170:C170,$B$5,$E$3,$F$3,$G$3)</f>
        <v>16.299999999999962</v>
      </c>
      <c r="B171" s="1">
        <f ca="1"/>
        <v>127.32838878462621</v>
      </c>
      <c r="C171" s="1">
        <f ca="1"/>
        <v>-46.633128110260493</v>
      </c>
      <c r="D171" s="1"/>
      <c r="E171">
        <f t="shared" ca="1" si="5"/>
        <v>1</v>
      </c>
      <c r="F171" s="1">
        <f t="shared" ca="1" si="4"/>
        <v>127.32838878462621</v>
      </c>
    </row>
    <row r="172" spans="1:6" x14ac:dyDescent="0.25">
      <c r="A172" s="1">
        <f t="array" aca="1" ref="A172:C172" ca="1">ODE_RK4(A171:C171,$B$5,$E$3,$F$3,$G$3)</f>
        <v>16.399999999999963</v>
      </c>
      <c r="B172" s="1">
        <f ca="1"/>
        <v>122.65195849408595</v>
      </c>
      <c r="C172" s="1">
        <f ca="1"/>
        <v>-46.946581577900417</v>
      </c>
      <c r="D172" s="1"/>
      <c r="E172">
        <f t="shared" ca="1" si="5"/>
        <v>1</v>
      </c>
      <c r="F172" s="1">
        <f t="shared" ca="1" si="4"/>
        <v>122.65195849408595</v>
      </c>
    </row>
    <row r="173" spans="1:6" x14ac:dyDescent="0.25">
      <c r="A173" s="1">
        <f t="array" aca="1" ref="A173:C173" ca="1">ODE_RK4(A172:C172,$B$5,$E$3,$F$3,$G$3)</f>
        <v>16.499999999999964</v>
      </c>
      <c r="B173" s="1">
        <f ca="1"/>
        <v>117.94467095838993</v>
      </c>
      <c r="C173" s="1">
        <f ca="1"/>
        <v>-47.248311684165373</v>
      </c>
      <c r="D173" s="1"/>
      <c r="E173">
        <f t="shared" ca="1" si="5"/>
        <v>1</v>
      </c>
      <c r="F173" s="1">
        <f t="shared" ca="1" si="4"/>
        <v>117.94467095838993</v>
      </c>
    </row>
    <row r="174" spans="1:6" x14ac:dyDescent="0.25">
      <c r="A174" s="1">
        <f t="array" aca="1" ref="A174:C174" ca="1">ODE_RK4(A173:C173,$B$5,$E$3,$F$3,$G$3)</f>
        <v>16.599999999999966</v>
      </c>
      <c r="B174" s="1">
        <f ca="1"/>
        <v>113.20770169129636</v>
      </c>
      <c r="C174" s="1">
        <f ca="1"/>
        <v>-47.538242509521403</v>
      </c>
      <c r="D174" s="1"/>
      <c r="E174">
        <f t="shared" ca="1" si="5"/>
        <v>1</v>
      </c>
      <c r="F174" s="1">
        <f t="shared" ca="1" si="4"/>
        <v>113.20770169129636</v>
      </c>
    </row>
    <row r="175" spans="1:6" x14ac:dyDescent="0.25">
      <c r="A175" s="1">
        <f t="array" aca="1" ref="A175:C175" ca="1">ODE_RK4(A174:C174,$B$5,$E$3,$F$3,$G$3)</f>
        <v>16.699999999999967</v>
      </c>
      <c r="B175" s="1">
        <f ca="1"/>
        <v>108.44223367583174</v>
      </c>
      <c r="C175" s="1">
        <f ca="1"/>
        <v>-47.816301081035292</v>
      </c>
      <c r="D175" s="1"/>
      <c r="E175">
        <f t="shared" ca="1" si="5"/>
        <v>1</v>
      </c>
      <c r="F175" s="1">
        <f t="shared" ca="1" si="4"/>
        <v>108.44223367583174</v>
      </c>
    </row>
    <row r="176" spans="1:6" x14ac:dyDescent="0.25">
      <c r="A176" s="1">
        <f t="array" aca="1" ref="A176:C176" ca="1">ODE_RK4(A175:C175,$B$5,$E$3,$F$3,$G$3)</f>
        <v>16.799999999999969</v>
      </c>
      <c r="B176" s="1">
        <f ca="1"/>
        <v>103.64945706886202</v>
      </c>
      <c r="C176" s="1">
        <f ca="1"/>
        <v>-48.082417390740233</v>
      </c>
      <c r="D176" s="1"/>
      <c r="E176">
        <f t="shared" ca="1" si="5"/>
        <v>1</v>
      </c>
      <c r="F176" s="1">
        <f t="shared" ca="1" si="4"/>
        <v>103.64945706886202</v>
      </c>
    </row>
    <row r="177" spans="1:6" x14ac:dyDescent="0.25">
      <c r="A177" s="1">
        <f t="array" aca="1" ref="A177:C177" ca="1">ODE_RK4(A176:C176,$B$5,$E$3,$F$3,$G$3)</f>
        <v>16.89999999999997</v>
      </c>
      <c r="B177" s="1">
        <f ca="1"/>
        <v>98.830568903857895</v>
      </c>
      <c r="C177" s="1">
        <f ca="1"/>
        <v>-48.336524413261003</v>
      </c>
      <c r="D177" s="1"/>
      <c r="E177">
        <f t="shared" ca="1" si="5"/>
        <v>1</v>
      </c>
      <c r="F177" s="1">
        <f t="shared" ca="1" si="4"/>
        <v>98.830568903857895</v>
      </c>
    </row>
    <row r="178" spans="1:6" x14ac:dyDescent="0.25">
      <c r="A178" s="1">
        <f t="array" aca="1" ref="A178:C178" ca="1">ODE_RK4(A177:C177,$B$5,$E$3,$F$3,$G$3)</f>
        <v>16.999999999999972</v>
      </c>
      <c r="B178" s="1">
        <f ca="1"/>
        <v>93.986772791928743</v>
      </c>
      <c r="C178" s="1">
        <f ca="1"/>
        <v>-48.578558122694254</v>
      </c>
      <c r="D178" s="1"/>
      <c r="E178">
        <f t="shared" ca="1" si="5"/>
        <v>1</v>
      </c>
      <c r="F178" s="1">
        <f t="shared" ca="1" si="4"/>
        <v>93.986772791928743</v>
      </c>
    </row>
    <row r="179" spans="1:6" x14ac:dyDescent="0.25">
      <c r="A179" s="1">
        <f t="array" aca="1" ref="A179:C179" ca="1">ODE_RK4(A178:C178,$B$5,$E$3,$F$3,$G$3)</f>
        <v>17.099999999999973</v>
      </c>
      <c r="B179" s="1">
        <f ca="1"/>
        <v>89.11927862119957</v>
      </c>
      <c r="C179" s="1">
        <f ca="1"/>
        <v>-48.808457508739671</v>
      </c>
      <c r="D179" s="1"/>
      <c r="E179">
        <f t="shared" ca="1" si="5"/>
        <v>1</v>
      </c>
      <c r="F179" s="1">
        <f t="shared" ca="1" si="4"/>
        <v>89.11927862119957</v>
      </c>
    </row>
    <row r="180" spans="1:6" x14ac:dyDescent="0.25">
      <c r="A180" s="1">
        <f t="array" aca="1" ref="A180:C180" ca="1">ODE_RK4(A179:C179,$B$5,$E$3,$F$3,$G$3)</f>
        <v>17.199999999999974</v>
      </c>
      <c r="B180" s="1">
        <f ca="1"/>
        <v>84.229302254606338</v>
      </c>
      <c r="C180" s="1">
        <f ca="1"/>
        <v>-49.026164592077883</v>
      </c>
      <c r="D180" s="1"/>
      <c r="E180">
        <f t="shared" ca="1" si="5"/>
        <v>1</v>
      </c>
      <c r="F180" s="1">
        <f t="shared" ca="1" si="4"/>
        <v>84.229302254606338</v>
      </c>
    </row>
    <row r="181" spans="1:6" x14ac:dyDescent="0.25">
      <c r="A181" s="1">
        <f t="array" aca="1" ref="A181:C181" ca="1">ODE_RK4(A180:C180,$B$5,$E$3,$F$3,$G$3)</f>
        <v>17.299999999999976</v>
      </c>
      <c r="B181" s="1">
        <f ca="1"/>
        <v>79.318065226184956</v>
      </c>
      <c r="C181" s="1">
        <f ca="1"/>
        <v>-49.231624438991304</v>
      </c>
      <c r="D181" s="1"/>
      <c r="E181">
        <f t="shared" ca="1" si="5"/>
        <v>1</v>
      </c>
      <c r="F181" s="1">
        <f t="shared" ca="1" si="4"/>
        <v>79.318065226184956</v>
      </c>
    </row>
    <row r="182" spans="1:6" x14ac:dyDescent="0.25">
      <c r="A182" s="1">
        <f t="array" aca="1" ref="A182:C182" ca="1">ODE_RK4(A181:C181,$B$5,$E$3,$F$3,$G$3)</f>
        <v>17.399999999999977</v>
      </c>
      <c r="B182" s="1">
        <f ca="1"/>
        <v>74.386794435929872</v>
      </c>
      <c r="C182" s="1">
        <f ca="1"/>
        <v>-49.424785175224201</v>
      </c>
      <c r="D182" s="1"/>
      <c r="E182">
        <f t="shared" ca="1" si="5"/>
        <v>1</v>
      </c>
      <c r="F182" s="1">
        <f t="shared" ca="1" si="4"/>
        <v>74.386794435929872</v>
      </c>
    </row>
    <row r="183" spans="1:6" x14ac:dyDescent="0.25">
      <c r="A183" s="1">
        <f t="array" aca="1" ref="A183:C183" ca="1">ODE_RK4(A182:C182,$B$5,$E$3,$F$3,$G$3)</f>
        <v>17.499999999999979</v>
      </c>
      <c r="B183" s="1">
        <f ca="1"/>
        <v>69.436721843298514</v>
      </c>
      <c r="C183" s="1">
        <f ca="1"/>
        <v>-49.605597999078483</v>
      </c>
      <c r="D183" s="1"/>
      <c r="E183">
        <f t="shared" ca="1" si="5"/>
        <v>1</v>
      </c>
      <c r="F183" s="1">
        <f t="shared" ca="1" si="4"/>
        <v>69.436721843298514</v>
      </c>
    </row>
    <row r="184" spans="1:6" x14ac:dyDescent="0.25">
      <c r="A184" s="1">
        <f t="array" aca="1" ref="A184:C184" ca="1">ODE_RK4(A183:C183,$B$5,$E$3,$F$3,$G$3)</f>
        <v>17.59999999999998</v>
      </c>
      <c r="B184" s="1">
        <f ca="1"/>
        <v>64.46908415943814</v>
      </c>
      <c r="C184" s="1">
        <f ca="1"/>
        <v>-49.774017193741891</v>
      </c>
      <c r="D184" s="1"/>
      <c r="E184">
        <f t="shared" ca="1" si="5"/>
        <v>1</v>
      </c>
      <c r="F184" s="1">
        <f t="shared" ca="1" si="4"/>
        <v>64.46908415943814</v>
      </c>
    </row>
    <row r="185" spans="1:6" x14ac:dyDescent="0.25">
      <c r="A185" s="1">
        <f t="array" aca="1" ref="A185:C185" ca="1">ODE_RK4(A184:C184,$B$5,$E$3,$F$3,$G$3)</f>
        <v>17.699999999999982</v>
      </c>
      <c r="B185" s="1">
        <f ca="1"/>
        <v>59.485122538211861</v>
      </c>
      <c r="C185" s="1">
        <f ca="1"/>
        <v>-49.930000138845521</v>
      </c>
      <c r="D185" s="1"/>
      <c r="E185">
        <f t="shared" ca="1" si="5"/>
        <v>1</v>
      </c>
      <c r="F185" s="1">
        <f t="shared" ca="1" si="4"/>
        <v>59.485122538211861</v>
      </c>
    </row>
    <row r="186" spans="1:6" x14ac:dyDescent="0.25">
      <c r="A186" s="1">
        <f t="array" aca="1" ref="A186:C186" ca="1">ODE_RK4(A185:C185,$B$5,$E$3,$F$3,$G$3)</f>
        <v>17.799999999999983</v>
      </c>
      <c r="B186" s="1">
        <f ca="1"/>
        <v>54.486082266101263</v>
      </c>
      <c r="C186" s="1">
        <f ca="1"/>
        <v>-50.073507321247746</v>
      </c>
      <c r="D186" s="1"/>
      <c r="E186">
        <f t="shared" ca="1" si="5"/>
        <v>1</v>
      </c>
      <c r="F186" s="1">
        <f t="shared" ca="1" si="4"/>
        <v>54.486082266101263</v>
      </c>
    </row>
    <row r="187" spans="1:6" x14ac:dyDescent="0.25">
      <c r="A187" s="1">
        <f t="array" aca="1" ref="A187:C187" ca="1">ODE_RK4(A186:C186,$B$5,$E$3,$F$3,$G$3)</f>
        <v>17.899999999999984</v>
      </c>
      <c r="B187" s="1">
        <f ca="1"/>
        <v>49.473212451062899</v>
      </c>
      <c r="C187" s="1">
        <f ca="1"/>
        <v>-50.204502345041739</v>
      </c>
      <c r="D187" s="1"/>
      <c r="E187">
        <f t="shared" ca="1" si="5"/>
        <v>1</v>
      </c>
      <c r="F187" s="1">
        <f t="shared" ca="1" si="4"/>
        <v>49.473212451062899</v>
      </c>
    </row>
    <row r="188" spans="1:6" x14ac:dyDescent="0.25">
      <c r="A188" s="1">
        <f t="array" aca="1" ref="A188:C188" ca="1">ODE_RK4(A187:C187,$B$5,$E$3,$F$3,$G$3)</f>
        <v>17.999999999999986</v>
      </c>
      <c r="B188" s="1">
        <f ca="1"/>
        <v>44.447765710416476</v>
      </c>
      <c r="C188" s="1">
        <f ca="1"/>
        <v>-50.322951940784179</v>
      </c>
      <c r="D188" s="1"/>
      <c r="E188">
        <f t="shared" ca="1" si="5"/>
        <v>1</v>
      </c>
      <c r="F188" s="1">
        <f t="shared" ca="1" si="4"/>
        <v>44.447765710416476</v>
      </c>
    </row>
    <row r="189" spans="1:6" x14ac:dyDescent="0.25">
      <c r="A189" s="1">
        <f t="array" aca="1" ref="A189:C189" ca="1">ODE_RK4(A188:C188,$B$5,$E$3,$F$3,$G$3)</f>
        <v>18.099999999999987</v>
      </c>
      <c r="B189" s="1">
        <f ca="1"/>
        <v>39.41099785784273</v>
      </c>
      <c r="C189" s="1">
        <f ca="1"/>
        <v>-50.428825973942701</v>
      </c>
      <c r="D189" s="1"/>
      <c r="E189">
        <f t="shared" ca="1" si="5"/>
        <v>1</v>
      </c>
      <c r="F189" s="1">
        <f t="shared" ca="1" si="4"/>
        <v>39.41099785784273</v>
      </c>
    </row>
    <row r="190" spans="1:6" x14ac:dyDescent="0.25">
      <c r="A190" s="1">
        <f t="array" aca="1" ref="A190:C190" ca="1">ODE_RK4(A189:C189,$B$5,$E$3,$F$3,$G$3)</f>
        <v>18.199999999999989</v>
      </c>
      <c r="B190" s="1">
        <f ca="1"/>
        <v>34.364167589569178</v>
      </c>
      <c r="C190" s="1">
        <f ca="1"/>
        <v>-50.522097452560011</v>
      </c>
      <c r="D190" s="1"/>
      <c r="E190">
        <f t="shared" ca="1" si="5"/>
        <v>1</v>
      </c>
      <c r="F190" s="1">
        <f t="shared" ca="1" si="4"/>
        <v>34.364167589569178</v>
      </c>
    </row>
    <row r="191" spans="1:6" x14ac:dyDescent="0.25">
      <c r="A191" s="1">
        <f t="array" aca="1" ref="A191:C191" ca="1">ODE_RK4(A190:C190,$B$5,$E$3,$F$3,$G$3)</f>
        <v>18.29999999999999</v>
      </c>
      <c r="B191" s="1">
        <f ca="1"/>
        <v>29.308536169822148</v>
      </c>
      <c r="C191" s="1">
        <f ca="1"/>
        <v>-50.60274253413268</v>
      </c>
      <c r="D191" s="1"/>
      <c r="E191">
        <f t="shared" ca="1" si="5"/>
        <v>1</v>
      </c>
      <c r="F191" s="1">
        <f t="shared" ca="1" si="4"/>
        <v>29.308536169822148</v>
      </c>
    </row>
    <row r="192" spans="1:6" x14ac:dyDescent="0.25">
      <c r="A192" s="1">
        <f t="array" aca="1" ref="A192:C192" ca="1">ODE_RK4(A191:C191,$B$5,$E$3,$F$3,$G$3)</f>
        <v>18.399999999999991</v>
      </c>
      <c r="B192" s="1">
        <f ca="1"/>
        <v>24.245367115623765</v>
      </c>
      <c r="C192" s="1">
        <f ca="1"/>
        <v>-50.670740531702862</v>
      </c>
      <c r="D192" s="1"/>
      <c r="E192">
        <f t="shared" ca="1" si="5"/>
        <v>1</v>
      </c>
      <c r="F192" s="1">
        <f t="shared" ca="1" si="4"/>
        <v>24.245367115623765</v>
      </c>
    </row>
    <row r="193" spans="1:6" x14ac:dyDescent="0.25">
      <c r="A193" s="1">
        <f t="array" aca="1" ref="A193:C193" ca="1">ODE_RK4(A192:C192,$B$5,$E$3,$F$3,$G$3)</f>
        <v>18.499999999999993</v>
      </c>
      <c r="B193" s="1">
        <f ca="1"/>
        <v>19.175925881012585</v>
      </c>
      <c r="C193" s="1">
        <f ca="1"/>
        <v>-50.726073919161422</v>
      </c>
      <c r="D193" s="1"/>
      <c r="E193">
        <f t="shared" ca="1" si="5"/>
        <v>1</v>
      </c>
      <c r="F193" s="1">
        <f t="shared" ca="1" si="4"/>
        <v>19.175925881012585</v>
      </c>
    </row>
    <row r="194" spans="1:6" x14ac:dyDescent="0.25">
      <c r="A194" s="1">
        <f t="array" aca="1" ref="A194:C194" ca="1">ODE_RK4(A193:C193,$B$5,$E$3,$F$3,$G$3)</f>
        <v>18.599999999999994</v>
      </c>
      <c r="B194" s="1">
        <f ca="1"/>
        <v>14.101479540766821</v>
      </c>
      <c r="C194" s="1">
        <f ca="1"/>
        <v>-50.768728335761075</v>
      </c>
      <c r="D194" s="1"/>
      <c r="E194">
        <f t="shared" ca="1" si="5"/>
        <v>1</v>
      </c>
      <c r="F194" s="1">
        <f t="shared" ca="1" si="4"/>
        <v>14.101479540766821</v>
      </c>
    </row>
    <row r="195" spans="1:6" x14ac:dyDescent="0.25">
      <c r="A195" s="1">
        <f t="array" aca="1" ref="A195:C195" ca="1">ODE_RK4(A194:C194,$B$5,$E$3,$F$3,$G$3)</f>
        <v>18.699999999999996</v>
      </c>
      <c r="B195" s="1">
        <f ca="1"/>
        <v>9.0232964737092338</v>
      </c>
      <c r="C195" s="1">
        <f ca="1"/>
        <v>-50.798692589838375</v>
      </c>
      <c r="D195" s="1"/>
      <c r="E195">
        <f t="shared" ca="1" si="5"/>
        <v>1</v>
      </c>
      <c r="F195" s="1">
        <f t="shared" ca="1" si="4"/>
        <v>9.0232964737092338</v>
      </c>
    </row>
    <row r="196" spans="1:6" x14ac:dyDescent="0.25">
      <c r="A196" s="1">
        <f t="array" aca="1" ref="A196:C196" ca="1">ODE_RK4(A195:C195,$B$5,$E$3,$F$3,$G$3)</f>
        <v>18.799999999999997</v>
      </c>
      <c r="B196" s="1">
        <f ca="1"/>
        <v>3.9426460456728121</v>
      </c>
      <c r="C196" s="1">
        <f ca="1"/>
        <v>-50.815958661743636</v>
      </c>
      <c r="D196" s="1"/>
      <c r="E196">
        <f t="shared" ca="1" si="5"/>
        <v>1</v>
      </c>
      <c r="F196" s="1">
        <f t="shared" ca="1" si="4"/>
        <v>3.9426460456728121</v>
      </c>
    </row>
    <row r="197" spans="1:6" x14ac:dyDescent="0.25">
      <c r="A197" s="1">
        <f t="array" aca="1" ref="A197:C197" ca="1">ODE_RK4(A196:C196,$B$5,$E$3,$F$3,$G$3)</f>
        <v>18.899999999999999</v>
      </c>
      <c r="B197" s="1">
        <f ca="1"/>
        <v>-1.1392017077935046</v>
      </c>
      <c r="C197" s="1">
        <f ca="1"/>
        <v>-50.820521705977946</v>
      </c>
      <c r="D197" s="1"/>
      <c r="E197">
        <f t="shared" ca="1" si="5"/>
        <v>1</v>
      </c>
      <c r="F197" s="1">
        <f t="shared" ca="1" si="4"/>
        <v>-1.1392017077935046</v>
      </c>
    </row>
    <row r="198" spans="1:6" x14ac:dyDescent="0.25">
      <c r="A198" s="1">
        <f t="array" aca="1" ref="A198:C198" ca="1">ODE_RK4(A197:C197,$B$5,$E$3,$F$3,$G$3)</f>
        <v>19</v>
      </c>
      <c r="B198" s="1">
        <f ca="1"/>
        <v>-6.220976398899742</v>
      </c>
      <c r="C198" s="1">
        <f ca="1"/>
        <v>-50.812380052536774</v>
      </c>
      <c r="D198" s="1"/>
      <c r="E198">
        <f t="shared" ca="1" si="5"/>
        <v>1</v>
      </c>
      <c r="F198" s="1">
        <f t="shared" ca="1" si="4"/>
        <v>-6.220976398899742</v>
      </c>
    </row>
    <row r="199" spans="1:6" x14ac:dyDescent="0.25">
      <c r="A199" s="1">
        <f t="array" aca="1" ref="A199:C199" ca="1">ODE_RK4(A198:C198,$B$5,$E$3,$F$3,$G$3)</f>
        <v>19.100000000000001</v>
      </c>
      <c r="B199" s="1">
        <f ca="1"/>
        <v>-11.301407605191098</v>
      </c>
      <c r="C199" s="1">
        <f ca="1"/>
        <v>-50.791535207459788</v>
      </c>
      <c r="D199" s="1"/>
      <c r="E199">
        <f t="shared" ca="1" si="5"/>
        <v>1</v>
      </c>
      <c r="F199" s="1">
        <f t="shared" ca="1" si="4"/>
        <v>-11.301407605191098</v>
      </c>
    </row>
    <row r="200" spans="1:6" x14ac:dyDescent="0.25">
      <c r="A200" s="1">
        <f t="array" aca="1" ref="A200:C200" ca="1">ODE_RK4(A199:C199,$B$5,$E$3,$F$3,$G$3)</f>
        <v>19.200000000000003</v>
      </c>
      <c r="B200" s="1">
        <f ca="1"/>
        <v>-16.379225187146055</v>
      </c>
      <c r="C200" s="1">
        <f ca="1"/>
        <v>-50.757991852586649</v>
      </c>
      <c r="D200" s="1"/>
      <c r="E200">
        <f t="shared" ca="1" si="5"/>
        <v>1</v>
      </c>
      <c r="F200" s="1">
        <f t="shared" ref="F200:F263" ca="1" si="6">B200</f>
        <v>-16.379225187146055</v>
      </c>
    </row>
    <row r="201" spans="1:6" x14ac:dyDescent="0.25">
      <c r="A201" s="1">
        <f t="array" aca="1" ref="A201:C201" ca="1">ODE_RK4(A200:C200,$B$5,$E$3,$F$3,$G$3)</f>
        <v>19.300000000000004</v>
      </c>
      <c r="B201" s="1">
        <f ca="1"/>
        <v>-21.453159605716969</v>
      </c>
      <c r="C201" s="1">
        <f ca="1"/>
        <v>-50.711757844518907</v>
      </c>
      <c r="D201" s="1"/>
      <c r="E201">
        <f t="shared" ref="E201:E264" ca="1" si="7">(C201*C202&lt;0)*1+E200</f>
        <v>1</v>
      </c>
      <c r="F201" s="1">
        <f t="shared" ca="1" si="6"/>
        <v>-21.453159605716969</v>
      </c>
    </row>
    <row r="202" spans="1:6" x14ac:dyDescent="0.25">
      <c r="A202" s="1">
        <f t="array" aca="1" ref="A202:C202" ca="1">ODE_RK4(A201:C201,$B$5,$E$3,$F$3,$G$3)</f>
        <v>19.400000000000006</v>
      </c>
      <c r="B202" s="1">
        <f ca="1"/>
        <v>-26.521942239733804</v>
      </c>
      <c r="C202" s="1">
        <f ca="1"/>
        <v>-50.652844212788175</v>
      </c>
      <c r="D202" s="1"/>
      <c r="E202">
        <f t="shared" ca="1" si="7"/>
        <v>1</v>
      </c>
      <c r="F202" s="1">
        <f t="shared" ca="1" si="6"/>
        <v>-26.521942239733804</v>
      </c>
    </row>
    <row r="203" spans="1:6" x14ac:dyDescent="0.25">
      <c r="A203" s="1">
        <f t="array" aca="1" ref="A203:C203" ca="1">ODE_RK4(A202:C202,$B$5,$E$3,$F$3,$G$3)</f>
        <v>19.500000000000007</v>
      </c>
      <c r="B203" s="1">
        <f ca="1"/>
        <v>-31.584305703091594</v>
      </c>
      <c r="C203" s="1">
        <f ca="1"/>
        <v>-50.581265157230973</v>
      </c>
      <c r="D203" s="1"/>
      <c r="E203">
        <f t="shared" ca="1" si="7"/>
        <v>1</v>
      </c>
      <c r="F203" s="1">
        <f t="shared" ca="1" si="6"/>
        <v>-31.584305703091594</v>
      </c>
    </row>
    <row r="204" spans="1:6" x14ac:dyDescent="0.25">
      <c r="A204" s="1">
        <f t="array" aca="1" ref="A204:C204" ca="1">ODE_RK4(A203:C203,$B$5,$E$3,$F$3,$G$3)</f>
        <v>19.600000000000009</v>
      </c>
      <c r="B204" s="1">
        <f ca="1"/>
        <v>-36.638984161642405</v>
      </c>
      <c r="C204" s="1">
        <f ca="1"/>
        <v>-50.497038044570935</v>
      </c>
      <c r="D204" s="1"/>
      <c r="E204">
        <f t="shared" ca="1" si="7"/>
        <v>1</v>
      </c>
      <c r="F204" s="1">
        <f t="shared" ca="1" si="6"/>
        <v>-36.638984161642405</v>
      </c>
    </row>
    <row r="205" spans="1:6" x14ac:dyDescent="0.25">
      <c r="A205" s="1">
        <f t="array" aca="1" ref="A205:C205" ca="1">ODE_RK4(A204:C204,$B$5,$E$3,$F$3,$G$3)</f>
        <v>19.70000000000001</v>
      </c>
      <c r="B205" s="1">
        <f ca="1"/>
        <v>-41.68471364971245</v>
      </c>
      <c r="C205" s="1">
        <f ca="1"/>
        <v>-50.400183404209173</v>
      </c>
      <c r="D205" s="1"/>
      <c r="E205">
        <f t="shared" ca="1" si="7"/>
        <v>1</v>
      </c>
      <c r="F205" s="1">
        <f t="shared" ca="1" si="6"/>
        <v>-41.68471364971245</v>
      </c>
    </row>
    <row r="206" spans="1:6" x14ac:dyDescent="0.25">
      <c r="A206" s="1">
        <f t="array" aca="1" ref="A206:C206" ca="1">ODE_RK4(A205:C205,$B$5,$E$3,$F$3,$G$3)</f>
        <v>19.800000000000011</v>
      </c>
      <c r="B206" s="1">
        <f ca="1"/>
        <v>-46.720232386165357</v>
      </c>
      <c r="C206" s="1">
        <f ca="1"/>
        <v>-50.290724923223777</v>
      </c>
      <c r="D206" s="1"/>
      <c r="E206">
        <f t="shared" ca="1" si="7"/>
        <v>1</v>
      </c>
      <c r="F206" s="1">
        <f t="shared" ca="1" si="6"/>
        <v>-46.720232386165357</v>
      </c>
    </row>
    <row r="207" spans="1:6" x14ac:dyDescent="0.25">
      <c r="A207" s="1">
        <f t="array" aca="1" ref="A207:C207" ca="1">ODE_RK4(A206:C206,$B$5,$E$3,$F$3,$G$3)</f>
        <v>19.900000000000013</v>
      </c>
      <c r="B207" s="1">
        <f ca="1"/>
        <v>-51.744281089932429</v>
      </c>
      <c r="C207" s="1">
        <f ca="1"/>
        <v>-50.168689440579733</v>
      </c>
      <c r="D207" s="1"/>
      <c r="E207">
        <f t="shared" ca="1" si="7"/>
        <v>1</v>
      </c>
      <c r="F207" s="1">
        <f t="shared" ca="1" si="6"/>
        <v>-51.744281089932429</v>
      </c>
    </row>
    <row r="208" spans="1:6" x14ac:dyDescent="0.25">
      <c r="A208" s="1">
        <f t="array" aca="1" ref="A208:C208" ca="1">ODE_RK4(A207:C207,$B$5,$E$3,$F$3,$G$3)</f>
        <v>20.000000000000014</v>
      </c>
      <c r="B208" s="1">
        <f ca="1"/>
        <v>-56.755603294931063</v>
      </c>
      <c r="C208" s="1">
        <f ca="1"/>
        <v>-50.034106940550615</v>
      </c>
      <c r="D208" s="1"/>
      <c r="E208">
        <f t="shared" ca="1" si="7"/>
        <v>1</v>
      </c>
      <c r="F208" s="1">
        <f t="shared" ca="1" si="6"/>
        <v>-56.755603294931063</v>
      </c>
    </row>
    <row r="209" spans="1:6" x14ac:dyDescent="0.25">
      <c r="A209" s="1">
        <f t="array" aca="1" ref="A209:C209" ca="1">ODE_RK4(A208:C208,$B$5,$E$3,$F$3,$G$3)</f>
        <v>20.100000000000016</v>
      </c>
      <c r="B209" s="1">
        <f ca="1"/>
        <v>-61.752945664292575</v>
      </c>
      <c r="C209" s="1">
        <f ca="1"/>
        <v>-49.887010545353732</v>
      </c>
      <c r="D209" s="1"/>
      <c r="E209">
        <f t="shared" ca="1" si="7"/>
        <v>1</v>
      </c>
      <c r="F209" s="1">
        <f t="shared" ca="1" si="6"/>
        <v>-61.752945664292575</v>
      </c>
    </row>
    <row r="210" spans="1:6" x14ac:dyDescent="0.25">
      <c r="A210" s="1">
        <f t="array" aca="1" ref="A210:C210" ca="1">ODE_RK4(A209:C209,$B$5,$E$3,$F$3,$G$3)</f>
        <v>20.200000000000017</v>
      </c>
      <c r="B210" s="1">
        <f ca="1"/>
        <v>-66.735058303820779</v>
      </c>
      <c r="C210" s="1">
        <f ca="1"/>
        <v>-49.727436507000448</v>
      </c>
      <c r="D210" s="1"/>
      <c r="E210">
        <f t="shared" ca="1" si="7"/>
        <v>1</v>
      </c>
      <c r="F210" s="1">
        <f t="shared" ca="1" si="6"/>
        <v>-66.735058303820779</v>
      </c>
    </row>
    <row r="211" spans="1:6" x14ac:dyDescent="0.25">
      <c r="A211" s="1">
        <f t="array" aca="1" ref="A211:C211" ca="1">ODE_RK4(A210:C210,$B$5,$E$3,$F$3,$G$3)</f>
        <v>20.300000000000018</v>
      </c>
      <c r="B211" s="1">
        <f ca="1"/>
        <v>-71.700695074603033</v>
      </c>
      <c r="C211" s="1">
        <f ca="1"/>
        <v>-49.555424198363781</v>
      </c>
      <c r="D211" s="1"/>
      <c r="E211">
        <f t="shared" ca="1" si="7"/>
        <v>1</v>
      </c>
      <c r="F211" s="1">
        <f t="shared" ca="1" si="6"/>
        <v>-71.700695074603033</v>
      </c>
    </row>
    <row r="212" spans="1:6" x14ac:dyDescent="0.25">
      <c r="A212" s="1">
        <f t="array" aca="1" ref="A212:C212" ca="1">ODE_RK4(A211:C211,$B$5,$E$3,$F$3,$G$3)</f>
        <v>20.40000000000002</v>
      </c>
      <c r="B212" s="1">
        <f ca="1"/>
        <v>-76.648613904695466</v>
      </c>
      <c r="C212" s="1">
        <f ca="1"/>
        <v>-49.371016103465372</v>
      </c>
      <c r="D212" s="1"/>
      <c r="E212">
        <f t="shared" ca="1" si="7"/>
        <v>1</v>
      </c>
      <c r="F212" s="1">
        <f t="shared" ca="1" si="6"/>
        <v>-76.648613904695466</v>
      </c>
    </row>
    <row r="213" spans="1:6" x14ac:dyDescent="0.25">
      <c r="A213" s="1">
        <f t="array" aca="1" ref="A213:C213" ca="1">ODE_RK4(A212:C212,$B$5,$E$3,$F$3,$G$3)</f>
        <v>20.500000000000021</v>
      </c>
      <c r="B213" s="1">
        <f ca="1"/>
        <v>-81.577577099804486</v>
      </c>
      <c r="C213" s="1">
        <f ca="1"/>
        <v>-49.174257806984329</v>
      </c>
      <c r="D213" s="1"/>
      <c r="E213">
        <f t="shared" ca="1" si="7"/>
        <v>1</v>
      </c>
      <c r="F213" s="1">
        <f t="shared" ca="1" si="6"/>
        <v>-81.577577099804486</v>
      </c>
    </row>
    <row r="214" spans="1:6" x14ac:dyDescent="0.25">
      <c r="A214" s="1">
        <f t="array" aca="1" ref="A214:C214" ca="1">ODE_RK4(A213:C213,$B$5,$E$3,$F$3,$G$3)</f>
        <v>20.600000000000023</v>
      </c>
      <c r="B214" s="1">
        <f ca="1"/>
        <v>-86.486351652886839</v>
      </c>
      <c r="C214" s="1">
        <f ca="1"/>
        <v>-48.965197982990446</v>
      </c>
      <c r="D214" s="1"/>
      <c r="E214">
        <f t="shared" ca="1" si="7"/>
        <v>1</v>
      </c>
      <c r="F214" s="1">
        <f t="shared" ca="1" si="6"/>
        <v>-86.486351652886839</v>
      </c>
    </row>
    <row r="215" spans="1:6" x14ac:dyDescent="0.25">
      <c r="A215" s="1">
        <f t="array" aca="1" ref="A215:C215" ca="1">ODE_RK4(A214:C214,$B$5,$E$3,$F$3,$G$3)</f>
        <v>20.700000000000024</v>
      </c>
      <c r="B215" s="1">
        <f ca="1"/>
        <v>-91.373709552590782</v>
      </c>
      <c r="C215" s="1">
        <f ca="1"/>
        <v>-48.743888382904657</v>
      </c>
      <c r="D215" s="1"/>
      <c r="E215">
        <f t="shared" ca="1" si="7"/>
        <v>1</v>
      </c>
      <c r="F215" s="1">
        <f t="shared" ca="1" si="6"/>
        <v>-91.373709552590782</v>
      </c>
    </row>
    <row r="216" spans="1:6" x14ac:dyDescent="0.25">
      <c r="A216" s="1">
        <f t="array" aca="1" ref="A216:C216" ca="1">ODE_RK4(A215:C215,$B$5,$E$3,$F$3,$G$3)</f>
        <v>20.800000000000026</v>
      </c>
      <c r="B216" s="1">
        <f ca="1"/>
        <v>-96.23842809046117</v>
      </c>
      <c r="C216" s="1">
        <f ca="1"/>
        <v>-48.510383822689626</v>
      </c>
      <c r="D216" s="1"/>
      <c r="E216">
        <f t="shared" ca="1" si="7"/>
        <v>1</v>
      </c>
      <c r="F216" s="1">
        <f t="shared" ca="1" si="6"/>
        <v>-96.23842809046117</v>
      </c>
    </row>
    <row r="217" spans="1:6" x14ac:dyDescent="0.25">
      <c r="A217" s="1">
        <f t="array" aca="1" ref="A217:C217" ca="1">ODE_RK4(A216:C216,$B$5,$E$3,$F$3,$G$3)</f>
        <v>20.900000000000027</v>
      </c>
      <c r="B217" s="1">
        <f ca="1"/>
        <v>-101.07929016683171</v>
      </c>
      <c r="C217" s="1">
        <f ca="1"/>
        <v>-48.264742169273703</v>
      </c>
      <c r="D217" s="1"/>
      <c r="E217">
        <f t="shared" ca="1" si="7"/>
        <v>1</v>
      </c>
      <c r="F217" s="1">
        <f t="shared" ca="1" si="6"/>
        <v>-101.07929016683171</v>
      </c>
    </row>
    <row r="218" spans="1:6" x14ac:dyDescent="0.25">
      <c r="A218" s="1">
        <f t="array" aca="1" ref="A218:C218" ca="1">ODE_RK4(A217:C217,$B$5,$E$3,$F$3,$G$3)</f>
        <v>21.000000000000028</v>
      </c>
      <c r="B218" s="1">
        <f ca="1"/>
        <v>-105.89508459532775</v>
      </c>
      <c r="C218" s="1">
        <f ca="1"/>
        <v>-48.007024326211585</v>
      </c>
      <c r="D218" s="1"/>
      <c r="E218">
        <f t="shared" ca="1" si="7"/>
        <v>1</v>
      </c>
      <c r="F218" s="1">
        <f t="shared" ca="1" si="6"/>
        <v>-105.89508459532775</v>
      </c>
    </row>
    <row r="219" spans="1:6" x14ac:dyDescent="0.25">
      <c r="A219" s="1">
        <f t="array" aca="1" ref="A219:C219" ca="1">ODE_RK4(A218:C218,$B$5,$E$3,$F$3,$G$3)</f>
        <v>21.10000000000003</v>
      </c>
      <c r="B219" s="1">
        <f ca="1"/>
        <v>-110.68460640590342</v>
      </c>
      <c r="C219" s="1">
        <f ca="1"/>
        <v>-47.737294218585248</v>
      </c>
      <c r="D219" s="1"/>
      <c r="E219">
        <f t="shared" ca="1" si="7"/>
        <v>1</v>
      </c>
      <c r="F219" s="1">
        <f t="shared" ca="1" si="6"/>
        <v>-110.68460640590342</v>
      </c>
    </row>
    <row r="220" spans="1:6" x14ac:dyDescent="0.25">
      <c r="A220" s="1">
        <f t="array" aca="1" ref="A220:C220" ca="1">ODE_RK4(A219:C219,$B$5,$E$3,$F$3,$G$3)</f>
        <v>21.200000000000031</v>
      </c>
      <c r="B220" s="1">
        <f ca="1"/>
        <v>-115.44665714633749</v>
      </c>
      <c r="C220" s="1">
        <f ca="1"/>
        <v>-47.455618777148864</v>
      </c>
      <c r="D220" s="1"/>
      <c r="E220">
        <f t="shared" ca="1" si="7"/>
        <v>1</v>
      </c>
      <c r="F220" s="1">
        <f t="shared" ca="1" si="6"/>
        <v>-115.44665714633749</v>
      </c>
    </row>
    <row r="221" spans="1:6" x14ac:dyDescent="0.25">
      <c r="A221" s="1">
        <f t="array" aca="1" ref="A221:C221" ca="1">ODE_RK4(A220:C220,$B$5,$E$3,$F$3,$G$3)</f>
        <v>21.300000000000033</v>
      </c>
      <c r="B221" s="1">
        <f ca="1"/>
        <v>-120.18004518211212</v>
      </c>
      <c r="C221" s="1">
        <f ca="1"/>
        <v>-47.162067921721658</v>
      </c>
      <c r="D221" s="1"/>
      <c r="E221">
        <f t="shared" ca="1" si="7"/>
        <v>1</v>
      </c>
      <c r="F221" s="1">
        <f t="shared" ca="1" si="6"/>
        <v>-120.18004518211212</v>
      </c>
    </row>
    <row r="222" spans="1:6" x14ac:dyDescent="0.25">
      <c r="A222" s="1">
        <f t="array" aca="1" ref="A222:C222" ca="1">ODE_RK4(A221:C221,$B$5,$E$3,$F$3,$G$3)</f>
        <v>21.400000000000034</v>
      </c>
      <c r="B222" s="1">
        <f ca="1"/>
        <v>-124.8835859946</v>
      </c>
      <c r="C222" s="1">
        <f ca="1"/>
        <v>-46.856714543832837</v>
      </c>
      <c r="D222" s="1"/>
      <c r="E222">
        <f t="shared" ca="1" si="7"/>
        <v>1</v>
      </c>
      <c r="F222" s="1">
        <f t="shared" ca="1" si="6"/>
        <v>-124.8835859946</v>
      </c>
    </row>
    <row r="223" spans="1:6" x14ac:dyDescent="0.25">
      <c r="A223" s="1">
        <f t="array" aca="1" ref="A223:C223" ca="1">ODE_RK4(A222:C222,$B$5,$E$3,$F$3,$G$3)</f>
        <v>21.500000000000036</v>
      </c>
      <c r="B223" s="1">
        <f ca="1"/>
        <v>-129.55610247748473</v>
      </c>
      <c r="C223" s="1">
        <f ca="1"/>
        <v>-46.539634488622859</v>
      </c>
      <c r="D223" s="1"/>
      <c r="E223">
        <f t="shared" ca="1" si="7"/>
        <v>1</v>
      </c>
      <c r="F223" s="1">
        <f t="shared" ca="1" si="6"/>
        <v>-129.55610247748473</v>
      </c>
    </row>
    <row r="224" spans="1:6" x14ac:dyDescent="0.25">
      <c r="A224" s="1">
        <f t="array" aca="1" ref="A224:C224" ca="1">ODE_RK4(A223:C223,$B$5,$E$3,$F$3,$G$3)</f>
        <v>21.600000000000037</v>
      </c>
      <c r="B224" s="1">
        <f ca="1"/>
        <v>-134.19642523134067</v>
      </c>
      <c r="C224" s="1">
        <f ca="1"/>
        <v>-46.210906536005574</v>
      </c>
      <c r="D224" s="1"/>
      <c r="E224">
        <f t="shared" ca="1" si="7"/>
        <v>1</v>
      </c>
      <c r="F224" s="1">
        <f t="shared" ca="1" si="6"/>
        <v>-134.19642523134067</v>
      </c>
    </row>
    <row r="225" spans="1:6" x14ac:dyDescent="0.25">
      <c r="A225" s="1">
        <f t="array" aca="1" ref="A225:C225" ca="1">ODE_RK4(A224:C224,$B$5,$E$3,$F$3,$G$3)</f>
        <v>21.700000000000038</v>
      </c>
      <c r="B225" s="1">
        <f ca="1"/>
        <v>-138.8033928562983</v>
      </c>
      <c r="C225" s="1">
        <f ca="1"/>
        <v>-45.870612381095896</v>
      </c>
      <c r="D225" s="1"/>
      <c r="E225">
        <f t="shared" ca="1" si="7"/>
        <v>1</v>
      </c>
      <c r="F225" s="1">
        <f t="shared" ca="1" si="6"/>
        <v>-138.8033928562983</v>
      </c>
    </row>
    <row r="226" spans="1:6" x14ac:dyDescent="0.25">
      <c r="A226" s="1">
        <f t="array" aca="1" ref="A226:C226" ca="1">ODE_RK4(A225:C225,$B$5,$E$3,$F$3,$G$3)</f>
        <v>21.80000000000004</v>
      </c>
      <c r="B226" s="1">
        <f ca="1"/>
        <v>-143.37585224272192</v>
      </c>
      <c r="C226" s="1">
        <f ca="1"/>
        <v>-45.518836613907879</v>
      </c>
      <c r="D226" s="1"/>
      <c r="E226">
        <f t="shared" ca="1" si="7"/>
        <v>1</v>
      </c>
      <c r="F226" s="1">
        <f t="shared" ca="1" si="6"/>
        <v>-143.37585224272192</v>
      </c>
    </row>
    <row r="227" spans="1:6" x14ac:dyDescent="0.25">
      <c r="A227" s="1">
        <f t="array" aca="1" ref="A227:C227" ca="1">ODE_RK4(A226:C226,$B$5,$E$3,$F$3,$G$3)</f>
        <v>21.900000000000041</v>
      </c>
      <c r="B227" s="1">
        <f ca="1"/>
        <v>-147.91265885982699</v>
      </c>
      <c r="C227" s="1">
        <f ca="1"/>
        <v>-45.155666698328233</v>
      </c>
      <c r="D227" s="1"/>
      <c r="E227">
        <f t="shared" ca="1" si="7"/>
        <v>1</v>
      </c>
      <c r="F227" s="1">
        <f t="shared" ca="1" si="6"/>
        <v>-147.91265885982699</v>
      </c>
    </row>
    <row r="228" spans="1:6" x14ac:dyDescent="0.25">
      <c r="A228" s="1">
        <f t="array" aca="1" ref="A228:C228" ca="1">ODE_RK4(A227:C227,$B$5,$E$3,$F$3,$G$3)</f>
        <v>22.000000000000043</v>
      </c>
      <c r="B228" s="1">
        <f ca="1"/>
        <v>-152.41267704216474</v>
      </c>
      <c r="C228" s="1">
        <f ca="1"/>
        <v>-44.781192950370503</v>
      </c>
      <c r="D228" s="1"/>
      <c r="E228">
        <f t="shared" ca="1" si="7"/>
        <v>1</v>
      </c>
      <c r="F228" s="1">
        <f t="shared" ca="1" si="6"/>
        <v>-152.41267704216474</v>
      </c>
    </row>
    <row r="229" spans="1:6" x14ac:dyDescent="0.25">
      <c r="A229" s="1">
        <f t="array" aca="1" ref="A229:C229" ca="1">ODE_RK4(A228:C228,$B$5,$E$3,$F$3,$G$3)</f>
        <v>22.100000000000044</v>
      </c>
      <c r="B229" s="1">
        <f ca="1"/>
        <v>-156.87478027390262</v>
      </c>
      <c r="C229" s="1">
        <f ca="1"/>
        <v>-44.395508515715335</v>
      </c>
      <c r="D229" s="1"/>
      <c r="E229">
        <f t="shared" ca="1" si="7"/>
        <v>1</v>
      </c>
      <c r="F229" s="1">
        <f t="shared" ca="1" si="6"/>
        <v>-156.87478027390262</v>
      </c>
    </row>
    <row r="230" spans="1:6" x14ac:dyDescent="0.25">
      <c r="A230" s="1">
        <f t="array" aca="1" ref="A230:C230" ca="1">ODE_RK4(A229:C229,$B$5,$E$3,$F$3,$G$3)</f>
        <v>22.200000000000045</v>
      </c>
      <c r="B230" s="1">
        <f ca="1"/>
        <v>-161.29785147082887</v>
      </c>
      <c r="C230" s="1">
        <f ca="1"/>
        <v>-43.998709346542384</v>
      </c>
      <c r="D230" s="1"/>
      <c r="E230">
        <f t="shared" ca="1" si="7"/>
        <v>1</v>
      </c>
      <c r="F230" s="1">
        <f t="shared" ca="1" si="6"/>
        <v>-161.29785147082887</v>
      </c>
    </row>
    <row r="231" spans="1:6" x14ac:dyDescent="0.25">
      <c r="A231" s="1">
        <f t="array" aca="1" ref="A231:C231" ca="1">ODE_RK4(A230:C230,$B$5,$E$3,$F$3,$G$3)</f>
        <v>22.300000000000047</v>
      </c>
      <c r="B231" s="1">
        <f ca="1"/>
        <v>-165.68078326001142</v>
      </c>
      <c r="C231" s="1">
        <f ca="1"/>
        <v>-43.590894177659678</v>
      </c>
      <c r="D231" s="1"/>
      <c r="E231">
        <f t="shared" ca="1" si="7"/>
        <v>1</v>
      </c>
      <c r="F231" s="1">
        <f t="shared" ca="1" si="6"/>
        <v>-165.68078326001142</v>
      </c>
    </row>
    <row r="232" spans="1:6" x14ac:dyDescent="0.25">
      <c r="A232" s="1">
        <f t="array" aca="1" ref="A232:C232" ca="1">ODE_RK4(A231:C231,$B$5,$E$3,$F$3,$G$3)</f>
        <v>22.400000000000048</v>
      </c>
      <c r="B232" s="1">
        <f ca="1"/>
        <v>-170.02247825704035</v>
      </c>
      <c r="C232" s="1">
        <f ca="1"/>
        <v>-43.172164501936315</v>
      </c>
      <c r="D232" s="1"/>
      <c r="E232">
        <f t="shared" ca="1" si="7"/>
        <v>1</v>
      </c>
      <c r="F232" s="1">
        <f t="shared" ca="1" si="6"/>
        <v>-170.02247825704035</v>
      </c>
    </row>
    <row r="233" spans="1:6" x14ac:dyDescent="0.25">
      <c r="A233" s="1">
        <f t="array" aca="1" ref="A233:C233" ca="1">ODE_RK4(A232:C232,$B$5,$E$3,$F$3,$G$3)</f>
        <v>22.50000000000005</v>
      </c>
      <c r="B233" s="1">
        <f ca="1"/>
        <v>-174.32184934078489</v>
      </c>
      <c r="C233" s="1">
        <f ca="1"/>
        <v>-42.742624545044634</v>
      </c>
      <c r="D233" s="1"/>
      <c r="E233">
        <f t="shared" ca="1" si="7"/>
        <v>1</v>
      </c>
      <c r="F233" s="1">
        <f t="shared" ca="1" si="6"/>
        <v>-174.32184934078489</v>
      </c>
    </row>
    <row r="234" spans="1:6" x14ac:dyDescent="0.25">
      <c r="A234" s="1">
        <f t="array" aca="1" ref="A234:C234" ca="1">ODE_RK4(A233:C233,$B$5,$E$3,$F$3,$G$3)</f>
        <v>22.600000000000051</v>
      </c>
      <c r="B234" s="1">
        <f ca="1"/>
        <v>-178.57781992559623</v>
      </c>
      <c r="C234" s="1">
        <f ca="1"/>
        <v>-42.302381239518169</v>
      </c>
      <c r="D234" s="1"/>
      <c r="E234">
        <f t="shared" ca="1" si="7"/>
        <v>1</v>
      </c>
      <c r="F234" s="1">
        <f t="shared" ca="1" si="6"/>
        <v>-178.57781992559623</v>
      </c>
    </row>
    <row r="235" spans="1:6" x14ac:dyDescent="0.25">
      <c r="A235" s="1">
        <f t="array" aca="1" ref="A235:C235" ca="1">ODE_RK4(A234:C234,$B$5,$E$3,$F$3,$G$3)</f>
        <v>22.700000000000053</v>
      </c>
      <c r="B235" s="1">
        <f ca="1"/>
        <v>-182.78932423088762</v>
      </c>
      <c r="C235" s="1">
        <f ca="1"/>
        <v>-41.851544198131805</v>
      </c>
      <c r="D235" s="1"/>
      <c r="E235">
        <f t="shared" ca="1" si="7"/>
        <v>1</v>
      </c>
      <c r="F235" s="1">
        <f t="shared" ca="1" si="6"/>
        <v>-182.78932423088762</v>
      </c>
    </row>
    <row r="236" spans="1:6" x14ac:dyDescent="0.25">
      <c r="A236" s="1">
        <f t="array" aca="1" ref="A236:C236" ca="1">ODE_RK4(A235:C235,$B$5,$E$3,$F$3,$G$3)</f>
        <v>22.800000000000054</v>
      </c>
      <c r="B236" s="1">
        <f ca="1"/>
        <v>-186.95530754802473</v>
      </c>
      <c r="C236" s="1">
        <f ca="1"/>
        <v>-41.390225686610769</v>
      </c>
      <c r="D236" s="1"/>
      <c r="E236">
        <f t="shared" ca="1" si="7"/>
        <v>1</v>
      </c>
      <c r="F236" s="1">
        <f t="shared" ca="1" si="6"/>
        <v>-186.95530754802473</v>
      </c>
    </row>
    <row r="237" spans="1:6" x14ac:dyDescent="0.25">
      <c r="A237" s="1">
        <f t="array" aca="1" ref="A237:C237" ca="1">ODE_RK4(A236:C236,$B$5,$E$3,$F$3,$G$3)</f>
        <v>22.900000000000055</v>
      </c>
      <c r="B237" s="1">
        <f ca="1"/>
        <v>-191.07472650445902</v>
      </c>
      <c r="C237" s="1">
        <f ca="1"/>
        <v>-40.918540595675275</v>
      </c>
      <c r="D237" s="1"/>
      <c r="E237">
        <f t="shared" ca="1" si="7"/>
        <v>1</v>
      </c>
      <c r="F237" s="1">
        <f t="shared" ca="1" si="6"/>
        <v>-191.07472650445902</v>
      </c>
    </row>
    <row r="238" spans="1:6" x14ac:dyDescent="0.25">
      <c r="A238" s="1">
        <f t="array" aca="1" ref="A238:C238" ca="1">ODE_RK4(A237:C237,$B$5,$E$3,$F$3,$G$3)</f>
        <v>23.000000000000057</v>
      </c>
      <c r="B238" s="1">
        <f ca="1"/>
        <v>-195.14654932503819</v>
      </c>
      <c r="C238" s="1">
        <f ca="1"/>
        <v>-40.436606412427771</v>
      </c>
      <c r="D238" s="1"/>
      <c r="E238">
        <f t="shared" ca="1" si="7"/>
        <v>1</v>
      </c>
      <c r="F238" s="1">
        <f t="shared" ca="1" si="6"/>
        <v>-195.14654932503819</v>
      </c>
    </row>
    <row r="239" spans="1:6" x14ac:dyDescent="0.25">
      <c r="A239" s="1">
        <f t="array" aca="1" ref="A239:C239" ca="1">ODE_RK4(A238:C238,$B$5,$E$3,$F$3,$G$3)</f>
        <v>23.100000000000058</v>
      </c>
      <c r="B239" s="1">
        <f ca="1"/>
        <v>-199.16975609042831</v>
      </c>
      <c r="C239" s="1">
        <f ca="1"/>
        <v>-39.944543191089878</v>
      </c>
      <c r="D239" s="1"/>
      <c r="E239">
        <f t="shared" ca="1" si="7"/>
        <v>1</v>
      </c>
      <c r="F239" s="1">
        <f t="shared" ca="1" si="6"/>
        <v>-199.16975609042831</v>
      </c>
    </row>
    <row r="240" spans="1:6" x14ac:dyDescent="0.25">
      <c r="A240" s="1">
        <f t="array" aca="1" ref="A240:C240" ca="1">ODE_RK4(A239:C239,$B$5,$E$3,$F$3,$G$3)</f>
        <v>23.20000000000006</v>
      </c>
      <c r="B240" s="1">
        <f ca="1"/>
        <v>-203.1433389925827</v>
      </c>
      <c r="C240" s="1">
        <f ca="1"/>
        <v>-39.442473523096389</v>
      </c>
      <c r="D240" s="1"/>
      <c r="E240">
        <f t="shared" ca="1" si="7"/>
        <v>1</v>
      </c>
      <c r="F240" s="1">
        <f t="shared" ca="1" si="6"/>
        <v>-203.1433389925827</v>
      </c>
    </row>
    <row r="241" spans="1:6" x14ac:dyDescent="0.25">
      <c r="A241" s="1">
        <f t="array" aca="1" ref="A241:C241" ca="1">ODE_RK4(A240:C240,$B$5,$E$3,$F$3,$G$3)</f>
        <v>23.300000000000061</v>
      </c>
      <c r="B241" s="1">
        <f ca="1"/>
        <v>-207.06630258719375</v>
      </c>
      <c r="C241" s="1">
        <f ca="1"/>
        <v>-38.930522506553686</v>
      </c>
      <c r="D241" s="1"/>
      <c r="E241">
        <f t="shared" ca="1" si="7"/>
        <v>1</v>
      </c>
      <c r="F241" s="1">
        <f t="shared" ca="1" si="6"/>
        <v>-207.06630258719375</v>
      </c>
    </row>
    <row r="242" spans="1:6" x14ac:dyDescent="0.25">
      <c r="A242" s="1">
        <f t="array" aca="1" ref="A242:C242" ca="1">ODE_RK4(A241:C241,$B$5,$E$3,$F$3,$G$3)</f>
        <v>23.400000000000063</v>
      </c>
      <c r="B242" s="1">
        <f ca="1"/>
        <v>-210.93766404306436</v>
      </c>
      <c r="C242" s="1">
        <f ca="1"/>
        <v>-38.408817715070278</v>
      </c>
      <c r="D242" s="1"/>
      <c r="E242">
        <f t="shared" ca="1" si="7"/>
        <v>1</v>
      </c>
      <c r="F242" s="1">
        <f t="shared" ca="1" si="6"/>
        <v>-210.93766404306436</v>
      </c>
    </row>
    <row r="243" spans="1:6" x14ac:dyDescent="0.25">
      <c r="A243" s="1">
        <f t="array" aca="1" ref="A243:C243" ca="1">ODE_RK4(A242:C242,$B$5,$E$3,$F$3,$G$3)</f>
        <v>23.500000000000064</v>
      </c>
      <c r="B243" s="1">
        <f ca="1"/>
        <v>-214.75645338833664</v>
      </c>
      <c r="C243" s="1">
        <f ca="1"/>
        <v>-37.877489165967113</v>
      </c>
      <c r="D243" s="1"/>
      <c r="E243">
        <f t="shared" ca="1" si="7"/>
        <v>1</v>
      </c>
      <c r="F243" s="1">
        <f t="shared" ca="1" si="6"/>
        <v>-214.75645338833664</v>
      </c>
    </row>
    <row r="244" spans="1:6" x14ac:dyDescent="0.25">
      <c r="A244" s="1">
        <f t="array" aca="1" ref="A244:C244" ca="1">ODE_RK4(A243:C243,$B$5,$E$3,$F$3,$G$3)</f>
        <v>23.600000000000065</v>
      </c>
      <c r="B244" s="1">
        <f ca="1"/>
        <v>-218.52171375351588</v>
      </c>
      <c r="C244" s="1">
        <f ca="1"/>
        <v>-37.336669287875715</v>
      </c>
      <c r="D244" s="1"/>
      <c r="E244">
        <f t="shared" ca="1" si="7"/>
        <v>1</v>
      </c>
      <c r="F244" s="1">
        <f t="shared" ca="1" si="6"/>
        <v>-218.52171375351588</v>
      </c>
    </row>
    <row r="245" spans="1:6" x14ac:dyDescent="0.25">
      <c r="A245" s="1">
        <f t="array" aca="1" ref="A245:C245" ca="1">ODE_RK4(A244:C244,$B$5,$E$3,$F$3,$G$3)</f>
        <v>23.700000000000067</v>
      </c>
      <c r="B245" s="1">
        <f ca="1"/>
        <v>-222.23250161122942</v>
      </c>
      <c r="C245" s="1">
        <f ca="1"/>
        <v>-36.786492887732116</v>
      </c>
      <c r="D245" s="1"/>
      <c r="E245">
        <f t="shared" ca="1" si="7"/>
        <v>1</v>
      </c>
      <c r="F245" s="1">
        <f t="shared" ca="1" si="6"/>
        <v>-222.23250161122942</v>
      </c>
    </row>
    <row r="246" spans="1:6" x14ac:dyDescent="0.25">
      <c r="A246" s="1">
        <f t="array" aca="1" ref="A246:C246" ca="1">ODE_RK4(A245:C245,$B$5,$E$3,$F$3,$G$3)</f>
        <v>23.800000000000068</v>
      </c>
      <c r="B246" s="1">
        <f ca="1"/>
        <v>-225.88788701265977</v>
      </c>
      <c r="C246" s="1">
        <f ca="1"/>
        <v>-36.227097117174836</v>
      </c>
      <c r="D246" s="1"/>
      <c r="E246">
        <f t="shared" ca="1" si="7"/>
        <v>1</v>
      </c>
      <c r="F246" s="1">
        <f t="shared" ca="1" si="6"/>
        <v>-225.88788701265977</v>
      </c>
    </row>
    <row r="247" spans="1:6" x14ac:dyDescent="0.25">
      <c r="A247" s="1">
        <f t="array" aca="1" ref="A247:C247" ca="1">ODE_RK4(A246:C246,$B$5,$E$3,$F$3,$G$3)</f>
        <v>23.90000000000007</v>
      </c>
      <c r="B247" s="1">
        <f ca="1"/>
        <v>-229.48695382059313</v>
      </c>
      <c r="C247" s="1">
        <f ca="1"/>
        <v>-35.658621438355354</v>
      </c>
      <c r="D247" s="1"/>
      <c r="E247">
        <f t="shared" ca="1" si="7"/>
        <v>1</v>
      </c>
      <c r="F247" s="1">
        <f t="shared" ca="1" si="6"/>
        <v>-229.48695382059313</v>
      </c>
    </row>
    <row r="248" spans="1:6" x14ac:dyDescent="0.25">
      <c r="A248" s="1">
        <f t="array" aca="1" ref="A248:C248" ca="1">ODE_RK4(A247:C247,$B$5,$E$3,$F$3,$G$3)</f>
        <v>24.000000000000071</v>
      </c>
      <c r="B248" s="1">
        <f ca="1"/>
        <v>-233.02879993902482</v>
      </c>
      <c r="C248" s="1">
        <f ca="1"/>
        <v>-35.081207589169473</v>
      </c>
      <c r="D248" s="1"/>
      <c r="E248">
        <f t="shared" ca="1" si="7"/>
        <v>1</v>
      </c>
      <c r="F248" s="1">
        <f t="shared" ca="1" si="6"/>
        <v>-233.02879993902482</v>
      </c>
    </row>
    <row r="249" spans="1:6" x14ac:dyDescent="0.25">
      <c r="A249" s="1">
        <f t="array" aca="1" ref="A249:C249" ca="1">ODE_RK4(A248:C248,$B$5,$E$3,$F$3,$G$3)</f>
        <v>24.100000000000072</v>
      </c>
      <c r="B249" s="1">
        <f ca="1"/>
        <v>-236.51253753926397</v>
      </c>
      <c r="C249" s="1">
        <f ca="1"/>
        <v>-34.494999547918354</v>
      </c>
      <c r="D249" s="1"/>
      <c r="E249">
        <f t="shared" ca="1" si="7"/>
        <v>1</v>
      </c>
      <c r="F249" s="1">
        <f t="shared" ca="1" si="6"/>
        <v>-236.51253753926397</v>
      </c>
    </row>
    <row r="250" spans="1:6" x14ac:dyDescent="0.25">
      <c r="A250" s="1">
        <f t="array" aca="1" ref="A250:C250" ca="1">ODE_RK4(A249:C249,$B$5,$E$3,$F$3,$G$3)</f>
        <v>24.200000000000074</v>
      </c>
      <c r="B250" s="1">
        <f ca="1"/>
        <v>-239.93729328248091</v>
      </c>
      <c r="C250" s="1">
        <f ca="1"/>
        <v>-33.900143497407981</v>
      </c>
      <c r="D250" s="1"/>
      <c r="E250">
        <f t="shared" ca="1" si="7"/>
        <v>1</v>
      </c>
      <c r="F250" s="1">
        <f t="shared" ca="1" si="6"/>
        <v>-239.93729328248091</v>
      </c>
    </row>
    <row r="251" spans="1:6" x14ac:dyDescent="0.25">
      <c r="A251" s="1">
        <f t="array" aca="1" ref="A251:C251" ca="1">ODE_RK4(A250:C250,$B$5,$E$3,$F$3,$G$3)</f>
        <v>24.300000000000075</v>
      </c>
      <c r="B251" s="1">
        <f ca="1"/>
        <v>-243.30220853864137</v>
      </c>
      <c r="C251" s="1">
        <f ca="1"/>
        <v>-33.296787788495983</v>
      </c>
      <c r="D251" s="1"/>
      <c r="E251">
        <f t="shared" ca="1" si="7"/>
        <v>1</v>
      </c>
      <c r="F251" s="1">
        <f t="shared" ca="1" si="6"/>
        <v>-243.30220853864137</v>
      </c>
    </row>
    <row r="252" spans="1:6" x14ac:dyDescent="0.25">
      <c r="A252" s="1">
        <f t="array" aca="1" ref="A252:C252" ca="1">ODE_RK4(A251:C251,$B$5,$E$3,$F$3,$G$3)</f>
        <v>24.400000000000077</v>
      </c>
      <c r="B252" s="1">
        <f ca="1"/>
        <v>-246.60643960177276</v>
      </c>
      <c r="C252" s="1">
        <f ca="1"/>
        <v>-32.68508290309498</v>
      </c>
      <c r="D252" s="1"/>
      <c r="E252">
        <f t="shared" ca="1" si="7"/>
        <v>1</v>
      </c>
      <c r="F252" s="1">
        <f t="shared" ca="1" si="6"/>
        <v>-246.60643960177276</v>
      </c>
    </row>
    <row r="253" spans="1:6" x14ac:dyDescent="0.25">
      <c r="A253" s="1">
        <f t="array" aca="1" ref="A253:C253" ca="1">ODE_RK4(A252:C252,$B$5,$E$3,$F$3,$G$3)</f>
        <v>24.500000000000078</v>
      </c>
      <c r="B253" s="1">
        <f ca="1"/>
        <v>-249.84915790150848</v>
      </c>
      <c r="C253" s="1">
        <f ca="1"/>
        <v>-32.065181416641607</v>
      </c>
      <c r="D253" s="1"/>
      <c r="E253">
        <f t="shared" ca="1" si="7"/>
        <v>1</v>
      </c>
      <c r="F253" s="1">
        <f t="shared" ca="1" si="6"/>
        <v>-249.84915790150848</v>
      </c>
    </row>
    <row r="254" spans="1:6" x14ac:dyDescent="0.25">
      <c r="A254" s="1">
        <f t="array" aca="1" ref="A254:C254" ca="1">ODE_RK4(A253:C253,$B$5,$E$3,$F$3,$G$3)</f>
        <v>24.60000000000008</v>
      </c>
      <c r="B254" s="1">
        <f ca="1"/>
        <v>-253.02955021085705</v>
      </c>
      <c r="C254" s="1">
        <f ca="1"/>
        <v>-31.437237960040601</v>
      </c>
      <c r="D254" s="1"/>
      <c r="E254">
        <f t="shared" ca="1" si="7"/>
        <v>1</v>
      </c>
      <c r="F254" s="1">
        <f t="shared" ca="1" si="6"/>
        <v>-253.02955021085705</v>
      </c>
    </row>
    <row r="255" spans="1:6" x14ac:dyDescent="0.25">
      <c r="A255" s="1">
        <f t="array" aca="1" ref="A255:C255" ca="1">ODE_RK4(A254:C254,$B$5,$E$3,$F$3,$G$3)</f>
        <v>24.700000000000081</v>
      </c>
      <c r="B255" s="1">
        <f ca="1"/>
        <v>-256.14681885014443</v>
      </c>
      <c r="C255" s="1">
        <f ca="1"/>
        <v>-30.801409181093469</v>
      </c>
      <c r="D255" s="1"/>
      <c r="E255">
        <f t="shared" ca="1" si="7"/>
        <v>1</v>
      </c>
      <c r="F255" s="1">
        <f t="shared" ca="1" si="6"/>
        <v>-256.14681885014443</v>
      </c>
    </row>
    <row r="256" spans="1:6" x14ac:dyDescent="0.25">
      <c r="A256" s="1">
        <f t="array" aca="1" ref="A256:C256" ca="1">ODE_RK4(A255:C255,$B$5,$E$3,$F$3,$G$3)</f>
        <v>24.800000000000082</v>
      </c>
      <c r="B256" s="1">
        <f ca="1"/>
        <v>-259.20018188707769</v>
      </c>
      <c r="C256" s="1">
        <f ca="1"/>
        <v>-30.157853705421303</v>
      </c>
      <c r="D256" s="1"/>
      <c r="E256">
        <f t="shared" ca="1" si="7"/>
        <v>1</v>
      </c>
      <c r="F256" s="1">
        <f t="shared" ca="1" si="6"/>
        <v>-259.20018188707769</v>
      </c>
    </row>
    <row r="257" spans="1:6" x14ac:dyDescent="0.25">
      <c r="A257" s="1">
        <f t="array" aca="1" ref="A257:C257" ca="1">ODE_RK4(A256:C256,$B$5,$E$3,$F$3,$G$3)</f>
        <v>24.900000000000084</v>
      </c>
      <c r="B257" s="1">
        <f ca="1"/>
        <v>-262.18887333288063</v>
      </c>
      <c r="C257" s="1">
        <f ca="1"/>
        <v>-29.506732096891543</v>
      </c>
      <c r="D257" s="1"/>
      <c r="E257">
        <f t="shared" ca="1" si="7"/>
        <v>1</v>
      </c>
      <c r="F257" s="1">
        <f t="shared" ca="1" si="6"/>
        <v>-262.18887333288063</v>
      </c>
    </row>
    <row r="258" spans="1:6" x14ac:dyDescent="0.25">
      <c r="A258" s="1">
        <f t="array" aca="1" ref="A258:C258" ca="1">ODE_RK4(A257:C257,$B$5,$E$3,$F$3,$G$3)</f>
        <v>25.000000000000085</v>
      </c>
      <c r="B258" s="1">
        <f ca="1"/>
        <v>-265.11214333445156</v>
      </c>
      <c r="C258" s="1">
        <f ca="1"/>
        <v>-28.848206817558534</v>
      </c>
      <c r="D258" s="1"/>
      <c r="E258">
        <f t="shared" ca="1" si="7"/>
        <v>1</v>
      </c>
      <c r="F258" s="1">
        <f t="shared" ca="1" si="6"/>
        <v>-265.11214333445156</v>
      </c>
    </row>
    <row r="259" spans="1:6" x14ac:dyDescent="0.25">
      <c r="A259" s="1">
        <f t="array" aca="1" ref="A259:C259" ca="1">ODE_RK4(A258:C258,$B$5,$E$3,$F$3,$G$3)</f>
        <v>25.100000000000087</v>
      </c>
      <c r="B259" s="1">
        <f ca="1"/>
        <v>-267.96925836249522</v>
      </c>
      <c r="C259" s="1">
        <f ca="1"/>
        <v>-28.182442187127876</v>
      </c>
      <c r="D259" s="1"/>
      <c r="E259">
        <f t="shared" ca="1" si="7"/>
        <v>1</v>
      </c>
      <c r="F259" s="1">
        <f t="shared" ca="1" si="6"/>
        <v>-267.96925836249522</v>
      </c>
    </row>
    <row r="260" spans="1:6" x14ac:dyDescent="0.25">
      <c r="A260" s="1">
        <f t="array" aca="1" ref="A260:C260" ca="1">ODE_RK4(A259:C259,$B$5,$E$3,$F$3,$G$3)</f>
        <v>25.200000000000088</v>
      </c>
      <c r="B260" s="1">
        <f ca="1"/>
        <v>-270.75950139558171</v>
      </c>
      <c r="C260" s="1">
        <f ca="1"/>
        <v>-27.509604341954677</v>
      </c>
      <c r="D260" s="1"/>
      <c r="E260">
        <f t="shared" ca="1" si="7"/>
        <v>1</v>
      </c>
      <c r="F260" s="1">
        <f t="shared" ca="1" si="6"/>
        <v>-270.75950139558171</v>
      </c>
    </row>
    <row r="261" spans="1:6" x14ac:dyDescent="0.25">
      <c r="A261" s="1">
        <f t="array" aca="1" ref="A261:C261" ca="1">ODE_RK4(A260:C260,$B$5,$E$3,$F$3,$G$3)</f>
        <v>25.30000000000009</v>
      </c>
      <c r="B261" s="1">
        <f ca="1"/>
        <v>-273.48217210008636</v>
      </c>
      <c r="C261" s="1">
        <f ca="1"/>
        <v>-26.829861193585948</v>
      </c>
      <c r="D261" s="1"/>
      <c r="E261">
        <f t="shared" ca="1" si="7"/>
        <v>1</v>
      </c>
      <c r="F261" s="1">
        <f t="shared" ca="1" si="6"/>
        <v>-273.48217210008636</v>
      </c>
    </row>
    <row r="262" spans="1:6" x14ac:dyDescent="0.25">
      <c r="A262" s="1">
        <f t="array" aca="1" ref="A262:C262" ca="1">ODE_RK4(A261:C261,$B$5,$E$3,$F$3,$G$3)</f>
        <v>25.400000000000091</v>
      </c>
      <c r="B262" s="1">
        <f ca="1"/>
        <v>-276.13658700596488</v>
      </c>
      <c r="C262" s="1">
        <f ca="1"/>
        <v>-26.143382386857478</v>
      </c>
      <c r="D262" s="1"/>
      <c r="E262">
        <f t="shared" ca="1" si="7"/>
        <v>1</v>
      </c>
      <c r="F262" s="1">
        <f t="shared" ca="1" si="6"/>
        <v>-276.13658700596488</v>
      </c>
    </row>
    <row r="263" spans="1:6" x14ac:dyDescent="0.25">
      <c r="A263" s="1">
        <f t="array" aca="1" ref="A263:C263" ca="1">ODE_RK4(A262:C262,$B$5,$E$3,$F$3,$G$3)</f>
        <v>25.500000000000092</v>
      </c>
      <c r="B263" s="1">
        <f ca="1"/>
        <v>-278.72207967832043</v>
      </c>
      <c r="C263" s="1">
        <f ca="1"/>
        <v>-25.450339257555658</v>
      </c>
      <c r="D263" s="1"/>
      <c r="E263">
        <f t="shared" ca="1" si="7"/>
        <v>1</v>
      </c>
      <c r="F263" s="1">
        <f t="shared" ca="1" si="6"/>
        <v>-278.72207967832043</v>
      </c>
    </row>
    <row r="264" spans="1:6" x14ac:dyDescent="0.25">
      <c r="A264" s="1">
        <f t="array" aca="1" ref="A264:C264" ca="1">ODE_RK4(A263:C263,$B$5,$E$3,$F$3,$G$3)</f>
        <v>25.600000000000094</v>
      </c>
      <c r="B264" s="1">
        <f ca="1"/>
        <v>-281.2380008847187</v>
      </c>
      <c r="C264" s="1">
        <f ca="1"/>
        <v>-24.7509047896548</v>
      </c>
      <c r="D264" s="1"/>
      <c r="E264">
        <f t="shared" ca="1" si="7"/>
        <v>1</v>
      </c>
      <c r="F264" s="1">
        <f t="shared" ref="F264:F327" ca="1" si="8">B264</f>
        <v>-281.2380008847187</v>
      </c>
    </row>
    <row r="265" spans="1:6" x14ac:dyDescent="0.25">
      <c r="A265" s="1">
        <f t="array" aca="1" ref="A265:C265" ca="1">ODE_RK4(A264:C264,$B$5,$E$3,$F$3,$G$3)</f>
        <v>25.700000000000095</v>
      </c>
      <c r="B265" s="1">
        <f ca="1"/>
        <v>-283.68371875820986</v>
      </c>
      <c r="C265" s="1">
        <f ca="1"/>
        <v>-24.045253572140641</v>
      </c>
      <c r="D265" s="1"/>
      <c r="E265">
        <f t="shared" ref="E265:E328" ca="1" si="9">(C265*C266&lt;0)*1+E264</f>
        <v>1</v>
      </c>
      <c r="F265" s="1">
        <f t="shared" ca="1" si="8"/>
        <v>-283.68371875820986</v>
      </c>
    </row>
    <row r="266" spans="1:6" x14ac:dyDescent="0.25">
      <c r="A266" s="1">
        <f t="array" aca="1" ref="A266:C266" ca="1">ODE_RK4(A265:C265,$B$5,$E$3,$F$3,$G$3)</f>
        <v>25.800000000000097</v>
      </c>
      <c r="B266" s="1">
        <f ca="1"/>
        <v>-286.05861895601572</v>
      </c>
      <c r="C266" s="1">
        <f ca="1"/>
        <v>-23.333561755430804</v>
      </c>
      <c r="D266" s="1"/>
      <c r="E266">
        <f t="shared" ca="1" si="9"/>
        <v>1</v>
      </c>
      <c r="F266" s="1">
        <f t="shared" ca="1" si="8"/>
        <v>-286.05861895601572</v>
      </c>
    </row>
    <row r="267" spans="1:6" x14ac:dyDescent="0.25">
      <c r="A267" s="1">
        <f t="array" aca="1" ref="A267:C267" ca="1">ODE_RK4(A266:C266,$B$5,$E$3,$F$3,$G$3)</f>
        <v>25.900000000000098</v>
      </c>
      <c r="B267" s="1">
        <f ca="1"/>
        <v>-288.36210481384256</v>
      </c>
      <c r="C267" s="1">
        <f ca="1"/>
        <v>-22.616007007403088</v>
      </c>
      <c r="D267" s="1"/>
      <c r="E267">
        <f t="shared" ca="1" si="9"/>
        <v>1</v>
      </c>
      <c r="F267" s="1">
        <f t="shared" ca="1" si="8"/>
        <v>-288.36210481384256</v>
      </c>
    </row>
    <row r="268" spans="1:6" x14ac:dyDescent="0.25">
      <c r="A268" s="1">
        <f t="array" aca="1" ref="A268:C268" ca="1">ODE_RK4(A267:C267,$B$5,$E$3,$F$3,$G$3)</f>
        <v>26.000000000000099</v>
      </c>
      <c r="B268" s="1">
        <f ca="1"/>
        <v>-290.59359749578101</v>
      </c>
      <c r="C268" s="1">
        <f ca="1"/>
        <v>-21.892768469042576</v>
      </c>
      <c r="D268" s="1"/>
      <c r="E268">
        <f t="shared" ca="1" si="9"/>
        <v>1</v>
      </c>
      <c r="F268" s="1">
        <f t="shared" ca="1" si="8"/>
        <v>-290.59359749578101</v>
      </c>
    </row>
    <row r="269" spans="1:6" x14ac:dyDescent="0.25">
      <c r="A269" s="1">
        <f t="array" aca="1" ref="A269:C269" ca="1">ODE_RK4(A268:C268,$B$5,$E$3,$F$3,$G$3)</f>
        <v>26.100000000000101</v>
      </c>
      <c r="B269" s="1">
        <f ca="1"/>
        <v>-292.75253613975508</v>
      </c>
      <c r="C269" s="1">
        <f ca="1"/>
        <v>-21.164026709718613</v>
      </c>
      <c r="D269" s="1"/>
      <c r="E269">
        <f t="shared" ca="1" si="9"/>
        <v>1</v>
      </c>
      <c r="F269" s="1">
        <f t="shared" ca="1" si="8"/>
        <v>-292.75253613975508</v>
      </c>
    </row>
    <row r="270" spans="1:6" x14ac:dyDescent="0.25">
      <c r="A270" s="1">
        <f t="array" aca="1" ref="A270:C270" ca="1">ODE_RK4(A269:C269,$B$5,$E$3,$F$3,$G$3)</f>
        <v>26.200000000000102</v>
      </c>
      <c r="B270" s="1">
        <f ca="1"/>
        <v>-294.83837799848379</v>
      </c>
      <c r="C270" s="1">
        <f ca="1"/>
        <v>-20.429963682102841</v>
      </c>
      <c r="D270" s="1"/>
      <c r="E270">
        <f t="shared" ca="1" si="9"/>
        <v>1</v>
      </c>
      <c r="F270" s="1">
        <f t="shared" ca="1" si="8"/>
        <v>-294.83837799848379</v>
      </c>
    </row>
    <row r="271" spans="1:6" x14ac:dyDescent="0.25">
      <c r="A271" s="1">
        <f t="array" aca="1" ref="A271:C271" ca="1">ODE_RK4(A270:C270,$B$5,$E$3,$F$3,$G$3)</f>
        <v>26.300000000000104</v>
      </c>
      <c r="B271" s="1">
        <f ca="1"/>
        <v>-296.85059857592017</v>
      </c>
      <c r="C271" s="1">
        <f ca="1"/>
        <v>-19.690762676739542</v>
      </c>
      <c r="D271" s="1"/>
      <c r="E271">
        <f t="shared" ca="1" si="9"/>
        <v>1</v>
      </c>
      <c r="F271" s="1">
        <f t="shared" ca="1" si="8"/>
        <v>-296.85059857592017</v>
      </c>
    </row>
    <row r="272" spans="1:6" x14ac:dyDescent="0.25">
      <c r="A272" s="1">
        <f t="array" aca="1" ref="A272:C272" ca="1">ODE_RK4(A271:C271,$B$5,$E$3,$F$3,$G$3)</f>
        <v>26.400000000000105</v>
      </c>
      <c r="B272" s="1">
        <f ca="1"/>
        <v>-298.78869175913331</v>
      </c>
      <c r="C272" s="1">
        <f ca="1"/>
        <v>-18.946608276279608</v>
      </c>
      <c r="D272" s="1"/>
      <c r="E272">
        <f t="shared" ca="1" si="9"/>
        <v>1</v>
      </c>
      <c r="F272" s="1">
        <f t="shared" ca="1" si="8"/>
        <v>-298.78869175913331</v>
      </c>
    </row>
    <row r="273" spans="1:6" x14ac:dyDescent="0.25">
      <c r="A273" s="1">
        <f t="array" aca="1" ref="A273:C273" ca="1">ODE_RK4(A272:C272,$B$5,$E$3,$F$3,$G$3)</f>
        <v>26.500000000000107</v>
      </c>
      <c r="B273" s="1">
        <f ca="1"/>
        <v>-300.65216994559995</v>
      </c>
      <c r="C273" s="1">
        <f ca="1"/>
        <v>-18.197686309389603</v>
      </c>
      <c r="D273" s="1"/>
      <c r="E273">
        <f t="shared" ca="1" si="9"/>
        <v>1</v>
      </c>
      <c r="F273" s="1">
        <f t="shared" ca="1" si="8"/>
        <v>-300.65216994559995</v>
      </c>
    </row>
    <row r="274" spans="1:6" x14ac:dyDescent="0.25">
      <c r="A274" s="1">
        <f t="array" aca="1" ref="A274:C274" ca="1">ODE_RK4(A273:C273,$B$5,$E$3,$F$3,$G$3)</f>
        <v>26.600000000000108</v>
      </c>
      <c r="B274" s="1">
        <f ca="1"/>
        <v>-302.44056416587404</v>
      </c>
      <c r="C274" s="1">
        <f ca="1"/>
        <v>-17.444183804347389</v>
      </c>
      <c r="D274" s="1"/>
      <c r="E274">
        <f t="shared" ca="1" si="9"/>
        <v>1</v>
      </c>
      <c r="F274" s="1">
        <f t="shared" ca="1" si="8"/>
        <v>-302.44056416587404</v>
      </c>
    </row>
    <row r="275" spans="1:6" x14ac:dyDescent="0.25">
      <c r="A275" s="1">
        <f t="array" aca="1" ref="A275:C275" ca="1">ODE_RK4(A274:C274,$B$5,$E$3,$F$3,$G$3)</f>
        <v>26.700000000000109</v>
      </c>
      <c r="B275" s="1">
        <f ca="1"/>
        <v>-304.15342420160329</v>
      </c>
      <c r="C275" s="1">
        <f ca="1"/>
        <v>-16.686288942335942</v>
      </c>
      <c r="D275" s="1"/>
      <c r="E275">
        <f t="shared" ca="1" si="9"/>
        <v>1</v>
      </c>
      <c r="F275" s="1">
        <f t="shared" ca="1" si="8"/>
        <v>-304.15342420160329</v>
      </c>
    </row>
    <row r="276" spans="1:6" x14ac:dyDescent="0.25">
      <c r="A276" s="1">
        <f t="array" aca="1" ref="A276:C276" ca="1">ODE_RK4(A275:C275,$B$5,$E$3,$F$3,$G$3)</f>
        <v>26.800000000000111</v>
      </c>
      <c r="B276" s="1">
        <f ca="1"/>
        <v>-305.79031869886273</v>
      </c>
      <c r="C276" s="1">
        <f ca="1"/>
        <v>-15.924191010446979</v>
      </c>
      <c r="D276" s="1"/>
      <c r="E276">
        <f t="shared" ca="1" si="9"/>
        <v>1</v>
      </c>
      <c r="F276" s="1">
        <f t="shared" ca="1" si="8"/>
        <v>-305.79031869886273</v>
      </c>
    </row>
    <row r="277" spans="1:6" x14ac:dyDescent="0.25">
      <c r="A277" s="1">
        <f t="array" aca="1" ref="A277:C277" ca="1">ODE_RK4(A276:C276,$B$5,$E$3,$F$3,$G$3)</f>
        <v>26.900000000000112</v>
      </c>
      <c r="B277" s="1">
        <f ca="1"/>
        <v>-307.35083527677722</v>
      </c>
      <c r="C277" s="1">
        <f ca="1"/>
        <v>-15.158080354406172</v>
      </c>
      <c r="D277" s="1"/>
      <c r="E277">
        <f t="shared" ca="1" si="9"/>
        <v>1</v>
      </c>
      <c r="F277" s="1">
        <f t="shared" ca="1" si="8"/>
        <v>-307.35083527677722</v>
      </c>
    </row>
    <row r="278" spans="1:6" x14ac:dyDescent="0.25">
      <c r="A278" s="1">
        <f t="array" aca="1" ref="A278:C278" ca="1">ODE_RK4(A277:C277,$B$5,$E$3,$F$3,$G$3)</f>
        <v>27.000000000000114</v>
      </c>
      <c r="B278" s="1">
        <f ca="1"/>
        <v>-308.83458063140512</v>
      </c>
      <c r="C278" s="1">
        <f ca="1"/>
        <v>-14.388148331031735</v>
      </c>
      <c r="D278" s="1"/>
      <c r="E278">
        <f t="shared" ca="1" si="9"/>
        <v>1</v>
      </c>
      <c r="F278" s="1">
        <f t="shared" ca="1" si="8"/>
        <v>-308.83458063140512</v>
      </c>
    </row>
    <row r="279" spans="1:6" x14ac:dyDescent="0.25">
      <c r="A279" s="1">
        <f t="array" aca="1" ref="A279:C279" ca="1">ODE_RK4(A278:C278,$B$5,$E$3,$F$3,$G$3)</f>
        <v>27.100000000000115</v>
      </c>
      <c r="B279" s="1">
        <f ca="1"/>
        <v>-310.24118063485736</v>
      </c>
      <c r="C279" s="1">
        <f ca="1"/>
        <v>-13.614587260438253</v>
      </c>
      <c r="D279" s="1"/>
      <c r="E279">
        <f t="shared" ca="1" si="9"/>
        <v>1</v>
      </c>
      <c r="F279" s="1">
        <f t="shared" ca="1" si="8"/>
        <v>-310.24118063485736</v>
      </c>
    </row>
    <row r="280" spans="1:6" x14ac:dyDescent="0.25">
      <c r="A280" s="1">
        <f t="array" aca="1" ref="A280:C280" ca="1">ODE_RK4(A279:C279,$B$5,$E$3,$F$3,$G$3)</f>
        <v>27.200000000000117</v>
      </c>
      <c r="B280" s="1">
        <f ca="1"/>
        <v>-311.57028042962639</v>
      </c>
      <c r="C280" s="1">
        <f ca="1"/>
        <v>-12.837590377997712</v>
      </c>
      <c r="D280" s="1"/>
      <c r="E280">
        <f t="shared" ca="1" si="9"/>
        <v>1</v>
      </c>
      <c r="F280" s="1">
        <f t="shared" ca="1" si="8"/>
        <v>-311.57028042962639</v>
      </c>
    </row>
    <row r="281" spans="1:6" x14ac:dyDescent="0.25">
      <c r="A281" s="1">
        <f t="array" aca="1" ref="A281:C281" ca="1">ODE_RK4(A280:C280,$B$5,$E$3,$F$3,$G$3)</f>
        <v>27.300000000000118</v>
      </c>
      <c r="B281" s="1">
        <f ca="1"/>
        <v>-312.82154451810197</v>
      </c>
      <c r="C281" s="1">
        <f ca="1"/>
        <v>-12.057351786069709</v>
      </c>
      <c r="D281" s="1"/>
      <c r="E281">
        <f t="shared" ca="1" si="9"/>
        <v>1</v>
      </c>
      <c r="F281" s="1">
        <f t="shared" ca="1" si="8"/>
        <v>-312.82154451810197</v>
      </c>
    </row>
    <row r="282" spans="1:6" x14ac:dyDescent="0.25">
      <c r="A282" s="1">
        <f t="array" aca="1" ref="A282:C282" ca="1">ODE_RK4(A281:C281,$B$5,$E$3,$F$3,$G$3)</f>
        <v>27.400000000000119</v>
      </c>
      <c r="B282" s="1">
        <f ca="1"/>
        <v>-313.99465684725038</v>
      </c>
      <c r="C282" s="1">
        <f ca="1"/>
        <v>-11.274066405512915</v>
      </c>
      <c r="D282" s="1"/>
      <c r="E282">
        <f t="shared" ca="1" si="9"/>
        <v>1</v>
      </c>
      <c r="F282" s="1">
        <f t="shared" ca="1" si="8"/>
        <v>-313.99465684725038</v>
      </c>
    </row>
    <row r="283" spans="1:6" x14ac:dyDescent="0.25">
      <c r="A283" s="1">
        <f t="array" aca="1" ref="A283:C283" ca="1">ODE_RK4(A282:C282,$B$5,$E$3,$F$3,$G$3)</f>
        <v>27.500000000000121</v>
      </c>
      <c r="B283" s="1">
        <f ca="1"/>
        <v>-315.08932088843642</v>
      </c>
      <c r="C283" s="1">
        <f ca="1"/>
        <v>-10.487929926989889</v>
      </c>
      <c r="D283" s="1"/>
      <c r="E283">
        <f t="shared" ca="1" si="9"/>
        <v>1</v>
      </c>
      <c r="F283" s="1">
        <f t="shared" ca="1" si="8"/>
        <v>-315.08932088843642</v>
      </c>
    </row>
    <row r="284" spans="1:6" x14ac:dyDescent="0.25">
      <c r="A284" s="1">
        <f t="array" aca="1" ref="A284:C284" ca="1">ODE_RK4(A283:C283,$B$5,$E$3,$F$3,$G$3)</f>
        <v>27.600000000000122</v>
      </c>
      <c r="B284" s="1">
        <f ca="1"/>
        <v>-316.10525971236774</v>
      </c>
      <c r="C284" s="1">
        <f ca="1"/>
        <v>-9.699138762077423</v>
      </c>
      <c r="D284" s="1"/>
      <c r="E284">
        <f t="shared" ca="1" si="9"/>
        <v>1</v>
      </c>
      <c r="F284" s="1">
        <f t="shared" ca="1" si="8"/>
        <v>-316.10525971236774</v>
      </c>
    </row>
    <row r="285" spans="1:6" x14ac:dyDescent="0.25">
      <c r="A285" s="1">
        <f t="array" aca="1" ref="A285:C285" ca="1">ODE_RK4(A284:C284,$B$5,$E$3,$F$3,$G$3)</f>
        <v>27.700000000000124</v>
      </c>
      <c r="B285" s="1">
        <f ca="1"/>
        <v>-317.04221605914222</v>
      </c>
      <c r="C285" s="1">
        <f ca="1"/>
        <v>-8.9078899941946226</v>
      </c>
      <c r="D285" s="1"/>
      <c r="E285">
        <f t="shared" ca="1" si="9"/>
        <v>1</v>
      </c>
      <c r="F285" s="1">
        <f t="shared" ca="1" si="8"/>
        <v>-317.04221605914222</v>
      </c>
    </row>
    <row r="286" spans="1:6" x14ac:dyDescent="0.25">
      <c r="A286" s="1">
        <f t="array" aca="1" ref="A286:C286" ca="1">ODE_RK4(A285:C285,$B$5,$E$3,$F$3,$G$3)</f>
        <v>27.800000000000125</v>
      </c>
      <c r="B286" s="1">
        <f ca="1"/>
        <v>-317.89995240338135</v>
      </c>
      <c r="C286" s="1">
        <f ca="1"/>
        <v>-8.1143813293609828</v>
      </c>
      <c r="D286" s="1"/>
      <c r="E286">
        <f t="shared" ca="1" si="9"/>
        <v>1</v>
      </c>
      <c r="F286" s="1">
        <f t="shared" ca="1" si="8"/>
        <v>-317.89995240338135</v>
      </c>
    </row>
    <row r="287" spans="1:6" x14ac:dyDescent="0.25">
      <c r="A287" s="1">
        <f t="array" aca="1" ref="A287:C287" ca="1">ODE_RK4(A286:C286,$B$5,$E$3,$F$3,$G$3)</f>
        <v>27.900000000000126</v>
      </c>
      <c r="B287" s="1">
        <f ca="1"/>
        <v>-318.67825101443265</v>
      </c>
      <c r="C287" s="1">
        <f ca="1"/>
        <v>-7.3188110467967693</v>
      </c>
      <c r="D287" s="1"/>
      <c r="E287">
        <f t="shared" ca="1" si="9"/>
        <v>1</v>
      </c>
      <c r="F287" s="1">
        <f t="shared" ca="1" si="8"/>
        <v>-318.67825101443265</v>
      </c>
    </row>
    <row r="288" spans="1:6" x14ac:dyDescent="0.25">
      <c r="A288" s="1">
        <f t="array" aca="1" ref="A288:C288" ca="1">ODE_RK4(A287:C287,$B$5,$E$3,$F$3,$G$3)</f>
        <v>28.000000000000128</v>
      </c>
      <c r="B288" s="1">
        <f ca="1"/>
        <v>-319.37691401162613</v>
      </c>
      <c r="C288" s="1">
        <f ca="1"/>
        <v>-6.5213779493780422</v>
      </c>
      <c r="D288" s="1"/>
      <c r="E288">
        <f t="shared" ca="1" si="9"/>
        <v>1</v>
      </c>
      <c r="F288" s="1">
        <f t="shared" ca="1" si="8"/>
        <v>-319.37691401162613</v>
      </c>
    </row>
    <row r="289" spans="1:6" x14ac:dyDescent="0.25">
      <c r="A289" s="1">
        <f t="array" aca="1" ref="A289:C289" ca="1">ODE_RK4(A288:C288,$B$5,$E$3,$F$3,$G$3)</f>
        <v>28.100000000000129</v>
      </c>
      <c r="B289" s="1">
        <f ca="1"/>
        <v>-319.99576341457032</v>
      </c>
      <c r="C289" s="1">
        <f ca="1"/>
        <v>-5.7222813139587014</v>
      </c>
      <c r="D289" s="1"/>
      <c r="E289">
        <f t="shared" ca="1" si="9"/>
        <v>1</v>
      </c>
      <c r="F289" s="1">
        <f t="shared" ca="1" si="8"/>
        <v>-319.99576341457032</v>
      </c>
    </row>
    <row r="290" spans="1:6" x14ac:dyDescent="0.25">
      <c r="A290" s="1">
        <f t="array" aca="1" ref="A290:C290" ca="1">ODE_RK4(A289:C289,$B$5,$E$3,$F$3,$G$3)</f>
        <v>28.200000000000131</v>
      </c>
      <c r="B290" s="1">
        <f ca="1"/>
        <v>-320.53464118847586</v>
      </c>
      <c r="C290" s="1">
        <f ca="1"/>
        <v>-4.9217208415719753</v>
      </c>
      <c r="D290" s="1"/>
      <c r="E290">
        <f t="shared" ca="1" si="9"/>
        <v>1</v>
      </c>
      <c r="F290" s="1">
        <f t="shared" ca="1" si="8"/>
        <v>-320.53464118847586</v>
      </c>
    </row>
    <row r="291" spans="1:6" x14ac:dyDescent="0.25">
      <c r="A291" s="1">
        <f t="array" aca="1" ref="A291:C291" ca="1">ODE_RK4(A290:C290,$B$5,$E$3,$F$3,$G$3)</f>
        <v>28.300000000000132</v>
      </c>
      <c r="B291" s="1">
        <f ca="1"/>
        <v>-320.99340928449442</v>
      </c>
      <c r="C291" s="1">
        <f ca="1"/>
        <v>-4.1198966075237884</v>
      </c>
      <c r="D291" s="1"/>
      <c r="E291">
        <f t="shared" ca="1" si="9"/>
        <v>1</v>
      </c>
      <c r="F291" s="1">
        <f t="shared" ca="1" si="8"/>
        <v>-320.99340928449442</v>
      </c>
    </row>
    <row r="292" spans="1:6" x14ac:dyDescent="0.25">
      <c r="A292" s="1">
        <f t="array" aca="1" ref="A292:C292" ca="1">ODE_RK4(A291:C291,$B$5,$E$3,$F$3,$G$3)</f>
        <v>28.400000000000134</v>
      </c>
      <c r="B292" s="1">
        <f ca="1"/>
        <v>-321.37194967506292</v>
      </c>
      <c r="C292" s="1">
        <f ca="1"/>
        <v>-3.3170090113904842</v>
      </c>
      <c r="D292" s="1"/>
      <c r="E292">
        <f t="shared" ca="1" si="9"/>
        <v>1</v>
      </c>
      <c r="F292" s="1">
        <f t="shared" ca="1" si="8"/>
        <v>-321.37194967506292</v>
      </c>
    </row>
    <row r="293" spans="1:6" x14ac:dyDescent="0.25">
      <c r="A293" s="1">
        <f t="array" aca="1" ref="A293:C293" ca="1">ODE_RK4(A292:C292,$B$5,$E$3,$F$3,$G$3)</f>
        <v>28.500000000000135</v>
      </c>
      <c r="B293" s="1">
        <f ca="1"/>
        <v>-321.67016438424406</v>
      </c>
      <c r="C293" s="1">
        <f ca="1"/>
        <v>-2.5132587269333975</v>
      </c>
      <c r="D293" s="1"/>
      <c r="E293">
        <f t="shared" ca="1" si="9"/>
        <v>1</v>
      </c>
      <c r="F293" s="1">
        <f t="shared" ca="1" si="8"/>
        <v>-321.67016438424406</v>
      </c>
    </row>
    <row r="294" spans="1:6" x14ac:dyDescent="0.25">
      <c r="A294" s="1">
        <f t="array" aca="1" ref="A294:C294" ca="1">ODE_RK4(A293:C293,$B$5,$E$3,$F$3,$G$3)</f>
        <v>28.600000000000136</v>
      </c>
      <c r="B294" s="1">
        <f ca="1"/>
        <v>-321.88797551305521</v>
      </c>
      <c r="C294" s="1">
        <f ca="1"/>
        <v>-1.7088466519427965</v>
      </c>
      <c r="D294" s="1"/>
      <c r="E294">
        <f t="shared" ca="1" si="9"/>
        <v>1</v>
      </c>
      <c r="F294" s="1">
        <f t="shared" ca="1" si="8"/>
        <v>-321.88797551305521</v>
      </c>
    </row>
    <row r="295" spans="1:6" x14ac:dyDescent="0.25">
      <c r="A295" s="1">
        <f t="array" aca="1" ref="A295:C295" ca="1">ODE_RK4(A294:C294,$B$5,$E$3,$F$3,$G$3)</f>
        <v>28.700000000000138</v>
      </c>
      <c r="B295" s="1">
        <f ca="1"/>
        <v>-322.02532525977938</v>
      </c>
      <c r="C295" s="1">
        <f ca="1"/>
        <v>-0.90397385802372887</v>
      </c>
      <c r="D295" s="1"/>
      <c r="E295">
        <f t="shared" ca="1" si="9"/>
        <v>1</v>
      </c>
      <c r="F295" s="1">
        <f t="shared" ca="1" si="8"/>
        <v>-322.02532525977938</v>
      </c>
    </row>
    <row r="296" spans="1:6" x14ac:dyDescent="0.25">
      <c r="A296" s="1">
        <f t="array" aca="1" ref="A296:C296" ca="1">ODE_RK4(A295:C295,$B$5,$E$3,$F$3,$G$3)</f>
        <v>28.800000000000139</v>
      </c>
      <c r="B296" s="1">
        <f ca="1"/>
        <v>-322.08217593525268</v>
      </c>
      <c r="C296" s="1">
        <f ca="1"/>
        <v>-9.8841540336321532E-2</v>
      </c>
      <c r="D296" s="1"/>
      <c r="E296">
        <f t="shared" ca="1" si="9"/>
        <v>2</v>
      </c>
      <c r="F296" s="1">
        <f t="shared" ca="1" si="8"/>
        <v>-322.08217593525268</v>
      </c>
    </row>
    <row r="297" spans="1:6" x14ac:dyDescent="0.25">
      <c r="A297" s="1">
        <f t="array" aca="1" ref="A297:C297" ca="1">ODE_RK4(A296:C296,$B$5,$E$3,$F$3,$G$3)</f>
        <v>28.900000000000141</v>
      </c>
      <c r="B297" s="1">
        <f ca="1"/>
        <v>-322.05850997312439</v>
      </c>
      <c r="C297" s="1">
        <f ca="1"/>
        <v>0.70634903269690041</v>
      </c>
      <c r="D297" s="1"/>
      <c r="E297">
        <f t="shared" ca="1" si="9"/>
        <v>2</v>
      </c>
      <c r="F297" s="1">
        <f t="shared" ca="1" si="8"/>
        <v>-322.05850997312439</v>
      </c>
    </row>
    <row r="298" spans="1:6" x14ac:dyDescent="0.25">
      <c r="A298" s="1">
        <f t="array" aca="1" ref="A298:C298" ca="1">ODE_RK4(A297:C297,$B$5,$E$3,$F$3,$G$3)</f>
        <v>29.000000000000142</v>
      </c>
      <c r="B298" s="1">
        <f ca="1"/>
        <v>-321.95432993508689</v>
      </c>
      <c r="C298" s="1">
        <f ca="1"/>
        <v>1.5113965697041056</v>
      </c>
      <c r="D298" s="1"/>
      <c r="E298">
        <f t="shared" ca="1" si="9"/>
        <v>2</v>
      </c>
      <c r="F298" s="1">
        <f t="shared" ca="1" si="8"/>
        <v>-321.95432993508689</v>
      </c>
    </row>
    <row r="299" spans="1:6" x14ac:dyDescent="0.25">
      <c r="A299" s="1">
        <f t="array" aca="1" ref="A299:C299" ca="1">ODE_RK4(A298:C298,$B$5,$E$3,$F$3,$G$3)</f>
        <v>29.100000000000144</v>
      </c>
      <c r="B299" s="1">
        <f ca="1"/>
        <v>-321.76965851107389</v>
      </c>
      <c r="C299" s="1">
        <f ca="1"/>
        <v>2.3160998066850835</v>
      </c>
      <c r="D299" s="1"/>
      <c r="E299">
        <f t="shared" ca="1" si="9"/>
        <v>2</v>
      </c>
      <c r="F299" s="1">
        <f t="shared" ca="1" si="8"/>
        <v>-321.76965851107389</v>
      </c>
    </row>
    <row r="300" spans="1:6" x14ac:dyDescent="0.25">
      <c r="A300" s="1">
        <f t="array" aca="1" ref="A300:C300" ca="1">ODE_RK4(A299:C299,$B$5,$E$3,$F$3,$G$3)</f>
        <v>29.200000000000145</v>
      </c>
      <c r="B300" s="1">
        <f ca="1"/>
        <v>-321.5045385144266</v>
      </c>
      <c r="C300" s="1">
        <f ca="1"/>
        <v>3.1202575573274225</v>
      </c>
      <c r="D300" s="1"/>
      <c r="E300">
        <f t="shared" ca="1" si="9"/>
        <v>2</v>
      </c>
      <c r="F300" s="1">
        <f t="shared" ca="1" si="8"/>
        <v>-321.5045385144266</v>
      </c>
    </row>
    <row r="301" spans="1:6" x14ac:dyDescent="0.25">
      <c r="A301" s="1">
        <f t="array" aca="1" ref="A301:C301" ca="1">ODE_RK4(A300:C300,$B$5,$E$3,$F$3,$G$3)</f>
        <v>29.300000000000146</v>
      </c>
      <c r="B301" s="1">
        <f ca="1"/>
        <v>-321.15903287202917</v>
      </c>
      <c r="C301" s="1">
        <f ca="1"/>
        <v>3.9236687633053648</v>
      </c>
      <c r="D301" s="1"/>
      <c r="E301">
        <f t="shared" ca="1" si="9"/>
        <v>2</v>
      </c>
      <c r="F301" s="1">
        <f t="shared" ca="1" si="8"/>
        <v>-321.15903287202917</v>
      </c>
    </row>
    <row r="302" spans="1:6" x14ac:dyDescent="0.25">
      <c r="A302" s="1">
        <f t="array" aca="1" ref="A302:C302" ca="1">ODE_RK4(A301:C301,$B$5,$E$3,$F$3,$G$3)</f>
        <v>29.400000000000148</v>
      </c>
      <c r="B302" s="1">
        <f ca="1"/>
        <v>-320.73322460941517</v>
      </c>
      <c r="C302" s="1">
        <f ca="1"/>
        <v>4.7261325445487605</v>
      </c>
      <c r="D302" s="1"/>
      <c r="E302">
        <f t="shared" ca="1" si="9"/>
        <v>2</v>
      </c>
      <c r="F302" s="1">
        <f t="shared" ca="1" si="8"/>
        <v>-320.73322460941517</v>
      </c>
    </row>
    <row r="303" spans="1:6" x14ac:dyDescent="0.25">
      <c r="A303" s="1">
        <f t="array" aca="1" ref="A303:C303" ca="1">ODE_RK4(A302:C302,$B$5,$E$3,$F$3,$G$3)</f>
        <v>29.500000000000149</v>
      </c>
      <c r="B303" s="1">
        <f ca="1"/>
        <v>-320.22721683084904</v>
      </c>
      <c r="C303" s="1">
        <f ca="1"/>
        <v>5.527448249469554</v>
      </c>
      <c r="D303" s="1"/>
      <c r="E303">
        <f t="shared" ca="1" si="9"/>
        <v>2</v>
      </c>
      <c r="F303" s="1">
        <f t="shared" ca="1" si="8"/>
        <v>-320.22721683084904</v>
      </c>
    </row>
    <row r="304" spans="1:6" x14ac:dyDescent="0.25">
      <c r="A304" s="1">
        <f t="array" aca="1" ref="A304:C304" ca="1">ODE_RK4(A303:C303,$B$5,$E$3,$F$3,$G$3)</f>
        <v>29.600000000000151</v>
      </c>
      <c r="B304" s="1">
        <f ca="1"/>
        <v>-319.64113269438718</v>
      </c>
      <c r="C304" s="1">
        <f ca="1"/>
        <v>6.3274155051332404</v>
      </c>
      <c r="D304" s="1"/>
      <c r="E304">
        <f t="shared" ca="1" si="9"/>
        <v>2</v>
      </c>
      <c r="F304" s="1">
        <f t="shared" ca="1" si="8"/>
        <v>-319.64113269438718</v>
      </c>
    </row>
    <row r="305" spans="1:6" x14ac:dyDescent="0.25">
      <c r="A305" s="1">
        <f t="array" aca="1" ref="A305:C305" ca="1">ODE_RK4(A304:C304,$B$5,$E$3,$F$3,$G$3)</f>
        <v>29.700000000000152</v>
      </c>
      <c r="B305" s="1">
        <f ca="1"/>
        <v>-318.97511538192435</v>
      </c>
      <c r="C305" s="1">
        <f ca="1"/>
        <v>7.1258342673627544</v>
      </c>
      <c r="D305" s="1"/>
      <c r="E305">
        <f t="shared" ca="1" si="9"/>
        <v>2</v>
      </c>
      <c r="F305" s="1">
        <f t="shared" ca="1" si="8"/>
        <v>-318.97511538192435</v>
      </c>
    </row>
    <row r="306" spans="1:6" x14ac:dyDescent="0.25">
      <c r="A306" s="1">
        <f t="array" aca="1" ref="A306:C306" ca="1">ODE_RK4(A305:C305,$B$5,$E$3,$F$3,$G$3)</f>
        <v>29.800000000000153</v>
      </c>
      <c r="B306" s="1">
        <f ca="1"/>
        <v>-318.22932806423341</v>
      </c>
      <c r="C306" s="1">
        <f ca="1"/>
        <v>7.9225048707622561</v>
      </c>
      <c r="D306" s="1"/>
      <c r="E306">
        <f t="shared" ca="1" si="9"/>
        <v>2</v>
      </c>
      <c r="F306" s="1">
        <f t="shared" ca="1" si="8"/>
        <v>-318.22932806423341</v>
      </c>
    </row>
    <row r="307" spans="1:6" x14ac:dyDescent="0.25">
      <c r="A307" s="1">
        <f t="array" aca="1" ref="A307:C307" ca="1">ODE_RK4(A306:C306,$B$5,$E$3,$F$3,$G$3)</f>
        <v>29.900000000000155</v>
      </c>
      <c r="B307" s="1">
        <f ca="1"/>
        <v>-317.40395386100602</v>
      </c>
      <c r="C307" s="1">
        <f ca="1"/>
        <v>8.7172280786483078</v>
      </c>
      <c r="D307" s="1"/>
      <c r="E307">
        <f t="shared" ca="1" si="9"/>
        <v>2</v>
      </c>
      <c r="F307" s="1">
        <f t="shared" ca="1" si="8"/>
        <v>-317.40395386100602</v>
      </c>
    </row>
    <row r="308" spans="1:6" x14ac:dyDescent="0.25">
      <c r="A308" s="1">
        <f t="array" aca="1" ref="A308:C308" ca="1">ODE_RK4(A307:C307,$B$5,$E$3,$F$3,$G$3)</f>
        <v>30.000000000000156</v>
      </c>
      <c r="B308" s="1">
        <f ca="1"/>
        <v>-316.49919579590482</v>
      </c>
      <c r="C308" s="1">
        <f ca="1"/>
        <v>9.5098051328759592</v>
      </c>
      <c r="D308" s="1"/>
      <c r="E308">
        <f t="shared" ca="1" si="9"/>
        <v>2</v>
      </c>
      <c r="F308" s="1">
        <f t="shared" ca="1" si="8"/>
        <v>-316.49919579590482</v>
      </c>
    </row>
    <row r="309" spans="1:6" x14ac:dyDescent="0.25">
      <c r="A309" s="1">
        <f t="array" aca="1" ref="A309:C309" ca="1">ODE_RK4(A308:C308,$B$5,$E$3,$F$3,$G$3)</f>
        <v>30.100000000000158</v>
      </c>
      <c r="B309" s="1">
        <f ca="1"/>
        <v>-315.51527674663788</v>
      </c>
      <c r="C309" s="1">
        <f ca="1"/>
        <v>10.300037803547268</v>
      </c>
      <c r="D309" s="1"/>
      <c r="E309">
        <f t="shared" ca="1" si="9"/>
        <v>2</v>
      </c>
      <c r="F309" s="1">
        <f t="shared" ca="1" si="8"/>
        <v>-315.51527674663788</v>
      </c>
    </row>
    <row r="310" spans="1:6" x14ac:dyDescent="0.25">
      <c r="A310" s="1">
        <f t="array" aca="1" ref="A310:C310" ca="1">ODE_RK4(A309:C309,$B$5,$E$3,$F$3,$G$3)</f>
        <v>30.200000000000159</v>
      </c>
      <c r="B310" s="1">
        <f ca="1"/>
        <v>-314.45243939006735</v>
      </c>
      <c r="C310" s="1">
        <f ca="1"/>
        <v>11.087728438589838</v>
      </c>
      <c r="D310" s="1"/>
      <c r="E310">
        <f t="shared" ca="1" si="9"/>
        <v>2</v>
      </c>
      <c r="F310" s="1">
        <f t="shared" ca="1" si="8"/>
        <v>-314.45243939006735</v>
      </c>
    </row>
    <row r="311" spans="1:6" x14ac:dyDescent="0.25">
      <c r="A311" s="1">
        <f t="array" aca="1" ref="A311:C311" ca="1">ODE_RK4(A310:C310,$B$5,$E$3,$F$3,$G$3)</f>
        <v>30.300000000000161</v>
      </c>
      <c r="B311" s="1">
        <f ca="1"/>
        <v>-313.31094614236656</v>
      </c>
      <c r="C311" s="1">
        <f ca="1"/>
        <v>11.872680013192973</v>
      </c>
      <c r="D311" s="1"/>
      <c r="E311">
        <f t="shared" ca="1" si="9"/>
        <v>2</v>
      </c>
      <c r="F311" s="1">
        <f t="shared" ca="1" si="8"/>
        <v>-313.31094614236656</v>
      </c>
    </row>
    <row r="312" spans="1:6" x14ac:dyDescent="0.25">
      <c r="A312" s="1">
        <f t="array" aca="1" ref="A312:C312" ca="1">ODE_RK4(A311:C311,$B$5,$E$3,$F$3,$G$3)</f>
        <v>30.400000000000162</v>
      </c>
      <c r="B312" s="1">
        <f ca="1"/>
        <v>-312.09107909423943</v>
      </c>
      <c r="C312" s="1">
        <f ca="1"/>
        <v>12.654696179089067</v>
      </c>
      <c r="D312" s="1"/>
      <c r="E312">
        <f t="shared" ca="1" si="9"/>
        <v>2</v>
      </c>
      <c r="F312" s="1">
        <f t="shared" ca="1" si="8"/>
        <v>-312.09107909423943</v>
      </c>
    </row>
    <row r="313" spans="1:6" x14ac:dyDescent="0.25">
      <c r="A313" s="1">
        <f t="array" aca="1" ref="A313:C313" ca="1">ODE_RK4(A312:C312,$B$5,$E$3,$F$3,$G$3)</f>
        <v>30.500000000000163</v>
      </c>
      <c r="B313" s="1">
        <f ca="1"/>
        <v>-310.79313994121901</v>
      </c>
      <c r="C313" s="1">
        <f ca="1"/>
        <v>13.433581313667926</v>
      </c>
      <c r="D313" s="1"/>
      <c r="E313">
        <f t="shared" ca="1" si="9"/>
        <v>2</v>
      </c>
      <c r="F313" s="1">
        <f t="shared" ca="1" si="8"/>
        <v>-310.79313994121901</v>
      </c>
    </row>
    <row r="314" spans="1:6" x14ac:dyDescent="0.25">
      <c r="A314" s="1">
        <f t="array" aca="1" ref="A314:C314" ca="1">ODE_RK4(A313:C313,$B$5,$E$3,$F$3,$G$3)</f>
        <v>30.600000000000165</v>
      </c>
      <c r="B314" s="1">
        <f ca="1"/>
        <v>-309.41744990906187</v>
      </c>
      <c r="C314" s="1">
        <f ca="1"/>
        <v>14.209140568911717</v>
      </c>
      <c r="D314" s="1"/>
      <c r="E314">
        <f t="shared" ca="1" si="9"/>
        <v>2</v>
      </c>
      <c r="F314" s="1">
        <f t="shared" ca="1" si="8"/>
        <v>-309.41744990906187</v>
      </c>
    </row>
    <row r="315" spans="1:6" x14ac:dyDescent="0.25">
      <c r="A315" s="1">
        <f t="array" aca="1" ref="A315:C315" ca="1">ODE_RK4(A314:C314,$B$5,$E$3,$F$3,$G$3)</f>
        <v>30.700000000000166</v>
      </c>
      <c r="B315" s="1">
        <f ca="1"/>
        <v>-307.96434967425677</v>
      </c>
      <c r="C315" s="1">
        <f ca="1"/>
        <v>14.981179920138322</v>
      </c>
      <c r="D315" s="1"/>
      <c r="E315">
        <f t="shared" ca="1" si="9"/>
        <v>2</v>
      </c>
      <c r="F315" s="1">
        <f t="shared" ca="1" si="8"/>
        <v>-307.96434967425677</v>
      </c>
    </row>
    <row r="316" spans="1:6" x14ac:dyDescent="0.25">
      <c r="A316" s="1">
        <f t="array" aca="1" ref="A316:C316" ca="1">ODE_RK4(A315:C315,$B$5,$E$3,$F$3,$G$3)</f>
        <v>30.800000000000168</v>
      </c>
      <c r="B316" s="1">
        <f ca="1"/>
        <v>-306.43419927966772</v>
      </c>
      <c r="C316" s="1">
        <f ca="1"/>
        <v>15.749506214540876</v>
      </c>
      <c r="D316" s="1"/>
      <c r="E316">
        <f t="shared" ca="1" si="9"/>
        <v>2</v>
      </c>
      <c r="F316" s="1">
        <f t="shared" ca="1" si="8"/>
        <v>-306.43419927966772</v>
      </c>
    </row>
    <row r="317" spans="1:6" x14ac:dyDescent="0.25">
      <c r="A317" s="1">
        <f t="array" aca="1" ref="A317:C317" ca="1">ODE_RK4(A316:C316,$B$5,$E$3,$F$3,$G$3)</f>
        <v>30.900000000000169</v>
      </c>
      <c r="B317" s="1">
        <f ca="1"/>
        <v>-304.82737804533178</v>
      </c>
      <c r="C317" s="1">
        <f ca="1"/>
        <v>16.51392721951138</v>
      </c>
      <c r="D317" s="1"/>
      <c r="E317">
        <f t="shared" ca="1" si="9"/>
        <v>2</v>
      </c>
      <c r="F317" s="1">
        <f t="shared" ca="1" si="8"/>
        <v>-304.82737804533178</v>
      </c>
    </row>
    <row r="318" spans="1:6" x14ac:dyDescent="0.25">
      <c r="A318" s="1">
        <f t="array" aca="1" ref="A318:C318" ca="1">ODE_RK4(A317:C317,$B$5,$E$3,$F$3,$G$3)</f>
        <v>31.000000000000171</v>
      </c>
      <c r="B318" s="1">
        <f ca="1"/>
        <v>-303.14428447443413</v>
      </c>
      <c r="C318" s="1">
        <f ca="1"/>
        <v>17.274251670736277</v>
      </c>
      <c r="D318" s="1"/>
      <c r="E318">
        <f t="shared" ca="1" si="9"/>
        <v>2</v>
      </c>
      <c r="F318" s="1">
        <f t="shared" ca="1" si="8"/>
        <v>-303.14428447443413</v>
      </c>
    </row>
    <row r="319" spans="1:6" x14ac:dyDescent="0.25">
      <c r="A319" s="1">
        <f t="array" aca="1" ref="A319:C319" ca="1">ODE_RK4(A318:C318,$B$5,$E$3,$F$3,$G$3)</f>
        <v>31.100000000000172</v>
      </c>
      <c r="B319" s="1">
        <f ca="1"/>
        <v>-301.38533615448335</v>
      </c>
      <c r="C319" s="1">
        <f ca="1"/>
        <v>18.030289320051953</v>
      </c>
      <c r="D319" s="1"/>
      <c r="E319">
        <f t="shared" ca="1" si="9"/>
        <v>2</v>
      </c>
      <c r="F319" s="1">
        <f t="shared" ca="1" si="8"/>
        <v>-301.38533615448335</v>
      </c>
    </row>
    <row r="320" spans="1:6" x14ac:dyDescent="0.25">
      <c r="A320" s="1">
        <f t="array" aca="1" ref="A320:C320" ca="1">ODE_RK4(A319:C319,$B$5,$E$3,$F$3,$G$3)</f>
        <v>31.200000000000173</v>
      </c>
      <c r="B320" s="1">
        <f ca="1"/>
        <v>-299.55096965371166</v>
      </c>
      <c r="C320" s="1">
        <f ca="1"/>
        <v>18.781850983048209</v>
      </c>
      <c r="D320" s="1"/>
      <c r="E320">
        <f t="shared" ca="1" si="9"/>
        <v>2</v>
      </c>
      <c r="F320" s="1">
        <f t="shared" ca="1" si="8"/>
        <v>-299.55096965371166</v>
      </c>
    </row>
    <row r="321" spans="1:6" x14ac:dyDescent="0.25">
      <c r="A321" s="1">
        <f t="array" aca="1" ref="A321:C321" ca="1">ODE_RK4(A320:C320,$B$5,$E$3,$F$3,$G$3)</f>
        <v>31.300000000000175</v>
      </c>
      <c r="B321" s="1">
        <f ca="1"/>
        <v>-297.64164041272591</v>
      </c>
      <c r="C321" s="1">
        <f ca="1"/>
        <v>19.528748586407783</v>
      </c>
      <c r="D321" s="1"/>
      <c r="E321">
        <f t="shared" ca="1" si="9"/>
        <v>2</v>
      </c>
      <c r="F321" s="1">
        <f t="shared" ca="1" si="8"/>
        <v>-297.64164041272591</v>
      </c>
    </row>
    <row r="322" spans="1:6" x14ac:dyDescent="0.25">
      <c r="A322" s="1">
        <f t="array" aca="1" ref="A322:C322" ca="1">ODE_RK4(A321:C321,$B$5,$E$3,$F$3,$G$3)</f>
        <v>31.400000000000176</v>
      </c>
      <c r="B322" s="1">
        <f ca="1"/>
        <v>-295.65782263143569</v>
      </c>
      <c r="C322" s="1">
        <f ca="1"/>
        <v>20.270795214970082</v>
      </c>
      <c r="D322" s="1"/>
      <c r="E322">
        <f t="shared" ca="1" si="9"/>
        <v>2</v>
      </c>
      <c r="F322" s="1">
        <f t="shared" ca="1" si="8"/>
        <v>-295.65782263143569</v>
      </c>
    </row>
    <row r="323" spans="1:6" x14ac:dyDescent="0.25">
      <c r="A323" s="1">
        <f t="array" aca="1" ref="A323:C323" ca="1">ODE_RK4(A322:C322,$B$5,$E$3,$F$3,$G$3)</f>
        <v>31.500000000000178</v>
      </c>
      <c r="B323" s="1">
        <f ca="1"/>
        <v>-293.6000091512874</v>
      </c>
      <c r="C323" s="1">
        <f ca="1"/>
        <v>21.007805158507317</v>
      </c>
      <c r="D323" s="1"/>
      <c r="E323">
        <f t="shared" ca="1" si="9"/>
        <v>2</v>
      </c>
      <c r="F323" s="1">
        <f t="shared" ca="1" si="8"/>
        <v>-293.6000091512874</v>
      </c>
    </row>
    <row r="324" spans="1:6" x14ac:dyDescent="0.25">
      <c r="A324" s="1">
        <f t="array" aca="1" ref="A324:C324" ca="1">ODE_RK4(A323:C323,$B$5,$E$3,$F$3,$G$3)</f>
        <v>31.600000000000179</v>
      </c>
      <c r="B324" s="1">
        <f ca="1"/>
        <v>-291.46871133283287</v>
      </c>
      <c r="C324" s="1">
        <f ca="1"/>
        <v>21.73959395820139</v>
      </c>
      <c r="D324" s="1"/>
      <c r="E324">
        <f t="shared" ca="1" si="9"/>
        <v>2</v>
      </c>
      <c r="F324" s="1">
        <f t="shared" ca="1" si="8"/>
        <v>-291.46871133283287</v>
      </c>
    </row>
    <row r="325" spans="1:6" x14ac:dyDescent="0.25">
      <c r="A325" s="1">
        <f t="array" aca="1" ref="A325:C325" ca="1">ODE_RK4(A324:C324,$B$5,$E$3,$F$3,$G$3)</f>
        <v>31.70000000000018</v>
      </c>
      <c r="B325" s="1">
        <f ca="1"/>
        <v>-289.2644589286632</v>
      </c>
      <c r="C325" s="1">
        <f ca="1"/>
        <v>22.46597845280985</v>
      </c>
      <c r="D325" s="1"/>
      <c r="E325">
        <f t="shared" ca="1" si="9"/>
        <v>2</v>
      </c>
      <c r="F325" s="1">
        <f t="shared" ca="1" si="8"/>
        <v>-289.2644589286632</v>
      </c>
    </row>
    <row r="326" spans="1:6" x14ac:dyDescent="0.25">
      <c r="A326" s="1">
        <f t="array" aca="1" ref="A326:C326" ca="1">ODE_RK4(A325:C325,$B$5,$E$3,$F$3,$G$3)</f>
        <v>31.800000000000182</v>
      </c>
      <c r="B326" s="1">
        <f ca="1"/>
        <v>-286.98779995173959</v>
      </c>
      <c r="C326" s="1">
        <f ca="1"/>
        <v>23.186776824509394</v>
      </c>
      <c r="D326" s="1"/>
      <c r="E326">
        <f t="shared" ca="1" si="9"/>
        <v>2</v>
      </c>
      <c r="F326" s="1">
        <f t="shared" ca="1" si="8"/>
        <v>-286.98779995173959</v>
      </c>
    </row>
    <row r="327" spans="1:6" x14ac:dyDescent="0.25">
      <c r="A327" s="1">
        <f t="array" aca="1" ref="A327:C327" ca="1">ODE_RK4(A326:C326,$B$5,$E$3,$F$3,$G$3)</f>
        <v>31.900000000000183</v>
      </c>
      <c r="B327" s="1">
        <f ca="1"/>
        <v>-284.63930053915328</v>
      </c>
      <c r="C327" s="1">
        <f ca="1"/>
        <v>23.901808644405435</v>
      </c>
      <c r="D327" s="1"/>
      <c r="E327">
        <f t="shared" ca="1" si="9"/>
        <v>2</v>
      </c>
      <c r="F327" s="1">
        <f t="shared" ca="1" si="8"/>
        <v>-284.63930053915328</v>
      </c>
    </row>
    <row r="328" spans="1:6" x14ac:dyDescent="0.25">
      <c r="A328" s="1">
        <f t="array" aca="1" ref="A328:C328" ca="1">ODE_RK4(A327:C327,$B$5,$E$3,$F$3,$G$3)</f>
        <v>32.000000000000185</v>
      </c>
      <c r="B328" s="1">
        <f ca="1"/>
        <v>-282.21954481134935</v>
      </c>
      <c r="C328" s="1">
        <f ca="1"/>
        <v>24.610894917696317</v>
      </c>
      <c r="D328" s="1"/>
      <c r="E328">
        <f t="shared" ca="1" si="9"/>
        <v>2</v>
      </c>
      <c r="F328" s="1">
        <f t="shared" ref="F328:F391" ca="1" si="10">B328</f>
        <v>-282.21954481134935</v>
      </c>
    </row>
    <row r="329" spans="1:6" x14ac:dyDescent="0.25">
      <c r="A329" s="1">
        <f t="array" aca="1" ref="A329:C329" ca="1">ODE_RK4(A328:C328,$B$5,$E$3,$F$3,$G$3)</f>
        <v>32.100000000000186</v>
      </c>
      <c r="B329" s="1">
        <f ca="1"/>
        <v>-279.72913472684854</v>
      </c>
      <c r="C329" s="1">
        <f ca="1"/>
        <v>25.313858128480927</v>
      </c>
      <c r="D329" s="1"/>
      <c r="E329">
        <f t="shared" ref="E329:E392" ca="1" si="11">(C329*C330&lt;0)*1+E328</f>
        <v>2</v>
      </c>
      <c r="F329" s="1">
        <f t="shared" ca="1" si="10"/>
        <v>-279.72913472684854</v>
      </c>
    </row>
    <row r="330" spans="1:6" x14ac:dyDescent="0.25">
      <c r="A330" s="1">
        <f t="array" aca="1" ref="A330:C330" ca="1">ODE_RK4(A329:C329,$B$5,$E$3,$F$3,$G$3)</f>
        <v>32.200000000000188</v>
      </c>
      <c r="B330" s="1">
        <f ca="1"/>
        <v>-277.1686899325037</v>
      </c>
      <c r="C330" s="1">
        <f ca="1"/>
        <v>26.010522284198434</v>
      </c>
      <c r="D330" s="1"/>
      <c r="E330">
        <f t="shared" ca="1" si="11"/>
        <v>2</v>
      </c>
      <c r="F330" s="1">
        <f t="shared" ca="1" si="10"/>
        <v>-277.1686899325037</v>
      </c>
    </row>
    <row r="331" spans="1:6" x14ac:dyDescent="0.25">
      <c r="A331" s="1">
        <f t="array" aca="1" ref="A331:C331" ca="1">ODE_RK4(A330:C330,$B$5,$E$3,$F$3,$G$3)</f>
        <v>32.300000000000189</v>
      </c>
      <c r="B331" s="1">
        <f ca="1"/>
        <v>-274.53884760932806</v>
      </c>
      <c r="C331" s="1">
        <f ca="1"/>
        <v>26.700712959689056</v>
      </c>
      <c r="D331" s="1"/>
      <c r="E331">
        <f t="shared" ca="1" si="11"/>
        <v>2</v>
      </c>
      <c r="F331" s="1">
        <f t="shared" ca="1" si="10"/>
        <v>-274.53884760932806</v>
      </c>
    </row>
    <row r="332" spans="1:6" x14ac:dyDescent="0.25">
      <c r="A332" s="1">
        <f t="array" aca="1" ref="A332:C332" ca="1">ODE_RK4(A331:C331,$B$5,$E$3,$F$3,$G$3)</f>
        <v>32.40000000000019</v>
      </c>
      <c r="B332" s="1">
        <f ca="1"/>
        <v>-271.84026231393364</v>
      </c>
      <c r="C332" s="1">
        <f ca="1"/>
        <v>27.384257340864828</v>
      </c>
      <c r="D332" s="1"/>
      <c r="E332">
        <f t="shared" ca="1" si="11"/>
        <v>2</v>
      </c>
      <c r="F332" s="1">
        <f t="shared" ca="1" si="10"/>
        <v>-271.84026231393364</v>
      </c>
    </row>
    <row r="333" spans="1:6" x14ac:dyDescent="0.25">
      <c r="A333" s="1">
        <f t="array" aca="1" ref="A333:C333" ca="1">ODE_RK4(A332:C332,$B$5,$E$3,$F$3,$G$3)</f>
        <v>32.500000000000192</v>
      </c>
      <c r="B333" s="1">
        <f ca="1"/>
        <v>-269.07360581561898</v>
      </c>
      <c r="C333" s="1">
        <f ca="1"/>
        <v>28.060984267979414</v>
      </c>
      <c r="D333" s="1"/>
      <c r="E333">
        <f t="shared" ca="1" si="11"/>
        <v>2</v>
      </c>
      <c r="F333" s="1">
        <f t="shared" ca="1" si="10"/>
        <v>-269.07360581561898</v>
      </c>
    </row>
    <row r="334" spans="1:6" x14ac:dyDescent="0.25">
      <c r="A334" s="1">
        <f t="array" aca="1" ref="A334:C334" ca="1">ODE_RK4(A333:C333,$B$5,$E$3,$F$3,$G$3)</f>
        <v>32.600000000000193</v>
      </c>
      <c r="B334" s="1">
        <f ca="1"/>
        <v>-266.23956692914732</v>
      </c>
      <c r="C334" s="1">
        <f ca="1"/>
        <v>28.730724278486164</v>
      </c>
      <c r="D334" s="1"/>
      <c r="E334">
        <f t="shared" ca="1" si="11"/>
        <v>2</v>
      </c>
      <c r="F334" s="1">
        <f t="shared" ca="1" si="10"/>
        <v>-266.23956692914732</v>
      </c>
    </row>
    <row r="335" spans="1:6" x14ac:dyDescent="0.25">
      <c r="A335" s="1">
        <f t="array" aca="1" ref="A335:C335" ca="1">ODE_RK4(A334:C334,$B$5,$E$3,$F$3,$G$3)</f>
        <v>32.700000000000195</v>
      </c>
      <c r="B335" s="1">
        <f ca="1"/>
        <v>-263.33885134325641</v>
      </c>
      <c r="C335" s="1">
        <f ca="1"/>
        <v>29.393309649473654</v>
      </c>
      <c r="D335" s="1"/>
      <c r="E335">
        <f t="shared" ca="1" si="11"/>
        <v>2</v>
      </c>
      <c r="F335" s="1">
        <f t="shared" ca="1" si="10"/>
        <v>-263.33885134325641</v>
      </c>
    </row>
    <row r="336" spans="1:6" x14ac:dyDescent="0.25">
      <c r="A336" s="1">
        <f t="array" aca="1" ref="A336:C336" ca="1">ODE_RK4(A335:C335,$B$5,$E$3,$F$3,$G$3)</f>
        <v>32.800000000000196</v>
      </c>
      <c r="B336" s="1">
        <f ca="1"/>
        <v>-260.37218144494256</v>
      </c>
      <c r="C336" s="1">
        <f ca="1"/>
        <v>30.048574439668087</v>
      </c>
      <c r="D336" s="1"/>
      <c r="E336">
        <f t="shared" ca="1" si="11"/>
        <v>2</v>
      </c>
      <c r="F336" s="1">
        <f t="shared" ca="1" si="10"/>
        <v>-260.37218144494256</v>
      </c>
    </row>
    <row r="337" spans="1:6" x14ac:dyDescent="0.25">
      <c r="A337" s="1">
        <f t="array" aca="1" ref="A337:C337" ca="1">ODE_RK4(A336:C336,$B$5,$E$3,$F$3,$G$3)</f>
        <v>32.900000000000198</v>
      </c>
      <c r="B337" s="1">
        <f ca="1"/>
        <v>-257.34029613956329</v>
      </c>
      <c r="C337" s="1">
        <f ca="1"/>
        <v>30.69635453099205</v>
      </c>
      <c r="D337" s="1"/>
      <c r="E337">
        <f t="shared" ca="1" si="11"/>
        <v>2</v>
      </c>
      <c r="F337" s="1">
        <f t="shared" ca="1" si="10"/>
        <v>-257.34029613956329</v>
      </c>
    </row>
    <row r="338" spans="1:6" x14ac:dyDescent="0.25">
      <c r="A338" s="1">
        <f t="array" aca="1" ref="A338:C338" ca="1">ODE_RK4(A337:C337,$B$5,$E$3,$F$3,$G$3)</f>
        <v>33.000000000000199</v>
      </c>
      <c r="B338" s="1">
        <f ca="1"/>
        <v>-254.24395066680265</v>
      </c>
      <c r="C338" s="1">
        <f ca="1"/>
        <v>31.336487669669221</v>
      </c>
      <c r="D338" s="1"/>
      <c r="E338">
        <f t="shared" ca="1" si="11"/>
        <v>2</v>
      </c>
      <c r="F338" s="1">
        <f t="shared" ca="1" si="10"/>
        <v>-254.24395066680265</v>
      </c>
    </row>
    <row r="339" spans="1:6" x14ac:dyDescent="0.25">
      <c r="A339" s="1">
        <f t="array" aca="1" ref="A339:C339" ca="1">ODE_RK4(A338:C338,$B$5,$E$3,$F$3,$G$3)</f>
        <v>33.1000000000002</v>
      </c>
      <c r="B339" s="1">
        <f ca="1"/>
        <v>-251.08391641254539</v>
      </c>
      <c r="C339" s="1">
        <f ca="1"/>
        <v>31.968813506864709</v>
      </c>
      <c r="D339" s="1"/>
      <c r="E339">
        <f t="shared" ca="1" si="11"/>
        <v>2</v>
      </c>
      <c r="F339" s="1">
        <f t="shared" ca="1" si="10"/>
        <v>-251.08391641254539</v>
      </c>
    </row>
    <row r="340" spans="1:6" x14ac:dyDescent="0.25">
      <c r="A340" s="1">
        <f t="array" aca="1" ref="A340:C340" ca="1">ODE_RK4(A339:C339,$B$5,$E$3,$F$3,$G$3)</f>
        <v>33.200000000000202</v>
      </c>
      <c r="B340" s="1">
        <f ca="1"/>
        <v>-247.86098071670702</v>
      </c>
      <c r="C340" s="1">
        <f ca="1"/>
        <v>32.593173638850864</v>
      </c>
      <c r="D340" s="1"/>
      <c r="E340">
        <f t="shared" ca="1" si="11"/>
        <v>2</v>
      </c>
      <c r="F340" s="1">
        <f t="shared" ca="1" si="10"/>
        <v>-247.86098071670702</v>
      </c>
    </row>
    <row r="341" spans="1:6" x14ac:dyDescent="0.25">
      <c r="A341" s="1">
        <f t="array" aca="1" ref="A341:C341" ca="1">ODE_RK4(A340:C340,$B$5,$E$3,$F$3,$G$3)</f>
        <v>33.300000000000203</v>
      </c>
      <c r="B341" s="1">
        <f ca="1"/>
        <v>-244.57594667706721</v>
      </c>
      <c r="C341" s="1">
        <f ca="1"/>
        <v>33.209411646688494</v>
      </c>
      <c r="D341" s="1"/>
      <c r="E341">
        <f t="shared" ca="1" si="11"/>
        <v>2</v>
      </c>
      <c r="F341" s="1">
        <f t="shared" ca="1" si="10"/>
        <v>-244.57594667706721</v>
      </c>
    </row>
    <row r="342" spans="1:6" x14ac:dyDescent="0.25">
      <c r="A342" s="1">
        <f t="array" aca="1" ref="A342:C342" ca="1">ODE_RK4(A341:C341,$B$5,$E$3,$F$3,$G$3)</f>
        <v>33.400000000000205</v>
      </c>
      <c r="B342" s="1">
        <f ca="1"/>
        <v>-241.22963294915581</v>
      </c>
      <c r="C342" s="1">
        <f ca="1"/>
        <v>33.817373135413554</v>
      </c>
      <c r="D342" s="1"/>
      <c r="E342">
        <f t="shared" ca="1" si="11"/>
        <v>2</v>
      </c>
      <c r="F342" s="1">
        <f t="shared" ca="1" si="10"/>
        <v>-241.22963294915581</v>
      </c>
    </row>
    <row r="343" spans="1:6" x14ac:dyDescent="0.25">
      <c r="A343" s="1">
        <f t="array" aca="1" ref="A343:C343" ca="1">ODE_RK4(A342:C342,$B$5,$E$3,$F$3,$G$3)</f>
        <v>33.500000000000206</v>
      </c>
      <c r="B343" s="1">
        <f ca="1"/>
        <v>-237.82287354224104</v>
      </c>
      <c r="C343" s="1">
        <f ca="1"/>
        <v>34.416905772719467</v>
      </c>
      <c r="D343" s="1"/>
      <c r="E343">
        <f t="shared" ca="1" si="11"/>
        <v>2</v>
      </c>
      <c r="F343" s="1">
        <f t="shared" ca="1" si="10"/>
        <v>-237.82287354224104</v>
      </c>
    </row>
    <row r="344" spans="1:6" x14ac:dyDescent="0.25">
      <c r="A344" s="1">
        <f t="array" aca="1" ref="A344:C344" ca="1">ODE_RK4(A343:C343,$B$5,$E$3,$F$3,$G$3)</f>
        <v>33.600000000000207</v>
      </c>
      <c r="B344" s="1">
        <f ca="1"/>
        <v>-234.35651761147085</v>
      </c>
      <c r="C344" s="1">
        <f ca="1"/>
        <v>35.007859327125431</v>
      </c>
      <c r="D344" s="1"/>
      <c r="E344">
        <f t="shared" ca="1" si="11"/>
        <v>2</v>
      </c>
      <c r="F344" s="1">
        <f t="shared" ca="1" si="10"/>
        <v>-234.35651761147085</v>
      </c>
    </row>
    <row r="345" spans="1:6" x14ac:dyDescent="0.25">
      <c r="A345" s="1">
        <f t="array" aca="1" ref="A345:C345" ca="1">ODE_RK4(A344:C344,$B$5,$E$3,$F$3,$G$3)</f>
        <v>33.700000000000209</v>
      </c>
      <c r="B345" s="1">
        <f ca="1"/>
        <v>-230.83142924621922</v>
      </c>
      <c r="C345" s="1">
        <f ca="1"/>
        <v>35.590085705621078</v>
      </c>
      <c r="D345" s="1"/>
      <c r="E345">
        <f t="shared" ca="1" si="11"/>
        <v>2</v>
      </c>
      <c r="F345" s="1">
        <f t="shared" ca="1" si="10"/>
        <v>-230.83142924621922</v>
      </c>
    </row>
    <row r="346" spans="1:6" x14ac:dyDescent="0.25">
      <c r="A346" s="1">
        <f t="array" aca="1" ref="A346:C346" ca="1">ODE_RK4(A345:C345,$B$5,$E$3,$F$3,$G$3)</f>
        <v>33.80000000000021</v>
      </c>
      <c r="B346" s="1">
        <f ca="1"/>
        <v>-227.24848725469022</v>
      </c>
      <c r="C346" s="1">
        <f ca="1"/>
        <v>36.16343899077814</v>
      </c>
      <c r="D346" s="1"/>
      <c r="E346">
        <f t="shared" ca="1" si="11"/>
        <v>2</v>
      </c>
      <c r="F346" s="1">
        <f t="shared" ca="1" si="10"/>
        <v>-227.24848725469022</v>
      </c>
    </row>
    <row r="347" spans="1:6" x14ac:dyDescent="0.25">
      <c r="A347" s="1">
        <f t="array" aca="1" ref="A347:C347" ca="1">ODE_RK4(A346:C346,$B$5,$E$3,$F$3,$G$3)</f>
        <v>33.900000000000212</v>
      </c>
      <c r="B347" s="1">
        <f ca="1"/>
        <v>-223.60858494483335</v>
      </c>
      <c r="C347" s="1">
        <f ca="1"/>
        <v>36.727775477319739</v>
      </c>
      <c r="D347" s="1"/>
      <c r="E347">
        <f t="shared" ca="1" si="11"/>
        <v>2</v>
      </c>
      <c r="F347" s="1">
        <f t="shared" ca="1" si="10"/>
        <v>-223.60858494483335</v>
      </c>
    </row>
    <row r="348" spans="1:6" x14ac:dyDescent="0.25">
      <c r="A348" s="1">
        <f t="array" aca="1" ref="A348:C348" ca="1">ODE_RK4(A347:C347,$B$5,$E$3,$F$3,$G$3)</f>
        <v>34.000000000000213</v>
      </c>
      <c r="B348" s="1">
        <f ca="1"/>
        <v>-219.912629901625</v>
      </c>
      <c r="C348" s="1">
        <f ca="1"/>
        <v>37.282953708138194</v>
      </c>
      <c r="D348" s="1"/>
      <c r="E348">
        <f t="shared" ca="1" si="11"/>
        <v>2</v>
      </c>
      <c r="F348" s="1">
        <f t="shared" ca="1" si="10"/>
        <v>-219.912629901625</v>
      </c>
    </row>
    <row r="349" spans="1:6" x14ac:dyDescent="0.25">
      <c r="A349" s="1">
        <f t="array" aca="1" ref="A349:C349" ca="1">ODE_RK4(A348:C348,$B$5,$E$3,$F$3,$G$3)</f>
        <v>34.100000000000215</v>
      </c>
      <c r="B349" s="1">
        <f ca="1"/>
        <v>-216.16154376077134</v>
      </c>
      <c r="C349" s="1">
        <f ca="1"/>
        <v>37.828834509752291</v>
      </c>
      <c r="D349" s="1"/>
      <c r="E349">
        <f t="shared" ca="1" si="11"/>
        <v>2</v>
      </c>
      <c r="F349" s="1">
        <f t="shared" ca="1" si="10"/>
        <v>-216.16154376077134</v>
      </c>
    </row>
    <row r="350" spans="1:6" x14ac:dyDescent="0.25">
      <c r="A350" s="1">
        <f t="array" aca="1" ref="A350:C350" ca="1">ODE_RK4(A349:C349,$B$5,$E$3,$F$3,$G$3)</f>
        <v>34.200000000000216</v>
      </c>
      <c r="B350" s="1">
        <f ca="1"/>
        <v>-212.35626197888922</v>
      </c>
      <c r="C350" s="1">
        <f ca="1"/>
        <v>38.365281027195145</v>
      </c>
      <c r="D350" s="1"/>
      <c r="E350">
        <f t="shared" ca="1" si="11"/>
        <v>2</v>
      </c>
      <c r="F350" s="1">
        <f t="shared" ca="1" si="10"/>
        <v>-212.35626197888922</v>
      </c>
    </row>
    <row r="351" spans="1:6" x14ac:dyDescent="0.25">
      <c r="A351" s="1">
        <f t="array" aca="1" ref="A351:C351" ca="1">ODE_RK4(A350:C350,$B$5,$E$3,$F$3,$G$3)</f>
        <v>34.300000000000217</v>
      </c>
      <c r="B351" s="1">
        <f ca="1"/>
        <v>-208.49773360022232</v>
      </c>
      <c r="C351" s="1">
        <f ca="1"/>
        <v>38.892158758323859</v>
      </c>
      <c r="D351" s="1"/>
      <c r="E351">
        <f t="shared" ca="1" si="11"/>
        <v>2</v>
      </c>
      <c r="F351" s="1">
        <f t="shared" ca="1" si="10"/>
        <v>-208.49773360022232</v>
      </c>
    </row>
    <row r="352" spans="1:6" x14ac:dyDescent="0.25">
      <c r="A352" s="1">
        <f t="array" aca="1" ref="A352:C352" ca="1">ODE_RK4(A351:C351,$B$5,$E$3,$F$3,$G$3)</f>
        <v>34.400000000000219</v>
      </c>
      <c r="B352" s="1">
        <f ca="1"/>
        <v>-204.58692101995078</v>
      </c>
      <c r="C352" s="1">
        <f ca="1"/>
        <v>39.409335587542486</v>
      </c>
      <c r="D352" s="1"/>
      <c r="E352">
        <f t="shared" ca="1" si="11"/>
        <v>2</v>
      </c>
      <c r="F352" s="1">
        <f t="shared" ca="1" si="10"/>
        <v>-204.58692101995078</v>
      </c>
    </row>
    <row r="353" spans="1:6" x14ac:dyDescent="0.25">
      <c r="A353" s="1">
        <f t="array" aca="1" ref="A353:C353" ca="1">ODE_RK4(A352:C352,$B$5,$E$3,$F$3,$G$3)</f>
        <v>34.50000000000022</v>
      </c>
      <c r="B353" s="1">
        <f ca="1"/>
        <v>-200.62479974415322</v>
      </c>
      <c r="C353" s="1">
        <f ca="1"/>
        <v>39.916681818929696</v>
      </c>
      <c r="D353" s="1"/>
      <c r="E353">
        <f t="shared" ca="1" si="11"/>
        <v>2</v>
      </c>
      <c r="F353" s="1">
        <f t="shared" ca="1" si="10"/>
        <v>-200.62479974415322</v>
      </c>
    </row>
    <row r="354" spans="1:6" x14ac:dyDescent="0.25">
      <c r="A354" s="1">
        <f t="array" aca="1" ref="A354:C354" ca="1">ODE_RK4(A353:C353,$B$5,$E$3,$F$3,$G$3)</f>
        <v>34.600000000000222</v>
      </c>
      <c r="B354" s="1">
        <f ca="1"/>
        <v>-196.61235814648114</v>
      </c>
      <c r="C354" s="1">
        <f ca="1"/>
        <v>40.414070208762972</v>
      </c>
      <c r="D354" s="1"/>
      <c r="E354">
        <f t="shared" ca="1" si="11"/>
        <v>2</v>
      </c>
      <c r="F354" s="1">
        <f t="shared" ca="1" si="10"/>
        <v>-196.61235814648114</v>
      </c>
    </row>
    <row r="355" spans="1:6" x14ac:dyDescent="0.25">
      <c r="A355" s="1">
        <f t="array" aca="1" ref="A355:C355" ca="1">ODE_RK4(A354:C354,$B$5,$E$3,$F$3,$G$3)</f>
        <v>34.700000000000223</v>
      </c>
      <c r="B355" s="1">
        <f ca="1"/>
        <v>-192.55059722160632</v>
      </c>
      <c r="C355" s="1">
        <f ca="1"/>
        <v>40.901375997431103</v>
      </c>
      <c r="D355" s="1"/>
      <c r="E355">
        <f t="shared" ca="1" si="11"/>
        <v>2</v>
      </c>
      <c r="F355" s="1">
        <f t="shared" ca="1" si="10"/>
        <v>-192.55059722160632</v>
      </c>
    </row>
    <row r="356" spans="1:6" x14ac:dyDescent="0.25">
      <c r="A356" s="1">
        <f t="array" aca="1" ref="A356:C356" ca="1">ODE_RK4(A355:C355,$B$5,$E$3,$F$3,$G$3)</f>
        <v>34.800000000000225</v>
      </c>
      <c r="B356" s="1">
        <f ca="1"/>
        <v>-188.44053033550287</v>
      </c>
      <c r="C356" s="1">
        <f ca="1"/>
        <v>41.378476940726976</v>
      </c>
      <c r="D356" s="1"/>
      <c r="E356">
        <f t="shared" ca="1" si="11"/>
        <v>2</v>
      </c>
      <c r="F356" s="1">
        <f t="shared" ca="1" si="10"/>
        <v>-188.44053033550287</v>
      </c>
    </row>
    <row r="357" spans="1:6" x14ac:dyDescent="0.25">
      <c r="A357" s="1">
        <f t="array" aca="1" ref="A357:C357" ca="1">ODE_RK4(A356:C356,$B$5,$E$3,$F$3,$G$3)</f>
        <v>34.900000000000226</v>
      </c>
      <c r="B357" s="1">
        <f ca="1"/>
        <v>-184.28318297262595</v>
      </c>
      <c r="C357" s="1">
        <f ca="1"/>
        <v>41.845253340512869</v>
      </c>
      <c r="D357" s="1"/>
      <c r="E357">
        <f t="shared" ca="1" si="11"/>
        <v>2</v>
      </c>
      <c r="F357" s="1">
        <f t="shared" ca="1" si="10"/>
        <v>-184.28318297262595</v>
      </c>
    </row>
    <row r="358" spans="1:6" x14ac:dyDescent="0.25">
      <c r="A358" s="1">
        <f t="array" aca="1" ref="A358:C358" ca="1">ODE_RK4(A357:C357,$B$5,$E$3,$F$3,$G$3)</f>
        <v>35.000000000000227</v>
      </c>
      <c r="B358" s="1">
        <f ca="1"/>
        <v>-180.07959248005042</v>
      </c>
      <c r="C358" s="1">
        <f ca="1"/>
        <v>42.30158807475047</v>
      </c>
      <c r="D358" s="1"/>
      <c r="E358">
        <f t="shared" ca="1" si="11"/>
        <v>2</v>
      </c>
      <c r="F358" s="1">
        <f t="shared" ca="1" si="10"/>
        <v>-180.07959248005042</v>
      </c>
    </row>
    <row r="359" spans="1:6" x14ac:dyDescent="0.25">
      <c r="A359" s="1">
        <f t="array" aca="1" ref="A359:C359" ca="1">ODE_RK4(A358:C358,$B$5,$E$3,$F$3,$G$3)</f>
        <v>35.100000000000229</v>
      </c>
      <c r="B359" s="1">
        <f ca="1"/>
        <v>-175.83080780863341</v>
      </c>
      <c r="C359" s="1">
        <f ca="1"/>
        <v>42.747366626888173</v>
      </c>
      <c r="D359" s="1"/>
      <c r="E359">
        <f t="shared" ca="1" si="11"/>
        <v>2</v>
      </c>
      <c r="F359" s="1">
        <f t="shared" ca="1" si="10"/>
        <v>-175.83080780863341</v>
      </c>
    </row>
    <row r="360" spans="1:6" x14ac:dyDescent="0.25">
      <c r="A360" s="1">
        <f t="array" aca="1" ref="A360:C360" ca="1">ODE_RK4(A359:C359,$B$5,$E$3,$F$3,$G$3)</f>
        <v>35.20000000000023</v>
      </c>
      <c r="B360" s="1">
        <f ca="1"/>
        <v>-171.53788925126494</v>
      </c>
      <c r="C360" s="1">
        <f ca="1"/>
        <v>43.182477114598228</v>
      </c>
      <c r="D360" s="1"/>
      <c r="E360">
        <f t="shared" ca="1" si="11"/>
        <v>2</v>
      </c>
      <c r="F360" s="1">
        <f t="shared" ca="1" si="10"/>
        <v>-171.53788925126494</v>
      </c>
    </row>
    <row r="361" spans="1:6" x14ac:dyDescent="0.25">
      <c r="A361" s="1">
        <f t="array" aca="1" ref="A361:C361" ca="1">ODE_RK4(A360:C360,$B$5,$E$3,$F$3,$G$3)</f>
        <v>35.300000000000232</v>
      </c>
      <c r="B361" s="1">
        <f ca="1"/>
        <v>-167.20190817827239</v>
      </c>
      <c r="C361" s="1">
        <f ca="1"/>
        <v>43.606810317856542</v>
      </c>
      <c r="D361" s="1"/>
      <c r="E361">
        <f t="shared" ca="1" si="11"/>
        <v>2</v>
      </c>
      <c r="F361" s="1">
        <f t="shared" ca="1" si="10"/>
        <v>-167.20190817827239</v>
      </c>
    </row>
    <row r="362" spans="1:6" x14ac:dyDescent="0.25">
      <c r="A362" s="1">
        <f t="array" aca="1" ref="A362:C362" ca="1">ODE_RK4(A361:C361,$B$5,$E$3,$F$3,$G$3)</f>
        <v>35.400000000000233</v>
      </c>
      <c r="B362" s="1">
        <f ca="1"/>
        <v>-162.82394677004456</v>
      </c>
      <c r="C362" s="1">
        <f ca="1"/>
        <v>44.020259706358068</v>
      </c>
      <c r="D362" s="1"/>
      <c r="E362">
        <f t="shared" ca="1" si="11"/>
        <v>2</v>
      </c>
      <c r="F362" s="1">
        <f t="shared" ca="1" si="10"/>
        <v>-162.82394677004456</v>
      </c>
    </row>
    <row r="363" spans="1:6" x14ac:dyDescent="0.25">
      <c r="A363" s="1">
        <f t="array" aca="1" ref="A363:C363" ca="1">ODE_RK4(A362:C362,$B$5,$E$3,$F$3,$G$3)</f>
        <v>35.500000000000234</v>
      </c>
      <c r="B363" s="1">
        <f ca="1"/>
        <v>-158.40509774694215</v>
      </c>
      <c r="C363" s="1">
        <f ca="1"/>
        <v>44.422721466260974</v>
      </c>
      <c r="D363" s="1"/>
      <c r="E363">
        <f t="shared" ca="1" si="11"/>
        <v>2</v>
      </c>
      <c r="F363" s="1">
        <f t="shared" ca="1" si="10"/>
        <v>-158.40509774694215</v>
      </c>
    </row>
    <row r="364" spans="1:6" x14ac:dyDescent="0.25">
      <c r="A364" s="1">
        <f t="array" aca="1" ref="A364:C364" ca="1">ODE_RK4(A363:C363,$B$5,$E$3,$F$3,$G$3)</f>
        <v>35.600000000000236</v>
      </c>
      <c r="B364" s="1">
        <f ca="1"/>
        <v>-153.94646409656195</v>
      </c>
      <c r="C364" s="1">
        <f ca="1"/>
        <v>44.814094526252752</v>
      </c>
      <c r="D364" s="1"/>
      <c r="E364">
        <f t="shared" ca="1" si="11"/>
        <v>2</v>
      </c>
      <c r="F364" s="1">
        <f t="shared" ca="1" si="10"/>
        <v>-153.94646409656195</v>
      </c>
    </row>
    <row r="365" spans="1:6" x14ac:dyDescent="0.25">
      <c r="A365" s="1">
        <f t="array" aca="1" ref="A365:C365" ca="1">ODE_RK4(A364:C364,$B$5,$E$3,$F$3,$G$3)</f>
        <v>35.700000000000237</v>
      </c>
      <c r="B365" s="1">
        <f ca="1"/>
        <v>-149.44915879842313</v>
      </c>
      <c r="C365" s="1">
        <f ca="1"/>
        <v>45.194280582931853</v>
      </c>
      <c r="D365" s="1"/>
      <c r="E365">
        <f t="shared" ca="1" si="11"/>
        <v>2</v>
      </c>
      <c r="F365" s="1">
        <f t="shared" ca="1" si="10"/>
        <v>-149.44915879842313</v>
      </c>
    </row>
    <row r="366" spans="1:6" x14ac:dyDescent="0.25">
      <c r="A366" s="1">
        <f t="array" aca="1" ref="A366:C366" ca="1">ODE_RK4(A365:C365,$B$5,$E$3,$F$3,$G$3)</f>
        <v>35.800000000000239</v>
      </c>
      <c r="B366" s="1">
        <f ca="1"/>
        <v>-144.91430454614385</v>
      </c>
      <c r="C366" s="1">
        <f ca="1"/>
        <v>45.563184125498374</v>
      </c>
      <c r="D366" s="1"/>
      <c r="E366">
        <f t="shared" ca="1" si="11"/>
        <v>2</v>
      </c>
      <c r="F366" s="1">
        <f t="shared" ca="1" si="10"/>
        <v>-144.91430454614385</v>
      </c>
    </row>
    <row r="367" spans="1:6" x14ac:dyDescent="0.25">
      <c r="A367" s="1">
        <f t="array" aca="1" ref="A367:C367" ca="1">ODE_RK4(A366:C366,$B$5,$E$3,$F$3,$G$3)</f>
        <v>35.90000000000024</v>
      </c>
      <c r="B367" s="1">
        <f ca="1"/>
        <v>-140.34303346717803</v>
      </c>
      <c r="C367" s="1">
        <f ca="1"/>
        <v>45.920712459747683</v>
      </c>
      <c r="D367" s="1"/>
      <c r="E367">
        <f t="shared" ca="1" si="11"/>
        <v>2</v>
      </c>
      <c r="F367" s="1">
        <f t="shared" ca="1" si="10"/>
        <v>-140.34303346717803</v>
      </c>
    </row>
    <row r="368" spans="1:6" x14ac:dyDescent="0.25">
      <c r="A368" s="1">
        <f t="array" aca="1" ref="A368:C368" ca="1">ODE_RK4(A367:C367,$B$5,$E$3,$F$3,$G$3)</f>
        <v>36.000000000000242</v>
      </c>
      <c r="B368" s="1">
        <f ca="1"/>
        <v>-135.73648684018187</v>
      </c>
      <c r="C368" s="1">
        <f ca="1"/>
        <v>46.266775731360845</v>
      </c>
      <c r="D368" s="1"/>
      <c r="E368">
        <f t="shared" ca="1" si="11"/>
        <v>2</v>
      </c>
      <c r="F368" s="1">
        <f t="shared" ca="1" si="10"/>
        <v>-135.73648684018187</v>
      </c>
    </row>
    <row r="369" spans="1:6" x14ac:dyDescent="0.25">
      <c r="A369" s="1">
        <f t="array" aca="1" ref="A369:C369" ca="1">ODE_RK4(A368:C368,$B$5,$E$3,$F$3,$G$3)</f>
        <v>36.100000000000243</v>
      </c>
      <c r="B369" s="1">
        <f ca="1"/>
        <v>-131.09581481008098</v>
      </c>
      <c r="C369" s="1">
        <f ca="1"/>
        <v>46.601286948486113</v>
      </c>
      <c r="D369" s="1"/>
      <c r="E369">
        <f t="shared" ca="1" si="11"/>
        <v>2</v>
      </c>
      <c r="F369" s="1">
        <f t="shared" ca="1" si="10"/>
        <v>-131.09581481008098</v>
      </c>
    </row>
    <row r="370" spans="1:6" x14ac:dyDescent="0.25">
      <c r="A370" s="1">
        <f t="array" aca="1" ref="A370:C370" ca="1">ODE_RK4(A369:C369,$B$5,$E$3,$F$3,$G$3)</f>
        <v>36.200000000000244</v>
      </c>
      <c r="B370" s="1">
        <f ca="1"/>
        <v>-126.42217610090904</v>
      </c>
      <c r="C370" s="1">
        <f ca="1"/>
        <v>46.924162003605744</v>
      </c>
      <c r="D370" s="1"/>
      <c r="E370">
        <f t="shared" ca="1" si="11"/>
        <v>2</v>
      </c>
      <c r="F370" s="1">
        <f t="shared" ca="1" si="10"/>
        <v>-126.42217610090904</v>
      </c>
    </row>
    <row r="371" spans="1:6" x14ac:dyDescent="0.25">
      <c r="A371" s="1">
        <f t="array" aca="1" ref="A371:C371" ca="1">ODE_RK4(A370:C370,$B$5,$E$3,$F$3,$G$3)</f>
        <v>36.300000000000246</v>
      </c>
      <c r="B371" s="1">
        <f ca="1"/>
        <v>-121.71673772648975</v>
      </c>
      <c r="C371" s="1">
        <f ca="1"/>
        <v>47.235319694682637</v>
      </c>
      <c r="D371" s="1"/>
      <c r="E371">
        <f t="shared" ca="1" si="11"/>
        <v>2</v>
      </c>
      <c r="F371" s="1">
        <f t="shared" ca="1" si="10"/>
        <v>-121.71673772648975</v>
      </c>
    </row>
    <row r="372" spans="1:6" x14ac:dyDescent="0.25">
      <c r="A372" s="1">
        <f t="array" aca="1" ref="A372:C372" ca="1">ODE_RK4(A371:C371,$B$5,$E$3,$F$3,$G$3)</f>
        <v>36.400000000000247</v>
      </c>
      <c r="B372" s="1">
        <f ca="1"/>
        <v>-116.98067469903437</v>
      </c>
      <c r="C372" s="1">
        <f ca="1"/>
        <v>47.534681745581523</v>
      </c>
      <c r="D372" s="1"/>
      <c r="E372">
        <f t="shared" ca="1" si="11"/>
        <v>2</v>
      </c>
      <c r="F372" s="1">
        <f t="shared" ca="1" si="10"/>
        <v>-116.98067469903437</v>
      </c>
    </row>
    <row r="373" spans="1:6" x14ac:dyDescent="0.25">
      <c r="A373" s="1">
        <f t="array" aca="1" ref="A373:C373" ca="1">ODE_RK4(A372:C372,$B$5,$E$3,$F$3,$G$3)</f>
        <v>36.500000000000249</v>
      </c>
      <c r="B373" s="1">
        <f ca="1"/>
        <v>-112.21516973572744</v>
      </c>
      <c r="C373" s="1">
        <f ca="1"/>
        <v>47.822172825759516</v>
      </c>
      <c r="D373" s="1"/>
      <c r="E373">
        <f t="shared" ca="1" si="11"/>
        <v>2</v>
      </c>
      <c r="F373" s="1">
        <f t="shared" ca="1" si="10"/>
        <v>-112.21516973572744</v>
      </c>
    </row>
    <row r="374" spans="1:6" x14ac:dyDescent="0.25">
      <c r="A374" s="1">
        <f t="array" aca="1" ref="A374:C374" ca="1">ODE_RK4(A373:C373,$B$5,$E$3,$F$3,$G$3)</f>
        <v>36.60000000000025</v>
      </c>
      <c r="B374" s="1">
        <f ca="1"/>
        <v>-107.42141296337427</v>
      </c>
      <c r="C374" s="1">
        <f ca="1"/>
        <v>48.097720569221138</v>
      </c>
      <c r="D374" s="1"/>
      <c r="E374">
        <f t="shared" ca="1" si="11"/>
        <v>2</v>
      </c>
      <c r="F374" s="1">
        <f t="shared" ca="1" si="10"/>
        <v>-107.42141296337427</v>
      </c>
    </row>
    <row r="375" spans="1:6" x14ac:dyDescent="0.25">
      <c r="A375" s="1">
        <f t="array" aca="1" ref="A375:C375" ca="1">ODE_RK4(A374:C374,$B$5,$E$3,$F$3,$G$3)</f>
        <v>36.700000000000252</v>
      </c>
      <c r="B375" s="1">
        <f ca="1"/>
        <v>-102.60060162118354</v>
      </c>
      <c r="C375" s="1">
        <f ca="1"/>
        <v>48.361255592732967</v>
      </c>
      <c r="D375" s="1"/>
      <c r="E375">
        <f t="shared" ca="1" si="11"/>
        <v>2</v>
      </c>
      <c r="F375" s="1">
        <f t="shared" ca="1" si="10"/>
        <v>-102.60060162118354</v>
      </c>
    </row>
    <row r="376" spans="1:6" x14ac:dyDescent="0.25">
      <c r="A376" s="1">
        <f t="array" aca="1" ref="A376:C376" ca="1">ODE_RK4(A375:C375,$B$5,$E$3,$F$3,$G$3)</f>
        <v>36.800000000000253</v>
      </c>
      <c r="B376" s="1">
        <f ca="1"/>
        <v>-97.753939761759639</v>
      </c>
      <c r="C376" s="1">
        <f ca="1"/>
        <v>48.612711513293398</v>
      </c>
      <c r="D376" s="1"/>
      <c r="E376">
        <f t="shared" ca="1" si="11"/>
        <v>2</v>
      </c>
      <c r="F376" s="1">
        <f t="shared" ca="1" si="10"/>
        <v>-97.753939761759639</v>
      </c>
    </row>
    <row r="377" spans="1:6" x14ac:dyDescent="0.25">
      <c r="A377" s="1">
        <f t="array" aca="1" ref="A377:C377" ca="1">ODE_RK4(A376:C376,$B$5,$E$3,$F$3,$G$3)</f>
        <v>36.900000000000254</v>
      </c>
      <c r="B377" s="1">
        <f ca="1"/>
        <v>-92.882637950379035</v>
      </c>
      <c r="C377" s="1">
        <f ca="1"/>
        <v>48.852024964853086</v>
      </c>
      <c r="D377" s="1"/>
      <c r="E377">
        <f t="shared" ca="1" si="11"/>
        <v>2</v>
      </c>
      <c r="F377" s="1">
        <f t="shared" ca="1" si="10"/>
        <v>-92.882637950379035</v>
      </c>
    </row>
    <row r="378" spans="1:6" x14ac:dyDescent="0.25">
      <c r="A378" s="1">
        <f t="array" aca="1" ref="A378:C378" ca="1">ODE_RK4(A377:C377,$B$5,$E$3,$F$3,$G$3)</f>
        <v>37.000000000000256</v>
      </c>
      <c r="B378" s="1">
        <f ca="1"/>
        <v>-87.987912962626183</v>
      </c>
      <c r="C378" s="1">
        <f ca="1"/>
        <v>49.079135614281846</v>
      </c>
      <c r="D378" s="1"/>
      <c r="E378">
        <f t="shared" ca="1" si="11"/>
        <v>2</v>
      </c>
      <c r="F378" s="1">
        <f t="shared" ca="1" si="10"/>
        <v>-87.987912962626183</v>
      </c>
    </row>
    <row r="379" spans="1:6" x14ac:dyDescent="0.25">
      <c r="A379" s="1">
        <f t="array" aca="1" ref="A379:C379" ca="1">ODE_RK4(A378:C378,$B$5,$E$3,$F$3,$G$3)</f>
        <v>37.100000000000257</v>
      </c>
      <c r="B379" s="1">
        <f ca="1"/>
        <v>-83.070987480464112</v>
      </c>
      <c r="C379" s="1">
        <f ca="1"/>
        <v>49.293986176578017</v>
      </c>
      <c r="D379" s="1"/>
      <c r="E379">
        <f t="shared" ca="1" si="11"/>
        <v>2</v>
      </c>
      <c r="F379" s="1">
        <f t="shared" ca="1" si="10"/>
        <v>-83.070987480464112</v>
      </c>
    </row>
    <row r="380" spans="1:6" x14ac:dyDescent="0.25">
      <c r="A380" s="1">
        <f t="array" aca="1" ref="A380:C380" ca="1">ODE_RK4(A379:C379,$B$5,$E$3,$F$3,$G$3)</f>
        <v>37.200000000000259</v>
      </c>
      <c r="B380" s="1">
        <f ca="1"/>
        <v>-78.133089786815916</v>
      </c>
      <c r="C380" s="1">
        <f ca="1"/>
        <v>49.496522429316428</v>
      </c>
      <c r="D380" s="1"/>
      <c r="E380">
        <f t="shared" ca="1" si="11"/>
        <v>2</v>
      </c>
      <c r="F380" s="1">
        <f t="shared" ca="1" si="10"/>
        <v>-78.133089786815916</v>
      </c>
    </row>
    <row r="381" spans="1:6" x14ac:dyDescent="0.25">
      <c r="A381" s="1">
        <f t="array" aca="1" ref="A381:C381" ca="1">ODE_RK4(A380:C380,$B$5,$E$3,$F$3,$G$3)</f>
        <v>37.30000000000026</v>
      </c>
      <c r="B381" s="1">
        <f ca="1"/>
        <v>-73.175453458733202</v>
      </c>
      <c r="C381" s="1">
        <f ca="1"/>
        <v>49.686693226331371</v>
      </c>
      <c r="D381" s="1"/>
      <c r="E381">
        <f t="shared" ca="1" si="11"/>
        <v>2</v>
      </c>
      <c r="F381" s="1">
        <f t="shared" ca="1" si="10"/>
        <v>-73.175453458733202</v>
      </c>
    </row>
    <row r="382" spans="1:6" x14ac:dyDescent="0.25">
      <c r="A382" s="1">
        <f t="array" aca="1" ref="A382:C382" ca="1">ODE_RK4(A381:C381,$B$5,$E$3,$F$3,$G$3)</f>
        <v>37.400000000000261</v>
      </c>
      <c r="B382" s="1">
        <f ca="1"/>
        <v>-68.199317059228321</v>
      </c>
      <c r="C382" s="1">
        <f ca="1"/>
        <v>49.864450510631045</v>
      </c>
      <c r="D382" s="1"/>
      <c r="E382">
        <f t="shared" ca="1" si="11"/>
        <v>2</v>
      </c>
      <c r="F382" s="1">
        <f t="shared" ca="1" si="10"/>
        <v>-68.199317059228321</v>
      </c>
    </row>
    <row r="383" spans="1:6" x14ac:dyDescent="0.25">
      <c r="A383" s="1">
        <f t="array" aca="1" ref="A383:C383" ca="1">ODE_RK4(A382:C382,$B$5,$E$3,$F$3,$G$3)</f>
        <v>37.500000000000263</v>
      </c>
      <c r="B383" s="1">
        <f ca="1"/>
        <v>-63.205923827847251</v>
      </c>
      <c r="C383" s="1">
        <f ca="1"/>
        <v>50.029749326540284</v>
      </c>
      <c r="D383" s="1"/>
      <c r="E383">
        <f t="shared" ca="1" si="11"/>
        <v>2</v>
      </c>
      <c r="F383" s="1">
        <f t="shared" ca="1" si="10"/>
        <v>-63.205923827847251</v>
      </c>
    </row>
    <row r="384" spans="1:6" x14ac:dyDescent="0.25">
      <c r="A384" s="1">
        <f t="array" aca="1" ref="A384:C384" ca="1">ODE_RK4(A383:C383,$B$5,$E$3,$F$3,$G$3)</f>
        <v>37.600000000000264</v>
      </c>
      <c r="B384" s="1">
        <f ca="1"/>
        <v>-58.196521370060516</v>
      </c>
      <c r="C384" s="1">
        <f ca="1"/>
        <v>50.18254783106849</v>
      </c>
      <c r="D384" s="1"/>
      <c r="E384">
        <f t="shared" ca="1" si="11"/>
        <v>2</v>
      </c>
      <c r="F384" s="1">
        <f t="shared" ca="1" si="10"/>
        <v>-58.196521370060516</v>
      </c>
    </row>
    <row r="385" spans="1:6" x14ac:dyDescent="0.25">
      <c r="A385" s="1">
        <f t="array" aca="1" ref="A385:C385" ca="1">ODE_RK4(A384:C384,$B$5,$E$3,$F$3,$G$3)</f>
        <v>37.700000000000266</v>
      </c>
      <c r="B385" s="1">
        <f ca="1"/>
        <v>-53.172361345549646</v>
      </c>
      <c r="C385" s="1">
        <f ca="1"/>
        <v>50.322807304499868</v>
      </c>
      <c r="D385" s="1"/>
      <c r="E385">
        <f t="shared" ca="1" si="11"/>
        <v>2</v>
      </c>
      <c r="F385" s="1">
        <f t="shared" ca="1" si="10"/>
        <v>-53.172361345549646</v>
      </c>
    </row>
    <row r="386" spans="1:6" x14ac:dyDescent="0.25">
      <c r="A386" s="1">
        <f t="array" aca="1" ref="A386:C386" ca="1">ODE_RK4(A385:C385,$B$5,$E$3,$F$3,$G$3)</f>
        <v>37.800000000000267</v>
      </c>
      <c r="B386" s="1">
        <f ca="1"/>
        <v>-48.134699155467167</v>
      </c>
      <c r="C386" s="1">
        <f ca="1"/>
        <v>50.450492160203282</v>
      </c>
      <c r="D386" s="1"/>
      <c r="E386">
        <f t="shared" ca="1" si="11"/>
        <v>2</v>
      </c>
      <c r="F386" s="1">
        <f t="shared" ca="1" si="10"/>
        <v>-48.134699155467167</v>
      </c>
    </row>
    <row r="387" spans="1:6" x14ac:dyDescent="0.25">
      <c r="A387" s="1">
        <f t="array" aca="1" ref="A387:C387" ca="1">ODE_RK4(A386:C386,$B$5,$E$3,$F$3,$G$3)</f>
        <v>37.900000000000269</v>
      </c>
      <c r="B387" s="1">
        <f ca="1"/>
        <v>-43.084793628748201</v>
      </c>
      <c r="C387" s="1">
        <f ca="1"/>
        <v>50.565569953659299</v>
      </c>
      <c r="D387" s="1"/>
      <c r="E387">
        <f t="shared" ca="1" si="11"/>
        <v>2</v>
      </c>
      <c r="F387" s="1">
        <f t="shared" ca="1" si="10"/>
        <v>-43.084793628748201</v>
      </c>
    </row>
    <row r="388" spans="1:6" x14ac:dyDescent="0.25">
      <c r="A388" s="1">
        <f t="array" aca="1" ref="A388:C388" ca="1">ODE_RK4(A387:C387,$B$5,$E$3,$F$3,$G$3)</f>
        <v>38.00000000000027</v>
      </c>
      <c r="B388" s="1">
        <f ca="1"/>
        <v>-38.023906707552044</v>
      </c>
      <c r="C388" s="1">
        <f ca="1"/>
        <v>50.668011390702077</v>
      </c>
      <c r="D388" s="1"/>
      <c r="E388">
        <f t="shared" ca="1" si="11"/>
        <v>2</v>
      </c>
      <c r="F388" s="1">
        <f t="shared" ca="1" si="10"/>
        <v>-38.023906707552044</v>
      </c>
    </row>
    <row r="389" spans="1:6" x14ac:dyDescent="0.25">
      <c r="A389" s="1">
        <f t="array" aca="1" ref="A389:C389" ca="1">ODE_RK4(A388:C388,$B$5,$E$3,$F$3,$G$3)</f>
        <v>38.100000000000271</v>
      </c>
      <c r="B389" s="1">
        <f ca="1"/>
        <v>-32.953303131912357</v>
      </c>
      <c r="C389" s="1">
        <f ca="1"/>
        <v>50.757790334974018</v>
      </c>
      <c r="D389" s="1"/>
      <c r="E389">
        <f t="shared" ca="1" si="11"/>
        <v>2</v>
      </c>
      <c r="F389" s="1">
        <f t="shared" ca="1" si="10"/>
        <v>-32.953303131912357</v>
      </c>
    </row>
    <row r="390" spans="1:6" x14ac:dyDescent="0.25">
      <c r="A390" s="1">
        <f t="array" aca="1" ref="A390:C390" ca="1">ODE_RK4(A389:C389,$B$5,$E$3,$F$3,$G$3)</f>
        <v>38.200000000000273</v>
      </c>
      <c r="B390" s="1">
        <f ca="1"/>
        <v>-27.874250123674791</v>
      </c>
      <c r="C390" s="1">
        <f ca="1"/>
        <v>50.834883814591308</v>
      </c>
      <c r="D390" s="1"/>
      <c r="E390">
        <f t="shared" ca="1" si="11"/>
        <v>2</v>
      </c>
      <c r="F390" s="1">
        <f t="shared" ca="1" si="10"/>
        <v>-27.874250123674791</v>
      </c>
    </row>
    <row r="391" spans="1:6" x14ac:dyDescent="0.25">
      <c r="A391" s="1">
        <f t="array" aca="1" ref="A391:C391" ca="1">ODE_RK4(A390:C390,$B$5,$E$3,$F$3,$G$3)</f>
        <v>38.300000000000274</v>
      </c>
      <c r="B391" s="1">
        <f ca="1"/>
        <v>-22.788017069800961</v>
      </c>
      <c r="C391" s="1">
        <f ca="1"/>
        <v>50.899272028018608</v>
      </c>
      <c r="D391" s="1"/>
      <c r="E391">
        <f t="shared" ca="1" si="11"/>
        <v>2</v>
      </c>
      <c r="F391" s="1">
        <f t="shared" ca="1" si="10"/>
        <v>-22.788017069800961</v>
      </c>
    </row>
    <row r="392" spans="1:6" x14ac:dyDescent="0.25">
      <c r="A392" s="1">
        <f t="array" aca="1" ref="A392:C392" ca="1">ODE_RK4(A391:C391,$B$5,$E$3,$F$3,$G$3)</f>
        <v>38.400000000000276</v>
      </c>
      <c r="B392" s="1">
        <f ca="1"/>
        <v>-17.695875205117982</v>
      </c>
      <c r="C392" s="1">
        <f ca="1"/>
        <v>50.95093834915145</v>
      </c>
      <c r="D392" s="1"/>
      <c r="E392">
        <f t="shared" ca="1" si="11"/>
        <v>2</v>
      </c>
      <c r="F392" s="1">
        <f t="shared" ref="F392:F455" ca="1" si="12">B392</f>
        <v>-17.695875205117982</v>
      </c>
    </row>
    <row r="393" spans="1:6" x14ac:dyDescent="0.25">
      <c r="A393" s="1">
        <f t="array" aca="1" ref="A393:C393" ca="1">ODE_RK4(A392:C392,$B$5,$E$3,$F$3,$G$3)</f>
        <v>38.500000000000277</v>
      </c>
      <c r="B393" s="1">
        <f ca="1"/>
        <v>-12.599097294592816</v>
      </c>
      <c r="C393" s="1">
        <f ca="1"/>
        <v>50.989869331604993</v>
      </c>
      <c r="D393" s="1"/>
      <c r="E393">
        <f t="shared" ref="E393:E456" ca="1" si="13">(C393*C394&lt;0)*1+E392</f>
        <v>2</v>
      </c>
      <c r="F393" s="1">
        <f t="shared" ca="1" si="12"/>
        <v>-12.599097294592816</v>
      </c>
    </row>
    <row r="394" spans="1:6" x14ac:dyDescent="0.25">
      <c r="A394" s="1">
        <f t="array" aca="1" ref="A394:C394" ca="1">ODE_RK4(A393:C393,$B$5,$E$3,$F$3,$G$3)</f>
        <v>38.600000000000279</v>
      </c>
      <c r="B394" s="1">
        <f ca="1"/>
        <v>-7.4989573152108662</v>
      </c>
      <c r="C394" s="1">
        <f ca="1"/>
        <v>51.016054712208017</v>
      </c>
      <c r="D394" s="1"/>
      <c r="E394">
        <f t="shared" ca="1" si="13"/>
        <v>2</v>
      </c>
      <c r="F394" s="1">
        <f t="shared" ca="1" si="12"/>
        <v>-7.4989573152108662</v>
      </c>
    </row>
    <row r="395" spans="1:6" x14ac:dyDescent="0.25">
      <c r="A395" s="1">
        <f t="array" aca="1" ref="A395:C395" ca="1">ODE_RK4(A394:C394,$B$5,$E$3,$F$3,$G$3)</f>
        <v>38.70000000000028</v>
      </c>
      <c r="B395" s="1">
        <f ca="1"/>
        <v>-2.3967301375383059</v>
      </c>
      <c r="C395" s="1">
        <f ca="1"/>
        <v>51.029487413701304</v>
      </c>
      <c r="D395" s="1"/>
      <c r="E395">
        <f t="shared" ca="1" si="13"/>
        <v>2</v>
      </c>
      <c r="F395" s="1">
        <f t="shared" ca="1" si="12"/>
        <v>-2.3967301375383059</v>
      </c>
    </row>
    <row r="396" spans="1:6" x14ac:dyDescent="0.25">
      <c r="A396" s="1">
        <f t="array" aca="1" ref="A396:C396" ca="1">ODE_RK4(A395:C395,$B$5,$E$3,$F$3,$G$3)</f>
        <v>38.800000000000281</v>
      </c>
      <c r="B396" s="1">
        <f ca="1"/>
        <v>2.7063087929522407</v>
      </c>
      <c r="C396" s="1">
        <f ca="1"/>
        <v>51.030163546639656</v>
      </c>
      <c r="D396" s="1"/>
      <c r="E396">
        <f t="shared" ca="1" si="13"/>
        <v>2</v>
      </c>
      <c r="F396" s="1">
        <f t="shared" ca="1" si="12"/>
        <v>2.7063087929522407</v>
      </c>
    </row>
    <row r="397" spans="1:6" x14ac:dyDescent="0.25">
      <c r="A397" s="1">
        <f t="array" aca="1" ref="A397:C397" ca="1">ODE_RK4(A396:C396,$B$5,$E$3,$F$3,$G$3)</f>
        <v>38.900000000000283</v>
      </c>
      <c r="B397" s="1">
        <f ca="1"/>
        <v>7.8088837747130295</v>
      </c>
      <c r="C397" s="1">
        <f ca="1"/>
        <v>51.018082410497065</v>
      </c>
      <c r="D397" s="1"/>
      <c r="E397">
        <f t="shared" ca="1" si="13"/>
        <v>2</v>
      </c>
      <c r="F397" s="1">
        <f t="shared" ca="1" si="12"/>
        <v>7.8088837747130295</v>
      </c>
    </row>
    <row r="398" spans="1:6" x14ac:dyDescent="0.25">
      <c r="A398" s="1">
        <f t="array" aca="1" ref="A398:C398" ca="1">ODE_RK4(A397:C397,$B$5,$E$3,$F$3,$G$3)</f>
        <v>39.000000000000284</v>
      </c>
      <c r="B398" s="1">
        <f ca="1"/>
        <v>12.90971916902982</v>
      </c>
      <c r="C398" s="1">
        <f ca="1"/>
        <v>50.993246493974695</v>
      </c>
      <c r="D398" s="1"/>
      <c r="E398">
        <f t="shared" ca="1" si="13"/>
        <v>2</v>
      </c>
      <c r="F398" s="1">
        <f t="shared" ca="1" si="12"/>
        <v>12.90971916902982</v>
      </c>
    </row>
    <row r="399" spans="1:6" x14ac:dyDescent="0.25">
      <c r="A399" s="1">
        <f t="array" aca="1" ref="A399:C399" ca="1">ODE_RK4(A398:C398,$B$5,$E$3,$F$3,$G$3)</f>
        <v>39.100000000000286</v>
      </c>
      <c r="B399" s="1">
        <f ca="1"/>
        <v>18.007539718928086</v>
      </c>
      <c r="C399" s="1">
        <f ca="1"/>
        <v>50.955661474511601</v>
      </c>
      <c r="D399" s="1"/>
      <c r="E399">
        <f t="shared" ca="1" si="13"/>
        <v>2</v>
      </c>
      <c r="F399" s="1">
        <f t="shared" ca="1" si="12"/>
        <v>18.007539718928086</v>
      </c>
    </row>
    <row r="400" spans="1:6" x14ac:dyDescent="0.25">
      <c r="A400" s="1">
        <f t="array" aca="1" ref="A400:C400" ca="1">ODE_RK4(A399:C399,$B$5,$E$3,$F$3,$G$3)</f>
        <v>39.200000000000287</v>
      </c>
      <c r="B400" s="1">
        <f ca="1"/>
        <v>23.101070867997066</v>
      </c>
      <c r="C400" s="1">
        <f ca="1"/>
        <v>50.905336216998244</v>
      </c>
      <c r="D400" s="1"/>
      <c r="E400">
        <f t="shared" ca="1" si="13"/>
        <v>2</v>
      </c>
      <c r="F400" s="1">
        <f t="shared" ca="1" si="12"/>
        <v>23.101070867997066</v>
      </c>
    </row>
    <row r="401" spans="1:6" x14ac:dyDescent="0.25">
      <c r="A401" s="1">
        <f t="array" aca="1" ref="A401:C401" ca="1">ODE_RK4(A400:C400,$B$5,$E$3,$F$3,$G$3)</f>
        <v>39.300000000000288</v>
      </c>
      <c r="B401" s="1">
        <f ca="1"/>
        <v>28.18903907905198</v>
      </c>
      <c r="C401" s="1">
        <f ca="1"/>
        <v>50.842282771693135</v>
      </c>
      <c r="D401" s="1"/>
      <c r="E401">
        <f t="shared" ca="1" si="13"/>
        <v>2</v>
      </c>
      <c r="F401" s="1">
        <f t="shared" ca="1" si="12"/>
        <v>28.18903907905198</v>
      </c>
    </row>
    <row r="402" spans="1:6" x14ac:dyDescent="0.25">
      <c r="A402" s="1">
        <f t="array" aca="1" ref="A402:C402" ca="1">ODE_RK4(A401:C401,$B$5,$E$3,$F$3,$G$3)</f>
        <v>39.40000000000029</v>
      </c>
      <c r="B402" s="1">
        <f ca="1"/>
        <v>33.270172152554707</v>
      </c>
      <c r="C402" s="1">
        <f ca="1"/>
        <v>50.766516371343023</v>
      </c>
      <c r="D402" s="1"/>
      <c r="E402">
        <f t="shared" ca="1" si="13"/>
        <v>2</v>
      </c>
      <c r="F402" s="1">
        <f t="shared" ca="1" si="12"/>
        <v>33.270172152554707</v>
      </c>
    </row>
    <row r="403" spans="1:6" x14ac:dyDescent="0.25">
      <c r="A403" s="1">
        <f t="array" aca="1" ref="A403:C403" ca="1">ODE_RK4(A402:C402,$B$5,$E$3,$F$3,$G$3)</f>
        <v>39.500000000000291</v>
      </c>
      <c r="B403" s="1">
        <f ca="1"/>
        <v>38.343199544713329</v>
      </c>
      <c r="C403" s="1">
        <f ca="1"/>
        <v>50.678055427507388</v>
      </c>
      <c r="D403" s="1"/>
      <c r="E403">
        <f t="shared" ca="1" si="13"/>
        <v>2</v>
      </c>
      <c r="F403" s="1">
        <f t="shared" ca="1" si="12"/>
        <v>38.343199544713329</v>
      </c>
    </row>
    <row r="404" spans="1:6" x14ac:dyDescent="0.25">
      <c r="A404" s="1">
        <f t="array" aca="1" ref="A404:C404" ca="1">ODE_RK4(A403:C403,$B$5,$E$3,$F$3,$G$3)</f>
        <v>39.600000000000293</v>
      </c>
      <c r="B404" s="1">
        <f ca="1"/>
        <v>43.406852685180993</v>
      </c>
      <c r="C404" s="1">
        <f ca="1"/>
        <v>50.576921526088086</v>
      </c>
      <c r="D404" s="1"/>
      <c r="E404">
        <f t="shared" ca="1" si="13"/>
        <v>2</v>
      </c>
      <c r="F404" s="1">
        <f t="shared" ca="1" si="12"/>
        <v>43.406852685180993</v>
      </c>
    </row>
    <row r="405" spans="1:6" x14ac:dyDescent="0.25">
      <c r="A405" s="1">
        <f t="array" aca="1" ref="A405:C405" ca="1">ODE_RK4(A404:C404,$B$5,$E$3,$F$3,$G$3)</f>
        <v>39.700000000000294</v>
      </c>
      <c r="B405" s="1">
        <f ca="1"/>
        <v>48.459865294274664</v>
      </c>
      <c r="C405" s="1">
        <f ca="1"/>
        <v>50.463139422065233</v>
      </c>
      <c r="D405" s="1"/>
      <c r="E405">
        <f t="shared" ca="1" si="13"/>
        <v>2</v>
      </c>
      <c r="F405" s="1">
        <f t="shared" ca="1" si="12"/>
        <v>48.459865294274664</v>
      </c>
    </row>
    <row r="406" spans="1:6" x14ac:dyDescent="0.25">
      <c r="A406" s="1">
        <f t="array" aca="1" ref="A406:C406" ca="1">ODE_RK4(A405:C405,$B$5,$E$3,$F$3,$G$3)</f>
        <v>39.800000000000296</v>
      </c>
      <c r="B406" s="1">
        <f ca="1"/>
        <v>53.500973699634457</v>
      </c>
      <c r="C406" s="1">
        <f ca="1"/>
        <v>50.336737033440606</v>
      </c>
      <c r="D406" s="1"/>
      <c r="E406">
        <f t="shared" ca="1" si="13"/>
        <v>2</v>
      </c>
      <c r="F406" s="1">
        <f t="shared" ca="1" si="12"/>
        <v>53.500973699634457</v>
      </c>
    </row>
    <row r="407" spans="1:6" x14ac:dyDescent="0.25">
      <c r="A407" s="1">
        <f t="array" aca="1" ref="A407:C407" ca="1">ODE_RK4(A406:C406,$B$5,$E$3,$F$3,$G$3)</f>
        <v>39.900000000000297</v>
      </c>
      <c r="B407" s="1">
        <f ca="1"/>
        <v>58.528917152244304</v>
      </c>
      <c r="C407" s="1">
        <f ca="1"/>
        <v>50.197745434390065</v>
      </c>
      <c r="D407" s="1"/>
      <c r="E407">
        <f t="shared" ca="1" si="13"/>
        <v>2</v>
      </c>
      <c r="F407" s="1">
        <f t="shared" ca="1" si="12"/>
        <v>58.528917152244304</v>
      </c>
    </row>
    <row r="408" spans="1:6" x14ac:dyDescent="0.25">
      <c r="A408" s="1">
        <f t="array" aca="1" ref="A408:C408" ca="1">ODE_RK4(A407:C407,$B$5,$E$3,$F$3,$G$3)</f>
        <v>40.000000000000298</v>
      </c>
      <c r="B408" s="1">
        <f ca="1"/>
        <v>63.542438141734998</v>
      </c>
      <c r="C408" s="1">
        <f ca="1"/>
        <v>50.04619884762667</v>
      </c>
      <c r="D408" s="1"/>
      <c r="E408">
        <f t="shared" ca="1" si="13"/>
        <v>2</v>
      </c>
      <c r="F408" s="1">
        <f t="shared" ca="1" si="12"/>
        <v>63.542438141734998</v>
      </c>
    </row>
    <row r="409" spans="1:6" x14ac:dyDescent="0.25">
      <c r="A409" s="1">
        <f t="array" aca="1" ref="A409:C409" ca="1">ODE_RK4(A408:C408,$B$5,$E$3,$F$3,$G$3)</f>
        <v>40.1000000000003</v>
      </c>
      <c r="B409" s="1">
        <f ca="1"/>
        <v>68.540282710890722</v>
      </c>
      <c r="C409" s="1">
        <f ca="1"/>
        <v>49.882134635976342</v>
      </c>
      <c r="D409" s="1"/>
      <c r="E409">
        <f t="shared" ca="1" si="13"/>
        <v>2</v>
      </c>
      <c r="F409" s="1">
        <f t="shared" ca="1" si="12"/>
        <v>68.540282710890722</v>
      </c>
    </row>
    <row r="410" spans="1:6" x14ac:dyDescent="0.25">
      <c r="A410" s="1">
        <f t="array" aca="1" ref="A410:C410" ca="1">ODE_RK4(A409:C409,$B$5,$E$3,$F$3,$G$3)</f>
        <v>40.200000000000301</v>
      </c>
      <c r="B410" s="1">
        <f ca="1"/>
        <v>73.521200769280398</v>
      </c>
      <c r="C410" s="1">
        <f ca="1"/>
        <v>49.70559329316815</v>
      </c>
      <c r="D410" s="1"/>
      <c r="E410">
        <f t="shared" ca="1" si="13"/>
        <v>2</v>
      </c>
      <c r="F410" s="1">
        <f t="shared" ca="1" si="12"/>
        <v>73.521200769280398</v>
      </c>
    </row>
    <row r="411" spans="1:6" x14ac:dyDescent="0.25">
      <c r="A411" s="1">
        <f t="array" aca="1" ref="A411:C411" ca="1">ODE_RK4(A410:C410,$B$5,$E$3,$F$3,$G$3)</f>
        <v>40.300000000000303</v>
      </c>
      <c r="B411" s="1">
        <f ca="1"/>
        <v>78.483946405935441</v>
      </c>
      <c r="C411" s="1">
        <f ca="1"/>
        <v>49.516618433841543</v>
      </c>
      <c r="D411" s="1"/>
      <c r="E411">
        <f t="shared" ca="1" si="13"/>
        <v>2</v>
      </c>
      <c r="F411" s="1">
        <f t="shared" ca="1" si="12"/>
        <v>78.483946405935441</v>
      </c>
    </row>
    <row r="412" spans="1:6" x14ac:dyDescent="0.25">
      <c r="A412" s="1">
        <f t="array" aca="1" ref="A412:C412" ca="1">ODE_RK4(A411:C411,$B$5,$E$3,$F$3,$G$3)</f>
        <v>40.400000000000304</v>
      </c>
      <c r="B412" s="1">
        <f ca="1"/>
        <v>83.427278200995673</v>
      </c>
      <c r="C412" s="1">
        <f ca="1"/>
        <v>49.31525678277292</v>
      </c>
      <c r="D412" s="1"/>
      <c r="E412">
        <f t="shared" ca="1" si="13"/>
        <v>2</v>
      </c>
      <c r="F412" s="1">
        <f t="shared" ca="1" si="12"/>
        <v>83.427278200995673</v>
      </c>
    </row>
    <row r="413" spans="1:6" x14ac:dyDescent="0.25">
      <c r="A413" s="1">
        <f t="array" aca="1" ref="A413:C413" ca="1">ODE_RK4(A412:C412,$B$5,$E$3,$F$3,$G$3)</f>
        <v>40.500000000000306</v>
      </c>
      <c r="B413" s="1">
        <f ca="1"/>
        <v>88.349959536245521</v>
      </c>
      <c r="C413" s="1">
        <f ca="1"/>
        <v>49.101558163324242</v>
      </c>
      <c r="D413" s="1"/>
      <c r="E413">
        <f t="shared" ca="1" si="13"/>
        <v>2</v>
      </c>
      <c r="F413" s="1">
        <f t="shared" ca="1" si="12"/>
        <v>88.349959536245521</v>
      </c>
    </row>
    <row r="414" spans="1:6" x14ac:dyDescent="0.25">
      <c r="A414" s="1">
        <f t="array" aca="1" ref="A414:C414" ca="1">ODE_RK4(A413:C413,$B$5,$E$3,$F$3,$G$3)</f>
        <v>40.600000000000307</v>
      </c>
      <c r="B414" s="1">
        <f ca="1"/>
        <v>93.250758904462671</v>
      </c>
      <c r="C414" s="1">
        <f ca="1"/>
        <v>48.875575485116528</v>
      </c>
      <c r="D414" s="1"/>
      <c r="E414">
        <f t="shared" ca="1" si="13"/>
        <v>2</v>
      </c>
      <c r="F414" s="1">
        <f t="shared" ca="1" si="12"/>
        <v>93.250758904462671</v>
      </c>
    </row>
    <row r="415" spans="1:6" x14ac:dyDescent="0.25">
      <c r="A415" s="1">
        <f t="array" aca="1" ref="A415:C415" ca="1">ODE_RK4(A414:C414,$B$5,$E$3,$F$3,$G$3)</f>
        <v>40.700000000000308</v>
      </c>
      <c r="B415" s="1">
        <f ca="1"/>
        <v>98.128450217501978</v>
      </c>
      <c r="C415" s="1">
        <f ca="1"/>
        <v>48.637364730931282</v>
      </c>
      <c r="D415" s="1"/>
      <c r="E415">
        <f t="shared" ca="1" si="13"/>
        <v>2</v>
      </c>
      <c r="F415" s="1">
        <f t="shared" ca="1" si="12"/>
        <v>98.128450217501978</v>
      </c>
    </row>
    <row r="416" spans="1:6" x14ac:dyDescent="0.25">
      <c r="A416" s="1">
        <f t="array" aca="1" ref="A416:C416" ca="1">ODE_RK4(A415:C415,$B$5,$E$3,$F$3,$G$3)</f>
        <v>40.80000000000031</v>
      </c>
      <c r="B416" s="1">
        <f ca="1"/>
        <v>102.98181311303742</v>
      </c>
      <c r="C416" s="1">
        <f ca="1"/>
        <v>48.386984942843128</v>
      </c>
      <c r="D416" s="1"/>
      <c r="E416">
        <f t="shared" ca="1" si="13"/>
        <v>2</v>
      </c>
      <c r="F416" s="1">
        <f t="shared" ca="1" si="12"/>
        <v>102.98181311303742</v>
      </c>
    </row>
    <row r="417" spans="1:6" x14ac:dyDescent="0.25">
      <c r="A417" s="1">
        <f t="array" aca="1" ref="A417:C417" ca="1">ODE_RK4(A416:C416,$B$5,$E$3,$F$3,$G$3)</f>
        <v>40.900000000000311</v>
      </c>
      <c r="B417" s="1">
        <f ca="1"/>
        <v>107.80963325988542</v>
      </c>
      <c r="C417" s="1">
        <f ca="1"/>
        <v>48.124498207587024</v>
      </c>
      <c r="D417" s="1"/>
      <c r="E417">
        <f t="shared" ca="1" si="13"/>
        <v>2</v>
      </c>
      <c r="F417" s="1">
        <f t="shared" ca="1" si="12"/>
        <v>107.80963325988542</v>
      </c>
    </row>
    <row r="418" spans="1:6" x14ac:dyDescent="0.25">
      <c r="A418" s="1">
        <f t="array" aca="1" ref="A418:C418" ca="1">ODE_RK4(A417:C417,$B$5,$E$3,$F$3,$G$3)</f>
        <v>41.000000000000313</v>
      </c>
      <c r="B418" s="1">
        <f ca="1"/>
        <v>112.6107026618331</v>
      </c>
      <c r="C418" s="1">
        <f ca="1"/>
        <v>47.849969641163725</v>
      </c>
      <c r="D418" s="1"/>
      <c r="E418">
        <f t="shared" ca="1" si="13"/>
        <v>2</v>
      </c>
      <c r="F418" s="1">
        <f t="shared" ca="1" si="12"/>
        <v>112.6107026618331</v>
      </c>
    </row>
    <row r="419" spans="1:6" x14ac:dyDescent="0.25">
      <c r="A419" s="1">
        <f t="array" aca="1" ref="A419:C419" ca="1">ODE_RK4(A418:C418,$B$5,$E$3,$F$3,$G$3)</f>
        <v>41.100000000000314</v>
      </c>
      <c r="B419" s="1">
        <f ca="1"/>
        <v>117.38381995989559</v>
      </c>
      <c r="C419" s="1">
        <f ca="1"/>
        <v>47.563467372687313</v>
      </c>
      <c r="D419" s="1"/>
      <c r="E419">
        <f t="shared" ca="1" si="13"/>
        <v>2</v>
      </c>
      <c r="F419" s="1">
        <f t="shared" ca="1" si="12"/>
        <v>117.38381995989559</v>
      </c>
    </row>
    <row r="420" spans="1:6" x14ac:dyDescent="0.25">
      <c r="A420" s="1">
        <f t="array" aca="1" ref="A420:C420" ca="1">ODE_RK4(A419:C419,$B$5,$E$3,$F$3,$G$3)</f>
        <v>41.200000000000315</v>
      </c>
      <c r="B420" s="1">
        <f ca="1"/>
        <v>122.12779073292647</v>
      </c>
      <c r="C420" s="1">
        <f ca="1"/>
        <v>47.265062527478783</v>
      </c>
      <c r="D420" s="1"/>
      <c r="E420">
        <f t="shared" ca="1" si="13"/>
        <v>2</v>
      </c>
      <c r="F420" s="1">
        <f t="shared" ca="1" si="12"/>
        <v>122.12779073292647</v>
      </c>
    </row>
    <row r="421" spans="1:6" x14ac:dyDescent="0.25">
      <c r="A421" s="1">
        <f t="array" aca="1" ref="A421:C421" ca="1">ODE_RK4(A420:C420,$B$5,$E$3,$F$3,$G$3)</f>
        <v>41.300000000000317</v>
      </c>
      <c r="B421" s="1">
        <f ca="1"/>
        <v>126.84142779650649</v>
      </c>
      <c r="C421" s="1">
        <f ca="1"/>
        <v>46.954829209409887</v>
      </c>
      <c r="D421" s="1"/>
      <c r="E421">
        <f t="shared" ca="1" si="13"/>
        <v>2</v>
      </c>
      <c r="F421" s="1">
        <f t="shared" ca="1" si="12"/>
        <v>126.84142779650649</v>
      </c>
    </row>
    <row r="422" spans="1:6" x14ac:dyDescent="0.25">
      <c r="A422" s="1">
        <f t="array" aca="1" ref="A422:C422" ca="1">ODE_RK4(A421:C421,$B$5,$E$3,$F$3,$G$3)</f>
        <v>41.400000000000318</v>
      </c>
      <c r="B422" s="1">
        <f ca="1"/>
        <v>131.52355150003552</v>
      </c>
      <c r="C422" s="1">
        <f ca="1"/>
        <v>46.632844482501618</v>
      </c>
      <c r="D422" s="1"/>
      <c r="E422">
        <f t="shared" ca="1" si="13"/>
        <v>2</v>
      </c>
      <c r="F422" s="1">
        <f t="shared" ca="1" si="12"/>
        <v>131.52355150003552</v>
      </c>
    </row>
    <row r="423" spans="1:6" x14ac:dyDescent="0.25">
      <c r="A423" s="1">
        <f t="array" aca="1" ref="A423:C423" ca="1">ODE_RK4(A422:C422,$B$5,$E$3,$F$3,$G$3)</f>
        <v>41.50000000000032</v>
      </c>
      <c r="B423" s="1">
        <f ca="1"/>
        <v>136.17299002195338</v>
      </c>
      <c r="C423" s="1">
        <f ca="1"/>
        <v>46.299188351781915</v>
      </c>
      <c r="D423" s="1"/>
      <c r="E423">
        <f t="shared" ca="1" si="13"/>
        <v>2</v>
      </c>
      <c r="F423" s="1">
        <f t="shared" ca="1" si="12"/>
        <v>136.17299002195338</v>
      </c>
    </row>
    <row r="424" spans="1:6" x14ac:dyDescent="0.25">
      <c r="A424" s="1">
        <f t="array" aca="1" ref="A424:C424" ca="1">ODE_RK4(A423:C423,$B$5,$E$3,$F$3,$G$3)</f>
        <v>41.600000000000321</v>
      </c>
      <c r="B424" s="1">
        <f ca="1"/>
        <v>140.78857966301592</v>
      </c>
      <c r="C424" s="1">
        <f ca="1"/>
        <v>45.953943743407301</v>
      </c>
      <c r="D424" s="1"/>
      <c r="E424">
        <f t="shared" ca="1" si="13"/>
        <v>2</v>
      </c>
      <c r="F424" s="1">
        <f t="shared" ca="1" si="12"/>
        <v>140.78857966301592</v>
      </c>
    </row>
    <row r="425" spans="1:6" x14ac:dyDescent="0.25">
      <c r="A425" s="1">
        <f t="array" aca="1" ref="A425:C425" ca="1">ODE_RK4(A424:C424,$B$5,$E$3,$F$3,$G$3)</f>
        <v>41.700000000000323</v>
      </c>
      <c r="B425" s="1">
        <f ca="1"/>
        <v>145.3691651375527</v>
      </c>
      <c r="C425" s="1">
        <f ca="1"/>
        <v>45.59719648405347</v>
      </c>
      <c r="D425" s="1"/>
      <c r="E425">
        <f t="shared" ca="1" si="13"/>
        <v>2</v>
      </c>
      <c r="F425" s="1">
        <f t="shared" ca="1" si="12"/>
        <v>145.3691651375527</v>
      </c>
    </row>
    <row r="426" spans="1:6" x14ac:dyDescent="0.25">
      <c r="A426" s="1">
        <f t="array" aca="1" ref="A426:C426" ca="1">ODE_RK4(A425:C425,$B$5,$E$3,$F$3,$G$3)</f>
        <v>41.800000000000324</v>
      </c>
      <c r="B426" s="1">
        <f ca="1"/>
        <v>149.9135998626333</v>
      </c>
      <c r="C426" s="1">
        <f ca="1"/>
        <v>45.229035279579875</v>
      </c>
      <c r="D426" s="1"/>
      <c r="E426">
        <f t="shared" ca="1" si="13"/>
        <v>2</v>
      </c>
      <c r="F426" s="1">
        <f t="shared" ca="1" si="12"/>
        <v>149.9135998626333</v>
      </c>
    </row>
    <row r="427" spans="1:6" x14ac:dyDescent="0.25">
      <c r="A427" s="1">
        <f t="array" aca="1" ref="A427:C427" ca="1">ODE_RK4(A426:C426,$B$5,$E$3,$F$3,$G$3)</f>
        <v>41.900000000000325</v>
      </c>
      <c r="B427" s="1">
        <f ca="1"/>
        <v>154.42074624507035</v>
      </c>
      <c r="C427" s="1">
        <f ca="1"/>
        <v>44.849551692973634</v>
      </c>
      <c r="D427" s="1"/>
      <c r="E427">
        <f t="shared" ca="1" si="13"/>
        <v>2</v>
      </c>
      <c r="F427" s="1">
        <f t="shared" ca="1" si="12"/>
        <v>154.42074624507035</v>
      </c>
    </row>
    <row r="428" spans="1:6" x14ac:dyDescent="0.25">
      <c r="A428" s="1">
        <f t="array" aca="1" ref="A428:C428" ca="1">ODE_RK4(A427:C427,$B$5,$E$3,$F$3,$G$3)</f>
        <v>42.000000000000327</v>
      </c>
      <c r="B428" s="1">
        <f ca="1"/>
        <v>158.88947596618681</v>
      </c>
      <c r="C428" s="1">
        <f ca="1"/>
        <v>44.458840121578262</v>
      </c>
      <c r="D428" s="1"/>
      <c r="E428">
        <f t="shared" ca="1" si="13"/>
        <v>2</v>
      </c>
      <c r="F428" s="1">
        <f t="shared" ca="1" si="12"/>
        <v>158.88947596618681</v>
      </c>
    </row>
    <row r="429" spans="1:6" x14ac:dyDescent="0.25">
      <c r="A429" s="1">
        <f t="array" aca="1" ref="A429:C429" ca="1">ODE_RK4(A428:C428,$B$5,$E$3,$F$3,$G$3)</f>
        <v>42.100000000000328</v>
      </c>
      <c r="B429" s="1">
        <f ca="1"/>
        <v>163.31867026427679</v>
      </c>
      <c r="C429" s="1">
        <f ca="1"/>
        <v>44.056997773612892</v>
      </c>
      <c r="D429" s="1"/>
      <c r="E429">
        <f t="shared" ca="1" si="13"/>
        <v>2</v>
      </c>
      <c r="F429" s="1">
        <f t="shared" ca="1" si="12"/>
        <v>163.31867026427679</v>
      </c>
    </row>
    <row r="430" spans="1:6" x14ac:dyDescent="0.25">
      <c r="A430" s="1">
        <f t="array" aca="1" ref="A430:C430" ca="1">ODE_RK4(A429:C429,$B$5,$E$3,$F$3,$G$3)</f>
        <v>42.20000000000033</v>
      </c>
      <c r="B430" s="1">
        <f ca="1"/>
        <v>167.7072202146887</v>
      </c>
      <c r="C430" s="1">
        <f ca="1"/>
        <v>43.64412464398778</v>
      </c>
      <c r="D430" s="1"/>
      <c r="E430">
        <f t="shared" ca="1" si="13"/>
        <v>2</v>
      </c>
      <c r="F430" s="1">
        <f t="shared" ca="1" si="12"/>
        <v>167.7072202146887</v>
      </c>
    </row>
    <row r="431" spans="1:6" x14ac:dyDescent="0.25">
      <c r="A431" s="1">
        <f t="array" aca="1" ref="A431:C431" ca="1">ODE_RK4(A430:C430,$B$5,$E$3,$F$3,$G$3)</f>
        <v>42.300000000000331</v>
      </c>
      <c r="B431" s="1">
        <f ca="1"/>
        <v>172.05402700746106</v>
      </c>
      <c r="C431" s="1">
        <f ca="1"/>
        <v>43.220323489422178</v>
      </c>
      <c r="D431" s="1"/>
      <c r="E431">
        <f t="shared" ca="1" si="13"/>
        <v>2</v>
      </c>
      <c r="F431" s="1">
        <f t="shared" ca="1" si="12"/>
        <v>172.05402700746106</v>
      </c>
    </row>
    <row r="432" spans="1:6" x14ac:dyDescent="0.25">
      <c r="A432" s="1">
        <f t="array" aca="1" ref="A432:C432" ca="1">ODE_RK4(A431:C431,$B$5,$E$3,$F$3,$G$3)</f>
        <v>42.400000000000333</v>
      </c>
      <c r="B432" s="1">
        <f ca="1"/>
        <v>176.35800222244112</v>
      </c>
      <c r="C432" s="1">
        <f ca="1"/>
        <v>42.785699802870703</v>
      </c>
      <c r="D432" s="1"/>
      <c r="E432">
        <f t="shared" ca="1" si="13"/>
        <v>2</v>
      </c>
      <c r="F432" s="1">
        <f t="shared" ca="1" si="12"/>
        <v>176.35800222244112</v>
      </c>
    </row>
    <row r="433" spans="1:6" x14ac:dyDescent="0.25">
      <c r="A433" s="1">
        <f t="array" aca="1" ref="A433:C433" ca="1">ODE_RK4(A432:C432,$B$5,$E$3,$F$3,$G$3)</f>
        <v>42.500000000000334</v>
      </c>
      <c r="B433" s="1">
        <f ca="1"/>
        <v>180.61806810181761</v>
      </c>
      <c r="C433" s="1">
        <f ca="1"/>
        <v>42.340361787264605</v>
      </c>
      <c r="D433" s="1"/>
      <c r="E433">
        <f t="shared" ca="1" si="13"/>
        <v>2</v>
      </c>
      <c r="F433" s="1">
        <f t="shared" ca="1" si="12"/>
        <v>180.61806810181761</v>
      </c>
    </row>
    <row r="434" spans="1:6" x14ac:dyDescent="0.25">
      <c r="A434" s="1">
        <f t="array" aca="1" ref="A434:C434" ca="1">ODE_RK4(A433:C433,$B$5,$E$3,$F$3,$G$3)</f>
        <v>42.600000000000335</v>
      </c>
      <c r="B434" s="1">
        <f ca="1"/>
        <v>184.83315781999931</v>
      </c>
      <c r="C434" s="1">
        <f ca="1"/>
        <v>41.884420328574471</v>
      </c>
      <c r="D434" s="1"/>
      <c r="E434">
        <f t="shared" ca="1" si="13"/>
        <v>2</v>
      </c>
      <c r="F434" s="1">
        <f t="shared" ca="1" si="12"/>
        <v>184.83315781999931</v>
      </c>
    </row>
    <row r="435" spans="1:6" x14ac:dyDescent="0.25">
      <c r="A435" s="1">
        <f t="array" aca="1" ref="A435:C435" ca="1">ODE_RK4(A434:C434,$B$5,$E$3,$F$3,$G$3)</f>
        <v>42.700000000000337</v>
      </c>
      <c r="B435" s="1">
        <f ca="1"/>
        <v>189.00221575077182</v>
      </c>
      <c r="C435" s="1">
        <f ca="1"/>
        <v>41.417988968201037</v>
      </c>
      <c r="D435" s="1"/>
      <c r="E435">
        <f t="shared" ca="1" si="13"/>
        <v>2</v>
      </c>
      <c r="F435" s="1">
        <f t="shared" ca="1" si="12"/>
        <v>189.00221575077182</v>
      </c>
    </row>
    <row r="436" spans="1:6" x14ac:dyDescent="0.25">
      <c r="A436" s="1">
        <f t="array" aca="1" ref="A436:C436" ca="1">ODE_RK4(A435:C435,$B$5,$E$3,$F$3,$G$3)</f>
        <v>42.800000000000338</v>
      </c>
      <c r="B436" s="1">
        <f ca="1"/>
        <v>193.12419773166567</v>
      </c>
      <c r="C436" s="1">
        <f ca="1"/>
        <v>40.941183874701032</v>
      </c>
      <c r="D436" s="1"/>
      <c r="E436">
        <f t="shared" ca="1" si="13"/>
        <v>2</v>
      </c>
      <c r="F436" s="1">
        <f t="shared" ca="1" si="12"/>
        <v>193.12419773166567</v>
      </c>
    </row>
    <row r="437" spans="1:6" x14ac:dyDescent="0.25">
      <c r="A437" s="1">
        <f t="array" aca="1" ref="A437:C437" ca="1">ODE_RK4(A436:C436,$B$5,$E$3,$F$3,$G$3)</f>
        <v>42.90000000000034</v>
      </c>
      <c r="B437" s="1">
        <f ca="1"/>
        <v>197.19807132546958</v>
      </c>
      <c r="C437" s="1">
        <f ca="1"/>
        <v>40.454123814855038</v>
      </c>
      <c r="D437" s="1"/>
      <c r="E437">
        <f t="shared" ca="1" si="13"/>
        <v>2</v>
      </c>
      <c r="F437" s="1">
        <f t="shared" ca="1" si="12"/>
        <v>197.19807132546958</v>
      </c>
    </row>
    <row r="438" spans="1:6" x14ac:dyDescent="0.25">
      <c r="A438" s="1">
        <f t="array" aca="1" ref="A438:C438" ca="1">ODE_RK4(A437:C437,$B$5,$E$3,$F$3,$G$3)</f>
        <v>43.000000000000341</v>
      </c>
      <c r="B438" s="1">
        <f ca="1"/>
        <v>201.22281607882343</v>
      </c>
      <c r="C438" s="1">
        <f ca="1"/>
        <v>39.956930124084614</v>
      </c>
      <c r="D438" s="1"/>
      <c r="E438">
        <f t="shared" ca="1" si="13"/>
        <v>2</v>
      </c>
      <c r="F438" s="1">
        <f t="shared" ca="1" si="12"/>
        <v>201.22281607882343</v>
      </c>
    </row>
    <row r="439" spans="1:6" x14ac:dyDescent="0.25">
      <c r="A439" s="1">
        <f t="array" aca="1" ref="A439:C439" ca="1">ODE_RK4(A438:C438,$B$5,$E$3,$F$3,$G$3)</f>
        <v>43.100000000000342</v>
      </c>
      <c r="B439" s="1">
        <f ca="1"/>
        <v>205.19742377782592</v>
      </c>
      <c r="C439" s="1">
        <f ca="1"/>
        <v>39.449726676226057</v>
      </c>
      <c r="D439" s="1"/>
      <c r="E439">
        <f t="shared" ca="1" si="13"/>
        <v>2</v>
      </c>
      <c r="F439" s="1">
        <f t="shared" ca="1" si="12"/>
        <v>205.19742377782592</v>
      </c>
    </row>
    <row r="440" spans="1:6" x14ac:dyDescent="0.25">
      <c r="A440" s="1">
        <f t="array" aca="1" ref="A440:C440" ca="1">ODE_RK4(A439:C439,$B$5,$E$3,$F$3,$G$3)</f>
        <v>43.200000000000344</v>
      </c>
      <c r="B440" s="1">
        <f ca="1"/>
        <v>209.12089870059327</v>
      </c>
      <c r="C440" s="1">
        <f ca="1"/>
        <v>38.932639852668281</v>
      </c>
      <c r="D440" s="1"/>
      <c r="E440">
        <f t="shared" ca="1" si="13"/>
        <v>2</v>
      </c>
      <c r="F440" s="1">
        <f t="shared" ca="1" si="12"/>
        <v>209.12089870059327</v>
      </c>
    </row>
    <row r="441" spans="1:6" x14ac:dyDescent="0.25">
      <c r="A441" s="1">
        <f t="array" aca="1" ref="A441:C441" ca="1">ODE_RK4(A440:C440,$B$5,$E$3,$F$3,$G$3)</f>
        <v>43.300000000000345</v>
      </c>
      <c r="B441" s="1">
        <f ca="1"/>
        <v>212.99225786670542</v>
      </c>
      <c r="C441" s="1">
        <f ca="1"/>
        <v>38.405798510862567</v>
      </c>
      <c r="D441" s="1"/>
      <c r="E441">
        <f t="shared" ca="1" si="13"/>
        <v>2</v>
      </c>
      <c r="F441" s="1">
        <f t="shared" ca="1" si="12"/>
        <v>212.99225786670542</v>
      </c>
    </row>
    <row r="442" spans="1:6" x14ac:dyDescent="0.25">
      <c r="A442" s="1">
        <f t="array" aca="1" ref="A442:C442" ca="1">ODE_RK4(A441:C441,$B$5,$E$3,$F$3,$G$3)</f>
        <v>43.400000000000347</v>
      </c>
      <c r="B442" s="1">
        <f ca="1"/>
        <v>216.81053128347722</v>
      </c>
      <c r="C442" s="1">
        <f ca="1"/>
        <v>37.869333952211953</v>
      </c>
      <c r="D442" s="1"/>
      <c r="E442">
        <f t="shared" ca="1" si="13"/>
        <v>2</v>
      </c>
      <c r="F442" s="1">
        <f t="shared" ca="1" si="12"/>
        <v>216.81053128347722</v>
      </c>
    </row>
    <row r="443" spans="1:6" x14ac:dyDescent="0.25">
      <c r="A443" s="1">
        <f t="array" aca="1" ref="A443:C443" ca="1">ODE_RK4(A442:C442,$B$5,$E$3,$F$3,$G$3)</f>
        <v>43.500000000000348</v>
      </c>
      <c r="B443" s="1">
        <f ca="1"/>
        <v>220.57476218899316</v>
      </c>
      <c r="C443" s="1">
        <f ca="1"/>
        <v>37.323379889348359</v>
      </c>
      <c r="D443" s="1"/>
      <c r="E443">
        <f t="shared" ca="1" si="13"/>
        <v>2</v>
      </c>
      <c r="F443" s="1">
        <f t="shared" ca="1" si="12"/>
        <v>220.57476218899316</v>
      </c>
    </row>
    <row r="444" spans="1:6" x14ac:dyDescent="0.25">
      <c r="A444" s="1">
        <f t="array" aca="1" ref="A444:C444" ca="1">ODE_RK4(A443:C443,$B$5,$E$3,$F$3,$G$3)</f>
        <v>43.60000000000035</v>
      </c>
      <c r="B444" s="1">
        <f ca="1"/>
        <v>224.28400729184455</v>
      </c>
      <c r="C444" s="1">
        <f ca="1"/>
        <v>36.768072412805516</v>
      </c>
      <c r="D444" s="1"/>
      <c r="E444">
        <f t="shared" ca="1" si="13"/>
        <v>2</v>
      </c>
      <c r="F444" s="1">
        <f t="shared" ca="1" si="12"/>
        <v>224.28400729184455</v>
      </c>
    </row>
    <row r="445" spans="1:6" x14ac:dyDescent="0.25">
      <c r="A445" s="1">
        <f t="array" aca="1" ref="A445:C445" ca="1">ODE_RK4(A444:C444,$B$5,$E$3,$F$3,$G$3)</f>
        <v>43.700000000000351</v>
      </c>
      <c r="B445" s="1">
        <f ca="1"/>
        <v>227.93733700750903</v>
      </c>
      <c r="C445" s="1">
        <f ca="1"/>
        <v>36.203549957096065</v>
      </c>
      <c r="D445" s="1"/>
      <c r="E445">
        <f t="shared" ca="1" si="13"/>
        <v>2</v>
      </c>
      <c r="F445" s="1">
        <f t="shared" ca="1" si="12"/>
        <v>227.93733700750903</v>
      </c>
    </row>
    <row r="446" spans="1:6" x14ac:dyDescent="0.25">
      <c r="A446" s="1">
        <f t="array" aca="1" ref="A446:C446" ca="1">ODE_RK4(A445:C445,$B$5,$E$3,$F$3,$G$3)</f>
        <v>43.800000000000352</v>
      </c>
      <c r="B446" s="1">
        <f ca="1"/>
        <v>231.53383569131347</v>
      </c>
      <c r="C446" s="1">
        <f ca="1"/>
        <v>35.629953266201255</v>
      </c>
      <c r="D446" s="1"/>
      <c r="E446">
        <f t="shared" ca="1" si="13"/>
        <v>2</v>
      </c>
      <c r="F446" s="1">
        <f t="shared" ca="1" si="12"/>
        <v>231.53383569131347</v>
      </c>
    </row>
    <row r="447" spans="1:6" x14ac:dyDescent="0.25">
      <c r="A447" s="1">
        <f t="array" aca="1" ref="A447:C447" ca="1">ODE_RK4(A446:C446,$B$5,$E$3,$F$3,$G$3)</f>
        <v>43.900000000000354</v>
      </c>
      <c r="B447" s="1">
        <f ca="1"/>
        <v>235.07260186792146</v>
      </c>
      <c r="C447" s="1">
        <f ca="1"/>
        <v>35.047425358481824</v>
      </c>
      <c r="D447" s="1"/>
      <c r="E447">
        <f t="shared" ca="1" si="13"/>
        <v>2</v>
      </c>
      <c r="F447" s="1">
        <f t="shared" ca="1" si="12"/>
        <v>235.07260186792146</v>
      </c>
    </row>
    <row r="448" spans="1:6" x14ac:dyDescent="0.25">
      <c r="A448" s="1">
        <f t="array" aca="1" ref="A448:C448" ca="1">ODE_RK4(A447:C447,$B$5,$E$3,$F$3,$G$3)</f>
        <v>44.000000000000355</v>
      </c>
      <c r="B448" s="1">
        <f ca="1"/>
        <v>238.55274845728829</v>
      </c>
      <c r="C448" s="1">
        <f ca="1"/>
        <v>34.456111491018866</v>
      </c>
      <c r="D448" s="1"/>
      <c r="E448">
        <f t="shared" ca="1" si="13"/>
        <v>2</v>
      </c>
      <c r="F448" s="1">
        <f t="shared" ca="1" si="12"/>
        <v>238.55274845728829</v>
      </c>
    </row>
    <row r="449" spans="1:6" x14ac:dyDescent="0.25">
      <c r="A449" s="1">
        <f t="array" aca="1" ref="A449:C449" ca="1">ODE_RK4(A448:C448,$B$5,$E$3,$F$3,$G$3)</f>
        <v>44.100000000000357</v>
      </c>
      <c r="B449" s="1">
        <f ca="1"/>
        <v>241.97340299702637</v>
      </c>
      <c r="C449" s="1">
        <f ca="1"/>
        <v>33.856159123393532</v>
      </c>
      <c r="D449" s="1"/>
      <c r="E449">
        <f t="shared" ca="1" si="13"/>
        <v>2</v>
      </c>
      <c r="F449" s="1">
        <f t="shared" ca="1" si="12"/>
        <v>241.97340299702637</v>
      </c>
    </row>
    <row r="450" spans="1:6" x14ac:dyDescent="0.25">
      <c r="A450" s="1">
        <f t="array" aca="1" ref="A450:C450" ca="1">ODE_RK4(A449:C449,$B$5,$E$3,$F$3,$G$3)</f>
        <v>44.200000000000358</v>
      </c>
      <c r="B450" s="1">
        <f ca="1"/>
        <v>245.33370786112582</v>
      </c>
      <c r="C450" s="1">
        <f ca="1"/>
        <v>33.247717880914593</v>
      </c>
      <c r="D450" s="1"/>
      <c r="E450">
        <f t="shared" ca="1" si="13"/>
        <v>2</v>
      </c>
      <c r="F450" s="1">
        <f t="shared" ca="1" si="12"/>
        <v>245.33370786112582</v>
      </c>
    </row>
    <row r="451" spans="1:6" x14ac:dyDescent="0.25">
      <c r="A451" s="1">
        <f t="array" aca="1" ref="A451:C451" ca="1">ODE_RK4(A450:C450,$B$5,$E$3,$F$3,$G$3)</f>
        <v>44.30000000000036</v>
      </c>
      <c r="B451" s="1">
        <f ca="1"/>
        <v>248.63282047497495</v>
      </c>
      <c r="C451" s="1">
        <f ca="1"/>
        <v>32.630939517303077</v>
      </c>
      <c r="D451" s="1"/>
      <c r="E451">
        <f t="shared" ca="1" si="13"/>
        <v>2</v>
      </c>
      <c r="F451" s="1">
        <f t="shared" ca="1" si="12"/>
        <v>248.63282047497495</v>
      </c>
    </row>
    <row r="452" spans="1:6" x14ac:dyDescent="0.25">
      <c r="A452" s="1">
        <f t="array" aca="1" ref="A452:C452" ca="1">ODE_RK4(A451:C451,$B$5,$E$3,$F$3,$G$3)</f>
        <v>44.400000000000361</v>
      </c>
      <c r="B452" s="1">
        <f ca="1"/>
        <v>251.8699135266271</v>
      </c>
      <c r="C452" s="1">
        <f ca="1"/>
        <v>32.005977876843225</v>
      </c>
      <c r="D452" s="1"/>
      <c r="E452">
        <f t="shared" ca="1" si="13"/>
        <v>2</v>
      </c>
      <c r="F452" s="1">
        <f t="shared" ca="1" si="12"/>
        <v>251.8699135266271</v>
      </c>
    </row>
    <row r="453" spans="1:6" x14ac:dyDescent="0.25">
      <c r="A453" s="1">
        <f t="array" aca="1" ref="A453:C453" ca="1">ODE_RK4(A452:C452,$B$5,$E$3,$F$3,$G$3)</f>
        <v>44.500000000000362</v>
      </c>
      <c r="B453" s="1">
        <f ca="1"/>
        <v>255.04417517426049</v>
      </c>
      <c r="C453" s="1">
        <f ca="1"/>
        <v>31.372988856009265</v>
      </c>
      <c r="D453" s="1"/>
      <c r="E453">
        <f t="shared" ca="1" si="13"/>
        <v>2</v>
      </c>
      <c r="F453" s="1">
        <f t="shared" ca="1" si="12"/>
        <v>255.04417517426049</v>
      </c>
    </row>
    <row r="454" spans="1:6" x14ac:dyDescent="0.25">
      <c r="A454" s="1">
        <f t="array" aca="1" ref="A454:C454" ca="1">ODE_RK4(A453:C453,$B$5,$E$3,$F$3,$G$3)</f>
        <v>44.600000000000364</v>
      </c>
      <c r="B454" s="1">
        <f ca="1"/>
        <v>258.15480924977936</v>
      </c>
      <c r="C454" s="1">
        <f ca="1"/>
        <v>30.732130364577543</v>
      </c>
      <c r="D454" s="1"/>
      <c r="E454">
        <f t="shared" ca="1" si="13"/>
        <v>2</v>
      </c>
      <c r="F454" s="1">
        <f t="shared" ca="1" si="12"/>
        <v>258.15480924977936</v>
      </c>
    </row>
    <row r="455" spans="1:6" x14ac:dyDescent="0.25">
      <c r="A455" s="1">
        <f t="array" aca="1" ref="A455:C455" ca="1">ODE_RK4(A454:C454,$B$5,$E$3,$F$3,$G$3)</f>
        <v>44.700000000000365</v>
      </c>
      <c r="B455" s="1">
        <f ca="1"/>
        <v>261.20103545850526</v>
      </c>
      <c r="C455" s="1">
        <f ca="1"/>
        <v>30.083562286233718</v>
      </c>
      <c r="D455" s="1"/>
      <c r="E455">
        <f t="shared" ca="1" si="13"/>
        <v>2</v>
      </c>
      <c r="F455" s="1">
        <f t="shared" ca="1" si="12"/>
        <v>261.20103545850526</v>
      </c>
    </row>
    <row r="456" spans="1:6" x14ac:dyDescent="0.25">
      <c r="A456" s="1">
        <f t="array" aca="1" ref="A456:C456" ca="1">ODE_RK4(A455:C455,$B$5,$E$3,$F$3,$G$3)</f>
        <v>44.800000000000367</v>
      </c>
      <c r="B456" s="1">
        <f ca="1"/>
        <v>264.18208957490839</v>
      </c>
      <c r="C456" s="1">
        <f ca="1"/>
        <v>29.427446438684839</v>
      </c>
      <c r="D456" s="1"/>
      <c r="E456">
        <f t="shared" ca="1" si="13"/>
        <v>2</v>
      </c>
      <c r="F456" s="1">
        <f t="shared" ref="F456:F519" ca="1" si="14">B456</f>
        <v>264.18208957490839</v>
      </c>
    </row>
    <row r="457" spans="1:6" x14ac:dyDescent="0.25">
      <c r="A457" s="1">
        <f t="array" aca="1" ref="A457:C457" ca="1">ODE_RK4(A456:C456,$B$5,$E$3,$F$3,$G$3)</f>
        <v>44.900000000000368</v>
      </c>
      <c r="B457" s="1">
        <f ca="1"/>
        <v>267.09722363432979</v>
      </c>
      <c r="C457" s="1">
        <f ca="1"/>
        <v>28.763946533286273</v>
      </c>
      <c r="D457" s="1"/>
      <c r="E457">
        <f t="shared" ref="E457:E520" ca="1" si="15">(C457*C458&lt;0)*1+E456</f>
        <v>2</v>
      </c>
      <c r="F457" s="1">
        <f t="shared" ca="1" si="14"/>
        <v>267.09722363432979</v>
      </c>
    </row>
    <row r="458" spans="1:6" x14ac:dyDescent="0.25">
      <c r="A458" s="1">
        <f t="array" aca="1" ref="A458:C458" ca="1">ODE_RK4(A457:C457,$B$5,$E$3,$F$3,$G$3)</f>
        <v>45.000000000000369</v>
      </c>
      <c r="B458" s="1">
        <f ca="1"/>
        <v>269.94570612064643</v>
      </c>
      <c r="C458" s="1">
        <f ca="1"/>
        <v>28.093228134193549</v>
      </c>
      <c r="D458" s="1"/>
      <c r="E458">
        <f t="shared" ca="1" si="15"/>
        <v>2</v>
      </c>
      <c r="F458" s="1">
        <f t="shared" ca="1" si="14"/>
        <v>269.94570612064643</v>
      </c>
    </row>
    <row r="459" spans="1:6" x14ac:dyDescent="0.25">
      <c r="A459" s="1">
        <f t="array" aca="1" ref="A459:C459" ca="1">ODE_RK4(A458:C458,$B$5,$E$3,$F$3,$G$3)</f>
        <v>45.100000000000371</v>
      </c>
      <c r="B459" s="1">
        <f ca="1"/>
        <v>272.72682214983212</v>
      </c>
      <c r="C459" s="1">
        <f ca="1"/>
        <v>27.415458617049303</v>
      </c>
      <c r="D459" s="1"/>
      <c r="E459">
        <f t="shared" ca="1" si="15"/>
        <v>2</v>
      </c>
      <c r="F459" s="1">
        <f t="shared" ca="1" si="14"/>
        <v>272.72682214983212</v>
      </c>
    </row>
    <row r="460" spans="1:6" x14ac:dyDescent="0.25">
      <c r="A460" s="1">
        <f t="array" aca="1" ref="A460:C460" ca="1">ODE_RK4(A459:C459,$B$5,$E$3,$F$3,$G$3)</f>
        <v>45.200000000000372</v>
      </c>
      <c r="B460" s="1">
        <f ca="1"/>
        <v>275.439873649368</v>
      </c>
      <c r="C460" s="1">
        <f ca="1"/>
        <v>26.730807127215638</v>
      </c>
      <c r="D460" s="1"/>
      <c r="E460">
        <f t="shared" ca="1" si="15"/>
        <v>2</v>
      </c>
      <c r="F460" s="1">
        <f t="shared" ca="1" si="14"/>
        <v>275.439873649368</v>
      </c>
    </row>
    <row r="461" spans="1:6" x14ac:dyDescent="0.25">
      <c r="A461" s="1">
        <f t="array" aca="1" ref="A461:C461" ca="1">ODE_RK4(A460:C460,$B$5,$E$3,$F$3,$G$3)</f>
        <v>45.300000000000374</v>
      </c>
      <c r="B461" s="1">
        <f ca="1"/>
        <v>278.08417953345781</v>
      </c>
      <c r="C461" s="1">
        <f ca="1"/>
        <v>26.039444537562332</v>
      </c>
      <c r="D461" s="1"/>
      <c r="E461">
        <f t="shared" ca="1" si="15"/>
        <v>2</v>
      </c>
      <c r="F461" s="1">
        <f t="shared" ca="1" si="14"/>
        <v>278.08417953345781</v>
      </c>
    </row>
    <row r="462" spans="1:6" x14ac:dyDescent="0.25">
      <c r="A462" s="1">
        <f t="array" aca="1" ref="A462:C462" ca="1">ODE_RK4(A461:C461,$B$5,$E$3,$F$3,$G$3)</f>
        <v>45.400000000000375</v>
      </c>
      <c r="B462" s="1">
        <f ca="1"/>
        <v>280.65907587400392</v>
      </c>
      <c r="C462" s="1">
        <f ca="1"/>
        <v>25.341543405821412</v>
      </c>
      <c r="D462" s="1"/>
      <c r="E462">
        <f t="shared" ca="1" si="15"/>
        <v>2</v>
      </c>
      <c r="F462" s="1">
        <f t="shared" ca="1" si="14"/>
        <v>280.65907587400392</v>
      </c>
    </row>
    <row r="463" spans="1:6" x14ac:dyDescent="0.25">
      <c r="A463" s="1">
        <f t="array" aca="1" ref="A463:C463" ca="1">ODE_RK4(A462:C462,$B$5,$E$3,$F$3,$G$3)</f>
        <v>45.500000000000377</v>
      </c>
      <c r="B463" s="1">
        <f ca="1"/>
        <v>283.16391606730087</v>
      </c>
      <c r="C463" s="1">
        <f ca="1"/>
        <v>24.637277931518732</v>
      </c>
      <c r="D463" s="1"/>
      <c r="E463">
        <f t="shared" ca="1" si="15"/>
        <v>2</v>
      </c>
      <c r="F463" s="1">
        <f t="shared" ca="1" si="14"/>
        <v>283.16391606730087</v>
      </c>
    </row>
    <row r="464" spans="1:6" x14ac:dyDescent="0.25">
      <c r="A464" s="1">
        <f t="array" aca="1" ref="A464:C464" ca="1">ODE_RK4(A463:C463,$B$5,$E$3,$F$3,$G$3)</f>
        <v>45.600000000000378</v>
      </c>
      <c r="B464" s="1">
        <f ca="1"/>
        <v>285.59807099640523</v>
      </c>
      <c r="C464" s="1">
        <f ca="1"/>
        <v>23.926823912493344</v>
      </c>
      <c r="D464" s="1"/>
      <c r="E464">
        <f t="shared" ca="1" si="15"/>
        <v>2</v>
      </c>
      <c r="F464" s="1">
        <f t="shared" ca="1" si="14"/>
        <v>285.59807099640523</v>
      </c>
    </row>
    <row r="465" spans="1:6" x14ac:dyDescent="0.25">
      <c r="A465" s="1">
        <f t="array" aca="1" ref="A465:C465" ca="1">ODE_RK4(A464:C464,$B$5,$E$3,$F$3,$G$3)</f>
        <v>45.700000000000379</v>
      </c>
      <c r="B465" s="1">
        <f ca="1"/>
        <v>287.96092918914019</v>
      </c>
      <c r="C465" s="1">
        <f ca="1"/>
        <v>23.210358701015462</v>
      </c>
      <c r="D465" s="1"/>
      <c r="E465">
        <f t="shared" ca="1" si="15"/>
        <v>2</v>
      </c>
      <c r="F465" s="1">
        <f t="shared" ca="1" si="14"/>
        <v>287.96092918914019</v>
      </c>
    </row>
    <row r="466" spans="1:6" x14ac:dyDescent="0.25">
      <c r="A466" s="1">
        <f t="array" aca="1" ref="A466:C466" ca="1">ODE_RK4(A465:C465,$B$5,$E$3,$F$3,$G$3)</f>
        <v>45.800000000000381</v>
      </c>
      <c r="B466" s="1">
        <f ca="1"/>
        <v>290.25189697169606</v>
      </c>
      <c r="C466" s="1">
        <f ca="1"/>
        <v>22.488061159514004</v>
      </c>
      <c r="D466" s="1"/>
      <c r="E466">
        <f t="shared" ca="1" si="15"/>
        <v>2</v>
      </c>
      <c r="F466" s="1">
        <f t="shared" ca="1" si="14"/>
        <v>290.25189697169606</v>
      </c>
    </row>
    <row r="467" spans="1:6" x14ac:dyDescent="0.25">
      <c r="A467" s="1">
        <f t="array" aca="1" ref="A467:C467" ca="1">ODE_RK4(A466:C466,$B$5,$E$3,$F$3,$G$3)</f>
        <v>45.900000000000382</v>
      </c>
      <c r="B467" s="1">
        <f ca="1"/>
        <v>292.47039861778728</v>
      </c>
      <c r="C467" s="1">
        <f ca="1"/>
        <v>21.76011161592476</v>
      </c>
      <c r="D467" s="1"/>
      <c r="E467">
        <f t="shared" ca="1" si="15"/>
        <v>2</v>
      </c>
      <c r="F467" s="1">
        <f t="shared" ca="1" si="14"/>
        <v>292.47039861778728</v>
      </c>
    </row>
    <row r="468" spans="1:6" x14ac:dyDescent="0.25">
      <c r="A468" s="1">
        <f t="array" aca="1" ref="A468:C468" ca="1">ODE_RK4(A467:C467,$B$5,$E$3,$F$3,$G$3)</f>
        <v>46.000000000000384</v>
      </c>
      <c r="B468" s="1">
        <f ca="1"/>
        <v>294.6158764933291</v>
      </c>
      <c r="C468" s="1">
        <f ca="1"/>
        <v>21.026691818670336</v>
      </c>
      <c r="D468" s="1"/>
      <c r="E468">
        <f t="shared" ca="1" si="15"/>
        <v>2</v>
      </c>
      <c r="F468" s="1">
        <f t="shared" ca="1" si="14"/>
        <v>294.6158764933291</v>
      </c>
    </row>
    <row r="469" spans="1:6" x14ac:dyDescent="0.25">
      <c r="A469" s="1">
        <f t="array" aca="1" ref="A469:C469" ca="1">ODE_RK4(A468:C468,$B$5,$E$3,$F$3,$G$3)</f>
        <v>46.100000000000385</v>
      </c>
      <c r="B469" s="1">
        <f ca="1"/>
        <v>296.68779119659723</v>
      </c>
      <c r="C469" s="1">
        <f ca="1"/>
        <v>20.287984891283092</v>
      </c>
      <c r="D469" s="1"/>
      <c r="E469">
        <f t="shared" ca="1" si="15"/>
        <v>2</v>
      </c>
      <c r="F469" s="1">
        <f t="shared" ca="1" si="14"/>
        <v>296.68779119659723</v>
      </c>
    </row>
    <row r="470" spans="1:6" x14ac:dyDescent="0.25">
      <c r="A470" s="1">
        <f t="array" aca="1" ref="A470:C470" ca="1">ODE_RK4(A469:C469,$B$5,$E$3,$F$3,$G$3)</f>
        <v>46.200000000000387</v>
      </c>
      <c r="B470" s="1">
        <f ca="1"/>
        <v>298.68562169383534</v>
      </c>
      <c r="C470" s="1">
        <f ca="1"/>
        <v>19.544175286682425</v>
      </c>
      <c r="D470" s="1"/>
      <c r="E470">
        <f t="shared" ca="1" si="15"/>
        <v>2</v>
      </c>
      <c r="F470" s="1">
        <f t="shared" ca="1" si="14"/>
        <v>298.68562169383534</v>
      </c>
    </row>
    <row r="471" spans="1:6" x14ac:dyDescent="0.25">
      <c r="A471" s="1">
        <f t="array" aca="1" ref="A471:C471" ca="1">ODE_RK4(A470:C470,$B$5,$E$3,$F$3,$G$3)</f>
        <v>46.300000000000388</v>
      </c>
      <c r="B471" s="1">
        <f ca="1"/>
        <v>300.60886545027626</v>
      </c>
      <c r="C471" s="1">
        <f ca="1"/>
        <v>18.795448741117813</v>
      </c>
      <c r="D471" s="1"/>
      <c r="E471">
        <f t="shared" ca="1" si="15"/>
        <v>2</v>
      </c>
      <c r="F471" s="1">
        <f t="shared" ca="1" si="14"/>
        <v>300.60886545027626</v>
      </c>
    </row>
    <row r="472" spans="1:6" x14ac:dyDescent="0.25">
      <c r="A472" s="1">
        <f t="array" aca="1" ref="A472:C472" ca="1">ODE_RK4(A471:C471,$B$5,$E$3,$F$3,$G$3)</f>
        <v>46.400000000000389</v>
      </c>
      <c r="B472" s="1">
        <f ca="1"/>
        <v>302.45703855654409</v>
      </c>
      <c r="C472" s="1">
        <f ca="1"/>
        <v>18.041992227789109</v>
      </c>
      <c r="D472" s="1"/>
      <c r="E472">
        <f t="shared" ca="1" si="15"/>
        <v>2</v>
      </c>
      <c r="F472" s="1">
        <f t="shared" ca="1" si="14"/>
        <v>302.45703855654409</v>
      </c>
    </row>
    <row r="473" spans="1:6" x14ac:dyDescent="0.25">
      <c r="A473" s="1">
        <f t="array" aca="1" ref="A473:C473" ca="1">ODE_RK4(A472:C472,$B$5,$E$3,$F$3,$G$3)</f>
        <v>46.500000000000391</v>
      </c>
      <c r="B473" s="1">
        <f ca="1"/>
        <v>304.22967585040527</v>
      </c>
      <c r="C473" s="1">
        <f ca="1"/>
        <v>17.283993910155669</v>
      </c>
      <c r="D473" s="1"/>
      <c r="E473">
        <f t="shared" ca="1" si="15"/>
        <v>2</v>
      </c>
      <c r="F473" s="1">
        <f t="shared" ca="1" si="14"/>
        <v>304.22967585040527</v>
      </c>
    </row>
    <row r="474" spans="1:6" x14ac:dyDescent="0.25">
      <c r="A474" s="1">
        <f t="array" aca="1" ref="A474:C474" ca="1">ODE_RK4(A473:C473,$B$5,$E$3,$F$3,$G$3)</f>
        <v>46.600000000000392</v>
      </c>
      <c r="B474" s="1">
        <f ca="1"/>
        <v>305.92633103383787</v>
      </c>
      <c r="C474" s="1">
        <f ca="1"/>
        <v>16.521643094945972</v>
      </c>
      <c r="D474" s="1"/>
      <c r="E474">
        <f t="shared" ca="1" si="15"/>
        <v>2</v>
      </c>
      <c r="F474" s="1">
        <f t="shared" ca="1" si="14"/>
        <v>305.92633103383787</v>
      </c>
    </row>
    <row r="475" spans="1:6" x14ac:dyDescent="0.25">
      <c r="A475" s="1">
        <f t="array" aca="1" ref="A475:C475" ca="1">ODE_RK4(A474:C474,$B$5,$E$3,$F$3,$G$3)</f>
        <v>46.700000000000394</v>
      </c>
      <c r="B475" s="1">
        <f ca="1"/>
        <v>307.54657678539002</v>
      </c>
      <c r="C475" s="1">
        <f ca="1"/>
        <v>15.755130184879489</v>
      </c>
      <c r="D475" s="1"/>
      <c r="E475">
        <f t="shared" ca="1" si="15"/>
        <v>2</v>
      </c>
      <c r="F475" s="1">
        <f t="shared" ca="1" si="14"/>
        <v>307.54657678539002</v>
      </c>
    </row>
    <row r="476" spans="1:6" x14ac:dyDescent="0.25">
      <c r="A476" s="1">
        <f t="array" aca="1" ref="A476:C476" ca="1">ODE_RK4(A475:C475,$B$5,$E$3,$F$3,$G$3)</f>
        <v>46.800000000000395</v>
      </c>
      <c r="B476" s="1">
        <f ca="1"/>
        <v>309.09000486779894</v>
      </c>
      <c r="C476" s="1">
        <f ca="1"/>
        <v>14.984646631112559</v>
      </c>
      <c r="D476" s="1"/>
      <c r="E476">
        <f t="shared" ca="1" si="15"/>
        <v>2</v>
      </c>
      <c r="F476" s="1">
        <f t="shared" ca="1" si="14"/>
        <v>309.09000486779894</v>
      </c>
    </row>
    <row r="477" spans="1:6" x14ac:dyDescent="0.25">
      <c r="A477" s="1">
        <f t="array" aca="1" ref="A477:C477" ca="1">ODE_RK4(A476:C476,$B$5,$E$3,$F$3,$G$3)</f>
        <v>46.900000000000396</v>
      </c>
      <c r="B477" s="1">
        <f ca="1"/>
        <v>310.55622623084338</v>
      </c>
      <c r="C477" s="1">
        <f ca="1"/>
        <v>14.210384885420209</v>
      </c>
      <c r="D477" s="1"/>
      <c r="E477">
        <f t="shared" ca="1" si="15"/>
        <v>2</v>
      </c>
      <c r="F477" s="1">
        <f t="shared" ca="1" si="14"/>
        <v>310.55622623084338</v>
      </c>
    </row>
    <row r="478" spans="1:6" x14ac:dyDescent="0.25">
      <c r="A478" s="1">
        <f t="array" aca="1" ref="A478:C478" ca="1">ODE_RK4(A477:C477,$B$5,$E$3,$F$3,$G$3)</f>
        <v>47.000000000000398</v>
      </c>
      <c r="B478" s="1">
        <f ca="1"/>
        <v>311.94487110940366</v>
      </c>
      <c r="C478" s="1">
        <f ca="1"/>
        <v>13.432538352125816</v>
      </c>
      <c r="D478" s="1"/>
      <c r="E478">
        <f t="shared" ca="1" si="15"/>
        <v>2</v>
      </c>
      <c r="F478" s="1">
        <f t="shared" ca="1" si="14"/>
        <v>311.94487110940366</v>
      </c>
    </row>
    <row r="479" spans="1:6" x14ac:dyDescent="0.25">
      <c r="A479" s="1">
        <f t="array" aca="1" ref="A479:C479" ca="1">ODE_RK4(A478:C478,$B$5,$E$3,$F$3,$G$3)</f>
        <v>47.100000000000399</v>
      </c>
      <c r="B479" s="1">
        <f ca="1"/>
        <v>313.25558911670487</v>
      </c>
      <c r="C479" s="1">
        <f ca="1"/>
        <v>12.651301339790633</v>
      </c>
      <c r="D479" s="1"/>
      <c r="E479">
        <f t="shared" ca="1" si="15"/>
        <v>2</v>
      </c>
      <c r="F479" s="1">
        <f t="shared" ca="1" si="14"/>
        <v>313.25558911670487</v>
      </c>
    </row>
    <row r="480" spans="1:6" x14ac:dyDescent="0.25">
      <c r="A480" s="1">
        <f t="array" aca="1" ref="A480:C480" ca="1">ODE_RK4(A479:C479,$B$5,$E$3,$F$3,$G$3)</f>
        <v>47.200000000000401</v>
      </c>
      <c r="B480" s="1">
        <f ca="1"/>
        <v>314.48804933271913</v>
      </c>
      <c r="C480" s="1">
        <f ca="1"/>
        <v>11.866869012675258</v>
      </c>
      <c r="D480" s="1"/>
      <c r="E480">
        <f t="shared" ca="1" si="15"/>
        <v>2</v>
      </c>
      <c r="F480" s="1">
        <f t="shared" ca="1" si="14"/>
        <v>314.48804933271913</v>
      </c>
    </row>
    <row r="481" spans="1:6" x14ac:dyDescent="0.25">
      <c r="A481" s="1">
        <f t="array" aca="1" ref="A481:C481" ca="1">ODE_RK4(A480:C480,$B$5,$E$3,$F$3,$G$3)</f>
        <v>47.300000000000402</v>
      </c>
      <c r="B481" s="1">
        <f ca="1"/>
        <v>315.64194038770512</v>
      </c>
      <c r="C481" s="1">
        <f ca="1"/>
        <v>11.079437341985146</v>
      </c>
      <c r="D481" s="1"/>
      <c r="E481">
        <f t="shared" ca="1" si="15"/>
        <v>2</v>
      </c>
      <c r="F481" s="1">
        <f t="shared" ca="1" si="14"/>
        <v>315.64194038770512</v>
      </c>
    </row>
    <row r="482" spans="1:6" x14ac:dyDescent="0.25">
      <c r="A482" s="1">
        <f t="array" aca="1" ref="A482:C482" ca="1">ODE_RK4(A481:C481,$B$5,$E$3,$F$3,$G$3)</f>
        <v>47.400000000000404</v>
      </c>
      <c r="B482" s="1">
        <f ca="1"/>
        <v>316.71697054086366</v>
      </c>
      <c r="C482" s="1">
        <f ca="1"/>
        <v>10.28920305691237</v>
      </c>
      <c r="D482" s="1"/>
      <c r="E482">
        <f t="shared" ca="1" si="15"/>
        <v>2</v>
      </c>
      <c r="F482" s="1">
        <f t="shared" ca="1" si="14"/>
        <v>316.71697054086366</v>
      </c>
    </row>
    <row r="483" spans="1:6" x14ac:dyDescent="0.25">
      <c r="A483" s="1">
        <f t="array" aca="1" ref="A483:C483" ca="1">ODE_RK4(A482:C482,$B$5,$E$3,$F$3,$G$3)</f>
        <v>47.500000000000405</v>
      </c>
      <c r="B483" s="1">
        <f ca="1"/>
        <v>317.71286775408925</v>
      </c>
      <c r="C483" s="1">
        <f ca="1"/>
        <v>9.496363595485839</v>
      </c>
      <c r="D483" s="1"/>
      <c r="E483">
        <f t="shared" ca="1" si="15"/>
        <v>2</v>
      </c>
      <c r="F483" s="1">
        <f t="shared" ca="1" si="14"/>
        <v>317.71286775408925</v>
      </c>
    </row>
    <row r="484" spans="1:6" x14ac:dyDescent="0.25">
      <c r="A484" s="1">
        <f t="array" aca="1" ref="A484:C484" ca="1">ODE_RK4(A483:C483,$B$5,$E$3,$F$3,$G$3)</f>
        <v>47.600000000000406</v>
      </c>
      <c r="B484" s="1">
        <f ca="1"/>
        <v>318.62937976079917</v>
      </c>
      <c r="C484" s="1">
        <f ca="1"/>
        <v>8.7011170552422694</v>
      </c>
      <c r="D484" s="1"/>
      <c r="E484">
        <f t="shared" ca="1" si="15"/>
        <v>2</v>
      </c>
      <c r="F484" s="1">
        <f t="shared" ca="1" si="14"/>
        <v>318.62937976079917</v>
      </c>
    </row>
    <row r="485" spans="1:6" x14ac:dyDescent="0.25">
      <c r="A485" s="1">
        <f t="array" aca="1" ref="A485:C485" ca="1">ODE_RK4(A484:C484,$B$5,$E$3,$F$3,$G$3)</f>
        <v>47.700000000000408</v>
      </c>
      <c r="B485" s="1">
        <f ca="1"/>
        <v>319.46627412982286</v>
      </c>
      <c r="C485" s="1">
        <f ca="1"/>
        <v>7.9036621437302239</v>
      </c>
      <c r="D485" s="1"/>
      <c r="E485">
        <f t="shared" ca="1" si="15"/>
        <v>2</v>
      </c>
      <c r="F485" s="1">
        <f t="shared" ca="1" si="14"/>
        <v>319.46627412982286</v>
      </c>
    </row>
    <row r="486" spans="1:6" x14ac:dyDescent="0.25">
      <c r="A486" s="1">
        <f t="array" aca="1" ref="A486:C486" ca="1">ODE_RK4(A485:C485,$B$5,$E$3,$F$3,$G$3)</f>
        <v>47.800000000000409</v>
      </c>
      <c r="B486" s="1">
        <f ca="1"/>
        <v>320.22333832433486</v>
      </c>
      <c r="C486" s="1">
        <f ca="1"/>
        <v>7.1041981288595881</v>
      </c>
      <c r="D486" s="1"/>
      <c r="E486">
        <f t="shared" ca="1" si="15"/>
        <v>2</v>
      </c>
      <c r="F486" s="1">
        <f t="shared" ca="1" si="14"/>
        <v>320.22333832433486</v>
      </c>
    </row>
    <row r="487" spans="1:6" x14ac:dyDescent="0.25">
      <c r="A487" s="1">
        <f t="array" aca="1" ref="A487:C487" ca="1">ODE_RK4(A486:C486,$B$5,$E$3,$F$3,$G$3)</f>
        <v>47.900000000000411</v>
      </c>
      <c r="B487" s="1">
        <f ca="1"/>
        <v>320.90037975581703</v>
      </c>
      <c r="C487" s="1">
        <f ca="1"/>
        <v>6.3029247891088929</v>
      </c>
      <c r="D487" s="1"/>
      <c r="E487">
        <f t="shared" ca="1" si="15"/>
        <v>2</v>
      </c>
      <c r="F487" s="1">
        <f t="shared" ca="1" si="14"/>
        <v>320.90037975581703</v>
      </c>
    </row>
    <row r="488" spans="1:6" x14ac:dyDescent="0.25">
      <c r="A488" s="1">
        <f t="array" aca="1" ref="A488:C488" ca="1">ODE_RK4(A487:C487,$B$5,$E$3,$F$3,$G$3)</f>
        <v>48.000000000000412</v>
      </c>
      <c r="B488" s="1">
        <f ca="1"/>
        <v>321.49722583303577</v>
      </c>
      <c r="C488" s="1">
        <f ca="1"/>
        <v>5.5000423636029199</v>
      </c>
      <c r="D488" s="1"/>
      <c r="E488">
        <f t="shared" ca="1" si="15"/>
        <v>2</v>
      </c>
      <c r="F488" s="1">
        <f t="shared" ca="1" si="14"/>
        <v>321.49722583303577</v>
      </c>
    </row>
    <row r="489" spans="1:6" x14ac:dyDescent="0.25">
      <c r="A489" s="1">
        <f t="array" aca="1" ref="A489:C489" ca="1">ODE_RK4(A488:C488,$B$5,$E$3,$F$3,$G$3)</f>
        <v>48.100000000000414</v>
      </c>
      <c r="B489" s="1">
        <f ca="1"/>
        <v>322.01372400602224</v>
      </c>
      <c r="C489" s="1">
        <f ca="1"/>
        <v>4.6957515020730698</v>
      </c>
      <c r="D489" s="1"/>
      <c r="E489">
        <f t="shared" ca="1" si="15"/>
        <v>2</v>
      </c>
      <c r="F489" s="1">
        <f t="shared" ca="1" si="14"/>
        <v>322.01372400602224</v>
      </c>
    </row>
    <row r="490" spans="1:6" x14ac:dyDescent="0.25">
      <c r="A490" s="1">
        <f t="array" aca="1" ref="A490:C490" ca="1">ODE_RK4(A489:C489,$B$5,$E$3,$F$3,$G$3)</f>
        <v>48.200000000000415</v>
      </c>
      <c r="B490" s="1">
        <f ca="1"/>
        <v>322.4497418050442</v>
      </c>
      <c r="C490" s="1">
        <f ca="1"/>
        <v>3.8902532147129958</v>
      </c>
      <c r="D490" s="1"/>
      <c r="E490">
        <f t="shared" ca="1" si="15"/>
        <v>2</v>
      </c>
      <c r="F490" s="1">
        <f t="shared" ca="1" si="14"/>
        <v>322.4497418050442</v>
      </c>
    </row>
    <row r="491" spans="1:6" x14ac:dyDescent="0.25">
      <c r="A491" s="1">
        <f t="array" aca="1" ref="A491:C491" ca="1">ODE_RK4(A490:C490,$B$5,$E$3,$F$3,$G$3)</f>
        <v>48.300000000000416</v>
      </c>
      <c r="B491" s="1">
        <f ca="1"/>
        <v>322.80516687455929</v>
      </c>
      <c r="C491" s="1">
        <f ca="1"/>
        <v>3.0837488219420317</v>
      </c>
      <c r="D491" s="1"/>
      <c r="E491">
        <f t="shared" ca="1" si="15"/>
        <v>2</v>
      </c>
      <c r="F491" s="1">
        <f t="shared" ca="1" si="14"/>
        <v>322.80516687455929</v>
      </c>
    </row>
    <row r="492" spans="1:6" x14ac:dyDescent="0.25">
      <c r="A492" s="1">
        <f t="array" aca="1" ref="A492:C492" ca="1">ODE_RK4(A491:C491,$B$5,$E$3,$F$3,$G$3)</f>
        <v>48.400000000000418</v>
      </c>
      <c r="B492" s="1">
        <f ca="1"/>
        <v>323.07990700214157</v>
      </c>
      <c r="C492" s="1">
        <f ca="1"/>
        <v>2.2764399040889742</v>
      </c>
      <c r="D492" s="1"/>
      <c r="E492">
        <f t="shared" ca="1" si="15"/>
        <v>2</v>
      </c>
      <c r="F492" s="1">
        <f t="shared" ca="1" si="14"/>
        <v>323.07990700214157</v>
      </c>
    </row>
    <row r="493" spans="1:6" x14ac:dyDescent="0.25">
      <c r="A493" s="1">
        <f t="array" aca="1" ref="A493:C493" ca="1">ODE_RK4(A492:C492,$B$5,$E$3,$F$3,$G$3)</f>
        <v>48.500000000000419</v>
      </c>
      <c r="B493" s="1">
        <f ca="1"/>
        <v>323.27389014237332</v>
      </c>
      <c r="C493" s="1">
        <f ca="1"/>
        <v>1.4685282510087934</v>
      </c>
      <c r="D493" s="1"/>
      <c r="E493">
        <f t="shared" ca="1" si="15"/>
        <v>2</v>
      </c>
      <c r="F493" s="1">
        <f t="shared" ca="1" si="14"/>
        <v>323.27389014237332</v>
      </c>
    </row>
    <row r="494" spans="1:6" x14ac:dyDescent="0.25">
      <c r="A494" s="1">
        <f t="array" aca="1" ref="A494:C494" ca="1">ODE_RK4(A493:C493,$B$5,$E$3,$F$3,$G$3)</f>
        <v>48.600000000000421</v>
      </c>
      <c r="B494" s="1">
        <f ca="1"/>
        <v>323.38706443569646</v>
      </c>
      <c r="C494" s="1">
        <f ca="1"/>
        <v>0.66021581164486032</v>
      </c>
      <c r="D494" s="1"/>
      <c r="E494">
        <f t="shared" ca="1" si="15"/>
        <v>3</v>
      </c>
      <c r="F494" s="1">
        <f t="shared" ca="1" si="14"/>
        <v>323.38706443569646</v>
      </c>
    </row>
    <row r="495" spans="1:6" x14ac:dyDescent="0.25">
      <c r="A495" s="1">
        <f t="array" aca="1" ref="A495:C495" ca="1">ODE_RK4(A494:C494,$B$5,$E$3,$F$3,$G$3)</f>
        <v>48.700000000000422</v>
      </c>
      <c r="B495" s="1">
        <f ca="1"/>
        <v>323.41939822221804</v>
      </c>
      <c r="C495" s="1">
        <f ca="1"/>
        <v>-0.14829535645069547</v>
      </c>
      <c r="D495" s="1"/>
      <c r="E495">
        <f t="shared" ca="1" si="15"/>
        <v>3</v>
      </c>
      <c r="F495" s="1">
        <f t="shared" ca="1" si="14"/>
        <v>323.41939822221804</v>
      </c>
    </row>
    <row r="496" spans="1:6" x14ac:dyDescent="0.25">
      <c r="A496" s="1">
        <f t="array" aca="1" ref="A496:C496" ca="1">ODE_RK4(A495:C495,$B$5,$E$3,$F$3,$G$3)</f>
        <v>48.800000000000423</v>
      </c>
      <c r="B496" s="1">
        <f ca="1"/>
        <v>323.37088005046684</v>
      </c>
      <c r="C496" s="1">
        <f ca="1"/>
        <v>-0.95680313762588376</v>
      </c>
      <c r="D496" s="1"/>
      <c r="E496">
        <f t="shared" ca="1" si="15"/>
        <v>3</v>
      </c>
      <c r="F496" s="1">
        <f t="shared" ca="1" si="14"/>
        <v>323.37088005046684</v>
      </c>
    </row>
    <row r="497" spans="1:6" x14ac:dyDescent="0.25">
      <c r="A497" s="1">
        <f t="array" aca="1" ref="A497:C497" ca="1">ODE_RK4(A496:C496,$B$5,$E$3,$F$3,$G$3)</f>
        <v>48.900000000000425</v>
      </c>
      <c r="B497" s="1">
        <f ca="1"/>
        <v>323.24151868109794</v>
      </c>
      <c r="C497" s="1">
        <f ca="1"/>
        <v>-1.7651054086543816</v>
      </c>
      <c r="D497" s="1"/>
      <c r="E497">
        <f t="shared" ca="1" si="15"/>
        <v>3</v>
      </c>
      <c r="F497" s="1">
        <f t="shared" ca="1" si="14"/>
        <v>323.24151868109794</v>
      </c>
    </row>
    <row r="498" spans="1:6" x14ac:dyDescent="0.25">
      <c r="A498" s="1">
        <f t="array" aca="1" ref="A498:C498" ca="1">ODE_RK4(A497:C497,$B$5,$E$3,$F$3,$G$3)</f>
        <v>49.000000000000426</v>
      </c>
      <c r="B498" s="1">
        <f ca="1"/>
        <v>323.03134308554502</v>
      </c>
      <c r="C498" s="1">
        <f ca="1"/>
        <v>-2.5730000892650593</v>
      </c>
      <c r="D498" s="1"/>
      <c r="E498">
        <f t="shared" ca="1" si="15"/>
        <v>3</v>
      </c>
      <c r="F498" s="1">
        <f t="shared" ca="1" si="14"/>
        <v>323.03134308554502</v>
      </c>
    </row>
    <row r="499" spans="1:6" x14ac:dyDescent="0.25">
      <c r="A499" s="1">
        <f t="array" aca="1" ref="A499:C499" ca="1">ODE_RK4(A498:C498,$B$5,$E$3,$F$3,$G$3)</f>
        <v>49.100000000000428</v>
      </c>
      <c r="B499" s="1">
        <f ca="1"/>
        <v>322.74040243961946</v>
      </c>
      <c r="C499" s="1">
        <f ca="1"/>
        <v>-3.3802851926628721</v>
      </c>
      <c r="D499" s="1"/>
      <c r="E499">
        <f t="shared" ca="1" si="15"/>
        <v>3</v>
      </c>
      <c r="F499" s="1">
        <f t="shared" ca="1" si="14"/>
        <v>322.74040243961946</v>
      </c>
    </row>
    <row r="500" spans="1:6" x14ac:dyDescent="0.25">
      <c r="A500" s="1">
        <f t="array" aca="1" ref="A500:C500" ca="1">ODE_RK4(A499:C499,$B$5,$E$3,$F$3,$G$3)</f>
        <v>49.200000000000429</v>
      </c>
      <c r="B500" s="1">
        <f ca="1"/>
        <v>322.36876611205849</v>
      </c>
      <c r="C500" s="1">
        <f ca="1"/>
        <v>-4.1867588760284908</v>
      </c>
      <c r="D500" s="1"/>
      <c r="E500">
        <f t="shared" ca="1" si="15"/>
        <v>3</v>
      </c>
      <c r="F500" s="1">
        <f t="shared" ca="1" si="14"/>
        <v>322.36876611205849</v>
      </c>
    </row>
    <row r="501" spans="1:6" x14ac:dyDescent="0.25">
      <c r="A501" s="1">
        <f t="array" aca="1" ref="A501:C501" ca="1">ODE_RK4(A500:C500,$B$5,$E$3,$F$3,$G$3)</f>
        <v>49.300000000000431</v>
      </c>
      <c r="B501" s="1">
        <f ca="1"/>
        <v>321.91652364802479</v>
      </c>
      <c r="C501" s="1">
        <f ca="1"/>
        <v>-4.9922194909840405</v>
      </c>
      <c r="D501" s="1"/>
      <c r="E501">
        <f t="shared" ca="1" si="15"/>
        <v>3</v>
      </c>
      <c r="F501" s="1">
        <f t="shared" ca="1" si="14"/>
        <v>321.91652364802479</v>
      </c>
    </row>
    <row r="502" spans="1:6" x14ac:dyDescent="0.25">
      <c r="A502" s="1">
        <f t="array" aca="1" ref="A502:C502" ca="1">ODE_RK4(A501:C501,$B$5,$E$3,$F$3,$G$3)</f>
        <v>49.400000000000432</v>
      </c>
      <c r="B502" s="1">
        <f ca="1"/>
        <v>321.38378474756109</v>
      </c>
      <c r="C502" s="1">
        <f ca="1"/>
        <v>-5.7964656340123337</v>
      </c>
      <c r="D502" s="1"/>
      <c r="E502">
        <f t="shared" ca="1" si="15"/>
        <v>3</v>
      </c>
      <c r="F502" s="1">
        <f t="shared" ca="1" si="14"/>
        <v>321.38378474756109</v>
      </c>
    </row>
    <row r="503" spans="1:6" x14ac:dyDescent="0.25">
      <c r="A503" s="1">
        <f t="array" aca="1" ref="A503:C503" ca="1">ODE_RK4(A502:C502,$B$5,$E$3,$F$3,$G$3)</f>
        <v>49.500000000000433</v>
      </c>
      <c r="B503" s="1">
        <f ca="1"/>
        <v>320.77067923900557</v>
      </c>
      <c r="C503" s="1">
        <f ca="1"/>
        <v>-6.5992961968169919</v>
      </c>
      <c r="D503" s="1"/>
      <c r="E503">
        <f t="shared" ca="1" si="15"/>
        <v>3</v>
      </c>
      <c r="F503" s="1">
        <f t="shared" ca="1" si="14"/>
        <v>320.77067923900557</v>
      </c>
    </row>
    <row r="504" spans="1:6" x14ac:dyDescent="0.25">
      <c r="A504" s="1">
        <f t="array" aca="1" ref="A504:C504" ca="1">ODE_RK4(A503:C503,$B$5,$E$3,$F$3,$G$3)</f>
        <v>49.600000000000435</v>
      </c>
      <c r="B504" s="1">
        <f ca="1"/>
        <v>320.07735704737394</v>
      </c>
      <c r="C504" s="1">
        <f ca="1"/>
        <v>-7.4005104166108557</v>
      </c>
      <c r="D504" s="1"/>
      <c r="E504">
        <f t="shared" ca="1" si="15"/>
        <v>3</v>
      </c>
      <c r="F504" s="1">
        <f t="shared" ca="1" si="14"/>
        <v>320.07735704737394</v>
      </c>
    </row>
    <row r="505" spans="1:6" x14ac:dyDescent="0.25">
      <c r="A505" s="1">
        <f t="array" aca="1" ref="A505:C505" ca="1">ODE_RK4(A504:C504,$B$5,$E$3,$F$3,$G$3)</f>
        <v>49.700000000000436</v>
      </c>
      <c r="B505" s="1">
        <f ca="1"/>
        <v>319.30398815771622</v>
      </c>
      <c r="C505" s="1">
        <f ca="1"/>
        <v>-8.1999079263201224</v>
      </c>
      <c r="D505" s="1"/>
      <c r="E505">
        <f t="shared" ca="1" si="15"/>
        <v>3</v>
      </c>
      <c r="F505" s="1">
        <f t="shared" ca="1" si="14"/>
        <v>319.30398815771622</v>
      </c>
    </row>
    <row r="506" spans="1:6" x14ac:dyDescent="0.25">
      <c r="A506" s="1">
        <f t="array" aca="1" ref="A506:C506" ca="1">ODE_RK4(A505:C505,$B$5,$E$3,$F$3,$G$3)</f>
        <v>49.800000000000438</v>
      </c>
      <c r="B506" s="1">
        <f ca="1"/>
        <v>318.4507625734571</v>
      </c>
      <c r="C506" s="1">
        <f ca="1"/>
        <v>-8.9972888046916442</v>
      </c>
      <c r="D506" s="1"/>
      <c r="E506">
        <f t="shared" ca="1" si="15"/>
        <v>3</v>
      </c>
      <c r="F506" s="1">
        <f t="shared" ca="1" si="14"/>
        <v>318.4507625734571</v>
      </c>
    </row>
    <row r="507" spans="1:6" x14ac:dyDescent="0.25">
      <c r="A507" s="1">
        <f t="array" aca="1" ref="A507:C507" ca="1">ODE_RK4(A506:C506,$B$5,$E$3,$F$3,$G$3)</f>
        <v>49.900000000000439</v>
      </c>
      <c r="B507" s="1">
        <f ca="1"/>
        <v>317.51789026973012</v>
      </c>
      <c r="C507" s="1">
        <f ca="1"/>
        <v>-9.7924536262908592</v>
      </c>
      <c r="D507" s="1"/>
      <c r="E507">
        <f t="shared" ca="1" si="15"/>
        <v>3</v>
      </c>
      <c r="F507" s="1">
        <f t="shared" ca="1" si="14"/>
        <v>317.51789026973012</v>
      </c>
    </row>
    <row r="508" spans="1:6" x14ac:dyDescent="0.25">
      <c r="A508" s="1">
        <f t="array" aca="1" ref="A508:C508" ca="1">ODE_RK4(A507:C507,$B$5,$E$3,$F$3,$G$3)</f>
        <v>50.000000000000441</v>
      </c>
      <c r="B508" s="1">
        <f ca="1"/>
        <v>316.50560114171691</v>
      </c>
      <c r="C508" s="1">
        <f ca="1"/>
        <v>-10.585203511377859</v>
      </c>
      <c r="D508" s="1"/>
      <c r="E508">
        <f t="shared" ca="1" si="15"/>
        <v>3</v>
      </c>
      <c r="F508" s="1">
        <f t="shared" ca="1" si="14"/>
        <v>316.50560114171691</v>
      </c>
    </row>
    <row r="509" spans="1:6" x14ac:dyDescent="0.25">
      <c r="A509" s="1">
        <f t="array" aca="1" ref="A509:C509" ca="1">ODE_RK4(A508:C508,$B$5,$E$3,$F$3,$G$3)</f>
        <v>50.100000000000442</v>
      </c>
      <c r="B509" s="1">
        <f ca="1"/>
        <v>315.41414494800449</v>
      </c>
      <c r="C509" s="1">
        <f ca="1"/>
        <v>-11.375340175649111</v>
      </c>
      <c r="D509" s="1"/>
      <c r="E509">
        <f t="shared" ca="1" si="15"/>
        <v>3</v>
      </c>
      <c r="F509" s="1">
        <f t="shared" ca="1" si="14"/>
        <v>315.41414494800449</v>
      </c>
    </row>
    <row r="510" spans="1:6" x14ac:dyDescent="0.25">
      <c r="A510" s="1">
        <f t="array" aca="1" ref="A510:C510" ca="1">ODE_RK4(A509:C509,$B$5,$E$3,$F$3,$G$3)</f>
        <v>50.200000000000443</v>
      </c>
      <c r="B510" s="1">
        <f ca="1"/>
        <v>314.24379124897439</v>
      </c>
      <c r="C510" s="1">
        <f ca="1"/>
        <v>-12.162665979832392</v>
      </c>
      <c r="D510" s="1"/>
      <c r="E510">
        <f t="shared" ca="1" si="15"/>
        <v>3</v>
      </c>
      <c r="F510" s="1">
        <f t="shared" ca="1" si="14"/>
        <v>314.24379124897439</v>
      </c>
    </row>
    <row r="511" spans="1:6" x14ac:dyDescent="0.25">
      <c r="A511" s="1">
        <f t="array" aca="1" ref="A511:C511" ca="1">ODE_RK4(A510:C510,$B$5,$E$3,$F$3,$G$3)</f>
        <v>50.300000000000445</v>
      </c>
      <c r="B511" s="1">
        <f ca="1"/>
        <v>312.99482934023882</v>
      </c>
      <c r="C511" s="1">
        <f ca="1"/>
        <v>-12.946983979122543</v>
      </c>
      <c r="D511" s="1"/>
      <c r="E511">
        <f t="shared" ca="1" si="15"/>
        <v>3</v>
      </c>
      <c r="F511" s="1">
        <f t="shared" ca="1" si="14"/>
        <v>312.99482934023882</v>
      </c>
    </row>
    <row r="512" spans="1:6" x14ac:dyDescent="0.25">
      <c r="A512" s="1">
        <f t="array" aca="1" ref="A512:C512" ca="1">ODE_RK4(A511:C511,$B$5,$E$3,$F$3,$G$3)</f>
        <v>50.400000000000446</v>
      </c>
      <c r="B512" s="1">
        <f ca="1"/>
        <v>311.66756818114055</v>
      </c>
      <c r="C512" s="1">
        <f ca="1"/>
        <v>-13.728097972445658</v>
      </c>
      <c r="D512" s="1"/>
      <c r="E512">
        <f t="shared" ca="1" si="15"/>
        <v>3</v>
      </c>
      <c r="F512" s="1">
        <f t="shared" ca="1" si="14"/>
        <v>311.66756818114055</v>
      </c>
    </row>
    <row r="513" spans="1:6" x14ac:dyDescent="0.25">
      <c r="A513" s="1">
        <f t="array" aca="1" ref="A513:C513" ca="1">ODE_RK4(A512:C512,$B$5,$E$3,$F$3,$G$3)</f>
        <v>50.500000000000448</v>
      </c>
      <c r="B513" s="1">
        <f ca="1"/>
        <v>310.26233631833378</v>
      </c>
      <c r="C513" s="1">
        <f ca="1"/>
        <v>-14.50581255153941</v>
      </c>
      <c r="D513" s="1"/>
      <c r="E513">
        <f t="shared" ca="1" si="15"/>
        <v>3</v>
      </c>
      <c r="F513" s="1">
        <f t="shared" ca="1" si="14"/>
        <v>310.26233631833378</v>
      </c>
    </row>
    <row r="514" spans="1:6" x14ac:dyDescent="0.25">
      <c r="A514" s="1">
        <f t="array" aca="1" ref="A514:C514" ca="1">ODE_RK4(A513:C513,$B$5,$E$3,$F$3,$G$3)</f>
        <v>50.600000000000449</v>
      </c>
      <c r="B514" s="1">
        <f ca="1"/>
        <v>308.77948180446498</v>
      </c>
      <c r="C514" s="1">
        <f ca="1"/>
        <v>-15.279933149837211</v>
      </c>
      <c r="D514" s="1"/>
      <c r="E514">
        <f t="shared" ca="1" si="15"/>
        <v>3</v>
      </c>
      <c r="F514" s="1">
        <f t="shared" ca="1" si="14"/>
        <v>308.77948180446498</v>
      </c>
    </row>
    <row r="515" spans="1:6" x14ac:dyDescent="0.25">
      <c r="A515" s="1">
        <f t="array" aca="1" ref="A515:C515" ca="1">ODE_RK4(A514:C514,$B$5,$E$3,$F$3,$G$3)</f>
        <v>50.70000000000045</v>
      </c>
      <c r="B515" s="1">
        <f ca="1"/>
        <v>307.21937211197434</v>
      </c>
      <c r="C515" s="1">
        <f ca="1"/>
        <v>-16.050266091143996</v>
      </c>
      <c r="D515" s="1"/>
      <c r="E515">
        <f t="shared" ca="1" si="15"/>
        <v>3</v>
      </c>
      <c r="F515" s="1">
        <f t="shared" ca="1" si="14"/>
        <v>307.21937211197434</v>
      </c>
    </row>
    <row r="516" spans="1:6" x14ac:dyDescent="0.25">
      <c r="A516" s="1">
        <f t="array" aca="1" ref="A516:C516" ca="1">ODE_RK4(A515:C515,$B$5,$E$3,$F$3,$G$3)</f>
        <v>50.800000000000452</v>
      </c>
      <c r="B516" s="1">
        <f ca="1"/>
        <v>305.58239404203835</v>
      </c>
      <c r="C516" s="1">
        <f ca="1"/>
        <v>-16.816618638091441</v>
      </c>
      <c r="D516" s="1"/>
      <c r="E516">
        <f t="shared" ca="1" si="15"/>
        <v>3</v>
      </c>
      <c r="F516" s="1">
        <f t="shared" ca="1" si="14"/>
        <v>305.58239404203835</v>
      </c>
    </row>
    <row r="517" spans="1:6" x14ac:dyDescent="0.25">
      <c r="A517" s="1">
        <f t="array" aca="1" ref="A517:C517" ca="1">ODE_RK4(A516:C516,$B$5,$E$3,$F$3,$G$3)</f>
        <v>50.900000000000453</v>
      </c>
      <c r="B517" s="1">
        <f ca="1"/>
        <v>303.86895362867682</v>
      </c>
      <c r="C517" s="1">
        <f ca="1"/>
        <v>-17.578799040360508</v>
      </c>
      <c r="D517" s="1"/>
      <c r="E517">
        <f t="shared" ca="1" si="15"/>
        <v>3</v>
      </c>
      <c r="F517" s="1">
        <f t="shared" ca="1" si="14"/>
        <v>303.86895362867682</v>
      </c>
    </row>
    <row r="518" spans="1:6" x14ac:dyDescent="0.25">
      <c r="A518" s="1">
        <f t="array" aca="1" ref="A518:C518" ca="1">ODE_RK4(A517:C517,$B$5,$E$3,$F$3,$G$3)</f>
        <v>51.000000000000455</v>
      </c>
      <c r="B518" s="1">
        <f ca="1"/>
        <v>302.07947603804746</v>
      </c>
      <c r="C518" s="1">
        <f ca="1"/>
        <v>-18.336616582659222</v>
      </c>
      <c r="D518" s="1"/>
      <c r="E518">
        <f t="shared" ca="1" si="15"/>
        <v>3</v>
      </c>
      <c r="F518" s="1">
        <f t="shared" ca="1" si="14"/>
        <v>302.07947603804746</v>
      </c>
    </row>
    <row r="519" spans="1:6" x14ac:dyDescent="0.25">
      <c r="A519" s="1">
        <f t="array" aca="1" ref="A519:C519" ca="1">ODE_RK4(A518:C518,$B$5,$E$3,$F$3,$G$3)</f>
        <v>51.100000000000456</v>
      </c>
      <c r="B519" s="1">
        <f ca="1"/>
        <v>300.21440546295372</v>
      </c>
      <c r="C519" s="1">
        <f ca="1"/>
        <v>-19.089881632443717</v>
      </c>
      <c r="D519" s="1"/>
      <c r="E519">
        <f t="shared" ca="1" si="15"/>
        <v>3</v>
      </c>
      <c r="F519" s="1">
        <f t="shared" ca="1" si="14"/>
        <v>300.21440546295372</v>
      </c>
    </row>
    <row r="520" spans="1:6" x14ac:dyDescent="0.25">
      <c r="A520" s="1">
        <f t="array" aca="1" ref="A520:C520" ca="1">ODE_RK4(A519:C519,$B$5,$E$3,$F$3,$G$3)</f>
        <v>51.200000000000458</v>
      </c>
      <c r="B520" s="1">
        <f ca="1"/>
        <v>298.27420501259121</v>
      </c>
      <c r="C520" s="1">
        <f ca="1"/>
        <v>-19.838405687370578</v>
      </c>
      <c r="D520" s="1"/>
      <c r="E520">
        <f t="shared" ca="1" si="15"/>
        <v>3</v>
      </c>
      <c r="F520" s="1">
        <f t="shared" ref="F520:F583" ca="1" si="16">B520</f>
        <v>298.27420501259121</v>
      </c>
    </row>
    <row r="521" spans="1:6" x14ac:dyDescent="0.25">
      <c r="A521" s="1">
        <f t="array" aca="1" ref="A521:C521" ca="1">ODE_RK4(A520:C520,$B$5,$E$3,$F$3,$G$3)</f>
        <v>51.300000000000459</v>
      </c>
      <c r="B521" s="1">
        <f ca="1"/>
        <v>296.25935659756101</v>
      </c>
      <c r="C521" s="1">
        <f ca="1"/>
        <v>-20.582001422468611</v>
      </c>
      <c r="D521" s="1"/>
      <c r="E521">
        <f t="shared" ref="E521:E584" ca="1" si="17">(C521*C522&lt;0)*1+E520</f>
        <v>3</v>
      </c>
      <c r="F521" s="1">
        <f t="shared" ca="1" si="16"/>
        <v>296.25935659756101</v>
      </c>
    </row>
    <row r="522" spans="1:6" x14ac:dyDescent="0.25">
      <c r="A522" s="1">
        <f t="array" aca="1" ref="A522:C522" ca="1">ODE_RK4(A521:C521,$B$5,$E$3,$F$3,$G$3)</f>
        <v>51.40000000000046</v>
      </c>
      <c r="B522" s="1">
        <f ca="1"/>
        <v>294.17036081017739</v>
      </c>
      <c r="C522" s="1">
        <f ca="1"/>
        <v>-21.320482737018253</v>
      </c>
      <c r="D522" s="1"/>
      <c r="E522">
        <f t="shared" ca="1" si="17"/>
        <v>3</v>
      </c>
      <c r="F522" s="1">
        <f t="shared" ca="1" si="16"/>
        <v>294.17036081017739</v>
      </c>
    </row>
    <row r="523" spans="1:6" x14ac:dyDescent="0.25">
      <c r="A523" s="1">
        <f t="array" aca="1" ref="A523:C523" ca="1">ODE_RK4(A522:C522,$B$5,$E$3,$F$3,$G$3)</f>
        <v>51.500000000000462</v>
      </c>
      <c r="B523" s="1">
        <f ca="1"/>
        <v>292.0077368001007</v>
      </c>
      <c r="C523" s="1">
        <f ca="1"/>
        <v>-22.053664801126864</v>
      </c>
      <c r="D523" s="1"/>
      <c r="E523">
        <f t="shared" ca="1" si="17"/>
        <v>3</v>
      </c>
      <c r="F523" s="1">
        <f t="shared" ca="1" si="16"/>
        <v>292.0077368001007</v>
      </c>
    </row>
    <row r="524" spans="1:6" x14ac:dyDescent="0.25">
      <c r="A524" s="1">
        <f t="array" aca="1" ref="A524:C524" ca="1">ODE_RK4(A523:C523,$B$5,$E$3,$F$3,$G$3)</f>
        <v>51.600000000000463</v>
      </c>
      <c r="B524" s="1">
        <f ca="1"/>
        <v>289.77202214532559</v>
      </c>
      <c r="C524" s="1">
        <f ca="1"/>
        <v>-22.78136410198827</v>
      </c>
      <c r="D524" s="1"/>
      <c r="E524">
        <f t="shared" ca="1" si="17"/>
        <v>3</v>
      </c>
      <c r="F524" s="1">
        <f t="shared" ca="1" si="16"/>
        <v>289.77202214532559</v>
      </c>
    </row>
    <row r="525" spans="1:6" x14ac:dyDescent="0.25">
      <c r="A525" s="1">
        <f t="array" aca="1" ref="A525:C525" ca="1">ODE_RK4(A524:C524,$B$5,$E$3,$F$3,$G$3)</f>
        <v>51.700000000000465</v>
      </c>
      <c r="B525" s="1">
        <f ca="1"/>
        <v>287.46377271855675</v>
      </c>
      <c r="C525" s="1">
        <f ca="1"/>
        <v>-23.503398489814966</v>
      </c>
      <c r="D525" s="1"/>
      <c r="E525">
        <f t="shared" ca="1" si="17"/>
        <v>3</v>
      </c>
      <c r="F525" s="1">
        <f t="shared" ca="1" si="16"/>
        <v>287.46377271855675</v>
      </c>
    </row>
    <row r="526" spans="1:6" x14ac:dyDescent="0.25">
      <c r="A526" s="1">
        <f t="array" aca="1" ref="A526:C526" ca="1">ODE_RK4(A525:C525,$B$5,$E$3,$F$3,$G$3)</f>
        <v>51.800000000000466</v>
      </c>
      <c r="B526" s="1">
        <f ca="1"/>
        <v>285.08356254900582</v>
      </c>
      <c r="C526" s="1">
        <f ca="1"/>
        <v>-24.219587223431475</v>
      </c>
      <c r="D526" s="1"/>
      <c r="E526">
        <f t="shared" ca="1" si="17"/>
        <v>3</v>
      </c>
      <c r="F526" s="1">
        <f t="shared" ca="1" si="16"/>
        <v>285.08356254900582</v>
      </c>
    </row>
    <row r="527" spans="1:6" x14ac:dyDescent="0.25">
      <c r="A527" s="1">
        <f t="array" aca="1" ref="A527:C527" ca="1">ODE_RK4(A526:C526,$B$5,$E$3,$F$3,$G$3)</f>
        <v>51.900000000000468</v>
      </c>
      <c r="B527" s="1">
        <f ca="1"/>
        <v>282.6319836796431</v>
      </c>
      <c r="C527" s="1">
        <f ca="1"/>
        <v>-24.929751015517478</v>
      </c>
      <c r="D527" s="1"/>
      <c r="E527">
        <f t="shared" ca="1" si="17"/>
        <v>3</v>
      </c>
      <c r="F527" s="1">
        <f t="shared" ca="1" si="16"/>
        <v>282.6319836796431</v>
      </c>
    </row>
    <row r="528" spans="1:6" x14ac:dyDescent="0.25">
      <c r="A528" s="1">
        <f t="array" aca="1" ref="A528:C528" ca="1">ODE_RK4(A527:C527,$B$5,$E$3,$F$3,$G$3)</f>
        <v>52.000000000000469</v>
      </c>
      <c r="B528" s="1">
        <f ca="1"/>
        <v>280.10964601994039</v>
      </c>
      <c r="C528" s="1">
        <f ca="1"/>
        <v>-25.633712077489356</v>
      </c>
      <c r="D528" s="1"/>
      <c r="E528">
        <f t="shared" ca="1" si="17"/>
        <v>3</v>
      </c>
      <c r="F528" s="1">
        <f t="shared" ca="1" si="16"/>
        <v>280.10964601994039</v>
      </c>
    </row>
    <row r="529" spans="1:6" x14ac:dyDescent="0.25">
      <c r="A529" s="1">
        <f t="array" aca="1" ref="A529:C529" ca="1">ODE_RK4(A528:C528,$B$5,$E$3,$F$3,$G$3)</f>
        <v>52.10000000000047</v>
      </c>
      <c r="B529" s="1">
        <f ca="1"/>
        <v>277.51717719414074</v>
      </c>
      <c r="C529" s="1">
        <f ca="1"/>
        <v>-26.331294164008938</v>
      </c>
      <c r="D529" s="1"/>
      <c r="E529">
        <f t="shared" ca="1" si="17"/>
        <v>3</v>
      </c>
      <c r="F529" s="1">
        <f t="shared" ca="1" si="16"/>
        <v>277.51717719414074</v>
      </c>
    </row>
    <row r="530" spans="1:6" x14ac:dyDescent="0.25">
      <c r="A530" s="1">
        <f t="array" aca="1" ref="A530:C530" ca="1">ODE_RK4(A529:C529,$B$5,$E$3,$F$3,$G$3)</f>
        <v>52.200000000000472</v>
      </c>
      <c r="B530" s="1">
        <f ca="1"/>
        <v>274.85522238509355</v>
      </c>
      <c r="C530" s="1">
        <f ca="1"/>
        <v>-27.022322617108276</v>
      </c>
      <c r="D530" s="1"/>
      <c r="E530">
        <f t="shared" ca="1" si="17"/>
        <v>3</v>
      </c>
      <c r="F530" s="1">
        <f t="shared" ca="1" si="16"/>
        <v>274.85522238509355</v>
      </c>
    </row>
    <row r="531" spans="1:6" x14ac:dyDescent="0.25">
      <c r="A531" s="1">
        <f t="array" aca="1" ref="A531:C531" ca="1">ODE_RK4(A530:C530,$B$5,$E$3,$F$3,$G$3)</f>
        <v>52.300000000000473</v>
      </c>
      <c r="B531" s="1">
        <f ca="1"/>
        <v>272.12444417369352</v>
      </c>
      <c r="C531" s="1">
        <f ca="1"/>
        <v>-27.706624409919463</v>
      </c>
      <c r="D531" s="1"/>
      <c r="E531">
        <f t="shared" ca="1" si="17"/>
        <v>3</v>
      </c>
      <c r="F531" s="1">
        <f t="shared" ca="1" si="16"/>
        <v>272.12444417369352</v>
      </c>
    </row>
    <row r="532" spans="1:6" x14ac:dyDescent="0.25">
      <c r="A532" s="1">
        <f t="array" aca="1" ref="A532:C532" ca="1">ODE_RK4(A531:C531,$B$5,$E$3,$F$3,$G$3)</f>
        <v>52.400000000000475</v>
      </c>
      <c r="B532" s="1">
        <f ca="1"/>
        <v>269.32552237396345</v>
      </c>
      <c r="C532" s="1">
        <f ca="1"/>
        <v>-28.384028189998464</v>
      </c>
      <c r="D532" s="1"/>
      <c r="E532">
        <f t="shared" ca="1" si="17"/>
        <v>3</v>
      </c>
      <c r="F532" s="1">
        <f t="shared" ca="1" si="16"/>
        <v>269.32552237396345</v>
      </c>
    </row>
    <row r="533" spans="1:6" x14ac:dyDescent="0.25">
      <c r="A533" s="1">
        <f t="array" aca="1" ref="A533:C533" ca="1">ODE_RK4(A532:C532,$B$5,$E$3,$F$3,$G$3)</f>
        <v>52.500000000000476</v>
      </c>
      <c r="B533" s="1">
        <f ca="1"/>
        <v>266.459153863822</v>
      </c>
      <c r="C533" s="1">
        <f ca="1"/>
        <v>-29.054364322232182</v>
      </c>
      <c r="D533" s="1"/>
      <c r="E533">
        <f t="shared" ca="1" si="17"/>
        <v>3</v>
      </c>
      <c r="F533" s="1">
        <f t="shared" ca="1" si="16"/>
        <v>266.459153863822</v>
      </c>
    </row>
    <row r="534" spans="1:6" x14ac:dyDescent="0.25">
      <c r="A534" s="1">
        <f t="array" aca="1" ref="A534:C534" ca="1">ODE_RK4(A533:C533,$B$5,$E$3,$F$3,$G$3)</f>
        <v>52.600000000000477</v>
      </c>
      <c r="B534" s="1">
        <f ca="1"/>
        <v>263.52605241157852</v>
      </c>
      <c r="C534" s="1">
        <f ca="1"/>
        <v>-29.717464931317981</v>
      </c>
      <c r="D534" s="1"/>
      <c r="E534">
        <f t="shared" ca="1" si="17"/>
        <v>3</v>
      </c>
      <c r="F534" s="1">
        <f t="shared" ca="1" si="16"/>
        <v>263.52605241157852</v>
      </c>
    </row>
    <row r="535" spans="1:6" x14ac:dyDescent="0.25">
      <c r="A535" s="1">
        <f t="array" aca="1" ref="A535:C535" ca="1">ODE_RK4(A534:C534,$B$5,$E$3,$F$3,$G$3)</f>
        <v>52.700000000000479</v>
      </c>
      <c r="B535" s="1">
        <f ca="1"/>
        <v>260.52694849819795</v>
      </c>
      <c r="C535" s="1">
        <f ca="1"/>
        <v>-30.373163943805018</v>
      </c>
      <c r="D535" s="1"/>
      <c r="E535">
        <f t="shared" ca="1" si="17"/>
        <v>3</v>
      </c>
      <c r="F535" s="1">
        <f t="shared" ca="1" si="16"/>
        <v>260.52694849819795</v>
      </c>
    </row>
    <row r="536" spans="1:6" x14ac:dyDescent="0.25">
      <c r="A536" s="1">
        <f t="array" aca="1" ref="A536:C536" ca="1">ODE_RK4(A535:C535,$B$5,$E$3,$F$3,$G$3)</f>
        <v>52.80000000000048</v>
      </c>
      <c r="B536" s="1">
        <f ca="1"/>
        <v>257.46258913538065</v>
      </c>
      <c r="C536" s="1">
        <f ca="1"/>
        <v>-31.021297129686907</v>
      </c>
      <c r="D536" s="1"/>
      <c r="E536">
        <f t="shared" ca="1" si="17"/>
        <v>3</v>
      </c>
      <c r="F536" s="1">
        <f t="shared" ca="1" si="16"/>
        <v>257.46258913538065</v>
      </c>
    </row>
    <row r="537" spans="1:6" x14ac:dyDescent="0.25">
      <c r="A537" s="1">
        <f t="array" aca="1" ref="A537:C537" ca="1">ODE_RK4(A536:C536,$B$5,$E$3,$F$3,$G$3)</f>
        <v>52.900000000000482</v>
      </c>
      <c r="B537" s="1">
        <f ca="1"/>
        <v>254.33373767950164</v>
      </c>
      <c r="C537" s="1">
        <f ca="1"/>
        <v>-31.661702143535219</v>
      </c>
      <c r="D537" s="1"/>
      <c r="E537">
        <f t="shared" ca="1" si="17"/>
        <v>3</v>
      </c>
      <c r="F537" s="1">
        <f t="shared" ca="1" si="16"/>
        <v>254.33373767950164</v>
      </c>
    </row>
    <row r="538" spans="1:6" x14ac:dyDescent="0.25">
      <c r="A538" s="1">
        <f t="array" aca="1" ref="A538:C538" ca="1">ODE_RK4(A537:C537,$B$5,$E$3,$F$3,$G$3)</f>
        <v>53.000000000000483</v>
      </c>
      <c r="B538" s="1">
        <f ca="1"/>
        <v>251.14117364145608</v>
      </c>
      <c r="C538" s="1">
        <f ca="1"/>
        <v>-32.294218565163604</v>
      </c>
      <c r="D538" s="1"/>
      <c r="E538">
        <f t="shared" ca="1" si="17"/>
        <v>3</v>
      </c>
      <c r="F538" s="1">
        <f t="shared" ca="1" si="16"/>
        <v>251.14117364145608</v>
      </c>
    </row>
    <row r="539" spans="1:6" x14ac:dyDescent="0.25">
      <c r="A539" s="1">
        <f t="array" aca="1" ref="A539:C539" ca="1">ODE_RK4(A538:C538,$B$5,$E$3,$F$3,$G$3)</f>
        <v>53.100000000000485</v>
      </c>
      <c r="B539" s="1">
        <f ca="1"/>
        <v>247.88569249245847</v>
      </c>
      <c r="C539" s="1">
        <f ca="1"/>
        <v>-32.91868793981228</v>
      </c>
      <c r="D539" s="1"/>
      <c r="E539">
        <f t="shared" ca="1" si="17"/>
        <v>3</v>
      </c>
      <c r="F539" s="1">
        <f t="shared" ca="1" si="16"/>
        <v>247.88569249245847</v>
      </c>
    </row>
    <row r="540" spans="1:6" x14ac:dyDescent="0.25">
      <c r="A540" s="1">
        <f t="array" aca="1" ref="A540:C540" ca="1">ODE_RK4(A539:C539,$B$5,$E$3,$F$3,$G$3)</f>
        <v>53.200000000000486</v>
      </c>
      <c r="B540" s="1">
        <f ca="1"/>
        <v>244.56810546584359</v>
      </c>
      <c r="C540" s="1">
        <f ca="1"/>
        <v>-33.534953817842847</v>
      </c>
      <c r="D540" s="1"/>
      <c r="E540">
        <f t="shared" ca="1" si="17"/>
        <v>3</v>
      </c>
      <c r="F540" s="1">
        <f t="shared" ca="1" si="16"/>
        <v>244.56810546584359</v>
      </c>
    </row>
    <row r="541" spans="1:6" x14ac:dyDescent="0.25">
      <c r="A541" s="1">
        <f t="array" aca="1" ref="A541:C541" ca="1">ODE_RK4(A540:C540,$B$5,$E$3,$F$3,$G$3)</f>
        <v>53.300000000000487</v>
      </c>
      <c r="B541" s="1">
        <f ca="1"/>
        <v>241.18923935491867</v>
      </c>
      <c r="C541" s="1">
        <f ca="1"/>
        <v>-34.142861793933498</v>
      </c>
      <c r="D541" s="1"/>
      <c r="E541">
        <f t="shared" ca="1" si="17"/>
        <v>3</v>
      </c>
      <c r="F541" s="1">
        <f t="shared" ca="1" si="16"/>
        <v>241.18923935491867</v>
      </c>
    </row>
    <row r="542" spans="1:6" x14ac:dyDescent="0.25">
      <c r="A542" s="1">
        <f t="array" aca="1" ref="A542:C542" ca="1">ODE_RK4(A541:C541,$B$5,$E$3,$F$3,$G$3)</f>
        <v>53.400000000000489</v>
      </c>
      <c r="B542" s="1">
        <f ca="1"/>
        <v>237.74993630691745</v>
      </c>
      <c r="C542" s="1">
        <f ca="1"/>
        <v>-34.742259545764789</v>
      </c>
      <c r="D542" s="1"/>
      <c r="E542">
        <f t="shared" ca="1" si="17"/>
        <v>3</v>
      </c>
      <c r="F542" s="1">
        <f t="shared" ca="1" si="16"/>
        <v>237.74993630691745</v>
      </c>
    </row>
    <row r="543" spans="1:6" x14ac:dyDescent="0.25">
      <c r="A543" s="1">
        <f t="array" aca="1" ref="A543:C543" ca="1">ODE_RK4(A542:C542,$B$5,$E$3,$F$3,$G$3)</f>
        <v>53.50000000000049</v>
      </c>
      <c r="B543" s="1">
        <f ca="1"/>
        <v>234.25105361310696</v>
      </c>
      <c r="C543" s="1">
        <f ca="1"/>
        <v>-35.332996872186278</v>
      </c>
      <c r="D543" s="1"/>
      <c r="E543">
        <f t="shared" ca="1" si="17"/>
        <v>3</v>
      </c>
      <c r="F543" s="1">
        <f t="shared" ca="1" si="16"/>
        <v>234.25105361310696</v>
      </c>
    </row>
    <row r="544" spans="1:6" x14ac:dyDescent="0.25">
      <c r="A544" s="1">
        <f t="array" aca="1" ref="A544:C544" ca="1">ODE_RK4(A543:C543,$B$5,$E$3,$F$3,$G$3)</f>
        <v>53.600000000000492</v>
      </c>
      <c r="B544" s="1">
        <f ca="1"/>
        <v>230.69346349509993</v>
      </c>
      <c r="C544" s="1">
        <f ca="1"/>
        <v>-35.91492573085447</v>
      </c>
      <c r="D544" s="1"/>
      <c r="E544">
        <f t="shared" ca="1" si="17"/>
        <v>3</v>
      </c>
      <c r="F544" s="1">
        <f t="shared" ca="1" si="16"/>
        <v>230.69346349509993</v>
      </c>
    </row>
    <row r="545" spans="1:6" x14ac:dyDescent="0.25">
      <c r="A545" s="1">
        <f t="array" aca="1" ref="A545:C545" ca="1">ODE_RK4(A544:C544,$B$5,$E$3,$F$3,$G$3)</f>
        <v>53.700000000000493</v>
      </c>
      <c r="B545" s="1">
        <f ca="1"/>
        <v>227.07805288742543</v>
      </c>
      <c r="C545" s="1">
        <f ca="1"/>
        <v>-36.487900275332649</v>
      </c>
      <c r="D545" s="1"/>
      <c r="E545">
        <f t="shared" ca="1" si="17"/>
        <v>3</v>
      </c>
      <c r="F545" s="1">
        <f t="shared" ca="1" si="16"/>
        <v>227.07805288742543</v>
      </c>
    </row>
    <row r="546" spans="1:6" x14ac:dyDescent="0.25">
      <c r="A546" s="1">
        <f t="array" aca="1" ref="A546:C546" ca="1">ODE_RK4(A545:C545,$B$5,$E$3,$F$3,$G$3)</f>
        <v>53.800000000000495</v>
      </c>
      <c r="B546" s="1">
        <f ca="1"/>
        <v>223.40572321641264</v>
      </c>
      <c r="C546" s="1">
        <f ca="1"/>
        <v>-37.051776891643271</v>
      </c>
      <c r="D546" s="1"/>
      <c r="E546">
        <f t="shared" ca="1" si="17"/>
        <v>3</v>
      </c>
      <c r="F546" s="1">
        <f t="shared" ca="1" si="16"/>
        <v>223.40572321641264</v>
      </c>
    </row>
    <row r="547" spans="1:6" x14ac:dyDescent="0.25">
      <c r="A547" s="1">
        <f t="array" aca="1" ref="A547:C547" ca="1">ODE_RK4(A546:C546,$B$5,$E$3,$F$3,$G$3)</f>
        <v>53.900000000000496</v>
      </c>
      <c r="B547" s="1">
        <f ca="1"/>
        <v>219.67739017544227</v>
      </c>
      <c r="C547" s="1">
        <f ca="1"/>
        <v>-37.606414234263795</v>
      </c>
      <c r="D547" s="1"/>
      <c r="E547">
        <f t="shared" ca="1" si="17"/>
        <v>3</v>
      </c>
      <c r="F547" s="1">
        <f t="shared" ca="1" si="16"/>
        <v>219.67739017544227</v>
      </c>
    </row>
    <row r="548" spans="1:6" x14ac:dyDescent="0.25">
      <c r="A548" s="1">
        <f t="array" aca="1" ref="A548:C548" ca="1">ODE_RK4(A547:C547,$B$5,$E$3,$F$3,$G$3)</f>
        <v>54.000000000000497</v>
      </c>
      <c r="B548" s="1">
        <f ca="1"/>
        <v>215.89398349662204</v>
      </c>
      <c r="C548" s="1">
        <f ca="1"/>
        <v>-38.151673261556908</v>
      </c>
      <c r="D548" s="1"/>
      <c r="E548">
        <f t="shared" ca="1" si="17"/>
        <v>3</v>
      </c>
      <c r="F548" s="1">
        <f t="shared" ca="1" si="16"/>
        <v>215.89398349662204</v>
      </c>
    </row>
    <row r="549" spans="1:6" x14ac:dyDescent="0.25">
      <c r="A549" s="1">
        <f t="array" aca="1" ref="A549:C549" ca="1">ODE_RK4(A548:C548,$B$5,$E$3,$F$3,$G$3)</f>
        <v>54.100000000000499</v>
      </c>
      <c r="B549" s="1">
        <f ca="1"/>
        <v>212.05644671894302</v>
      </c>
      <c r="C549" s="1">
        <f ca="1"/>
        <v>-38.687417270626248</v>
      </c>
      <c r="D549" s="1"/>
      <c r="E549">
        <f t="shared" ca="1" si="17"/>
        <v>3</v>
      </c>
      <c r="F549" s="1">
        <f t="shared" ca="1" si="16"/>
        <v>212.05644671894302</v>
      </c>
    </row>
    <row r="550" spans="1:6" x14ac:dyDescent="0.25">
      <c r="A550" s="1">
        <f t="array" aca="1" ref="A550:C550" ca="1">ODE_RK4(A549:C549,$B$5,$E$3,$F$3,$G$3)</f>
        <v>54.2000000000005</v>
      </c>
      <c r="B550" s="1">
        <f ca="1"/>
        <v>208.16573695297464</v>
      </c>
      <c r="C550" s="1">
        <f ca="1"/>
        <v>-39.213511931588926</v>
      </c>
      <c r="D550" s="1"/>
      <c r="E550">
        <f t="shared" ca="1" si="17"/>
        <v>3</v>
      </c>
      <c r="F550" s="1">
        <f t="shared" ca="1" si="16"/>
        <v>208.16573695297464</v>
      </c>
    </row>
    <row r="551" spans="1:6" x14ac:dyDescent="0.25">
      <c r="A551" s="1">
        <f t="array" aca="1" ref="A551:C551" ca="1">ODE_RK4(A550:C550,$B$5,$E$3,$F$3,$G$3)</f>
        <v>54.300000000000502</v>
      </c>
      <c r="B551" s="1">
        <f ca="1"/>
        <v>204.22282464215706</v>
      </c>
      <c r="C551" s="1">
        <f ca="1"/>
        <v>-39.729825321256214</v>
      </c>
      <c r="D551" s="1"/>
      <c r="E551">
        <f t="shared" ca="1" si="17"/>
        <v>3</v>
      </c>
      <c r="F551" s="1">
        <f t="shared" ca="1" si="16"/>
        <v>204.22282464215706</v>
      </c>
    </row>
    <row r="552" spans="1:6" x14ac:dyDescent="0.25">
      <c r="A552" s="1">
        <f t="array" aca="1" ref="A552:C552" ca="1">ODE_RK4(A551:C551,$B$5,$E$3,$F$3,$G$3)</f>
        <v>54.400000000000503</v>
      </c>
      <c r="B552" s="1">
        <f ca="1"/>
        <v>200.22869332075049</v>
      </c>
      <c r="C552" s="1">
        <f ca="1"/>
        <v>-40.236227956214009</v>
      </c>
      <c r="D552" s="1"/>
      <c r="E552">
        <f t="shared" ca="1" si="17"/>
        <v>3</v>
      </c>
      <c r="F552" s="1">
        <f t="shared" ca="1" si="16"/>
        <v>200.22869332075049</v>
      </c>
    </row>
    <row r="553" spans="1:6" x14ac:dyDescent="0.25">
      <c r="A553" s="1">
        <f t="array" aca="1" ref="A553:C553" ca="1">ODE_RK4(A552:C552,$B$5,$E$3,$F$3,$G$3)</f>
        <v>54.500000000000504</v>
      </c>
      <c r="B553" s="1">
        <f ca="1"/>
        <v>196.18433936850167</v>
      </c>
      <c r="C553" s="1">
        <f ca="1"/>
        <v>-40.732592825294702</v>
      </c>
      <c r="D553" s="1"/>
      <c r="E553">
        <f t="shared" ca="1" si="17"/>
        <v>3</v>
      </c>
      <c r="F553" s="1">
        <f t="shared" ca="1" si="16"/>
        <v>196.18433936850167</v>
      </c>
    </row>
    <row r="554" spans="1:6" x14ac:dyDescent="0.25">
      <c r="A554" s="1">
        <f t="array" aca="1" ref="A554:C554" ca="1">ODE_RK4(A553:C553,$B$5,$E$3,$F$3,$G$3)</f>
        <v>54.600000000000506</v>
      </c>
      <c r="B554" s="1">
        <f ca="1"/>
        <v>192.09077176208891</v>
      </c>
      <c r="C554" s="1">
        <f ca="1"/>
        <v>-41.218795421432375</v>
      </c>
      <c r="D554" s="1"/>
      <c r="E554">
        <f t="shared" ca="1" si="17"/>
        <v>3</v>
      </c>
      <c r="F554" s="1">
        <f t="shared" ca="1" si="16"/>
        <v>192.09077176208891</v>
      </c>
    </row>
    <row r="555" spans="1:6" x14ac:dyDescent="0.25">
      <c r="A555" s="1">
        <f t="array" aca="1" ref="A555:C555" ca="1">ODE_RK4(A554:C554,$B$5,$E$3,$F$3,$G$3)</f>
        <v>54.700000000000507</v>
      </c>
      <c r="B555" s="1">
        <f ca="1"/>
        <v>187.94901182340766</v>
      </c>
      <c r="C555" s="1">
        <f ca="1"/>
        <v>-41.694713772893294</v>
      </c>
      <c r="D555" s="1"/>
      <c r="E555">
        <f t="shared" ca="1" si="17"/>
        <v>3</v>
      </c>
      <c r="F555" s="1">
        <f t="shared" ca="1" si="16"/>
        <v>187.94901182340766</v>
      </c>
    </row>
    <row r="556" spans="1:6" x14ac:dyDescent="0.25">
      <c r="A556" s="1">
        <f t="array" aca="1" ref="A556:C556" ca="1">ODE_RK4(A555:C555,$B$5,$E$3,$F$3,$G$3)</f>
        <v>54.800000000000509</v>
      </c>
      <c r="B556" s="1">
        <f ca="1"/>
        <v>183.7600929647592</v>
      </c>
      <c r="C556" s="1">
        <f ca="1"/>
        <v>-42.160228473873914</v>
      </c>
      <c r="D556" s="1"/>
      <c r="E556">
        <f t="shared" ca="1" si="17"/>
        <v>3</v>
      </c>
      <c r="F556" s="1">
        <f t="shared" ca="1" si="16"/>
        <v>183.7600929647592</v>
      </c>
    </row>
    <row r="557" spans="1:6" x14ac:dyDescent="0.25">
      <c r="A557" s="1">
        <f t="array" aca="1" ref="A557:C557" ca="1">ODE_RK4(A556:C556,$B$5,$E$3,$F$3,$G$3)</f>
        <v>54.90000000000051</v>
      </c>
      <c r="B557" s="1">
        <f ca="1"/>
        <v>179.52506043100624</v>
      </c>
      <c r="C557" s="1">
        <f ca="1"/>
        <v>-42.615222714458653</v>
      </c>
      <c r="D557" s="1"/>
      <c r="E557">
        <f t="shared" ca="1" si="17"/>
        <v>3</v>
      </c>
      <c r="F557" s="1">
        <f t="shared" ca="1" si="16"/>
        <v>179.52506043100624</v>
      </c>
    </row>
    <row r="558" spans="1:6" x14ac:dyDescent="0.25">
      <c r="A558" s="1">
        <f t="array" aca="1" ref="A558:C558" ca="1">ODE_RK4(A557:C557,$B$5,$E$3,$F$3,$G$3)</f>
        <v>55.000000000000512</v>
      </c>
      <c r="B558" s="1">
        <f ca="1"/>
        <v>175.24497103875973</v>
      </c>
      <c r="C558" s="1">
        <f ca="1"/>
        <v>-43.059582309929972</v>
      </c>
      <c r="D558" s="1"/>
      <c r="E558">
        <f t="shared" ca="1" si="17"/>
        <v>3</v>
      </c>
      <c r="F558" s="1">
        <f t="shared" ca="1" si="16"/>
        <v>175.24497103875973</v>
      </c>
    </row>
    <row r="559" spans="1:6" x14ac:dyDescent="0.25">
      <c r="A559" s="1">
        <f t="array" aca="1" ref="A559:C559" ca="1">ODE_RK4(A558:C558,$B$5,$E$3,$F$3,$G$3)</f>
        <v>55.100000000000513</v>
      </c>
      <c r="B559" s="1">
        <f ca="1"/>
        <v>170.9208929126618</v>
      </c>
      <c r="C559" s="1">
        <f ca="1"/>
        <v>-43.493195729423391</v>
      </c>
      <c r="D559" s="1"/>
      <c r="E559">
        <f t="shared" ca="1" si="17"/>
        <v>3</v>
      </c>
      <c r="F559" s="1">
        <f t="shared" ca="1" si="16"/>
        <v>170.9208929126618</v>
      </c>
    </row>
    <row r="560" spans="1:6" x14ac:dyDescent="0.25">
      <c r="A560" s="1">
        <f t="array" aca="1" ref="A560:C560" ca="1">ODE_RK4(A559:C559,$B$5,$E$3,$F$3,$G$3)</f>
        <v>55.200000000000514</v>
      </c>
      <c r="B560" s="1">
        <f ca="1"/>
        <v>166.55390521883095</v>
      </c>
      <c r="C560" s="1">
        <f ca="1"/>
        <v>-43.915954123920237</v>
      </c>
      <c r="D560" s="1"/>
      <c r="E560">
        <f t="shared" ca="1" si="17"/>
        <v>3</v>
      </c>
      <c r="F560" s="1">
        <f t="shared" ca="1" si="16"/>
        <v>166.55390521883095</v>
      </c>
    </row>
    <row r="561" spans="1:6" x14ac:dyDescent="0.25">
      <c r="A561" s="1">
        <f t="array" aca="1" ref="A561:C561" ca="1">ODE_RK4(A560:C560,$B$5,$E$3,$F$3,$G$3)</f>
        <v>55.300000000000516</v>
      </c>
      <c r="B561" s="1">
        <f ca="1"/>
        <v>162.14509789553566</v>
      </c>
      <c r="C561" s="1">
        <f ca="1"/>
        <v>-44.327751353571124</v>
      </c>
      <c r="D561" s="1"/>
      <c r="E561">
        <f t="shared" ca="1" si="17"/>
        <v>3</v>
      </c>
      <c r="F561" s="1">
        <f t="shared" ca="1" si="16"/>
        <v>162.14509789553566</v>
      </c>
    </row>
    <row r="562" spans="1:6" x14ac:dyDescent="0.25">
      <c r="A562" s="1">
        <f t="array" aca="1" ref="A562:C562" ca="1">ODE_RK4(A561:C561,$B$5,$E$3,$F$3,$G$3)</f>
        <v>55.400000000000517</v>
      </c>
      <c r="B562" s="1">
        <f ca="1"/>
        <v>157.69557138116383</v>
      </c>
      <c r="C562" s="1">
        <f ca="1"/>
        <v>-44.728484014343287</v>
      </c>
      <c r="D562" s="1"/>
      <c r="E562">
        <f t="shared" ca="1" si="17"/>
        <v>3</v>
      </c>
      <c r="F562" s="1">
        <f t="shared" ca="1" si="16"/>
        <v>157.69557138116383</v>
      </c>
    </row>
    <row r="563" spans="1:6" x14ac:dyDescent="0.25">
      <c r="A563" s="1">
        <f t="array" aca="1" ref="A563:C563" ca="1">ODE_RK4(A562:C562,$B$5,$E$3,$F$3,$G$3)</f>
        <v>55.500000000000519</v>
      </c>
      <c r="B563" s="1">
        <f ca="1"/>
        <v>153.20643633955595</v>
      </c>
      <c r="C563" s="1">
        <f ca="1"/>
        <v>-45.118051463985068</v>
      </c>
      <c r="D563" s="1"/>
      <c r="E563">
        <f t="shared" ca="1" si="17"/>
        <v>3</v>
      </c>
      <c r="F563" s="1">
        <f t="shared" ca="1" si="16"/>
        <v>153.20643633955595</v>
      </c>
    </row>
    <row r="564" spans="1:6" x14ac:dyDescent="0.25">
      <c r="A564" s="1">
        <f t="array" aca="1" ref="A564:C564" ca="1">ODE_RK4(A563:C563,$B$5,$E$3,$F$3,$G$3)</f>
        <v>55.60000000000052</v>
      </c>
      <c r="B564" s="1">
        <f ca="1"/>
        <v>148.67881338277044</v>
      </c>
      <c r="C564" s="1">
        <f ca="1"/>
        <v>-45.496355847301082</v>
      </c>
      <c r="D564" s="1"/>
      <c r="E564">
        <f t="shared" ca="1" si="17"/>
        <v>3</v>
      </c>
      <c r="F564" s="1">
        <f t="shared" ca="1" si="16"/>
        <v>148.67881338277044</v>
      </c>
    </row>
    <row r="565" spans="1:6" x14ac:dyDescent="0.25">
      <c r="A565" s="1">
        <f t="array" aca="1" ref="A565:C565" ca="1">ODE_RK4(A564:C564,$B$5,$E$3,$F$3,$G$3)</f>
        <v>55.700000000000522</v>
      </c>
      <c r="B565" s="1">
        <f ca="1"/>
        <v>144.11383279135052</v>
      </c>
      <c r="C565" s="1">
        <f ca="1"/>
        <v>-45.863302120731667</v>
      </c>
      <c r="D565" s="1"/>
      <c r="E565">
        <f t="shared" ca="1" si="17"/>
        <v>3</v>
      </c>
      <c r="F565" s="1">
        <f t="shared" ca="1" si="16"/>
        <v>144.11383279135052</v>
      </c>
    </row>
    <row r="566" spans="1:6" x14ac:dyDescent="0.25">
      <c r="A566" s="1">
        <f t="array" aca="1" ref="A566:C566" ca="1">ODE_RK4(A565:C565,$B$5,$E$3,$F$3,$G$3)</f>
        <v>55.800000000000523</v>
      </c>
      <c r="B566" s="1">
        <f ca="1"/>
        <v>139.51263423216227</v>
      </c>
      <c r="C566" s="1">
        <f ca="1"/>
        <v>-46.218798076230456</v>
      </c>
      <c r="D566" s="1"/>
      <c r="E566">
        <f t="shared" ca="1" si="17"/>
        <v>3</v>
      </c>
      <c r="F566" s="1">
        <f t="shared" ca="1" si="16"/>
        <v>139.51263423216227</v>
      </c>
    </row>
    <row r="567" spans="1:6" x14ac:dyDescent="0.25">
      <c r="A567" s="1">
        <f t="array" aca="1" ref="A567:C567" ca="1">ODE_RK4(A566:C566,$B$5,$E$3,$F$3,$G$3)</f>
        <v>55.900000000000524</v>
      </c>
      <c r="B567" s="1">
        <f ca="1"/>
        <v>134.87636647387444</v>
      </c>
      <c r="C567" s="1">
        <f ca="1"/>
        <v>-46.562754364434099</v>
      </c>
      <c r="D567" s="1"/>
      <c r="E567">
        <f t="shared" ca="1" si="17"/>
        <v>3</v>
      </c>
      <c r="F567" s="1">
        <f t="shared" ca="1" si="16"/>
        <v>134.87636647387444</v>
      </c>
    </row>
    <row r="568" spans="1:6" x14ac:dyDescent="0.25">
      <c r="A568" s="1">
        <f t="array" aca="1" ref="A568:C568" ca="1">ODE_RK4(A567:C567,$B$5,$E$3,$F$3,$G$3)</f>
        <v>56.000000000000526</v>
      </c>
      <c r="B568" s="1">
        <f ca="1"/>
        <v>130.206187100151</v>
      </c>
      <c r="C568" s="1">
        <f ca="1"/>
        <v>-46.895084517118278</v>
      </c>
      <c r="D568" s="1"/>
      <c r="E568">
        <f t="shared" ca="1" si="17"/>
        <v>3</v>
      </c>
      <c r="F568" s="1">
        <f t="shared" ca="1" si="16"/>
        <v>130.206187100151</v>
      </c>
    </row>
    <row r="569" spans="1:6" x14ac:dyDescent="0.25">
      <c r="A569" s="1">
        <f t="array" aca="1" ref="A569:C569" ca="1">ODE_RK4(A568:C568,$B$5,$E$3,$F$3,$G$3)</f>
        <v>56.100000000000527</v>
      </c>
      <c r="B569" s="1">
        <f ca="1"/>
        <v>125.50326222062799</v>
      </c>
      <c r="C569" s="1">
        <f ca="1"/>
        <v>-47.215704968934396</v>
      </c>
      <c r="D569" s="1"/>
      <c r="E569">
        <f t="shared" ca="1" si="17"/>
        <v>3</v>
      </c>
      <c r="F569" s="1">
        <f t="shared" ca="1" si="16"/>
        <v>125.50326222062799</v>
      </c>
    </row>
    <row r="570" spans="1:6" x14ac:dyDescent="0.25">
      <c r="A570" s="1">
        <f t="array" aca="1" ref="A570:C570" ca="1">ODE_RK4(A569:C569,$B$5,$E$3,$F$3,$G$3)</f>
        <v>56.200000000000529</v>
      </c>
      <c r="B570" s="1">
        <f ca="1"/>
        <v>120.76876617974696</v>
      </c>
      <c r="C570" s="1">
        <f ca="1"/>
        <v>-47.524535078421458</v>
      </c>
      <c r="D570" s="1"/>
      <c r="E570">
        <f t="shared" ca="1" si="17"/>
        <v>3</v>
      </c>
      <c r="F570" s="1">
        <f t="shared" ca="1" si="16"/>
        <v>120.76876617974696</v>
      </c>
    </row>
    <row r="571" spans="1:6" x14ac:dyDescent="0.25">
      <c r="A571" s="1">
        <f t="array" aca="1" ref="A571:C571" ca="1">ODE_RK4(A570:C570,$B$5,$E$3,$F$3,$G$3)</f>
        <v>56.30000000000053</v>
      </c>
      <c r="B571" s="1">
        <f ca="1"/>
        <v>116.00388126351754</v>
      </c>
      <c r="C571" s="1">
        <f ca="1"/>
        <v>-47.821497148287868</v>
      </c>
      <c r="D571" s="1"/>
      <c r="E571">
        <f t="shared" ca="1" si="17"/>
        <v>3</v>
      </c>
      <c r="F571" s="1">
        <f t="shared" ca="1" si="16"/>
        <v>116.00388126351754</v>
      </c>
    </row>
    <row r="572" spans="1:6" x14ac:dyDescent="0.25">
      <c r="A572" s="1">
        <f t="array" aca="1" ref="A572:C572" ca="1">ODE_RK4(A571:C571,$B$5,$E$3,$F$3,$G$3)</f>
        <v>56.400000000000531</v>
      </c>
      <c r="B572" s="1">
        <f ca="1"/>
        <v>111.20979740428245</v>
      </c>
      <c r="C572" s="1">
        <f ca="1"/>
        <v>-48.106516444958068</v>
      </c>
      <c r="D572" s="1"/>
      <c r="E572">
        <f t="shared" ca="1" si="17"/>
        <v>3</v>
      </c>
      <c r="F572" s="1">
        <f t="shared" ca="1" si="16"/>
        <v>111.20979740428245</v>
      </c>
    </row>
    <row r="573" spans="1:6" x14ac:dyDescent="0.25">
      <c r="A573" s="1">
        <f t="array" aca="1" ref="A573:C573" ca="1">ODE_RK4(A572:C572,$B$5,$E$3,$F$3,$G$3)</f>
        <v>56.500000000000533</v>
      </c>
      <c r="B573" s="1">
        <f ca="1"/>
        <v>106.38771188355868</v>
      </c>
      <c r="C573" s="1">
        <f ca="1"/>
        <v>-48.379521217379029</v>
      </c>
      <c r="D573" s="1"/>
      <c r="E573">
        <f t="shared" ca="1" si="17"/>
        <v>3</v>
      </c>
      <c r="F573" s="1">
        <f t="shared" ca="1" si="16"/>
        <v>106.38771188355868</v>
      </c>
    </row>
    <row r="574" spans="1:6" x14ac:dyDescent="0.25">
      <c r="A574" s="1">
        <f t="array" aca="1" ref="A574:C574" ca="1">ODE_RK4(A573:C573,$B$5,$E$3,$F$3,$G$3)</f>
        <v>56.600000000000534</v>
      </c>
      <c r="B574" s="1">
        <f ca="1"/>
        <v>101.53882903302905</v>
      </c>
      <c r="C574" s="1">
        <f ca="1"/>
        <v>-48.64044271508196</v>
      </c>
      <c r="D574" s="1"/>
      <c r="E574">
        <f t="shared" ca="1" si="17"/>
        <v>3</v>
      </c>
      <c r="F574" s="1">
        <f t="shared" ca="1" si="16"/>
        <v>101.53882903302905</v>
      </c>
    </row>
    <row r="575" spans="1:6" x14ac:dyDescent="0.25">
      <c r="A575" s="1">
        <f t="array" aca="1" ref="A575:C575" ca="1">ODE_RK4(A574:C574,$B$5,$E$3,$F$3,$G$3)</f>
        <v>56.700000000000536</v>
      </c>
      <c r="B575" s="1">
        <f ca="1"/>
        <v>96.664359933758746</v>
      </c>
      <c r="C575" s="1">
        <f ca="1"/>
        <v>-48.889215205494601</v>
      </c>
      <c r="D575" s="1"/>
      <c r="E575">
        <f t="shared" ca="1" si="17"/>
        <v>3</v>
      </c>
      <c r="F575" s="1">
        <f t="shared" ca="1" si="16"/>
        <v>96.664359933758746</v>
      </c>
    </row>
    <row r="576" spans="1:6" x14ac:dyDescent="0.25">
      <c r="A576" s="1">
        <f t="array" aca="1" ref="A576:C576" ca="1">ODE_RK4(A575:C575,$B$5,$E$3,$F$3,$G$3)</f>
        <v>56.800000000000537</v>
      </c>
      <c r="B576" s="1">
        <f ca="1"/>
        <v>91.765522113712095</v>
      </c>
      <c r="C576" s="1">
        <f ca="1"/>
        <v>-49.125775990499804</v>
      </c>
      <c r="D576" s="1"/>
      <c r="E576">
        <f t="shared" ca="1" si="17"/>
        <v>3</v>
      </c>
      <c r="F576" s="1">
        <f t="shared" ca="1" si="16"/>
        <v>91.765522113712095</v>
      </c>
    </row>
    <row r="577" spans="1:6" x14ac:dyDescent="0.25">
      <c r="A577" s="1">
        <f t="array" aca="1" ref="A577:C577" ca="1">ODE_RK4(A576:C576,$B$5,$E$3,$F$3,$G$3)</f>
        <v>56.900000000000539</v>
      </c>
      <c r="B577" s="1">
        <f ca="1"/>
        <v>86.843539243644926</v>
      </c>
      <c r="C577" s="1">
        <f ca="1"/>
        <v>-49.350065422236177</v>
      </c>
      <c r="D577" s="1"/>
      <c r="E577">
        <f t="shared" ca="1" si="17"/>
        <v>3</v>
      </c>
      <c r="F577" s="1">
        <f t="shared" ca="1" si="16"/>
        <v>86.843539243644926</v>
      </c>
    </row>
    <row r="578" spans="1:6" x14ac:dyDescent="0.25">
      <c r="A578" s="1">
        <f t="array" aca="1" ref="A578:C578" ca="1">ODE_RK4(A577:C577,$B$5,$E$3,$F$3,$G$3)</f>
        <v>57.00000000000054</v>
      </c>
      <c r="B578" s="1">
        <f ca="1"/>
        <v>81.899640831448735</v>
      </c>
      <c r="C578" s="1">
        <f ca="1"/>
        <v>-49.562026918136866</v>
      </c>
      <c r="D578" s="1"/>
      <c r="E578">
        <f t="shared" ca="1" si="17"/>
        <v>3</v>
      </c>
      <c r="F578" s="1">
        <f t="shared" ca="1" si="16"/>
        <v>81.899640831448735</v>
      </c>
    </row>
    <row r="579" spans="1:6" x14ac:dyDescent="0.25">
      <c r="A579" s="1">
        <f t="array" aca="1" ref="A579:C579" ca="1">ODE_RK4(A578:C578,$B$5,$E$3,$F$3,$G$3)</f>
        <v>57.100000000000541</v>
      </c>
      <c r="B579" s="1">
        <f ca="1"/>
        <v>76.935061915022715</v>
      </c>
      <c r="C579" s="1">
        <f ca="1"/>
        <v>-49.761606975202632</v>
      </c>
      <c r="D579" s="1"/>
      <c r="E579">
        <f t="shared" ca="1" si="17"/>
        <v>3</v>
      </c>
      <c r="F579" s="1">
        <f t="shared" ca="1" si="16"/>
        <v>76.935061915022715</v>
      </c>
    </row>
    <row r="580" spans="1:6" x14ac:dyDescent="0.25">
      <c r="A580" s="1">
        <f t="array" aca="1" ref="A580:C580" ca="1">ODE_RK4(A579:C579,$B$5,$E$3,$F$3,$G$3)</f>
        <v>57.200000000000543</v>
      </c>
      <c r="B580" s="1">
        <f ca="1"/>
        <v>71.951042753750627</v>
      </c>
      <c r="C580" s="1">
        <f ca="1"/>
        <v>-49.948755183505654</v>
      </c>
      <c r="D580" s="1"/>
      <c r="E580">
        <f t="shared" ca="1" si="17"/>
        <v>3</v>
      </c>
      <c r="F580" s="1">
        <f t="shared" ca="1" si="16"/>
        <v>71.951042753750627</v>
      </c>
    </row>
    <row r="581" spans="1:6" x14ac:dyDescent="0.25">
      <c r="A581" s="1">
        <f t="array" aca="1" ref="A581:C581" ca="1">ODE_RK4(A580:C580,$B$5,$E$3,$F$3,$G$3)</f>
        <v>57.300000000000544</v>
      </c>
      <c r="B581" s="1">
        <f ca="1"/>
        <v>66.948828518659411</v>
      </c>
      <c r="C581" s="1">
        <f ca="1"/>
        <v>-50.123424238920641</v>
      </c>
      <c r="D581" s="1"/>
      <c r="E581">
        <f t="shared" ca="1" si="17"/>
        <v>3</v>
      </c>
      <c r="F581" s="1">
        <f t="shared" ca="1" si="16"/>
        <v>66.948828518659411</v>
      </c>
    </row>
    <row r="582" spans="1:6" x14ac:dyDescent="0.25">
      <c r="A582" s="1">
        <f t="array" aca="1" ref="A582:C582" ca="1">ODE_RK4(A581:C581,$B$5,$E$3,$F$3,$G$3)</f>
        <v>57.400000000000546</v>
      </c>
      <c r="B582" s="1">
        <f ca="1"/>
        <v>61.929668981337024</v>
      </c>
      <c r="C582" s="1">
        <f ca="1"/>
        <v>-50.285569955080049</v>
      </c>
      <c r="D582" s="1"/>
      <c r="E582">
        <f t="shared" ca="1" si="17"/>
        <v>3</v>
      </c>
      <c r="F582" s="1">
        <f t="shared" ca="1" si="16"/>
        <v>61.929668981337024</v>
      </c>
    </row>
    <row r="583" spans="1:6" x14ac:dyDescent="0.25">
      <c r="A583" s="1">
        <f t="array" aca="1" ref="A583:C583" ca="1">ODE_RK4(A582:C582,$B$5,$E$3,$F$3,$G$3)</f>
        <v>57.500000000000547</v>
      </c>
      <c r="B583" s="1">
        <f ca="1"/>
        <v>56.894818201687166</v>
      </c>
      <c r="C583" s="1">
        <f ca="1"/>
        <v>-50.43515127455035</v>
      </c>
      <c r="D583" s="1"/>
      <c r="E583">
        <f t="shared" ca="1" si="17"/>
        <v>3</v>
      </c>
      <c r="F583" s="1">
        <f t="shared" ca="1" si="16"/>
        <v>56.894818201687166</v>
      </c>
    </row>
    <row r="584" spans="1:6" x14ac:dyDescent="0.25">
      <c r="A584" s="1">
        <f t="array" aca="1" ref="A584:C584" ca="1">ODE_RK4(A583:C583,$B$5,$E$3,$F$3,$G$3)</f>
        <v>57.600000000000549</v>
      </c>
      <c r="B584" s="1">
        <f ca="1"/>
        <v>51.845534214598985</v>
      </c>
      <c r="C584" s="1">
        <f ca="1"/>
        <v>-50.572130279226563</v>
      </c>
      <c r="D584" s="1"/>
      <c r="E584">
        <f t="shared" ca="1" si="17"/>
        <v>3</v>
      </c>
      <c r="F584" s="1">
        <f t="shared" ref="F584:F647" ca="1" si="18">B584</f>
        <v>51.845534214598985</v>
      </c>
    </row>
    <row r="585" spans="1:6" x14ac:dyDescent="0.25">
      <c r="A585" s="1">
        <f t="array" aca="1" ref="A585:C585" ca="1">ODE_RK4(A584:C584,$B$5,$E$3,$F$3,$G$3)</f>
        <v>57.70000000000055</v>
      </c>
      <c r="B585" s="1">
        <f ca="1"/>
        <v>46.783078715609967</v>
      </c>
      <c r="C585" s="1">
        <f ca="1"/>
        <v>-50.696472199942406</v>
      </c>
      <c r="D585" s="1"/>
      <c r="E585">
        <f t="shared" ref="E585:E648" ca="1" si="19">(C585*C586&lt;0)*1+E584</f>
        <v>3</v>
      </c>
      <c r="F585" s="1">
        <f t="shared" ca="1" si="18"/>
        <v>46.783078715609967</v>
      </c>
    </row>
    <row r="586" spans="1:6" x14ac:dyDescent="0.25">
      <c r="A586" s="1">
        <f t="array" aca="1" ref="A586:C586" ca="1">ODE_RK4(A585:C585,$B$5,$E$3,$F$3,$G$3)</f>
        <v>57.800000000000551</v>
      </c>
      <c r="B586" s="1">
        <f ca="1"/>
        <v>41.708716745640608</v>
      </c>
      <c r="C586" s="1">
        <f ca="1"/>
        <v>-50.80814542529361</v>
      </c>
      <c r="D586" s="1"/>
      <c r="E586">
        <f t="shared" ca="1" si="19"/>
        <v>3</v>
      </c>
      <c r="F586" s="1">
        <f t="shared" ca="1" si="18"/>
        <v>41.708716745640608</v>
      </c>
    </row>
    <row r="587" spans="1:6" x14ac:dyDescent="0.25">
      <c r="A587" s="1">
        <f t="array" aca="1" ref="A587:C587" ca="1">ODE_RK4(A586:C586,$B$5,$E$3,$F$3,$G$3)</f>
        <v>57.900000000000553</v>
      </c>
      <c r="B587" s="1">
        <f ca="1"/>
        <v>36.623716374879585</v>
      </c>
      <c r="C587" s="1">
        <f ca="1"/>
        <v>-50.907121509672187</v>
      </c>
      <c r="D587" s="1"/>
      <c r="E587">
        <f t="shared" ca="1" si="19"/>
        <v>3</v>
      </c>
      <c r="F587" s="1">
        <f t="shared" ca="1" si="18"/>
        <v>36.623716374879585</v>
      </c>
    </row>
    <row r="588" spans="1:6" x14ac:dyDescent="0.25">
      <c r="A588" s="1">
        <f t="array" aca="1" ref="A588:C588" ca="1">ODE_RK4(A587:C587,$B$5,$E$3,$F$3,$G$3)</f>
        <v>58.000000000000554</v>
      </c>
      <c r="B588" s="1">
        <f ca="1"/>
        <v>31.529348385898498</v>
      </c>
      <c r="C588" s="1">
        <f ca="1"/>
        <v>-50.993375180509602</v>
      </c>
      <c r="D588" s="1"/>
      <c r="E588">
        <f t="shared" ca="1" si="19"/>
        <v>3</v>
      </c>
      <c r="F588" s="1">
        <f t="shared" ca="1" si="18"/>
        <v>31.529348385898498</v>
      </c>
    </row>
    <row r="589" spans="1:6" x14ac:dyDescent="0.25">
      <c r="A589" s="1">
        <f t="array" aca="1" ref="A589:C589" ca="1">ODE_RK4(A588:C588,$B$5,$E$3,$F$3,$G$3)</f>
        <v>58.100000000000556</v>
      </c>
      <c r="B589" s="1">
        <f ca="1"/>
        <v>26.426885956075285</v>
      </c>
      <c r="C589" s="1">
        <f ca="1"/>
        <v>-51.066884344726994</v>
      </c>
      <c r="D589" s="1"/>
      <c r="E589">
        <f t="shared" ca="1" si="19"/>
        <v>3</v>
      </c>
      <c r="F589" s="1">
        <f t="shared" ca="1" si="18"/>
        <v>26.426885956075285</v>
      </c>
    </row>
    <row r="590" spans="1:6" x14ac:dyDescent="0.25">
      <c r="A590" s="1">
        <f t="array" aca="1" ref="A590:C590" ca="1">ODE_RK4(A589:C589,$B$5,$E$3,$F$3,$G$3)</f>
        <v>58.200000000000557</v>
      </c>
      <c r="B590" s="1">
        <f ca="1"/>
        <v>21.317604339405747</v>
      </c>
      <c r="C590" s="1">
        <f ca="1"/>
        <v>-51.12763009439081</v>
      </c>
      <c r="D590" s="1"/>
      <c r="E590">
        <f t="shared" ca="1" si="19"/>
        <v>3</v>
      </c>
      <c r="F590" s="1">
        <f t="shared" ca="1" si="18"/>
        <v>21.317604339405747</v>
      </c>
    </row>
    <row r="591" spans="1:6" x14ac:dyDescent="0.25">
      <c r="A591" s="1">
        <f t="array" aca="1" ref="A591:C591" ca="1">ODE_RK4(A590:C590,$B$5,$E$3,$F$3,$G$3)</f>
        <v>58.300000000000558</v>
      </c>
      <c r="B591" s="1">
        <f ca="1"/>
        <v>16.202780547782652</v>
      </c>
      <c r="C591" s="1">
        <f ca="1"/>
        <v>-51.175596711572425</v>
      </c>
      <c r="D591" s="1"/>
      <c r="E591">
        <f t="shared" ca="1" si="19"/>
        <v>3</v>
      </c>
      <c r="F591" s="1">
        <f t="shared" ca="1" si="18"/>
        <v>16.202780547782652</v>
      </c>
    </row>
    <row r="592" spans="1:6" x14ac:dyDescent="0.25">
      <c r="A592" s="1">
        <f t="array" aca="1" ref="A592:C592" ca="1">ODE_RK4(A591:C591,$B$5,$E$3,$F$3,$G$3)</f>
        <v>58.40000000000056</v>
      </c>
      <c r="B592" s="1">
        <f ca="1"/>
        <v>11.08369303182211</v>
      </c>
      <c r="C592" s="1">
        <f ca="1"/>
        <v>-51.210771672410424</v>
      </c>
      <c r="D592" s="1"/>
      <c r="E592">
        <f t="shared" ca="1" si="19"/>
        <v>3</v>
      </c>
      <c r="F592" s="1">
        <f t="shared" ca="1" si="18"/>
        <v>11.08369303182211</v>
      </c>
    </row>
    <row r="593" spans="1:6" x14ac:dyDescent="0.25">
      <c r="A593" s="1">
        <f t="array" aca="1" ref="A593:C593" ca="1">ODE_RK4(A592:C592,$B$5,$E$3,$F$3,$G$3)</f>
        <v>58.500000000000561</v>
      </c>
      <c r="B593" s="1">
        <f ca="1"/>
        <v>5.9616213613169542</v>
      </c>
      <c r="C593" s="1">
        <f ca="1"/>
        <v>-51.23314565037461</v>
      </c>
      <c r="D593" s="1"/>
      <c r="E593">
        <f t="shared" ca="1" si="19"/>
        <v>3</v>
      </c>
      <c r="F593" s="1">
        <f t="shared" ca="1" si="18"/>
        <v>5.9616213613169542</v>
      </c>
    </row>
    <row r="594" spans="1:6" x14ac:dyDescent="0.25">
      <c r="A594" s="1">
        <f t="array" aca="1" ref="A594:C594" ca="1">ODE_RK4(A593:C593,$B$5,$E$3,$F$3,$G$3)</f>
        <v>58.600000000000563</v>
      </c>
      <c r="B594" s="1">
        <f ca="1"/>
        <v>0.83784590539704151</v>
      </c>
      <c r="C594" s="1">
        <f ca="1"/>
        <v>-51.242712518730812</v>
      </c>
      <c r="D594" s="1"/>
      <c r="E594">
        <f t="shared" ca="1" si="19"/>
        <v>3</v>
      </c>
      <c r="F594" s="1">
        <f t="shared" ca="1" si="18"/>
        <v>0.83784590539704151</v>
      </c>
    </row>
    <row r="595" spans="1:6" x14ac:dyDescent="0.25">
      <c r="A595" s="1">
        <f t="array" aca="1" ref="A595:C595" ca="1">ODE_RK4(A594:C594,$B$5,$E$3,$F$3,$G$3)</f>
        <v>58.700000000000564</v>
      </c>
      <c r="B595" s="1">
        <f ca="1"/>
        <v>-4.2863524875236196</v>
      </c>
      <c r="C595" s="1">
        <f ca="1"/>
        <v>-51.239469352205838</v>
      </c>
      <c r="D595" s="1"/>
      <c r="E595">
        <f t="shared" ca="1" si="19"/>
        <v>3</v>
      </c>
      <c r="F595" s="1">
        <f t="shared" ca="1" si="18"/>
        <v>-4.2863524875236196</v>
      </c>
    </row>
    <row r="596" spans="1:6" x14ac:dyDescent="0.25">
      <c r="A596" s="1">
        <f t="array" aca="1" ref="A596:C596" ca="1">ODE_RK4(A595:C595,$B$5,$E$3,$F$3,$G$3)</f>
        <v>58.800000000000566</v>
      </c>
      <c r="B596" s="1">
        <f ca="1"/>
        <v>-9.4096928099328814</v>
      </c>
      <c r="C596" s="1">
        <f ca="1"/>
        <v>-51.223416427852186</v>
      </c>
      <c r="D596" s="1"/>
      <c r="E596">
        <f t="shared" ca="1" si="19"/>
        <v>3</v>
      </c>
      <c r="F596" s="1">
        <f t="shared" ca="1" si="18"/>
        <v>-9.4096928099328814</v>
      </c>
    </row>
    <row r="597" spans="1:6" x14ac:dyDescent="0.25">
      <c r="A597" s="1">
        <f t="array" aca="1" ref="A597:C597" ca="1">ODE_RK4(A596:C596,$B$5,$E$3,$F$3,$G$3)</f>
        <v>58.900000000000567</v>
      </c>
      <c r="B597" s="1">
        <f ca="1"/>
        <v>-14.5308942154596</v>
      </c>
      <c r="C597" s="1">
        <f ca="1"/>
        <v>-51.194557225112192</v>
      </c>
      <c r="D597" s="1"/>
      <c r="E597">
        <f t="shared" ca="1" si="19"/>
        <v>3</v>
      </c>
      <c r="F597" s="1">
        <f t="shared" ca="1" si="18"/>
        <v>-14.5308942154596</v>
      </c>
    </row>
    <row r="598" spans="1:6" x14ac:dyDescent="0.25">
      <c r="A598" s="1">
        <f t="array" aca="1" ref="A598:C598" ca="1">ODE_RK4(A597:C597,$B$5,$E$3,$F$3,$G$3)</f>
        <v>59.000000000000568</v>
      </c>
      <c r="B598" s="1">
        <f ca="1"/>
        <v>-19.648676339085817</v>
      </c>
      <c r="C598" s="1">
        <f ca="1"/>
        <v>-51.152898425081617</v>
      </c>
      <c r="D598" s="1"/>
      <c r="E598">
        <f t="shared" ca="1" si="19"/>
        <v>3</v>
      </c>
      <c r="F598" s="1">
        <f t="shared" ca="1" si="18"/>
        <v>-19.648676339085817</v>
      </c>
    </row>
    <row r="599" spans="1:6" x14ac:dyDescent="0.25">
      <c r="A599" s="1">
        <f t="array" aca="1" ref="A599:C599" ca="1">ODE_RK4(A598:C598,$B$5,$E$3,$F$3,$G$3)</f>
        <v>59.10000000000057</v>
      </c>
      <c r="B599" s="1">
        <f ca="1"/>
        <v>-24.761759617251961</v>
      </c>
      <c r="C599" s="1">
        <f ca="1"/>
        <v>-51.098449908972796</v>
      </c>
      <c r="D599" s="1"/>
      <c r="E599">
        <f t="shared" ca="1" si="19"/>
        <v>3</v>
      </c>
      <c r="F599" s="1">
        <f t="shared" ca="1" si="18"/>
        <v>-24.761759617251961</v>
      </c>
    </row>
    <row r="600" spans="1:6" x14ac:dyDescent="0.25">
      <c r="A600" s="1">
        <f t="array" aca="1" ref="A600:C600" ca="1">ODE_RK4(A599:C599,$B$5,$E$3,$F$3,$G$3)</f>
        <v>59.200000000000571</v>
      </c>
      <c r="B600" s="1">
        <f ca="1"/>
        <v>-29.868865607775021</v>
      </c>
      <c r="C600" s="1">
        <f ca="1"/>
        <v>-51.031224755777728</v>
      </c>
      <c r="D600" s="1"/>
      <c r="E600">
        <f t="shared" ca="1" si="19"/>
        <v>3</v>
      </c>
      <c r="F600" s="1">
        <f t="shared" ca="1" si="18"/>
        <v>-29.868865607775021</v>
      </c>
    </row>
    <row r="601" spans="1:6" x14ac:dyDescent="0.25">
      <c r="A601" s="1">
        <f t="array" aca="1" ref="A601:C601" ca="1">ODE_RK4(A600:C600,$B$5,$E$3,$F$3,$G$3)</f>
        <v>59.300000000000573</v>
      </c>
      <c r="B601" s="1">
        <f ca="1"/>
        <v>-34.968717309499709</v>
      </c>
      <c r="C601" s="1">
        <f ca="1"/>
        <v>-50.951239239131596</v>
      </c>
      <c r="D601" s="1"/>
      <c r="E601">
        <f t="shared" ca="1" si="19"/>
        <v>3</v>
      </c>
      <c r="F601" s="1">
        <f t="shared" ca="1" si="18"/>
        <v>-34.968717309499709</v>
      </c>
    </row>
    <row r="602" spans="1:6" x14ac:dyDescent="0.25">
      <c r="A602" s="1">
        <f t="array" aca="1" ref="A602:C602" ca="1">ODE_RK4(A601:C601,$B$5,$E$3,$F$3,$G$3)</f>
        <v>59.400000000000574</v>
      </c>
      <c r="B602" s="1">
        <f ca="1"/>
        <v>-40.060039481602693</v>
      </c>
      <c r="C602" s="1">
        <f ca="1"/>
        <v>-50.858512823377566</v>
      </c>
      <c r="D602" s="1"/>
      <c r="E602">
        <f t="shared" ca="1" si="19"/>
        <v>3</v>
      </c>
      <c r="F602" s="1">
        <f t="shared" ca="1" si="18"/>
        <v>-40.060039481602693</v>
      </c>
    </row>
    <row r="603" spans="1:6" x14ac:dyDescent="0.25">
      <c r="A603" s="1">
        <f t="array" aca="1" ref="A603:C603" ca="1">ODE_RK4(A602:C602,$B$5,$E$3,$F$3,$G$3)</f>
        <v>59.500000000000576</v>
      </c>
      <c r="B603" s="1">
        <f ca="1"/>
        <v>-45.14155896247005</v>
      </c>
      <c r="C603" s="1">
        <f ca="1"/>
        <v>-50.753068158833727</v>
      </c>
      <c r="D603" s="1"/>
      <c r="E603">
        <f t="shared" ca="1" si="19"/>
        <v>3</v>
      </c>
      <c r="F603" s="1">
        <f t="shared" ca="1" si="18"/>
        <v>-45.14155896247005</v>
      </c>
    </row>
    <row r="604" spans="1:6" x14ac:dyDescent="0.25">
      <c r="A604" s="1">
        <f t="array" aca="1" ref="A604:C604" ca="1">ODE_RK4(A603:C603,$B$5,$E$3,$F$3,$G$3)</f>
        <v>59.600000000000577</v>
      </c>
      <c r="B604" s="1">
        <f ca="1"/>
        <v>-50.212004988068244</v>
      </c>
      <c r="C604" s="1">
        <f ca="1"/>
        <v>-50.634931076263356</v>
      </c>
      <c r="D604" s="1"/>
      <c r="E604">
        <f t="shared" ca="1" si="19"/>
        <v>3</v>
      </c>
      <c r="F604" s="1">
        <f t="shared" ca="1" si="18"/>
        <v>-50.212004988068244</v>
      </c>
    </row>
    <row r="605" spans="1:6" x14ac:dyDescent="0.25">
      <c r="A605" s="1">
        <f t="array" aca="1" ref="A605:C605" ca="1">ODE_RK4(A604:C604,$B$5,$E$3,$F$3,$G$3)</f>
        <v>59.700000000000578</v>
      </c>
      <c r="B605" s="1">
        <f ca="1"/>
        <v>-55.270109509728925</v>
      </c>
      <c r="C605" s="1">
        <f ca="1"/>
        <v>-50.504130580549862</v>
      </c>
      <c r="D605" s="1"/>
      <c r="E605">
        <f t="shared" ca="1" si="19"/>
        <v>3</v>
      </c>
      <c r="F605" s="1">
        <f t="shared" ca="1" si="18"/>
        <v>-55.270109509728925</v>
      </c>
    </row>
    <row r="606" spans="1:6" x14ac:dyDescent="0.25">
      <c r="A606" s="1">
        <f t="array" aca="1" ref="A606:C606" ca="1">ODE_RK4(A605:C605,$B$5,$E$3,$F$3,$G$3)</f>
        <v>59.80000000000058</v>
      </c>
      <c r="B606" s="1">
        <f ca="1"/>
        <v>-60.314607511268207</v>
      </c>
      <c r="C606" s="1">
        <f ca="1"/>
        <v>-50.360698843577957</v>
      </c>
      <c r="D606" s="1"/>
      <c r="E606">
        <f t="shared" ca="1" si="19"/>
        <v>3</v>
      </c>
      <c r="F606" s="1">
        <f t="shared" ca="1" si="18"/>
        <v>-60.314607511268207</v>
      </c>
    </row>
    <row r="607" spans="1:6" x14ac:dyDescent="0.25">
      <c r="A607" s="1">
        <f t="array" aca="1" ref="A607:C607" ca="1">ODE_RK4(A606:C606,$B$5,$E$3,$F$3,$G$3)</f>
        <v>59.900000000000581</v>
      </c>
      <c r="B607" s="1">
        <f ca="1"/>
        <v>-65.344237325361007</v>
      </c>
      <c r="C607" s="1">
        <f ca="1"/>
        <v>-50.204671196322785</v>
      </c>
      <c r="D607" s="1"/>
      <c r="E607">
        <f t="shared" ca="1" si="19"/>
        <v>3</v>
      </c>
      <c r="F607" s="1">
        <f t="shared" ca="1" si="18"/>
        <v>-65.344237325361007</v>
      </c>
    </row>
    <row r="608" spans="1:6" x14ac:dyDescent="0.25">
      <c r="A608" s="1">
        <f t="array" aca="1" ref="A608:C608" ca="1">ODE_RK4(A607:C607,$B$5,$E$3,$F$3,$G$3)</f>
        <v>60.000000000000583</v>
      </c>
      <c r="B608" s="1">
        <f ca="1"/>
        <v>-70.357740949091379</v>
      </c>
      <c r="C608" s="1">
        <f ca="1"/>
        <v>-50.036086120148973</v>
      </c>
      <c r="D608" s="1"/>
      <c r="E608">
        <f t="shared" ca="1" si="19"/>
        <v>3</v>
      </c>
      <c r="F608" s="1">
        <f t="shared" ca="1" si="18"/>
        <v>-70.357740949091379</v>
      </c>
    </row>
    <row r="609" spans="1:6" x14ac:dyDescent="0.25">
      <c r="A609" s="1">
        <f t="array" aca="1" ref="A609:C609" ca="1">ODE_RK4(A608:C608,$B$5,$E$3,$F$3,$G$3)</f>
        <v>60.100000000000584</v>
      </c>
      <c r="B609" s="1">
        <f ca="1"/>
        <v>-75.353864358599935</v>
      </c>
      <c r="C609" s="1">
        <f ca="1"/>
        <v>-49.854985237321728</v>
      </c>
      <c r="D609" s="1"/>
      <c r="E609">
        <f t="shared" ca="1" si="19"/>
        <v>3</v>
      </c>
      <c r="F609" s="1">
        <f t="shared" ca="1" si="18"/>
        <v>-75.353864358599935</v>
      </c>
    </row>
    <row r="610" spans="1:6" x14ac:dyDescent="0.25">
      <c r="A610" s="1">
        <f t="array" aca="1" ref="A610:C610" ca="1">ODE_RK4(A609:C609,$B$5,$E$3,$F$3,$G$3)</f>
        <v>60.200000000000585</v>
      </c>
      <c r="B610" s="1">
        <f ca="1"/>
        <v>-80.331357822749567</v>
      </c>
      <c r="C610" s="1">
        <f ca="1"/>
        <v>-49.661413300732342</v>
      </c>
      <c r="D610" s="1"/>
      <c r="E610">
        <f t="shared" ca="1" si="19"/>
        <v>3</v>
      </c>
      <c r="F610" s="1">
        <f t="shared" ca="1" si="18"/>
        <v>-80.331357822749567</v>
      </c>
    </row>
    <row r="611" spans="1:6" x14ac:dyDescent="0.25">
      <c r="A611" s="1">
        <f t="array" aca="1" ref="A611:C611" ca="1">ODE_RK4(A610:C610,$B$5,$E$3,$F$3,$G$3)</f>
        <v>60.300000000000587</v>
      </c>
      <c r="B611" s="1">
        <f ca="1"/>
        <v>-85.288976215731154</v>
      </c>
      <c r="C611" s="1">
        <f ca="1"/>
        <v>-49.455418182840603</v>
      </c>
      <c r="D611" s="1"/>
      <c r="E611">
        <f t="shared" ca="1" si="19"/>
        <v>3</v>
      </c>
      <c r="F611" s="1">
        <f t="shared" ca="1" si="18"/>
        <v>-85.288976215731154</v>
      </c>
    </row>
    <row r="612" spans="1:6" x14ac:dyDescent="0.25">
      <c r="A612" s="1">
        <f t="array" aca="1" ref="A612:C612" ca="1">ODE_RK4(A611:C611,$B$5,$E$3,$F$3,$G$3)</f>
        <v>60.400000000000588</v>
      </c>
      <c r="B612" s="1">
        <f ca="1"/>
        <v>-90.225479328530938</v>
      </c>
      <c r="C612" s="1">
        <f ca="1"/>
        <v>-49.237050863836906</v>
      </c>
      <c r="D612" s="1"/>
      <c r="E612">
        <f t="shared" ca="1" si="19"/>
        <v>3</v>
      </c>
      <c r="F612" s="1">
        <f t="shared" ca="1" si="18"/>
        <v>-90.225479328530938</v>
      </c>
    </row>
    <row r="613" spans="1:6" x14ac:dyDescent="0.25">
      <c r="A613" s="1">
        <f t="array" aca="1" ref="A613:C613" ca="1">ODE_RK4(A612:C612,$B$5,$E$3,$F$3,$G$3)</f>
        <v>60.50000000000059</v>
      </c>
      <c r="B613" s="1">
        <f ca="1"/>
        <v>-95.139632179181717</v>
      </c>
      <c r="C613" s="1">
        <f ca="1"/>
        <v>-49.006365419026913</v>
      </c>
      <c r="D613" s="1"/>
      <c r="E613">
        <f t="shared" ca="1" si="19"/>
        <v>3</v>
      </c>
      <c r="F613" s="1">
        <f t="shared" ca="1" si="18"/>
        <v>-95.139632179181717</v>
      </c>
    </row>
    <row r="614" spans="1:6" x14ac:dyDescent="0.25">
      <c r="A614" s="1">
        <f t="array" aca="1" ref="A614:C614" ca="1">ODE_RK4(A613:C613,$B$5,$E$3,$F$3,$G$3)</f>
        <v>60.600000000000591</v>
      </c>
      <c r="B614" s="1">
        <f ca="1"/>
        <v>-100.0302053217202</v>
      </c>
      <c r="C614" s="1">
        <f ca="1"/>
        <v>-48.763419005441946</v>
      </c>
      <c r="D614" s="1"/>
      <c r="E614">
        <f t="shared" ca="1" si="19"/>
        <v>3</v>
      </c>
      <c r="F614" s="1">
        <f t="shared" ca="1" si="18"/>
        <v>-100.0302053217202</v>
      </c>
    </row>
    <row r="615" spans="1:6" x14ac:dyDescent="0.25">
      <c r="A615" s="1">
        <f t="array" aca="1" ref="A615:C615" ca="1">ODE_RK4(A614:C614,$B$5,$E$3,$F$3,$G$3)</f>
        <v>60.700000000000593</v>
      </c>
      <c r="B615" s="1">
        <f ca="1"/>
        <v>-104.89597515377332</v>
      </c>
      <c r="C615" s="1">
        <f ca="1"/>
        <v>-48.508271847678408</v>
      </c>
      <c r="D615" s="1"/>
      <c r="E615">
        <f t="shared" ca="1" si="19"/>
        <v>3</v>
      </c>
      <c r="F615" s="1">
        <f t="shared" ca="1" si="18"/>
        <v>-104.89597515377332</v>
      </c>
    </row>
    <row r="616" spans="1:6" x14ac:dyDescent="0.25">
      <c r="A616" s="1">
        <f t="array" aca="1" ref="A616:C616" ca="1">ODE_RK4(A615:C615,$B$5,$E$3,$F$3,$G$3)</f>
        <v>60.800000000000594</v>
      </c>
      <c r="B616" s="1">
        <f ca="1"/>
        <v>-109.73572422269642</v>
      </c>
      <c r="C616" s="1">
        <f ca="1"/>
        <v>-48.240987222969714</v>
      </c>
      <c r="D616" s="1"/>
      <c r="E616">
        <f t="shared" ca="1" si="19"/>
        <v>3</v>
      </c>
      <c r="F616" s="1">
        <f t="shared" ca="1" si="18"/>
        <v>-109.73572422269642</v>
      </c>
    </row>
    <row r="617" spans="1:6" x14ac:dyDescent="0.25">
      <c r="A617" s="1">
        <f t="array" aca="1" ref="A617:C617" ca="1">ODE_RK4(A616:C616,$B$5,$E$3,$F$3,$G$3)</f>
        <v>60.900000000000595</v>
      </c>
      <c r="B617" s="1">
        <f ca="1"/>
        <v>-114.54824153018684</v>
      </c>
      <c r="C617" s="1">
        <f ca="1"/>
        <v>-47.96163144549449</v>
      </c>
      <c r="D617" s="1"/>
      <c r="E617">
        <f t="shared" ca="1" si="19"/>
        <v>3</v>
      </c>
      <c r="F617" s="1">
        <f t="shared" ca="1" si="18"/>
        <v>-114.54824153018684</v>
      </c>
    </row>
    <row r="618" spans="1:6" x14ac:dyDescent="0.25">
      <c r="A618" s="1">
        <f t="array" aca="1" ref="A618:C618" ca="1">ODE_RK4(A617:C617,$B$5,$E$3,$F$3,$G$3)</f>
        <v>61.000000000000597</v>
      </c>
      <c r="B618" s="1">
        <f ca="1"/>
        <v>-119.33232283529665</v>
      </c>
      <c r="C618" s="1">
        <f ca="1"/>
        <v>-47.670273849924861</v>
      </c>
      <c r="D618" s="1"/>
      <c r="E618">
        <f t="shared" ca="1" si="19"/>
        <v>3</v>
      </c>
      <c r="F618" s="1">
        <f t="shared" ca="1" si="18"/>
        <v>-119.33232283529665</v>
      </c>
    </row>
    <row r="619" spans="1:6" x14ac:dyDescent="0.25">
      <c r="A619" s="1">
        <f t="array" aca="1" ref="A619:C619" ca="1">ODE_RK4(A618:C618,$B$5,$E$3,$F$3,$G$3)</f>
        <v>61.100000000000598</v>
      </c>
      <c r="B619" s="1">
        <f ca="1"/>
        <v>-124.08677095576864</v>
      </c>
      <c r="C619" s="1">
        <f ca="1"/>
        <v>-47.366986774218979</v>
      </c>
      <c r="D619" s="1"/>
      <c r="E619">
        <f t="shared" ca="1" si="19"/>
        <v>3</v>
      </c>
      <c r="F619" s="1">
        <f t="shared" ca="1" si="18"/>
        <v>-124.08677095576864</v>
      </c>
    </row>
    <row r="620" spans="1:6" x14ac:dyDescent="0.25">
      <c r="A620" s="1">
        <f t="array" aca="1" ref="A620:C620" ca="1">ODE_RK4(A619:C619,$B$5,$E$3,$F$3,$G$3)</f>
        <v>61.2000000000006</v>
      </c>
      <c r="B620" s="1">
        <f ca="1"/>
        <v>-128.8103960676203</v>
      </c>
      <c r="C620" s="1">
        <f ca="1"/>
        <v>-47.05184554166199</v>
      </c>
      <c r="D620" s="1"/>
      <c r="E620">
        <f t="shared" ca="1" si="19"/>
        <v>3</v>
      </c>
      <c r="F620" s="1">
        <f t="shared" ca="1" si="18"/>
        <v>-128.8103960676203</v>
      </c>
    </row>
    <row r="621" spans="1:6" x14ac:dyDescent="0.25">
      <c r="A621" s="1">
        <f t="array" aca="1" ref="A621:C621" ca="1">ODE_RK4(A620:C620,$B$5,$E$3,$F$3,$G$3)</f>
        <v>61.300000000000601</v>
      </c>
      <c r="B621" s="1">
        <f ca="1"/>
        <v>-133.50201600290069</v>
      </c>
      <c r="C621" s="1">
        <f ca="1"/>
        <v>-46.724928442159964</v>
      </c>
      <c r="D621" s="1"/>
      <c r="E621">
        <f t="shared" ca="1" si="19"/>
        <v>3</v>
      </c>
      <c r="F621" s="1">
        <f t="shared" ca="1" si="18"/>
        <v>-133.50201600290069</v>
      </c>
    </row>
    <row r="622" spans="1:6" x14ac:dyDescent="0.25">
      <c r="A622" s="1">
        <f t="array" aca="1" ref="A622:C622" ca="1">ODE_RK4(A621:C621,$B$5,$E$3,$F$3,$G$3)</f>
        <v>61.400000000000603</v>
      </c>
      <c r="B622" s="1">
        <f ca="1"/>
        <v>-138.16045654554574</v>
      </c>
      <c r="C622" s="1">
        <f ca="1"/>
        <v>-46.386316712791405</v>
      </c>
      <c r="D622" s="1"/>
      <c r="E622">
        <f t="shared" ca="1" si="19"/>
        <v>3</v>
      </c>
      <c r="F622" s="1">
        <f t="shared" ca="1" si="18"/>
        <v>-138.16045654554574</v>
      </c>
    </row>
    <row r="623" spans="1:6" x14ac:dyDescent="0.25">
      <c r="A623" s="1">
        <f t="array" aca="1" ref="A623:C623" ca="1">ODE_RK4(A622:C622,$B$5,$E$3,$F$3,$G$3)</f>
        <v>61.500000000000604</v>
      </c>
      <c r="B623" s="1">
        <f ca="1"/>
        <v>-142.7845517252581</v>
      </c>
      <c r="C623" s="1">
        <f ca="1"/>
        <v>-46.036094517621144</v>
      </c>
      <c r="D623" s="1"/>
      <c r="E623">
        <f t="shared" ca="1" si="19"/>
        <v>3</v>
      </c>
      <c r="F623" s="1">
        <f t="shared" ca="1" si="18"/>
        <v>-142.7845517252581</v>
      </c>
    </row>
    <row r="624" spans="1:6" x14ac:dyDescent="0.25">
      <c r="A624" s="1">
        <f t="array" aca="1" ref="A624:C624" ca="1">ODE_RK4(A623:C623,$B$5,$E$3,$F$3,$G$3)</f>
        <v>61.600000000000605</v>
      </c>
      <c r="B624" s="1">
        <f ca="1"/>
        <v>-147.37314410933752</v>
      </c>
      <c r="C624" s="1">
        <f ca="1"/>
        <v>-45.674348926781683</v>
      </c>
      <c r="D624" s="1"/>
      <c r="E624">
        <f t="shared" ca="1" si="19"/>
        <v>3</v>
      </c>
      <c r="F624" s="1">
        <f t="shared" ca="1" si="18"/>
        <v>-147.37314410933752</v>
      </c>
    </row>
    <row r="625" spans="1:6" x14ac:dyDescent="0.25">
      <c r="A625" s="1">
        <f t="array" aca="1" ref="A625:C625" ca="1">ODE_RK4(A624:C624,$B$5,$E$3,$F$3,$G$3)</f>
        <v>61.700000000000607</v>
      </c>
      <c r="B625" s="1">
        <f ca="1"/>
        <v>-151.92508509238934</v>
      </c>
      <c r="C625" s="1">
        <f ca="1"/>
        <v>-45.301169894827154</v>
      </c>
      <c r="D625" s="1"/>
      <c r="E625">
        <f t="shared" ca="1" si="19"/>
        <v>3</v>
      </c>
      <c r="F625" s="1">
        <f t="shared" ca="1" si="18"/>
        <v>-151.92508509238934</v>
      </c>
    </row>
    <row r="626" spans="1:6" x14ac:dyDescent="0.25">
      <c r="A626" s="1">
        <f t="array" aca="1" ref="A626:C626" ca="1">ODE_RK4(A625:C625,$B$5,$E$3,$F$3,$G$3)</f>
        <v>61.800000000000608</v>
      </c>
      <c r="B626" s="1">
        <f ca="1"/>
        <v>-156.43923518383812</v>
      </c>
      <c r="C626" s="1">
        <f ca="1"/>
        <v>-44.916650238365307</v>
      </c>
      <c r="D626" s="1"/>
      <c r="E626">
        <f t="shared" ca="1" si="19"/>
        <v>3</v>
      </c>
      <c r="F626" s="1">
        <f t="shared" ca="1" si="18"/>
        <v>-156.43923518383812</v>
      </c>
    </row>
    <row r="627" spans="1:6" x14ac:dyDescent="0.25">
      <c r="A627" s="1">
        <f t="array" aca="1" ref="A627:C627" ca="1">ODE_RK4(A626:C626,$B$5,$E$3,$F$3,$G$3)</f>
        <v>61.90000000000061</v>
      </c>
      <c r="B627" s="1">
        <f ca="1"/>
        <v>-160.9144642931746</v>
      </c>
      <c r="C627" s="1">
        <f ca="1"/>
        <v>-44.520885612973018</v>
      </c>
      <c r="D627" s="1"/>
      <c r="E627">
        <f t="shared" ca="1" si="19"/>
        <v>3</v>
      </c>
      <c r="F627" s="1">
        <f t="shared" ca="1" si="18"/>
        <v>-160.9144642931746</v>
      </c>
    </row>
    <row r="628" spans="1:6" x14ac:dyDescent="0.25">
      <c r="A628" s="1">
        <f t="array" aca="1" ref="A628:C628" ca="1">ODE_RK4(A627:C627,$B$5,$E$3,$F$3,$G$3)</f>
        <v>62.000000000000611</v>
      </c>
      <c r="B628" s="1">
        <f ca="1"/>
        <v>-165.34965201286454</v>
      </c>
      <c r="C628" s="1">
        <f ca="1"/>
        <v>-44.113974489401159</v>
      </c>
      <c r="D628" s="1"/>
      <c r="E628">
        <f t="shared" ca="1" si="19"/>
        <v>3</v>
      </c>
      <c r="F628" s="1">
        <f t="shared" ca="1" si="18"/>
        <v>-165.34965201286454</v>
      </c>
    </row>
    <row r="629" spans="1:6" x14ac:dyDescent="0.25">
      <c r="A629" s="1">
        <f t="array" aca="1" ref="A629:C629" ca="1">ODE_RK4(A628:C628,$B$5,$E$3,$F$3,$G$3)</f>
        <v>62.100000000000612</v>
      </c>
      <c r="B629" s="1">
        <f ca="1"/>
        <v>-169.74368789884872</v>
      </c>
      <c r="C629" s="1">
        <f ca="1"/>
        <v>-43.696018129074652</v>
      </c>
      <c r="D629" s="1"/>
      <c r="E629">
        <f t="shared" ca="1" si="19"/>
        <v>3</v>
      </c>
      <c r="F629" s="1">
        <f t="shared" ca="1" si="18"/>
        <v>-169.74368789884872</v>
      </c>
    </row>
    <row r="630" spans="1:6" x14ac:dyDescent="0.25">
      <c r="A630" s="1">
        <f t="array" aca="1" ref="A630:C630" ca="1">ODE_RK4(A629:C629,$B$5,$E$3,$F$3,$G$3)</f>
        <v>62.200000000000614</v>
      </c>
      <c r="B630" s="1">
        <f ca="1"/>
        <v>-174.09547174856382</v>
      </c>
      <c r="C630" s="1">
        <f ca="1"/>
        <v>-43.267120558893893</v>
      </c>
      <c r="D630" s="1"/>
      <c r="E630">
        <f t="shared" ca="1" si="19"/>
        <v>3</v>
      </c>
      <c r="F630" s="1">
        <f t="shared" ca="1" si="18"/>
        <v>-174.09547174856382</v>
      </c>
    </row>
    <row r="631" spans="1:6" x14ac:dyDescent="0.25">
      <c r="A631" s="1">
        <f t="array" aca="1" ref="A631:C631" ca="1">ODE_RK4(A630:C630,$B$5,$E$3,$F$3,$G$3)</f>
        <v>62.300000000000615</v>
      </c>
      <c r="B631" s="1">
        <f ca="1"/>
        <v>-178.40391387641446</v>
      </c>
      <c r="C631" s="1">
        <f ca="1"/>
        <v>-42.827388545343723</v>
      </c>
      <c r="D631" s="1"/>
      <c r="E631">
        <f t="shared" ca="1" si="19"/>
        <v>3</v>
      </c>
      <c r="F631" s="1">
        <f t="shared" ca="1" si="18"/>
        <v>-178.40391387641446</v>
      </c>
    </row>
    <row r="632" spans="1:6" x14ac:dyDescent="0.25">
      <c r="A632" s="1">
        <f t="array" aca="1" ref="A632:C632" ca="1">ODE_RK4(A631:C631,$B$5,$E$3,$F$3,$G$3)</f>
        <v>62.400000000000617</v>
      </c>
      <c r="B632" s="1">
        <f ca="1"/>
        <v>-182.66793538662759</v>
      </c>
      <c r="C632" s="1">
        <f ca="1"/>
        <v>-42.376931567916479</v>
      </c>
      <c r="D632" s="1"/>
      <c r="E632">
        <f t="shared" ca="1" si="19"/>
        <v>3</v>
      </c>
      <c r="F632" s="1">
        <f t="shared" ca="1" si="18"/>
        <v>-182.66793538662759</v>
      </c>
    </row>
    <row r="633" spans="1:6" x14ac:dyDescent="0.25">
      <c r="A633" s="1">
        <f t="array" aca="1" ref="A633:C633" ca="1">ODE_RK4(A632:C632,$B$5,$E$3,$F$3,$G$3)</f>
        <v>62.500000000000618</v>
      </c>
      <c r="B633" s="1">
        <f ca="1"/>
        <v>-186.88646844342085</v>
      </c>
      <c r="C633" s="1">
        <f ca="1"/>
        <v>-41.915861791855669</v>
      </c>
      <c r="D633" s="1"/>
      <c r="E633">
        <f t="shared" ca="1" si="19"/>
        <v>3</v>
      </c>
      <c r="F633" s="1">
        <f t="shared" ca="1" si="18"/>
        <v>-186.88646844342085</v>
      </c>
    </row>
    <row r="634" spans="1:6" x14ac:dyDescent="0.25">
      <c r="A634" s="1">
        <f t="array" aca="1" ref="A634:C634" ca="1">ODE_RK4(A633:C633,$B$5,$E$3,$F$3,$G$3)</f>
        <v>62.60000000000062</v>
      </c>
      <c r="B634" s="1">
        <f ca="1"/>
        <v>-191.05845653841723</v>
      </c>
      <c r="C634" s="1">
        <f ca="1"/>
        <v>-41.444294040227092</v>
      </c>
      <c r="D634" s="1"/>
      <c r="E634">
        <f t="shared" ca="1" si="19"/>
        <v>3</v>
      </c>
      <c r="F634" s="1">
        <f t="shared" ca="1" si="18"/>
        <v>-191.05845653841723</v>
      </c>
    </row>
    <row r="635" spans="1:6" x14ac:dyDescent="0.25">
      <c r="A635" s="1">
        <f t="array" aca="1" ref="A635:C635" ca="1">ODE_RK4(A634:C634,$B$5,$E$3,$F$3,$G$3)</f>
        <v>62.700000000000621</v>
      </c>
      <c r="B635" s="1">
        <f ca="1"/>
        <v>-195.18285475523902</v>
      </c>
      <c r="C635" s="1">
        <f ca="1"/>
        <v>-40.962345765324365</v>
      </c>
      <c r="D635" s="1"/>
      <c r="E635">
        <f t="shared" ca="1" si="19"/>
        <v>3</v>
      </c>
      <c r="F635" s="1">
        <f t="shared" ca="1" si="18"/>
        <v>-195.18285475523902</v>
      </c>
    </row>
    <row r="636" spans="1:6" x14ac:dyDescent="0.25">
      <c r="A636" s="1">
        <f t="array" aca="1" ref="A636:C636" ca="1">ODE_RK4(A635:C635,$B$5,$E$3,$F$3,$G$3)</f>
        <v>62.800000000000622</v>
      </c>
      <c r="B636" s="1">
        <f ca="1"/>
        <v>-199.25863003121495</v>
      </c>
      <c r="C636" s="1">
        <f ca="1"/>
        <v>-40.470137019415958</v>
      </c>
      <c r="D636" s="1"/>
      <c r="E636">
        <f t="shared" ca="1" si="19"/>
        <v>3</v>
      </c>
      <c r="F636" s="1">
        <f t="shared" ca="1" si="18"/>
        <v>-199.25863003121495</v>
      </c>
    </row>
    <row r="637" spans="1:6" x14ac:dyDescent="0.25">
      <c r="A637" s="1">
        <f t="array" aca="1" ref="A637:C637" ca="1">ODE_RK4(A636:C636,$B$5,$E$3,$F$3,$G$3)</f>
        <v>62.900000000000624</v>
      </c>
      <c r="B637" s="1">
        <f ca="1"/>
        <v>-203.28476141613478</v>
      </c>
      <c r="C637" s="1">
        <f ca="1"/>
        <v>-39.967790424841027</v>
      </c>
      <c r="D637" s="1"/>
      <c r="E637">
        <f t="shared" ca="1" si="19"/>
        <v>3</v>
      </c>
      <c r="F637" s="1">
        <f t="shared" ca="1" si="18"/>
        <v>-203.28476141613478</v>
      </c>
    </row>
    <row r="638" spans="1:6" x14ac:dyDescent="0.25">
      <c r="A638" s="1">
        <f t="array" aca="1" ref="A638:C638" ca="1">ODE_RK4(A637:C637,$B$5,$E$3,$F$3,$G$3)</f>
        <v>63.000000000000625</v>
      </c>
      <c r="B638" s="1">
        <f ca="1"/>
        <v>-207.26024032798665</v>
      </c>
      <c r="C638" s="1">
        <f ca="1"/>
        <v>-39.455431143461482</v>
      </c>
      <c r="D638" s="1"/>
      <c r="E638">
        <f t="shared" ca="1" si="19"/>
        <v>3</v>
      </c>
      <c r="F638" s="1">
        <f t="shared" ca="1" si="18"/>
        <v>-207.26024032798665</v>
      </c>
    </row>
    <row r="639" spans="1:6" x14ac:dyDescent="0.25">
      <c r="A639" s="1">
        <f t="array" aca="1" ref="A639:C639" ca="1">ODE_RK4(A638:C638,$B$5,$E$3,$F$3,$G$3)</f>
        <v>63.100000000000627</v>
      </c>
      <c r="B639" s="1">
        <f ca="1"/>
        <v>-211.18407080561309</v>
      </c>
      <c r="C639" s="1">
        <f ca="1"/>
        <v>-38.933186845477941</v>
      </c>
      <c r="D639" s="1"/>
      <c r="E639">
        <f t="shared" ca="1" si="19"/>
        <v>3</v>
      </c>
      <c r="F639" s="1">
        <f t="shared" ca="1" si="18"/>
        <v>-211.18407080561309</v>
      </c>
    </row>
    <row r="640" spans="1:6" x14ac:dyDescent="0.25">
      <c r="A640" s="1">
        <f t="array" aca="1" ref="A640:C640" ca="1">ODE_RK4(A639:C639,$B$5,$E$3,$F$3,$G$3)</f>
        <v>63.200000000000628</v>
      </c>
      <c r="B640" s="1">
        <f ca="1"/>
        <v>-215.05526975822232</v>
      </c>
      <c r="C640" s="1">
        <f ca="1"/>
        <v>-38.401187677617287</v>
      </c>
      <c r="D640" s="1"/>
      <c r="E640">
        <f t="shared" ca="1" si="19"/>
        <v>3</v>
      </c>
      <c r="F640" s="1">
        <f t="shared" ca="1" si="18"/>
        <v>-215.05526975822232</v>
      </c>
    </row>
    <row r="641" spans="1:6" x14ac:dyDescent="0.25">
      <c r="A641" s="1">
        <f t="array" aca="1" ref="A641:C641" ca="1">ODE_RK4(A640:C640,$B$5,$E$3,$F$3,$G$3)</f>
        <v>63.30000000000063</v>
      </c>
      <c r="B641" s="1">
        <f ca="1"/>
        <v>-218.87286721169264</v>
      </c>
      <c r="C641" s="1">
        <f ca="1"/>
        <v>-37.859566230699812</v>
      </c>
      <c r="D641" s="1"/>
      <c r="E641">
        <f t="shared" ca="1" si="19"/>
        <v>3</v>
      </c>
      <c r="F641" s="1">
        <f t="shared" ca="1" si="18"/>
        <v>-218.87286721169264</v>
      </c>
    </row>
    <row r="642" spans="1:6" x14ac:dyDescent="0.25">
      <c r="A642" s="1">
        <f t="array" aca="1" ref="A642:C642" ca="1">ODE_RK4(A641:C641,$B$5,$E$3,$F$3,$G$3)</f>
        <v>63.400000000000631</v>
      </c>
      <c r="B642" s="1">
        <f ca="1"/>
        <v>-222.63590655160763</v>
      </c>
      <c r="C642" s="1">
        <f ca="1"/>
        <v>-37.308457506593946</v>
      </c>
      <c r="D642" s="1"/>
      <c r="E642">
        <f t="shared" ca="1" si="19"/>
        <v>3</v>
      </c>
      <c r="F642" s="1">
        <f t="shared" ca="1" si="18"/>
        <v>-222.63590655160763</v>
      </c>
    </row>
    <row r="643" spans="1:6" x14ac:dyDescent="0.25">
      <c r="A643" s="1">
        <f t="array" aca="1" ref="A643:C643" ca="1">ODE_RK4(A642:C642,$B$5,$E$3,$F$3,$G$3)</f>
        <v>63.500000000000632</v>
      </c>
      <c r="B643" s="1">
        <f ca="1"/>
        <v>-226.34344476296204</v>
      </c>
      <c r="C643" s="1">
        <f ca="1"/>
        <v>-36.747998884566911</v>
      </c>
      <c r="D643" s="1"/>
      <c r="E643">
        <f t="shared" ca="1" si="19"/>
        <v>3</v>
      </c>
      <c r="F643" s="1">
        <f t="shared" ca="1" si="18"/>
        <v>-226.34344476296204</v>
      </c>
    </row>
    <row r="644" spans="1:6" x14ac:dyDescent="0.25">
      <c r="A644" s="1">
        <f t="array" aca="1" ref="A644:C644" ca="1">ODE_RK4(A643:C643,$B$5,$E$3,$F$3,$G$3)</f>
        <v>63.600000000000634</v>
      </c>
      <c r="B644" s="1">
        <f ca="1"/>
        <v>-229.99455266647743</v>
      </c>
      <c r="C644" s="1">
        <f ca="1"/>
        <v>-36.178330087039612</v>
      </c>
      <c r="D644" s="1"/>
      <c r="E644">
        <f t="shared" ca="1" si="19"/>
        <v>3</v>
      </c>
      <c r="F644" s="1">
        <f t="shared" ca="1" si="18"/>
        <v>-229.99455266647743</v>
      </c>
    </row>
    <row r="645" spans="1:6" x14ac:dyDescent="0.25">
      <c r="A645" s="1">
        <f t="array" aca="1" ref="A645:C645" ca="1">ODE_RK4(A644:C644,$B$5,$E$3,$F$3,$G$3)</f>
        <v>63.700000000000635</v>
      </c>
      <c r="B645" s="1">
        <f ca="1"/>
        <v>-233.58831515146917</v>
      </c>
      <c r="C645" s="1">
        <f ca="1"/>
        <v>-35.599593144754316</v>
      </c>
      <c r="D645" s="1"/>
      <c r="E645">
        <f t="shared" ca="1" si="19"/>
        <v>3</v>
      </c>
      <c r="F645" s="1">
        <f t="shared" ca="1" si="18"/>
        <v>-233.58831515146917</v>
      </c>
    </row>
    <row r="646" spans="1:6" x14ac:dyDescent="0.25">
      <c r="A646" s="1">
        <f t="array" aca="1" ref="A646:C646" ca="1">ODE_RK4(A645:C645,$B$5,$E$3,$F$3,$G$3)</f>
        <v>63.800000000000637</v>
      </c>
      <c r="B646" s="1">
        <f ca="1"/>
        <v>-237.12383140520586</v>
      </c>
      <c r="C646" s="1">
        <f ca="1"/>
        <v>-35.011932361363819</v>
      </c>
      <c r="D646" s="1"/>
      <c r="E646">
        <f t="shared" ca="1" si="19"/>
        <v>3</v>
      </c>
      <c r="F646" s="1">
        <f t="shared" ca="1" si="18"/>
        <v>-237.12383140520586</v>
      </c>
    </row>
    <row r="647" spans="1:6" x14ac:dyDescent="0.25">
      <c r="A647" s="1">
        <f t="array" aca="1" ref="A647:C647" ca="1">ODE_RK4(A646:C646,$B$5,$E$3,$F$3,$G$3)</f>
        <v>63.900000000000638</v>
      </c>
      <c r="B647" s="1">
        <f ca="1"/>
        <v>-240.6002151387039</v>
      </c>
      <c r="C647" s="1">
        <f ca="1"/>
        <v>-34.415494277450946</v>
      </c>
      <c r="D647" s="1"/>
      <c r="E647">
        <f t="shared" ca="1" si="19"/>
        <v>3</v>
      </c>
      <c r="F647" s="1">
        <f t="shared" ca="1" si="18"/>
        <v>-240.6002151387039</v>
      </c>
    </row>
    <row r="648" spans="1:6" x14ac:dyDescent="0.25">
      <c r="A648" s="1">
        <f t="array" aca="1" ref="A648:C648" ca="1">ODE_RK4(A647:C647,$B$5,$E$3,$F$3,$G$3)</f>
        <v>64.000000000000639</v>
      </c>
      <c r="B648" s="1">
        <f ca="1"/>
        <v>-244.01659480890063</v>
      </c>
      <c r="C648" s="1">
        <f ca="1"/>
        <v>-33.810427633987267</v>
      </c>
      <c r="D648" s="1"/>
      <c r="E648">
        <f t="shared" ca="1" si="19"/>
        <v>3</v>
      </c>
      <c r="F648" s="1">
        <f t="shared" ref="F648:F711" ca="1" si="20">B648</f>
        <v>-244.01659480890063</v>
      </c>
    </row>
    <row r="649" spans="1:6" x14ac:dyDescent="0.25">
      <c r="A649" s="1">
        <f t="array" aca="1" ref="A649:C649" ca="1">ODE_RK4(A648:C648,$B$5,$E$3,$F$3,$G$3)</f>
        <v>64.100000000000634</v>
      </c>
      <c r="B649" s="1">
        <f ca="1"/>
        <v>-247.37211383715035</v>
      </c>
      <c r="C649" s="1">
        <f ca="1"/>
        <v>-33.196883335240273</v>
      </c>
      <c r="D649" s="1"/>
      <c r="E649">
        <f t="shared" ref="E649:E712" ca="1" si="21">(C649*C650&lt;0)*1+E648</f>
        <v>3</v>
      </c>
      <c r="F649" s="1">
        <f t="shared" ca="1" si="20"/>
        <v>-247.37211383715035</v>
      </c>
    </row>
    <row r="650" spans="1:6" x14ac:dyDescent="0.25">
      <c r="A650" s="1">
        <f t="array" aca="1" ref="A650:C650" ca="1">ODE_RK4(A649:C649,$B$5,$E$3,$F$3,$G$3)</f>
        <v>64.200000000000628</v>
      </c>
      <c r="B650" s="1">
        <f ca="1"/>
        <v>-250.66593082398836</v>
      </c>
      <c r="C650" s="1">
        <f ca="1"/>
        <v>-32.575014411138142</v>
      </c>
      <c r="D650" s="1"/>
      <c r="E650">
        <f t="shared" ca="1" si="21"/>
        <v>3</v>
      </c>
      <c r="F650" s="1">
        <f t="shared" ca="1" si="20"/>
        <v>-250.66593082398836</v>
      </c>
    </row>
    <row r="651" spans="1:6" x14ac:dyDescent="0.25">
      <c r="A651" s="1">
        <f t="array" aca="1" ref="A651:C651" ca="1">ODE_RK4(A650:C650,$B$5,$E$3,$F$3,$G$3)</f>
        <v>64.300000000000622</v>
      </c>
      <c r="B651" s="1">
        <f ca="1"/>
        <v>-253.89721976010924</v>
      </c>
      <c r="C651" s="1">
        <f ca="1"/>
        <v>-31.944975979101574</v>
      </c>
      <c r="D651" s="1"/>
      <c r="E651">
        <f t="shared" ca="1" si="21"/>
        <v>3</v>
      </c>
      <c r="F651" s="1">
        <f t="shared" ca="1" si="20"/>
        <v>-253.89721976010924</v>
      </c>
    </row>
    <row r="652" spans="1:6" x14ac:dyDescent="0.25">
      <c r="A652" s="1">
        <f t="array" aca="1" ref="A652:C652" ca="1">ODE_RK4(A651:C651,$B$5,$E$3,$F$3,$G$3)</f>
        <v>64.400000000000617</v>
      </c>
      <c r="B652" s="1">
        <f ca="1"/>
        <v>-257.06517023350648</v>
      </c>
      <c r="C652" s="1">
        <f ca="1"/>
        <v>-31.306925205352126</v>
      </c>
      <c r="D652" s="1"/>
      <c r="E652">
        <f t="shared" ca="1" si="21"/>
        <v>3</v>
      </c>
      <c r="F652" s="1">
        <f t="shared" ca="1" si="20"/>
        <v>-257.06517023350648</v>
      </c>
    </row>
    <row r="653" spans="1:6" x14ac:dyDescent="0.25">
      <c r="A653" s="1">
        <f t="array" aca="1" ref="A653:C653" ca="1">ODE_RK4(A652:C652,$B$5,$E$3,$F$3,$G$3)</f>
        <v>64.500000000000611</v>
      </c>
      <c r="B653" s="1">
        <f ca="1"/>
        <v>-260.16898763272138</v>
      </c>
      <c r="C653" s="1">
        <f ca="1"/>
        <v>-30.661021265706786</v>
      </c>
      <c r="D653" s="1"/>
      <c r="E653">
        <f t="shared" ca="1" si="21"/>
        <v>3</v>
      </c>
      <c r="F653" s="1">
        <f t="shared" ca="1" si="20"/>
        <v>-260.16898763272138</v>
      </c>
    </row>
    <row r="654" spans="1:6" x14ac:dyDescent="0.25">
      <c r="A654" s="1">
        <f t="array" aca="1" ref="A654:C654" ca="1">ODE_RK4(A653:C653,$B$5,$E$3,$F$3,$G$3)</f>
        <v>64.600000000000605</v>
      </c>
      <c r="B654" s="1">
        <f ca="1"/>
        <v>-263.20789334615057</v>
      </c>
      <c r="C654" s="1">
        <f ca="1"/>
        <v>-30.007425305868502</v>
      </c>
      <c r="D654" s="1"/>
      <c r="E654">
        <f t="shared" ca="1" si="21"/>
        <v>3</v>
      </c>
      <c r="F654" s="1">
        <f t="shared" ca="1" si="20"/>
        <v>-263.20789334615057</v>
      </c>
    </row>
    <row r="655" spans="1:6" x14ac:dyDescent="0.25">
      <c r="A655" s="1">
        <f t="array" aca="1" ref="A655:C655" ca="1">ODE_RK4(A654:C654,$B$5,$E$3,$F$3,$G$3)</f>
        <v>64.7000000000006</v>
      </c>
      <c r="B655" s="1">
        <f ca="1"/>
        <v>-266.1811249573617</v>
      </c>
      <c r="C655" s="1">
        <f ca="1"/>
        <v>-29.346300401222599</v>
      </c>
      <c r="D655" s="1"/>
      <c r="E655">
        <f t="shared" ca="1" si="21"/>
        <v>3</v>
      </c>
      <c r="F655" s="1">
        <f t="shared" ca="1" si="20"/>
        <v>-266.1811249573617</v>
      </c>
    </row>
    <row r="656" spans="1:6" x14ac:dyDescent="0.25">
      <c r="A656" s="1">
        <f t="array" aca="1" ref="A656:C656" ca="1">ODE_RK4(A655:C655,$B$5,$E$3,$F$3,$G$3)</f>
        <v>64.800000000000594</v>
      </c>
      <c r="B656" s="1">
        <f ca="1"/>
        <v>-269.08793643636881</v>
      </c>
      <c r="C656" s="1">
        <f ca="1"/>
        <v>-28.677811516149116</v>
      </c>
      <c r="D656" s="1"/>
      <c r="E656">
        <f t="shared" ca="1" si="21"/>
        <v>3</v>
      </c>
      <c r="F656" s="1">
        <f t="shared" ca="1" si="20"/>
        <v>-269.08793643636881</v>
      </c>
    </row>
    <row r="657" spans="1:6" x14ac:dyDescent="0.25">
      <c r="A657" s="1">
        <f t="array" aca="1" ref="A657:C657" ca="1">ODE_RK4(A656:C656,$B$5,$E$3,$F$3,$G$3)</f>
        <v>64.900000000000588</v>
      </c>
      <c r="B657" s="1">
        <f ca="1"/>
        <v>-271.92759832681884</v>
      </c>
      <c r="C657" s="1">
        <f ca="1"/>
        <v>-28.002125462861198</v>
      </c>
      <c r="D657" s="1"/>
      <c r="E657">
        <f t="shared" ca="1" si="21"/>
        <v>3</v>
      </c>
      <c r="F657" s="1">
        <f t="shared" ca="1" si="20"/>
        <v>-271.92759832681884</v>
      </c>
    </row>
    <row r="658" spans="1:6" x14ac:dyDescent="0.25">
      <c r="A658" s="1">
        <f t="array" aca="1" ref="A658:C658" ca="1">ODE_RK4(A657:C657,$B$5,$E$3,$F$3,$G$3)</f>
        <v>65.000000000000583</v>
      </c>
      <c r="B658" s="1">
        <f ca="1"/>
        <v>-274.6993979290429</v>
      </c>
      <c r="C658" s="1">
        <f ca="1"/>
        <v>-27.319410859779822</v>
      </c>
      <c r="D658" s="1"/>
      <c r="E658">
        <f t="shared" ca="1" si="21"/>
        <v>3</v>
      </c>
      <c r="F658" s="1">
        <f t="shared" ca="1" si="20"/>
        <v>-274.6993979290429</v>
      </c>
    </row>
    <row r="659" spans="1:6" x14ac:dyDescent="0.25">
      <c r="A659" s="1">
        <f t="array" aca="1" ref="A659:C659" ca="1">ODE_RK4(A658:C658,$B$5,$E$3,$F$3,$G$3)</f>
        <v>65.100000000000577</v>
      </c>
      <c r="B659" s="1">
        <f ca="1"/>
        <v>-277.40263947892583</v>
      </c>
      <c r="C659" s="1">
        <f ca="1"/>
        <v>-26.629838089455266</v>
      </c>
      <c r="D659" s="1"/>
      <c r="E659">
        <f t="shared" ca="1" si="21"/>
        <v>3</v>
      </c>
      <c r="F659" s="1">
        <f t="shared" ca="1" si="20"/>
        <v>-277.40263947892583</v>
      </c>
    </row>
    <row r="660" spans="1:6" x14ac:dyDescent="0.25">
      <c r="A660" s="1">
        <f t="array" aca="1" ref="A660:C660" ca="1">ODE_RK4(A659:C659,$B$5,$E$3,$F$3,$G$3)</f>
        <v>65.200000000000571</v>
      </c>
      <c r="B660" s="1">
        <f ca="1"/>
        <v>-280.03664432254965</v>
      </c>
      <c r="C660" s="1">
        <f ca="1"/>
        <v>-25.933579256045778</v>
      </c>
      <c r="D660" s="1"/>
      <c r="E660">
        <f t="shared" ca="1" si="21"/>
        <v>3</v>
      </c>
      <c r="F660" s="1">
        <f t="shared" ca="1" si="20"/>
        <v>-280.03664432254965</v>
      </c>
    </row>
    <row r="661" spans="1:6" x14ac:dyDescent="0.25">
      <c r="A661" s="1">
        <f t="array" aca="1" ref="A661:C661" ca="1">ODE_RK4(A660:C660,$B$5,$E$3,$F$3,$G$3)</f>
        <v>65.300000000000566</v>
      </c>
      <c r="B661" s="1">
        <f ca="1"/>
        <v>-282.6007510865665</v>
      </c>
      <c r="C661" s="1">
        <f ca="1"/>
        <v>-25.230808142364086</v>
      </c>
      <c r="D661" s="1"/>
      <c r="E661">
        <f t="shared" ca="1" si="21"/>
        <v>3</v>
      </c>
      <c r="F661" s="1">
        <f t="shared" ca="1" si="20"/>
        <v>-282.6007510865665</v>
      </c>
    </row>
    <row r="662" spans="1:6" x14ac:dyDescent="0.25">
      <c r="A662" s="1">
        <f t="array" aca="1" ref="A662:C662" ca="1">ODE_RK4(A661:C661,$B$5,$E$3,$F$3,$G$3)</f>
        <v>65.40000000000056</v>
      </c>
      <c r="B662" s="1">
        <f ca="1"/>
        <v>-285.09431584425903</v>
      </c>
      <c r="C662" s="1">
        <f ca="1"/>
        <v>-24.521700166502466</v>
      </c>
      <c r="D662" s="1"/>
      <c r="E662">
        <f t="shared" ca="1" si="21"/>
        <v>3</v>
      </c>
      <c r="F662" s="1">
        <f t="shared" ca="1" si="20"/>
        <v>-285.09431584425903</v>
      </c>
    </row>
    <row r="663" spans="1:6" x14ac:dyDescent="0.25">
      <c r="A663" s="1">
        <f t="array" aca="1" ref="A663:C663" ca="1">ODE_RK4(A662:C662,$B$5,$E$3,$F$3,$G$3)</f>
        <v>65.500000000000554</v>
      </c>
      <c r="B663" s="1">
        <f ca="1"/>
        <v>-287.51671227724569</v>
      </c>
      <c r="C663" s="1">
        <f ca="1"/>
        <v>-23.806432338047198</v>
      </c>
      <c r="D663" s="1"/>
      <c r="E663">
        <f t="shared" ca="1" si="21"/>
        <v>3</v>
      </c>
      <c r="F663" s="1">
        <f t="shared" ca="1" si="20"/>
        <v>-287.51671227724569</v>
      </c>
    </row>
    <row r="664" spans="1:6" x14ac:dyDescent="0.25">
      <c r="A664" s="1">
        <f t="array" aca="1" ref="A664:C664" ca="1">ODE_RK4(A663:C663,$B$5,$E$3,$F$3,$G$3)</f>
        <v>65.600000000000549</v>
      </c>
      <c r="B664" s="1">
        <f ca="1"/>
        <v>-289.86733183279119</v>
      </c>
      <c r="C664" s="1">
        <f ca="1"/>
        <v>-23.085183213893309</v>
      </c>
      <c r="D664" s="1"/>
      <c r="E664">
        <f t="shared" ca="1" si="21"/>
        <v>3</v>
      </c>
      <c r="F664" s="1">
        <f t="shared" ca="1" si="20"/>
        <v>-289.86733183279119</v>
      </c>
    </row>
    <row r="665" spans="1:6" x14ac:dyDescent="0.25">
      <c r="A665" s="1">
        <f t="array" aca="1" ref="A665:C665" ca="1">ODE_RK4(A664:C664,$B$5,$E$3,$F$3,$G$3)</f>
        <v>65.700000000000543</v>
      </c>
      <c r="B665" s="1">
        <f ca="1"/>
        <v>-292.14558387668183</v>
      </c>
      <c r="C665" s="1">
        <f ca="1"/>
        <v>-22.358132853670682</v>
      </c>
      <c r="D665" s="1"/>
      <c r="E665">
        <f t="shared" ca="1" si="21"/>
        <v>3</v>
      </c>
      <c r="F665" s="1">
        <f t="shared" ca="1" si="20"/>
        <v>-292.14558387668183</v>
      </c>
    </row>
    <row r="666" spans="1:6" x14ac:dyDescent="0.25">
      <c r="A666" s="1">
        <f t="array" aca="1" ref="A666:C666" ca="1">ODE_RK4(A665:C665,$B$5,$E$3,$F$3,$G$3)</f>
        <v>65.800000000000537</v>
      </c>
      <c r="B666" s="1">
        <f ca="1"/>
        <v>-294.35089584162779</v>
      </c>
      <c r="C666" s="1">
        <f ca="1"/>
        <v>-21.625462774792613</v>
      </c>
      <c r="D666" s="1"/>
      <c r="E666">
        <f t="shared" ca="1" si="21"/>
        <v>3</v>
      </c>
      <c r="F666" s="1">
        <f t="shared" ca="1" si="20"/>
        <v>-294.35089584162779</v>
      </c>
    </row>
    <row r="667" spans="1:6" x14ac:dyDescent="0.25">
      <c r="A667" s="1">
        <f t="array" aca="1" ref="A667:C667" ca="1">ODE_RK4(A666:C666,$B$5,$E$3,$F$3,$G$3)</f>
        <v>65.900000000000531</v>
      </c>
      <c r="B667" s="1">
        <f ca="1"/>
        <v>-296.48271337115511</v>
      </c>
      <c r="C667" s="1">
        <f ca="1"/>
        <v>-20.887355907138062</v>
      </c>
      <c r="D667" s="1"/>
      <c r="E667">
        <f t="shared" ca="1" si="21"/>
        <v>3</v>
      </c>
      <c r="F667" s="1">
        <f t="shared" ca="1" si="20"/>
        <v>-296.48271337115511</v>
      </c>
    </row>
    <row r="668" spans="1:6" x14ac:dyDescent="0.25">
      <c r="A668" s="1">
        <f t="array" aca="1" ref="A668:C668" ca="1">ODE_RK4(A667:C667,$B$5,$E$3,$F$3,$G$3)</f>
        <v>66.000000000000526</v>
      </c>
      <c r="B668" s="1">
        <f ca="1"/>
        <v>-298.54050045895076</v>
      </c>
      <c r="C668" s="1">
        <f ca="1"/>
        <v>-20.143996547378908</v>
      </c>
      <c r="D668" s="1"/>
      <c r="E668">
        <f t="shared" ca="1" si="21"/>
        <v>3</v>
      </c>
      <c r="F668" s="1">
        <f t="shared" ca="1" si="20"/>
        <v>-298.54050045895076</v>
      </c>
    </row>
    <row r="669" spans="1:6" x14ac:dyDescent="0.25">
      <c r="A669" s="1">
        <f t="array" aca="1" ref="A669:C669" ca="1">ODE_RK4(A668:C668,$B$5,$E$3,$F$3,$G$3)</f>
        <v>66.10000000000052</v>
      </c>
      <c r="B669" s="1">
        <f ca="1"/>
        <v>-300.52373958362625</v>
      </c>
      <c r="C669" s="1">
        <f ca="1"/>
        <v>-19.395570312963606</v>
      </c>
      <c r="D669" s="1"/>
      <c r="E669">
        <f t="shared" ca="1" si="21"/>
        <v>3</v>
      </c>
      <c r="F669" s="1">
        <f t="shared" ca="1" si="20"/>
        <v>-300.52373958362625</v>
      </c>
    </row>
    <row r="670" spans="1:6" x14ac:dyDescent="0.25">
      <c r="A670" s="1">
        <f t="array" aca="1" ref="A670:C670" ca="1">ODE_RK4(A669:C669,$B$5,$E$3,$F$3,$G$3)</f>
        <v>66.200000000000514</v>
      </c>
      <c r="B670" s="1">
        <f ca="1"/>
        <v>-302.43193183886569</v>
      </c>
      <c r="C670" s="1">
        <f ca="1"/>
        <v>-18.642264095768745</v>
      </c>
      <c r="D670" s="1"/>
      <c r="E670">
        <f t="shared" ca="1" si="21"/>
        <v>3</v>
      </c>
      <c r="F670" s="1">
        <f t="shared" ca="1" si="20"/>
        <v>-302.43193183886569</v>
      </c>
    </row>
    <row r="671" spans="1:6" x14ac:dyDescent="0.25">
      <c r="A671" s="1">
        <f t="array" aca="1" ref="A671:C671" ca="1">ODE_RK4(A670:C670,$B$5,$E$3,$F$3,$G$3)</f>
        <v>66.300000000000509</v>
      </c>
      <c r="B671" s="1">
        <f ca="1"/>
        <v>-304.26459705892563</v>
      </c>
      <c r="C671" s="1">
        <f ca="1"/>
        <v>-17.884266015430061</v>
      </c>
      <c r="D671" s="1"/>
      <c r="E671">
        <f t="shared" ca="1" si="21"/>
        <v>3</v>
      </c>
      <c r="F671" s="1">
        <f t="shared" ca="1" si="20"/>
        <v>-304.26459705892563</v>
      </c>
    </row>
    <row r="672" spans="1:6" x14ac:dyDescent="0.25">
      <c r="A672" s="1">
        <f t="array" aca="1" ref="A672:C672" ca="1">ODE_RK4(A671:C671,$B$5,$E$3,$F$3,$G$3)</f>
        <v>66.400000000000503</v>
      </c>
      <c r="B672" s="1">
        <f ca="1"/>
        <v>-306.02127393945489</v>
      </c>
      <c r="C672" s="1">
        <f ca="1"/>
        <v>-17.121765372364589</v>
      </c>
      <c r="D672" s="1"/>
      <c r="E672">
        <f t="shared" ca="1" si="21"/>
        <v>3</v>
      </c>
      <c r="F672" s="1">
        <f t="shared" ca="1" si="20"/>
        <v>-306.02127393945489</v>
      </c>
    </row>
    <row r="673" spans="1:6" x14ac:dyDescent="0.25">
      <c r="A673" s="1">
        <f t="array" aca="1" ref="A673:C673" ca="1">ODE_RK4(A672:C672,$B$5,$E$3,$F$3,$G$3)</f>
        <v>66.500000000000497</v>
      </c>
      <c r="B673" s="1">
        <f ca="1"/>
        <v>-307.70152015360441</v>
      </c>
      <c r="C673" s="1">
        <f ca="1"/>
        <v>-16.354952600495654</v>
      </c>
      <c r="D673" s="1"/>
      <c r="E673">
        <f t="shared" ca="1" si="21"/>
        <v>3</v>
      </c>
      <c r="F673" s="1">
        <f t="shared" ca="1" si="20"/>
        <v>-307.70152015360441</v>
      </c>
    </row>
    <row r="674" spans="1:6" x14ac:dyDescent="0.25">
      <c r="A674" s="1">
        <f t="array" aca="1" ref="A674:C674" ca="1">ODE_RK4(A673:C673,$B$5,$E$3,$F$3,$G$3)</f>
        <v>66.600000000000492</v>
      </c>
      <c r="B674" s="1">
        <f ca="1"/>
        <v>-309.30491246339744</v>
      </c>
      <c r="C674" s="1">
        <f ca="1"/>
        <v>-15.58401921969253</v>
      </c>
      <c r="D674" s="1"/>
      <c r="E674">
        <f t="shared" ca="1" si="21"/>
        <v>3</v>
      </c>
      <c r="F674" s="1">
        <f t="shared" ca="1" si="20"/>
        <v>-309.30491246339744</v>
      </c>
    </row>
    <row r="675" spans="1:6" x14ac:dyDescent="0.25">
      <c r="A675" s="1">
        <f t="array" aca="1" ref="A675:C675" ca="1">ODE_RK4(A674:C674,$B$5,$E$3,$F$3,$G$3)</f>
        <v>66.700000000000486</v>
      </c>
      <c r="B675" s="1">
        <f ca="1"/>
        <v>-310.83104682633245</v>
      </c>
      <c r="C675" s="1">
        <f ca="1"/>
        <v>-14.809157787936631</v>
      </c>
      <c r="D675" s="1"/>
      <c r="E675">
        <f t="shared" ca="1" si="21"/>
        <v>3</v>
      </c>
      <c r="F675" s="1">
        <f t="shared" ca="1" si="20"/>
        <v>-310.83104682633245</v>
      </c>
    </row>
    <row r="676" spans="1:6" x14ac:dyDescent="0.25">
      <c r="A676" s="1">
        <f t="array" aca="1" ref="A676:C676" ca="1">ODE_RK4(A675:C675,$B$5,$E$3,$F$3,$G$3)</f>
        <v>66.80000000000048</v>
      </c>
      <c r="B676" s="1">
        <f ca="1"/>
        <v>-312.27953849719154</v>
      </c>
      <c r="C676" s="1">
        <f ca="1"/>
        <v>-14.03056185322618</v>
      </c>
      <c r="D676" s="1"/>
      <c r="E676">
        <f t="shared" ca="1" si="21"/>
        <v>3</v>
      </c>
      <c r="F676" s="1">
        <f t="shared" ca="1" si="20"/>
        <v>-312.27953849719154</v>
      </c>
    </row>
    <row r="677" spans="1:6" x14ac:dyDescent="0.25">
      <c r="A677" s="1">
        <f t="array" aca="1" ref="A677:C677" ca="1">ODE_RK4(A676:C676,$B$5,$E$3,$F$3,$G$3)</f>
        <v>66.900000000000475</v>
      </c>
      <c r="B677" s="1">
        <f ca="1"/>
        <v>-313.6500221250289</v>
      </c>
      <c r="C677" s="1">
        <f ca="1"/>
        <v>-13.248425905231397</v>
      </c>
      <c r="D677" s="1"/>
      <c r="E677">
        <f t="shared" ca="1" si="21"/>
        <v>3</v>
      </c>
      <c r="F677" s="1">
        <f t="shared" ca="1" si="20"/>
        <v>-313.6500221250289</v>
      </c>
    </row>
    <row r="678" spans="1:6" x14ac:dyDescent="0.25">
      <c r="A678" s="1">
        <f t="array" aca="1" ref="A678:C678" ca="1">ODE_RK4(A677:C677,$B$5,$E$3,$F$3,$G$3)</f>
        <v>67.000000000000469</v>
      </c>
      <c r="B678" s="1">
        <f ca="1"/>
        <v>-314.94215184531487</v>
      </c>
      <c r="C678" s="1">
        <f ca="1"/>
        <v>-12.46294532671223</v>
      </c>
      <c r="D678" s="1"/>
      <c r="E678">
        <f t="shared" ca="1" si="21"/>
        <v>3</v>
      </c>
      <c r="F678" s="1">
        <f t="shared" ca="1" si="20"/>
        <v>-314.94215184531487</v>
      </c>
    </row>
    <row r="679" spans="1:6" x14ac:dyDescent="0.25">
      <c r="A679" s="1">
        <f t="array" aca="1" ref="A679:C679" ca="1">ODE_RK4(A678:C678,$B$5,$E$3,$F$3,$G$3)</f>
        <v>67.100000000000463</v>
      </c>
      <c r="B679" s="1">
        <f ca="1"/>
        <v>-316.15560136721234</v>
      </c>
      <c r="C679" s="1">
        <f ca="1"/>
        <v>-11.674316344710817</v>
      </c>
      <c r="D679" s="1"/>
      <c r="E679">
        <f t="shared" ca="1" si="21"/>
        <v>3</v>
      </c>
      <c r="F679" s="1">
        <f t="shared" ca="1" si="20"/>
        <v>-316.15560136721234</v>
      </c>
    </row>
    <row r="680" spans="1:6" x14ac:dyDescent="0.25">
      <c r="A680" s="1">
        <f t="array" aca="1" ref="A680:C680" ca="1">ODE_RK4(A679:C679,$B$5,$E$3,$F$3,$G$3)</f>
        <v>67.200000000000458</v>
      </c>
      <c r="B680" s="1">
        <f ca="1"/>
        <v>-317.29006405596334</v>
      </c>
      <c r="C680" s="1">
        <f ca="1"/>
        <v>-10.882735981530836</v>
      </c>
      <c r="D680" s="1"/>
      <c r="E680">
        <f t="shared" ca="1" si="21"/>
        <v>3</v>
      </c>
      <c r="F680" s="1">
        <f t="shared" ca="1" si="20"/>
        <v>-317.29006405596334</v>
      </c>
    </row>
    <row r="681" spans="1:6" x14ac:dyDescent="0.25">
      <c r="A681" s="1">
        <f t="array" aca="1" ref="A681:C681" ca="1">ODE_RK4(A680:C680,$B$5,$E$3,$F$3,$G$3)</f>
        <v>67.300000000000452</v>
      </c>
      <c r="B681" s="1">
        <f ca="1"/>
        <v>-318.34525301036541</v>
      </c>
      <c r="C681" s="1">
        <f ca="1"/>
        <v>-10.088402005516002</v>
      </c>
      <c r="D681" s="1"/>
      <c r="E681">
        <f t="shared" ca="1" si="21"/>
        <v>3</v>
      </c>
      <c r="F681" s="1">
        <f t="shared" ca="1" si="20"/>
        <v>-318.34525301036541</v>
      </c>
    </row>
    <row r="682" spans="1:6" x14ac:dyDescent="0.25">
      <c r="A682" s="1">
        <f t="array" aca="1" ref="A682:C682" ca="1">ODE_RK4(A681:C681,$B$5,$E$3,$F$3,$G$3)</f>
        <v>67.400000000000446</v>
      </c>
      <c r="B682" s="1">
        <f ca="1"/>
        <v>-319.32090113531757</v>
      </c>
      <c r="C682" s="1">
        <f ca="1"/>
        <v>-9.2915128816400117</v>
      </c>
      <c r="D682" s="1"/>
      <c r="E682">
        <f t="shared" ca="1" si="21"/>
        <v>3</v>
      </c>
      <c r="F682" s="1">
        <f t="shared" ca="1" si="20"/>
        <v>-319.32090113531757</v>
      </c>
    </row>
    <row r="683" spans="1:6" x14ac:dyDescent="0.25">
      <c r="A683" s="1">
        <f t="array" aca="1" ref="A683:C683" ca="1">ODE_RK4(A682:C682,$B$5,$E$3,$F$3,$G$3)</f>
        <v>67.500000000000441</v>
      </c>
      <c r="B683" s="1">
        <f ca="1"/>
        <v>-320.216761209418</v>
      </c>
      <c r="C683" s="1">
        <f ca="1"/>
        <v>-8.4922677219202729</v>
      </c>
      <c r="D683" s="1"/>
      <c r="E683">
        <f t="shared" ca="1" si="21"/>
        <v>3</v>
      </c>
      <c r="F683" s="1">
        <f t="shared" ca="1" si="20"/>
        <v>-320.216761209418</v>
      </c>
    </row>
    <row r="684" spans="1:6" x14ac:dyDescent="0.25">
      <c r="A684" s="1">
        <f t="array" aca="1" ref="A684:C684" ca="1">ODE_RK4(A683:C683,$B$5,$E$3,$F$3,$G$3)</f>
        <v>67.600000000000435</v>
      </c>
      <c r="B684" s="1">
        <f ca="1"/>
        <v>-321.03260594759632</v>
      </c>
      <c r="C684" s="1">
        <f ca="1"/>
        <v>-7.6908662356678041</v>
      </c>
      <c r="D684" s="1"/>
      <c r="E684">
        <f t="shared" ca="1" si="21"/>
        <v>3</v>
      </c>
      <c r="F684" s="1">
        <f t="shared" ca="1" si="20"/>
        <v>-321.03260594759632</v>
      </c>
    </row>
    <row r="685" spans="1:6" x14ac:dyDescent="0.25">
      <c r="A685" s="1">
        <f t="array" aca="1" ref="A685:C685" ca="1">ODE_RK4(A684:C684,$B$5,$E$3,$F$3,$G$3)</f>
        <v>67.700000000000429</v>
      </c>
      <c r="B685" s="1">
        <f ca="1"/>
        <v>-321.76822805876446</v>
      </c>
      <c r="C685" s="1">
        <f ca="1"/>
        <v>-6.8875086795857534</v>
      </c>
      <c r="D685" s="1"/>
      <c r="E685">
        <f t="shared" ca="1" si="21"/>
        <v>3</v>
      </c>
      <c r="F685" s="1">
        <f t="shared" ca="1" si="20"/>
        <v>-321.76822805876446</v>
      </c>
    </row>
    <row r="686" spans="1:6" x14ac:dyDescent="0.25">
      <c r="A686" s="1">
        <f t="array" aca="1" ref="A686:C686" ca="1">ODE_RK4(A685:C685,$B$5,$E$3,$F$3,$G$3)</f>
        <v>67.800000000000423</v>
      </c>
      <c r="B686" s="1">
        <f ca="1"/>
        <v>-322.42344029847135</v>
      </c>
      <c r="C686" s="1">
        <f ca="1"/>
        <v>-6.0823958077289788</v>
      </c>
      <c r="D686" s="1"/>
      <c r="E686">
        <f t="shared" ca="1" si="21"/>
        <v>3</v>
      </c>
      <c r="F686" s="1">
        <f t="shared" ca="1" si="20"/>
        <v>-322.42344029847135</v>
      </c>
    </row>
    <row r="687" spans="1:6" x14ac:dyDescent="0.25">
      <c r="A687" s="1">
        <f t="array" aca="1" ref="A687:C687" ca="1">ODE_RK4(A686:C686,$B$5,$E$3,$F$3,$G$3)</f>
        <v>67.900000000000418</v>
      </c>
      <c r="B687" s="1">
        <f ca="1"/>
        <v>-322.99807551654845</v>
      </c>
      <c r="C687" s="1">
        <f ca="1"/>
        <v>-5.2757288213372213</v>
      </c>
      <c r="D687" s="1"/>
      <c r="E687">
        <f t="shared" ca="1" si="21"/>
        <v>3</v>
      </c>
      <c r="F687" s="1">
        <f t="shared" ca="1" si="20"/>
        <v>-322.99807551654845</v>
      </c>
    </row>
    <row r="688" spans="1:6" x14ac:dyDescent="0.25">
      <c r="A688" s="1">
        <f t="array" aca="1" ref="A688:C688" ca="1">ODE_RK4(A687:C687,$B$5,$E$3,$F$3,$G$3)</f>
        <v>68.000000000000412</v>
      </c>
      <c r="B688" s="1">
        <f ca="1"/>
        <v>-323.49198669973373</v>
      </c>
      <c r="C688" s="1">
        <f ca="1"/>
        <v>-4.4677093185543821</v>
      </c>
      <c r="D688" s="1"/>
      <c r="E688">
        <f t="shared" ca="1" si="21"/>
        <v>3</v>
      </c>
      <c r="F688" s="1">
        <f t="shared" ca="1" si="20"/>
        <v>-323.49198669973373</v>
      </c>
    </row>
    <row r="689" spans="1:6" x14ac:dyDescent="0.25">
      <c r="A689" s="1">
        <f t="array" aca="1" ref="A689:C689" ca="1">ODE_RK4(A688:C688,$B$5,$E$3,$F$3,$G$3)</f>
        <v>68.100000000000406</v>
      </c>
      <c r="B689" s="1">
        <f ca="1"/>
        <v>-323.90504700926317</v>
      </c>
      <c r="C689" s="1">
        <f ca="1"/>
        <v>-3.658539244046489</v>
      </c>
      <c r="D689" s="1"/>
      <c r="E689">
        <f t="shared" ca="1" si="21"/>
        <v>3</v>
      </c>
      <c r="F689" s="1">
        <f t="shared" ca="1" si="20"/>
        <v>-323.90504700926317</v>
      </c>
    </row>
    <row r="690" spans="1:6" x14ac:dyDescent="0.25">
      <c r="A690" s="1">
        <f t="array" aca="1" ref="A690:C690" ca="1">ODE_RK4(A689:C689,$B$5,$E$3,$F$3,$G$3)</f>
        <v>68.200000000000401</v>
      </c>
      <c r="B690" s="1">
        <f ca="1"/>
        <v>-324.23714981342056</v>
      </c>
      <c r="C690" s="1">
        <f ca="1"/>
        <v>-2.84842083853093</v>
      </c>
      <c r="D690" s="1"/>
      <c r="E690">
        <f t="shared" ca="1" si="21"/>
        <v>3</v>
      </c>
      <c r="F690" s="1">
        <f t="shared" ca="1" si="20"/>
        <v>-324.23714981342056</v>
      </c>
    </row>
    <row r="691" spans="1:6" x14ac:dyDescent="0.25">
      <c r="A691" s="1">
        <f t="array" aca="1" ref="A691:C691" ca="1">ODE_RK4(A690:C690,$B$5,$E$3,$F$3,$G$3)</f>
        <v>68.300000000000395</v>
      </c>
      <c r="B691" s="1">
        <f ca="1"/>
        <v>-324.48820871503676</v>
      </c>
      <c r="C691" s="1">
        <f ca="1"/>
        <v>-2.0375565882295752</v>
      </c>
      <c r="D691" s="1"/>
      <c r="E691">
        <f t="shared" ca="1" si="21"/>
        <v>3</v>
      </c>
      <c r="F691" s="1">
        <f t="shared" ca="1" si="20"/>
        <v>-324.48820871503676</v>
      </c>
    </row>
    <row r="692" spans="1:6" x14ac:dyDescent="0.25">
      <c r="A692" s="1">
        <f t="array" aca="1" ref="A692:C692" ca="1">ODE_RK4(A691:C691,$B$5,$E$3,$F$3,$G$3)</f>
        <v>68.400000000000389</v>
      </c>
      <c r="B692" s="1">
        <f ca="1"/>
        <v>-324.65815757393159</v>
      </c>
      <c r="C692" s="1">
        <f ca="1"/>
        <v>-1.226149174258417</v>
      </c>
      <c r="D692" s="1"/>
      <c r="E692">
        <f t="shared" ca="1" si="21"/>
        <v>3</v>
      </c>
      <c r="F692" s="1">
        <f t="shared" ca="1" si="20"/>
        <v>-324.65815757393159</v>
      </c>
    </row>
    <row r="693" spans="1:6" x14ac:dyDescent="0.25">
      <c r="A693" s="1">
        <f t="array" aca="1" ref="A693:C693" ca="1">ODE_RK4(A692:C692,$B$5,$E$3,$F$3,$G$3)</f>
        <v>68.500000000000384</v>
      </c>
      <c r="B693" s="1">
        <f ca="1"/>
        <v>-324.74695052429263</v>
      </c>
      <c r="C693" s="1">
        <f ca="1"/>
        <v>-0.41440142196637819</v>
      </c>
      <c r="D693" s="1"/>
      <c r="E693">
        <f t="shared" ca="1" si="21"/>
        <v>4</v>
      </c>
      <c r="F693" s="1">
        <f t="shared" ca="1" si="20"/>
        <v>-324.74695052429263</v>
      </c>
    </row>
    <row r="694" spans="1:6" x14ac:dyDescent="0.25">
      <c r="A694" s="1">
        <f t="array" aca="1" ref="A694:C694" ca="1">ODE_RK4(A693:C693,$B$5,$E$3,$F$3,$G$3)</f>
        <v>68.600000000000378</v>
      </c>
      <c r="B694" s="1">
        <f ca="1"/>
        <v>-324.75456198698612</v>
      </c>
      <c r="C694" s="1">
        <f ca="1"/>
        <v>0.39748374976404666</v>
      </c>
      <c r="D694" s="1"/>
      <c r="E694">
        <f t="shared" ca="1" si="21"/>
        <v>4</v>
      </c>
      <c r="F694" s="1">
        <f t="shared" ca="1" si="20"/>
        <v>-324.75456198698612</v>
      </c>
    </row>
    <row r="695" spans="1:6" x14ac:dyDescent="0.25">
      <c r="A695" s="1">
        <f t="array" aca="1" ref="A695:C695" ca="1">ODE_RK4(A694:C694,$B$5,$E$3,$F$3,$G$3)</f>
        <v>68.700000000000372</v>
      </c>
      <c r="B695" s="1">
        <f ca="1"/>
        <v>-324.68098667679698</v>
      </c>
      <c r="C695" s="1">
        <f ca="1"/>
        <v>1.2093033792416468</v>
      </c>
      <c r="D695" s="1"/>
      <c r="E695">
        <f t="shared" ca="1" si="21"/>
        <v>4</v>
      </c>
      <c r="F695" s="1">
        <f t="shared" ca="1" si="20"/>
        <v>-324.68098667679698</v>
      </c>
    </row>
    <row r="696" spans="1:6" x14ac:dyDescent="0.25">
      <c r="A696" s="1">
        <f t="array" aca="1" ref="A696:C696" ca="1">ODE_RK4(A695:C695,$B$5,$E$3,$F$3,$G$3)</f>
        <v>68.800000000000367</v>
      </c>
      <c r="B696" s="1">
        <f ca="1"/>
        <v>-324.52623960459539</v>
      </c>
      <c r="C696" s="1">
        <f ca="1"/>
        <v>2.0208545127041644</v>
      </c>
      <c r="D696" s="1"/>
      <c r="E696">
        <f t="shared" ca="1" si="21"/>
        <v>4</v>
      </c>
      <c r="F696" s="1">
        <f t="shared" ca="1" si="20"/>
        <v>-324.52623960459539</v>
      </c>
    </row>
    <row r="697" spans="1:6" x14ac:dyDescent="0.25">
      <c r="A697" s="1">
        <f t="array" aca="1" ref="A697:C697" ca="1">ODE_RK4(A696:C696,$B$5,$E$3,$F$3,$G$3)</f>
        <v>68.900000000000361</v>
      </c>
      <c r="B697" s="1">
        <f ca="1"/>
        <v>-324.29035607443006</v>
      </c>
      <c r="C697" s="1">
        <f ca="1"/>
        <v>2.8319342550560984</v>
      </c>
      <c r="D697" s="1"/>
      <c r="E697">
        <f t="shared" ca="1" si="21"/>
        <v>4</v>
      </c>
      <c r="F697" s="1">
        <f t="shared" ca="1" si="20"/>
        <v>-324.29035607443006</v>
      </c>
    </row>
    <row r="698" spans="1:6" x14ac:dyDescent="0.25">
      <c r="A698" s="1">
        <f t="array" aca="1" ref="A698:C698" ca="1">ODE_RK4(A697:C697,$B$5,$E$3,$F$3,$G$3)</f>
        <v>69.000000000000355</v>
      </c>
      <c r="B698" s="1">
        <f ca="1"/>
        <v>-323.97339167554765</v>
      </c>
      <c r="C698" s="1">
        <f ca="1"/>
        <v>3.6423398205939512</v>
      </c>
      <c r="D698" s="1"/>
      <c r="E698">
        <f t="shared" ca="1" si="21"/>
        <v>4</v>
      </c>
      <c r="F698" s="1">
        <f t="shared" ca="1" si="20"/>
        <v>-323.97339167554765</v>
      </c>
    </row>
    <row r="699" spans="1:6" x14ac:dyDescent="0.25">
      <c r="A699" s="1">
        <f t="array" aca="1" ref="A699:C699" ca="1">ODE_RK4(A698:C698,$B$5,$E$3,$F$3,$G$3)</f>
        <v>69.10000000000035</v>
      </c>
      <c r="B699" s="1">
        <f ca="1"/>
        <v>-323.575422269341</v>
      </c>
      <c r="C699" s="1">
        <f ca="1"/>
        <v>4.4518685837062471</v>
      </c>
      <c r="D699" s="1"/>
      <c r="E699">
        <f t="shared" ca="1" si="21"/>
        <v>4</v>
      </c>
      <c r="F699" s="1">
        <f t="shared" ca="1" si="20"/>
        <v>-323.575422269341</v>
      </c>
    </row>
    <row r="700" spans="1:6" x14ac:dyDescent="0.25">
      <c r="A700" s="1">
        <f t="array" aca="1" ref="A700:C700" ca="1">ODE_RK4(A699:C699,$B$5,$E$3,$F$3,$G$3)</f>
        <v>69.200000000000344</v>
      </c>
      <c r="B700" s="1">
        <f ca="1"/>
        <v>-323.09654397122881</v>
      </c>
      <c r="C700" s="1">
        <f ca="1"/>
        <v>5.2603181295356363</v>
      </c>
      <c r="D700" s="1"/>
      <c r="E700">
        <f t="shared" ca="1" si="21"/>
        <v>4</v>
      </c>
      <c r="F700" s="1">
        <f t="shared" ca="1" si="20"/>
        <v>-323.09654397122881</v>
      </c>
    </row>
    <row r="701" spans="1:6" x14ac:dyDescent="0.25">
      <c r="A701" s="1">
        <f t="array" aca="1" ref="A701:C701" ca="1">ODE_RK4(A700:C700,$B$5,$E$3,$F$3,$G$3)</f>
        <v>69.300000000000338</v>
      </c>
      <c r="B701" s="1">
        <f ca="1"/>
        <v>-322.53687312747104</v>
      </c>
      <c r="C701" s="1">
        <f ca="1"/>
        <v>6.0674863045904228</v>
      </c>
      <c r="D701" s="1"/>
      <c r="E701">
        <f t="shared" ca="1" si="21"/>
        <v>4</v>
      </c>
      <c r="F701" s="1">
        <f t="shared" ca="1" si="20"/>
        <v>-322.53687312747104</v>
      </c>
    </row>
    <row r="702" spans="1:6" x14ac:dyDescent="0.25">
      <c r="A702" s="1">
        <f t="array" aca="1" ref="A702:C702" ca="1">ODE_RK4(A701:C701,$B$5,$E$3,$F$3,$G$3)</f>
        <v>69.400000000000333</v>
      </c>
      <c r="B702" s="1">
        <f ca="1"/>
        <v>-321.8965462869258</v>
      </c>
      <c r="C702" s="1">
        <f ca="1"/>
        <v>6.8731712672928653</v>
      </c>
      <c r="D702" s="1"/>
      <c r="E702">
        <f t="shared" ca="1" si="21"/>
        <v>4</v>
      </c>
      <c r="F702" s="1">
        <f t="shared" ca="1" si="20"/>
        <v>-321.8965462869258</v>
      </c>
    </row>
    <row r="703" spans="1:6" x14ac:dyDescent="0.25">
      <c r="A703" s="1">
        <f t="array" aca="1" ref="A703:C703" ca="1">ODE_RK4(A702:C702,$B$5,$E$3,$F$3,$G$3)</f>
        <v>69.500000000000327</v>
      </c>
      <c r="B703" s="1">
        <f ca="1"/>
        <v>-321.1757201677546</v>
      </c>
      <c r="C703" s="1">
        <f ca="1"/>
        <v>7.6771715384516002</v>
      </c>
      <c r="D703" s="1"/>
      <c r="E703">
        <f t="shared" ca="1" si="21"/>
        <v>4</v>
      </c>
      <c r="F703" s="1">
        <f t="shared" ca="1" si="20"/>
        <v>-321.1757201677546</v>
      </c>
    </row>
    <row r="704" spans="1:6" x14ac:dyDescent="0.25">
      <c r="A704" s="1">
        <f t="array" aca="1" ref="A704:C704" ca="1">ODE_RK4(A703:C703,$B$5,$E$3,$F$3,$G$3)</f>
        <v>69.600000000000321</v>
      </c>
      <c r="B704" s="1">
        <f ca="1"/>
        <v>-320.37457161908389</v>
      </c>
      <c r="C704" s="1">
        <f ca="1"/>
        <v>8.4792860516455768</v>
      </c>
      <c r="D704" s="1"/>
      <c r="E704">
        <f t="shared" ca="1" si="21"/>
        <v>4</v>
      </c>
      <c r="F704" s="1">
        <f t="shared" ca="1" si="20"/>
        <v>-320.37457161908389</v>
      </c>
    </row>
    <row r="705" spans="1:6" x14ac:dyDescent="0.25">
      <c r="A705" s="1">
        <f t="array" aca="1" ref="A705:C705" ca="1">ODE_RK4(A704:C704,$B$5,$E$3,$F$3,$G$3)</f>
        <v>69.700000000000315</v>
      </c>
      <c r="B705" s="1">
        <f ca="1"/>
        <v>-319.49329757763229</v>
      </c>
      <c r="C705" s="1">
        <f ca="1"/>
        <v>9.2793142035069032</v>
      </c>
      <c r="D705" s="1"/>
      <c r="E705">
        <f t="shared" ca="1" si="21"/>
        <v>4</v>
      </c>
      <c r="F705" s="1">
        <f t="shared" ca="1" si="20"/>
        <v>-319.49329757763229</v>
      </c>
    </row>
    <row r="706" spans="1:6" x14ac:dyDescent="0.25">
      <c r="A706" s="1">
        <f t="array" aca="1" ref="A706:C706" ca="1">ODE_RK4(A705:C705,$B$5,$E$3,$F$3,$G$3)</f>
        <v>69.80000000000031</v>
      </c>
      <c r="B706" s="1">
        <f ca="1"/>
        <v>-318.5321150193144</v>
      </c>
      <c r="C706" s="1">
        <f ca="1"/>
        <v>10.077055903890018</v>
      </c>
      <c r="D706" s="1"/>
      <c r="E706">
        <f t="shared" ca="1" si="21"/>
        <v>4</v>
      </c>
      <c r="F706" s="1">
        <f t="shared" ca="1" si="20"/>
        <v>-318.5321150193144</v>
      </c>
    </row>
    <row r="707" spans="1:6" x14ac:dyDescent="0.25">
      <c r="A707" s="1">
        <f t="array" aca="1" ref="A707:C707" ca="1">ODE_RK4(A706:C706,$B$5,$E$3,$F$3,$G$3)</f>
        <v>69.900000000000304</v>
      </c>
      <c r="B707" s="1">
        <f ca="1"/>
        <v>-317.49126090583263</v>
      </c>
      <c r="C707" s="1">
        <f ca="1"/>
        <v>10.872311625914664</v>
      </c>
      <c r="D707" s="1"/>
      <c r="E707">
        <f t="shared" ca="1" si="21"/>
        <v>4</v>
      </c>
      <c r="F707" s="1">
        <f t="shared" ca="1" si="20"/>
        <v>-317.49126090583263</v>
      </c>
    </row>
    <row r="708" spans="1:6" x14ac:dyDescent="0.25">
      <c r="A708" s="1">
        <f t="array" aca="1" ref="A708:C708" ca="1">ODE_RK4(A707:C707,$B$5,$E$3,$F$3,$G$3)</f>
        <v>70.000000000000298</v>
      </c>
      <c r="B708" s="1">
        <f ca="1"/>
        <v>-316.37099212627072</v>
      </c>
      <c r="C708" s="1">
        <f ca="1"/>
        <v>11.66488245587011</v>
      </c>
      <c r="D708" s="1"/>
      <c r="E708">
        <f t="shared" ca="1" si="21"/>
        <v>4</v>
      </c>
      <c r="F708" s="1">
        <f t="shared" ca="1" si="20"/>
        <v>-316.37099212627072</v>
      </c>
    </row>
    <row r="709" spans="1:6" x14ac:dyDescent="0.25">
      <c r="A709" s="1">
        <f t="array" aca="1" ref="A709:C709" ca="1">ODE_RK4(A708:C708,$B$5,$E$3,$F$3,$G$3)</f>
        <v>70.100000000000293</v>
      </c>
      <c r="B709" s="1">
        <f ca="1"/>
        <v>-315.17158543370294</v>
      </c>
      <c r="C709" s="1">
        <f ca="1"/>
        <v>12.454570142968189</v>
      </c>
      <c r="D709" s="1"/>
      <c r="E709">
        <f t="shared" ca="1" si="21"/>
        <v>4</v>
      </c>
      <c r="F709" s="1">
        <f t="shared" ca="1" si="20"/>
        <v>-315.17158543370294</v>
      </c>
    </row>
    <row r="710" spans="1:6" x14ac:dyDescent="0.25">
      <c r="A710" s="1">
        <f t="array" aca="1" ref="A710:C710" ca="1">ODE_RK4(A709:C709,$B$5,$E$3,$F$3,$G$3)</f>
        <v>70.200000000000287</v>
      </c>
      <c r="B710" s="1">
        <f ca="1"/>
        <v>-313.89333737683484</v>
      </c>
      <c r="C710" s="1">
        <f ca="1"/>
        <v>13.241177148932664</v>
      </c>
      <c r="D710" s="1"/>
      <c r="E710">
        <f t="shared" ca="1" si="21"/>
        <v>4</v>
      </c>
      <c r="F710" s="1">
        <f t="shared" ca="1" si="20"/>
        <v>-313.89333737683484</v>
      </c>
    </row>
    <row r="711" spans="1:6" x14ac:dyDescent="0.25">
      <c r="A711" s="1">
        <f t="array" aca="1" ref="A711:C711" ca="1">ODE_RK4(A710:C710,$B$5,$E$3,$F$3,$G$3)</f>
        <v>70.300000000000281</v>
      </c>
      <c r="B711" s="1">
        <f ca="1"/>
        <v>-312.53656422669201</v>
      </c>
      <c r="C711" s="1">
        <f ca="1"/>
        <v>14.024506697412537</v>
      </c>
      <c r="D711" s="1"/>
      <c r="E711">
        <f t="shared" ca="1" si="21"/>
        <v>4</v>
      </c>
      <c r="F711" s="1">
        <f t="shared" ca="1" si="20"/>
        <v>-312.53656422669201</v>
      </c>
    </row>
    <row r="712" spans="1:6" x14ac:dyDescent="0.25">
      <c r="A712" s="1">
        <f t="array" aca="1" ref="A712:C712" ca="1">ODE_RK4(A711:C711,$B$5,$E$3,$F$3,$G$3)</f>
        <v>70.400000000000276</v>
      </c>
      <c r="B712" s="1">
        <f ca="1"/>
        <v>-311.10160189837586</v>
      </c>
      <c r="C712" s="1">
        <f ca="1"/>
        <v>14.804362823206949</v>
      </c>
      <c r="D712" s="1"/>
      <c r="E712">
        <f t="shared" ca="1" si="21"/>
        <v>4</v>
      </c>
      <c r="F712" s="1">
        <f t="shared" ref="F712:F775" ca="1" si="22">B712</f>
        <v>-311.10160189837586</v>
      </c>
    </row>
    <row r="713" spans="1:6" x14ac:dyDescent="0.25">
      <c r="A713" s="1">
        <f t="array" aca="1" ref="A713:C713" ca="1">ODE_RK4(A712:C712,$B$5,$E$3,$F$3,$G$3)</f>
        <v>70.50000000000027</v>
      </c>
      <c r="B713" s="1">
        <f ca="1"/>
        <v>-309.5888058679048</v>
      </c>
      <c r="C713" s="1">
        <f ca="1"/>
        <v>15.580550421289336</v>
      </c>
      <c r="D713" s="1"/>
      <c r="E713">
        <f t="shared" ref="E713:E776" ca="1" si="23">(C713*C714&lt;0)*1+E712</f>
        <v>4</v>
      </c>
      <c r="F713" s="1">
        <f t="shared" ca="1" si="22"/>
        <v>-309.5888058679048</v>
      </c>
    </row>
    <row r="714" spans="1:6" x14ac:dyDescent="0.25">
      <c r="A714" s="1">
        <f t="array" aca="1" ref="A714:C714" ca="1">ODE_RK4(A713:C713,$B$5,$E$3,$F$3,$G$3)</f>
        <v>70.600000000000264</v>
      </c>
      <c r="B714" s="1">
        <f ca="1"/>
        <v>-307.99855108416176</v>
      </c>
      <c r="C714" s="1">
        <f ca="1"/>
        <v>16.352875295618599</v>
      </c>
      <c r="D714" s="1"/>
      <c r="E714">
        <f t="shared" ca="1" si="23"/>
        <v>4</v>
      </c>
      <c r="F714" s="1">
        <f t="shared" ca="1" si="22"/>
        <v>-307.99855108416176</v>
      </c>
    </row>
    <row r="715" spans="1:6" x14ac:dyDescent="0.25">
      <c r="A715" s="1">
        <f t="array" aca="1" ref="A715:C715" ca="1">ODE_RK4(A714:C714,$B$5,$E$3,$F$3,$G$3)</f>
        <v>70.700000000000259</v>
      </c>
      <c r="B715" s="1">
        <f ca="1"/>
        <v>-306.33123187597039</v>
      </c>
      <c r="C715" s="1">
        <f ca="1"/>
        <v>17.121144207725045</v>
      </c>
      <c r="D715" s="1"/>
      <c r="E715">
        <f t="shared" ca="1" si="23"/>
        <v>4</v>
      </c>
      <c r="F715" s="1">
        <f t="shared" ca="1" si="22"/>
        <v>-306.33123187597039</v>
      </c>
    </row>
    <row r="716" spans="1:6" x14ac:dyDescent="0.25">
      <c r="A716" s="1">
        <f t="array" aca="1" ref="A716:C716" ca="1">ODE_RK4(A715:C715,$B$5,$E$3,$F$3,$G$3)</f>
        <v>70.800000000000253</v>
      </c>
      <c r="B716" s="1">
        <f ca="1"/>
        <v>-304.58726185432192</v>
      </c>
      <c r="C716" s="1">
        <f ca="1"/>
        <v>17.885164925058998</v>
      </c>
      <c r="D716" s="1"/>
      <c r="E716">
        <f t="shared" ca="1" si="23"/>
        <v>4</v>
      </c>
      <c r="F716" s="1">
        <f t="shared" ca="1" si="22"/>
        <v>-304.58726185432192</v>
      </c>
    </row>
    <row r="717" spans="1:6" x14ac:dyDescent="0.25">
      <c r="A717" s="1">
        <f t="array" aca="1" ref="A717:C717" ca="1">ODE_RK4(A716:C716,$B$5,$E$3,$F$3,$G$3)</f>
        <v>70.900000000000247</v>
      </c>
      <c r="B717" s="1">
        <f ca="1"/>
        <v>-302.76707380977791</v>
      </c>
      <c r="C717" s="1">
        <f ca="1"/>
        <v>18.644746269089918</v>
      </c>
      <c r="D717" s="1"/>
      <c r="E717">
        <f t="shared" ca="1" si="23"/>
        <v>4</v>
      </c>
      <c r="F717" s="1">
        <f t="shared" ca="1" si="22"/>
        <v>-302.76707380977791</v>
      </c>
    </row>
    <row r="718" spans="1:6" x14ac:dyDescent="0.25">
      <c r="A718" s="1">
        <f t="array" aca="1" ref="A718:C718" ca="1">ODE_RK4(A717:C717,$B$5,$E$3,$F$3,$G$3)</f>
        <v>71.000000000000242</v>
      </c>
      <c r="B718" s="1">
        <f ca="1"/>
        <v>-300.87111960507377</v>
      </c>
      <c r="C718" s="1">
        <f ca="1"/>
        <v>19.399698163144038</v>
      </c>
      <c r="D718" s="1"/>
      <c r="E718">
        <f t="shared" ca="1" si="23"/>
        <v>4</v>
      </c>
      <c r="F718" s="1">
        <f t="shared" ca="1" si="22"/>
        <v>-300.87111960507377</v>
      </c>
    </row>
    <row r="719" spans="1:6" x14ac:dyDescent="0.25">
      <c r="A719" s="1">
        <f t="array" aca="1" ref="A719:C719" ca="1">ODE_RK4(A718:C718,$B$5,$E$3,$F$3,$G$3)</f>
        <v>71.100000000000236</v>
      </c>
      <c r="B719" s="1">
        <f ca="1"/>
        <v>-298.89987006294984</v>
      </c>
      <c r="C719" s="1">
        <f ca="1"/>
        <v>20.149831679968532</v>
      </c>
      <c r="D719" s="1"/>
      <c r="E719">
        <f t="shared" ca="1" si="23"/>
        <v>4</v>
      </c>
      <c r="F719" s="1">
        <f t="shared" ca="1" si="22"/>
        <v>-298.89987006294984</v>
      </c>
    </row>
    <row r="720" spans="1:6" x14ac:dyDescent="0.25">
      <c r="A720" s="1">
        <f t="array" aca="1" ref="A720:C720" ca="1">ODE_RK4(A719:C719,$B$5,$E$3,$F$3,$G$3)</f>
        <v>71.20000000000023</v>
      </c>
      <c r="B720" s="1">
        <f ca="1"/>
        <v>-296.85381484923795</v>
      </c>
      <c r="C720" s="1">
        <f ca="1"/>
        <v>20.894959089010321</v>
      </c>
      <c r="D720" s="1"/>
      <c r="E720">
        <f t="shared" ca="1" si="23"/>
        <v>4</v>
      </c>
      <c r="F720" s="1">
        <f t="shared" ca="1" si="22"/>
        <v>-296.85381484923795</v>
      </c>
    </row>
    <row r="721" spans="1:6" x14ac:dyDescent="0.25">
      <c r="A721" s="1">
        <f t="array" aca="1" ref="A721:C721" ca="1">ODE_RK4(A720:C720,$B$5,$E$3,$F$3,$G$3)</f>
        <v>71.300000000000225</v>
      </c>
      <c r="B721" s="1">
        <f ca="1"/>
        <v>-294.73346235123233</v>
      </c>
      <c r="C721" s="1">
        <f ca="1"/>
        <v>21.634893903397671</v>
      </c>
      <c r="D721" s="1"/>
      <c r="E721">
        <f t="shared" ca="1" si="23"/>
        <v>4</v>
      </c>
      <c r="F721" s="1">
        <f t="shared" ca="1" si="22"/>
        <v>-294.73346235123233</v>
      </c>
    </row>
    <row r="722" spans="1:6" x14ac:dyDescent="0.25">
      <c r="A722" s="1">
        <f t="array" aca="1" ref="A722:C722" ca="1">ODE_RK4(A721:C721,$B$5,$E$3,$F$3,$G$3)</f>
        <v>71.400000000000219</v>
      </c>
      <c r="B722" s="1">
        <f ca="1"/>
        <v>-292.53933955137529</v>
      </c>
      <c r="C722" s="1">
        <f ca="1"/>
        <v>22.369450926612835</v>
      </c>
      <c r="D722" s="1"/>
      <c r="E722">
        <f t="shared" ca="1" si="23"/>
        <v>4</v>
      </c>
      <c r="F722" s="1">
        <f t="shared" ca="1" si="22"/>
        <v>-292.53933955137529</v>
      </c>
    </row>
    <row r="723" spans="1:6" x14ac:dyDescent="0.25">
      <c r="A723" s="1">
        <f t="array" aca="1" ref="A723:C723" ca="1">ODE_RK4(A722:C722,$B$5,$E$3,$F$3,$G$3)</f>
        <v>71.500000000000213</v>
      </c>
      <c r="B723" s="1">
        <f ca="1"/>
        <v>-290.2719918962888</v>
      </c>
      <c r="C723" s="1">
        <f ca="1"/>
        <v>23.09844629884407</v>
      </c>
      <c r="D723" s="1"/>
      <c r="E723">
        <f t="shared" ca="1" si="23"/>
        <v>4</v>
      </c>
      <c r="F723" s="1">
        <f t="shared" ca="1" si="22"/>
        <v>-290.2719918962888</v>
      </c>
    </row>
    <row r="724" spans="1:6" x14ac:dyDescent="0.25">
      <c r="A724" s="1">
        <f t="array" aca="1" ref="A724:C724" ca="1">ODE_RK4(A723:C723,$B$5,$E$3,$F$3,$G$3)</f>
        <v>71.600000000000207</v>
      </c>
      <c r="B724" s="1">
        <f ca="1"/>
        <v>-287.93198316118486</v>
      </c>
      <c r="C724" s="1">
        <f ca="1"/>
        <v>23.821697543005399</v>
      </c>
      <c r="D724" s="1"/>
      <c r="E724">
        <f t="shared" ca="1" si="23"/>
        <v>4</v>
      </c>
      <c r="F724" s="1">
        <f t="shared" ca="1" si="22"/>
        <v>-287.93198316118486</v>
      </c>
    </row>
    <row r="725" spans="1:6" x14ac:dyDescent="0.25">
      <c r="A725" s="1">
        <f t="array" aca="1" ref="A725:C725" ca="1">ODE_RK4(A724:C724,$B$5,$E$3,$F$3,$G$3)</f>
        <v>71.700000000000202</v>
      </c>
      <c r="B725" s="1">
        <f ca="1"/>
        <v>-285.51989530968797</v>
      </c>
      <c r="C725" s="1">
        <f ca="1"/>
        <v>24.539023610412617</v>
      </c>
      <c r="D725" s="1"/>
      <c r="E725">
        <f t="shared" ca="1" si="23"/>
        <v>4</v>
      </c>
      <c r="F725" s="1">
        <f t="shared" ca="1" si="22"/>
        <v>-285.51989530968797</v>
      </c>
    </row>
    <row r="726" spans="1:6" x14ac:dyDescent="0.25">
      <c r="A726" s="1">
        <f t="array" aca="1" ref="A726:C726" ca="1">ODE_RK4(A725:C725,$B$5,$E$3,$F$3,$G$3)</f>
        <v>71.800000000000196</v>
      </c>
      <c r="B726" s="1">
        <f ca="1"/>
        <v>-283.03632834910474</v>
      </c>
      <c r="C726" s="1">
        <f ca="1"/>
        <v>25.250244926104116</v>
      </c>
      <c r="D726" s="1"/>
      <c r="E726">
        <f t="shared" ca="1" si="23"/>
        <v>4</v>
      </c>
      <c r="F726" s="1">
        <f t="shared" ca="1" si="22"/>
        <v>-283.03632834910474</v>
      </c>
    </row>
    <row r="727" spans="1:6" x14ac:dyDescent="0.25">
      <c r="A727" s="1">
        <f t="array" aca="1" ref="A727:C727" ca="1">ODE_RK4(A726:C726,$B$5,$E$3,$F$3,$G$3)</f>
        <v>71.90000000000019</v>
      </c>
      <c r="B727" s="1">
        <f ca="1"/>
        <v>-280.48190018117691</v>
      </c>
      <c r="C727" s="1">
        <f ca="1"/>
        <v>25.955183433795181</v>
      </c>
      <c r="D727" s="1"/>
      <c r="E727">
        <f t="shared" ca="1" si="23"/>
        <v>4</v>
      </c>
      <c r="F727" s="1">
        <f t="shared" ca="1" si="22"/>
        <v>-280.48190018117691</v>
      </c>
    </row>
    <row r="728" spans="1:6" x14ac:dyDescent="0.25">
      <c r="A728" s="1">
        <f t="array" aca="1" ref="A728:C728" ca="1">ODE_RK4(A727:C727,$B$5,$E$3,$F$3,$G$3)</f>
        <v>72.000000000000185</v>
      </c>
      <c r="B728" s="1">
        <f ca="1"/>
        <v>-277.8572464483542</v>
      </c>
      <c r="C728" s="1">
        <f ca="1"/>
        <v>26.653662640454463</v>
      </c>
      <c r="D728" s="1"/>
      <c r="E728">
        <f t="shared" ca="1" si="23"/>
        <v>4</v>
      </c>
      <c r="F728" s="1">
        <f t="shared" ca="1" si="22"/>
        <v>-277.8572464483542</v>
      </c>
    </row>
    <row r="729" spans="1:6" x14ac:dyDescent="0.25">
      <c r="A729" s="1">
        <f t="array" aca="1" ref="A729:C729" ca="1">ODE_RK4(A728:C728,$B$5,$E$3,$F$3,$G$3)</f>
        <v>72.100000000000179</v>
      </c>
      <c r="B729" s="1">
        <f ca="1"/>
        <v>-275.1630203756261</v>
      </c>
      <c r="C729" s="1">
        <f ca="1"/>
        <v>27.345507660491545</v>
      </c>
      <c r="D729" s="1"/>
      <c r="E729">
        <f t="shared" ca="1" si="23"/>
        <v>4</v>
      </c>
      <c r="F729" s="1">
        <f t="shared" ca="1" si="22"/>
        <v>-275.1630203756261</v>
      </c>
    </row>
    <row r="730" spans="1:6" x14ac:dyDescent="0.25">
      <c r="A730" s="1">
        <f t="array" aca="1" ref="A730:C730" ca="1">ODE_RK4(A729:C729,$B$5,$E$3,$F$3,$G$3)</f>
        <v>72.200000000000173</v>
      </c>
      <c r="B730" s="1">
        <f ca="1"/>
        <v>-272.39989260795113</v>
      </c>
      <c r="C730" s="1">
        <f ca="1"/>
        <v>28.030545259544471</v>
      </c>
      <c r="D730" s="1"/>
      <c r="E730">
        <f t="shared" ca="1" si="23"/>
        <v>4</v>
      </c>
      <c r="F730" s="1">
        <f t="shared" ca="1" si="22"/>
        <v>-272.39989260795113</v>
      </c>
    </row>
    <row r="731" spans="1:6" x14ac:dyDescent="0.25">
      <c r="A731" s="1">
        <f t="array" aca="1" ref="A731:C731" ca="1">ODE_RK4(A730:C730,$B$5,$E$3,$F$3,$G$3)</f>
        <v>72.300000000000168</v>
      </c>
      <c r="B731" s="1">
        <f ca="1"/>
        <v>-269.56855104332465</v>
      </c>
      <c r="C731" s="1">
        <f ca="1"/>
        <v>28.70860389785631</v>
      </c>
      <c r="D731" s="1"/>
      <c r="E731">
        <f t="shared" ca="1" si="23"/>
        <v>4</v>
      </c>
      <c r="F731" s="1">
        <f t="shared" ca="1" si="22"/>
        <v>-269.56855104332465</v>
      </c>
    </row>
    <row r="732" spans="1:6" x14ac:dyDescent="0.25">
      <c r="A732" s="1">
        <f t="array" aca="1" ref="A732:C732" ca="1">ODE_RK4(A731:C731,$B$5,$E$3,$F$3,$G$3)</f>
        <v>72.400000000000162</v>
      </c>
      <c r="B732" s="1">
        <f ca="1"/>
        <v>-266.66970066152658</v>
      </c>
      <c r="C732" s="1">
        <f ca="1"/>
        <v>29.379513773229874</v>
      </c>
      <c r="D732" s="1"/>
      <c r="E732">
        <f t="shared" ca="1" si="23"/>
        <v>4</v>
      </c>
      <c r="F732" s="1">
        <f t="shared" ca="1" si="22"/>
        <v>-266.66970066152658</v>
      </c>
    </row>
    <row r="733" spans="1:6" x14ac:dyDescent="0.25">
      <c r="A733" s="1">
        <f t="array" aca="1" ref="A733:C733" ca="1">ODE_RK4(A732:C732,$B$5,$E$3,$F$3,$G$3)</f>
        <v>72.500000000000156</v>
      </c>
      <c r="B733" s="1">
        <f ca="1"/>
        <v>-263.70406334859138</v>
      </c>
      <c r="C733" s="1">
        <f ca="1"/>
        <v>30.043106863549855</v>
      </c>
      <c r="D733" s="1"/>
      <c r="E733">
        <f t="shared" ca="1" si="23"/>
        <v>4</v>
      </c>
      <c r="F733" s="1">
        <f t="shared" ca="1" si="22"/>
        <v>-263.70406334859138</v>
      </c>
    </row>
    <row r="734" spans="1:6" x14ac:dyDescent="0.25">
      <c r="A734" s="1">
        <f t="array" aca="1" ref="A734:C734" ca="1">ODE_RK4(A733:C733,$B$5,$E$3,$F$3,$G$3)</f>
        <v>72.600000000000151</v>
      </c>
      <c r="B734" s="1">
        <f ca="1"/>
        <v>-260.67237771704453</v>
      </c>
      <c r="C734" s="1">
        <f ca="1"/>
        <v>30.699216968861727</v>
      </c>
      <c r="D734" s="1"/>
      <c r="E734">
        <f t="shared" ca="1" si="23"/>
        <v>4</v>
      </c>
      <c r="F734" s="1">
        <f t="shared" ca="1" si="22"/>
        <v>-260.67237771704453</v>
      </c>
    </row>
    <row r="735" spans="1:6" x14ac:dyDescent="0.25">
      <c r="A735" s="1">
        <f t="array" aca="1" ref="A735:C735" ca="1">ODE_RK4(A734:C734,$B$5,$E$3,$F$3,$G$3)</f>
        <v>72.700000000000145</v>
      </c>
      <c r="B735" s="1">
        <f ca="1"/>
        <v>-257.57539892194967</v>
      </c>
      <c r="C735" s="1">
        <f ca="1"/>
        <v>31.347679752996847</v>
      </c>
      <c r="D735" s="1"/>
      <c r="E735">
        <f t="shared" ca="1" si="23"/>
        <v>4</v>
      </c>
      <c r="F735" s="1">
        <f t="shared" ca="1" si="22"/>
        <v>-257.57539892194967</v>
      </c>
    </row>
    <row r="736" spans="1:6" x14ac:dyDescent="0.25">
      <c r="A736" s="1">
        <f t="array" aca="1" ref="A736:C736" ca="1">ODE_RK4(A735:C735,$B$5,$E$3,$F$3,$G$3)</f>
        <v>72.800000000000139</v>
      </c>
      <c r="B736" s="1">
        <f ca="1"/>
        <v>-254.4138984728128</v>
      </c>
      <c r="C736" s="1">
        <f ca="1"/>
        <v>31.988332784733366</v>
      </c>
      <c r="D736" s="1"/>
      <c r="E736">
        <f t="shared" ca="1" si="23"/>
        <v>4</v>
      </c>
      <c r="F736" s="1">
        <f t="shared" ca="1" si="22"/>
        <v>-254.4138984728128</v>
      </c>
    </row>
    <row r="737" spans="1:6" x14ac:dyDescent="0.25">
      <c r="A737" s="1">
        <f t="array" aca="1" ref="A737:C737" ca="1">ODE_RK4(A736:C736,$B$5,$E$3,$F$3,$G$3)</f>
        <v>72.900000000000134</v>
      </c>
      <c r="B737" s="1">
        <f ca="1"/>
        <v>-251.18866404138993</v>
      </c>
      <c r="C737" s="1">
        <f ca="1"/>
        <v>32.621015578482648</v>
      </c>
      <c r="D737" s="1"/>
      <c r="E737">
        <f t="shared" ca="1" si="23"/>
        <v>4</v>
      </c>
      <c r="F737" s="1">
        <f t="shared" ca="1" si="22"/>
        <v>-251.18866404138993</v>
      </c>
    </row>
    <row r="738" spans="1:6" x14ac:dyDescent="0.25">
      <c r="A738" s="1">
        <f t="array" aca="1" ref="A738:C738" ca="1">ODE_RK4(A737:C737,$B$5,$E$3,$F$3,$G$3)</f>
        <v>73.000000000000128</v>
      </c>
      <c r="B738" s="1">
        <f ca="1"/>
        <v>-247.90049926544629</v>
      </c>
      <c r="C738" s="1">
        <f ca="1"/>
        <v>33.245569634490934</v>
      </c>
      <c r="D738" s="1"/>
      <c r="E738">
        <f t="shared" ca="1" si="23"/>
        <v>4</v>
      </c>
      <c r="F738" s="1">
        <f t="shared" ca="1" si="22"/>
        <v>-247.90049926544629</v>
      </c>
    </row>
    <row r="739" spans="1:6" x14ac:dyDescent="0.25">
      <c r="A739" s="1">
        <f t="array" aca="1" ref="A739:C739" ca="1">ODE_RK4(A738:C738,$B$5,$E$3,$F$3,$G$3)</f>
        <v>73.100000000000122</v>
      </c>
      <c r="B739" s="1">
        <f ca="1"/>
        <v>-244.55022354851593</v>
      </c>
      <c r="C739" s="1">
        <f ca="1"/>
        <v>33.861838478546289</v>
      </c>
      <c r="D739" s="1"/>
      <c r="E739">
        <f t="shared" ca="1" si="23"/>
        <v>4</v>
      </c>
      <c r="F739" s="1">
        <f t="shared" ca="1" si="22"/>
        <v>-244.55022354851593</v>
      </c>
    </row>
    <row r="740" spans="1:6" x14ac:dyDescent="0.25">
      <c r="A740" s="1">
        <f t="array" aca="1" ref="A740:C740" ca="1">ODE_RK4(A739:C739,$B$5,$E$3,$F$3,$G$3)</f>
        <v>73.200000000000117</v>
      </c>
      <c r="B740" s="1">
        <f ca="1"/>
        <v>-241.13867185571169</v>
      </c>
      <c r="C740" s="1">
        <f ca="1"/>
        <v>34.469667701180782</v>
      </c>
      <c r="D740" s="1"/>
      <c r="E740">
        <f t="shared" ca="1" si="23"/>
        <v>4</v>
      </c>
      <c r="F740" s="1">
        <f t="shared" ca="1" si="22"/>
        <v>-241.13867185571169</v>
      </c>
    </row>
    <row r="741" spans="1:6" x14ac:dyDescent="0.25">
      <c r="A741" s="1">
        <f t="array" aca="1" ref="A741:C741" ca="1">ODE_RK4(A740:C740,$B$5,$E$3,$F$3,$G$3)</f>
        <v>73.300000000000111</v>
      </c>
      <c r="B741" s="1">
        <f ca="1"/>
        <v>-237.6666945056362</v>
      </c>
      <c r="C741" s="1">
        <f ca="1"/>
        <v>35.068904996358164</v>
      </c>
      <c r="D741" s="1"/>
      <c r="E741">
        <f t="shared" ca="1" si="23"/>
        <v>4</v>
      </c>
      <c r="F741" s="1">
        <f t="shared" ca="1" si="22"/>
        <v>-237.6666945056362</v>
      </c>
    </row>
    <row r="742" spans="1:6" x14ac:dyDescent="0.25">
      <c r="A742" s="1">
        <f t="array" aca="1" ref="A742:C742" ca="1">ODE_RK4(A741:C741,$B$5,$E$3,$F$3,$G$3)</f>
        <v>73.400000000000105</v>
      </c>
      <c r="B742" s="1">
        <f ca="1"/>
        <v>-234.135156958446</v>
      </c>
      <c r="C742" s="1">
        <f ca="1"/>
        <v>35.659400199637261</v>
      </c>
      <c r="D742" s="1"/>
      <c r="E742">
        <f t="shared" ca="1" si="23"/>
        <v>4</v>
      </c>
      <c r="F742" s="1">
        <f t="shared" ca="1" si="22"/>
        <v>-234.135156958446</v>
      </c>
    </row>
    <row r="743" spans="1:6" x14ac:dyDescent="0.25">
      <c r="A743" s="1">
        <f t="array" aca="1" ref="A743:C743" ca="1">ODE_RK4(A742:C742,$B$5,$E$3,$F$3,$G$3)</f>
        <v>73.500000000000099</v>
      </c>
      <c r="B743" s="1">
        <f ca="1"/>
        <v>-230.54493960012155</v>
      </c>
      <c r="C743" s="1">
        <f ca="1"/>
        <v>36.241005325801623</v>
      </c>
      <c r="D743" s="1"/>
      <c r="E743">
        <f t="shared" ca="1" si="23"/>
        <v>4</v>
      </c>
      <c r="F743" s="1">
        <f t="shared" ca="1" si="22"/>
        <v>-230.54493960012155</v>
      </c>
    </row>
    <row r="744" spans="1:6" x14ac:dyDescent="0.25">
      <c r="A744" s="1">
        <f t="array" aca="1" ref="A744:C744" ca="1">ODE_RK4(A743:C743,$B$5,$E$3,$F$3,$G$3)</f>
        <v>73.600000000000094</v>
      </c>
      <c r="B744" s="1">
        <f ca="1"/>
        <v>-226.89693752299675</v>
      </c>
      <c r="C744" s="1">
        <f ca="1"/>
        <v>36.813574605945895</v>
      </c>
      <c r="D744" s="1"/>
      <c r="E744">
        <f t="shared" ca="1" si="23"/>
        <v>4</v>
      </c>
      <c r="F744" s="1">
        <f t="shared" ca="1" si="22"/>
        <v>-226.89693752299675</v>
      </c>
    </row>
    <row r="745" spans="1:6" x14ac:dyDescent="0.25">
      <c r="A745" s="1">
        <f t="array" aca="1" ref="A745:C745" ca="1">ODE_RK4(A744:C744,$B$5,$E$3,$F$3,$G$3)</f>
        <v>73.700000000000088</v>
      </c>
      <c r="B745" s="1">
        <f ca="1"/>
        <v>-223.19206030260287</v>
      </c>
      <c r="C745" s="1">
        <f ca="1"/>
        <v>37.376964524009701</v>
      </c>
      <c r="D745" s="1"/>
      <c r="E745">
        <f t="shared" ca="1" si="23"/>
        <v>4</v>
      </c>
      <c r="F745" s="1">
        <f t="shared" ca="1" si="22"/>
        <v>-223.19206030260287</v>
      </c>
    </row>
    <row r="746" spans="1:6" x14ac:dyDescent="0.25">
      <c r="A746" s="1">
        <f t="array" aca="1" ref="A746:C746" ca="1">ODE_RK4(A745:C745,$B$5,$E$3,$F$3,$G$3)</f>
        <v>73.800000000000082</v>
      </c>
      <c r="B746" s="1">
        <f ca="1"/>
        <v>-219.4312317708825</v>
      </c>
      <c r="C746" s="1">
        <f ca="1"/>
        <v>37.931033852749835</v>
      </c>
      <c r="D746" s="1"/>
      <c r="E746">
        <f t="shared" ca="1" si="23"/>
        <v>4</v>
      </c>
      <c r="F746" s="1">
        <f t="shared" ca="1" si="22"/>
        <v>-219.4312317708825</v>
      </c>
    </row>
    <row r="747" spans="1:6" x14ac:dyDescent="0.25">
      <c r="A747" s="1">
        <f t="array" aca="1" ref="A747:C747" ca="1">ODE_RK4(A746:C746,$B$5,$E$3,$F$3,$G$3)</f>
        <v>73.900000000000077</v>
      </c>
      <c r="B747" s="1">
        <f ca="1"/>
        <v>-215.61538978582993</v>
      </c>
      <c r="C747" s="1">
        <f ca="1"/>
        <v>38.475643689141762</v>
      </c>
      <c r="D747" s="1"/>
      <c r="E747">
        <f t="shared" ca="1" si="23"/>
        <v>4</v>
      </c>
      <c r="F747" s="1">
        <f t="shared" ca="1" si="22"/>
        <v>-215.61538978582993</v>
      </c>
    </row>
    <row r="748" spans="1:6" x14ac:dyDescent="0.25">
      <c r="A748" s="1">
        <f t="array" aca="1" ref="A748:C748" ca="1">ODE_RK4(A747:C747,$B$5,$E$3,$F$3,$G$3)</f>
        <v>74.000000000000071</v>
      </c>
      <c r="B748" s="1">
        <f ca="1"/>
        <v>-211.74548599761548</v>
      </c>
      <c r="C748" s="1">
        <f ca="1"/>
        <v>39.010657489201549</v>
      </c>
      <c r="D748" s="1"/>
      <c r="E748">
        <f t="shared" ca="1" si="23"/>
        <v>4</v>
      </c>
      <c r="F748" s="1">
        <f t="shared" ca="1" si="22"/>
        <v>-211.74548599761548</v>
      </c>
    </row>
    <row r="749" spans="1:6" x14ac:dyDescent="0.25">
      <c r="A749" s="1">
        <f t="array" aca="1" ref="A749:C749" ca="1">ODE_RK4(A748:C748,$B$5,$E$3,$F$3,$G$3)</f>
        <v>74.100000000000065</v>
      </c>
      <c r="B749" s="1">
        <f ca="1"/>
        <v>-207.82248561125215</v>
      </c>
      <c r="C749" s="1">
        <f ca="1"/>
        <v>39.535941102219496</v>
      </c>
      <c r="D749" s="1"/>
      <c r="E749">
        <f t="shared" ca="1" si="23"/>
        <v>4</v>
      </c>
      <c r="F749" s="1">
        <f t="shared" ca="1" si="22"/>
        <v>-207.82248561125215</v>
      </c>
    </row>
    <row r="750" spans="1:6" x14ac:dyDescent="0.25">
      <c r="A750" s="1">
        <f t="array" aca="1" ref="A750:C750" ca="1">ODE_RK4(A749:C749,$B$5,$E$3,$F$3,$G$3)</f>
        <v>74.20000000000006</v>
      </c>
      <c r="B750" s="1">
        <f ca="1"/>
        <v>-203.84736714586384</v>
      </c>
      <c r="C750" s="1">
        <f ca="1"/>
        <v>40.051362804396881</v>
      </c>
      <c r="D750" s="1"/>
      <c r="E750">
        <f t="shared" ca="1" si="23"/>
        <v>4</v>
      </c>
      <c r="F750" s="1">
        <f t="shared" ca="1" si="22"/>
        <v>-203.84736714586384</v>
      </c>
    </row>
    <row r="751" spans="1:6" x14ac:dyDescent="0.25">
      <c r="A751" s="1">
        <f t="array" aca="1" ref="A751:C751" ca="1">ODE_RK4(A750:C750,$B$5,$E$3,$F$3,$G$3)</f>
        <v>74.300000000000054</v>
      </c>
      <c r="B751" s="1">
        <f ca="1"/>
        <v>-199.82112219061483</v>
      </c>
      <c r="C751" s="1">
        <f ca="1"/>
        <v>40.556793331877401</v>
      </c>
      <c r="D751" s="1"/>
      <c r="E751">
        <f t="shared" ca="1" si="23"/>
        <v>4</v>
      </c>
      <c r="F751" s="1">
        <f t="shared" ca="1" si="22"/>
        <v>-199.82112219061483</v>
      </c>
    </row>
    <row r="752" spans="1:6" x14ac:dyDescent="0.25">
      <c r="A752" s="1">
        <f t="array" aca="1" ref="A752:C752" ca="1">ODE_RK4(A751:C751,$B$5,$E$3,$F$3,$G$3)</f>
        <v>74.400000000000048</v>
      </c>
      <c r="B752" s="1">
        <f ca="1"/>
        <v>-195.74475515736182</v>
      </c>
      <c r="C752" s="1">
        <f ca="1"/>
        <v>41.052105913165022</v>
      </c>
      <c r="D752" s="1"/>
      <c r="E752">
        <f t="shared" ca="1" si="23"/>
        <v>4</v>
      </c>
      <c r="F752" s="1">
        <f t="shared" ca="1" si="22"/>
        <v>-195.74475515736182</v>
      </c>
    </row>
    <row r="753" spans="1:6" x14ac:dyDescent="0.25">
      <c r="A753" s="1">
        <f t="array" aca="1" ref="A753:C753" ca="1">ODE_RK4(A752:C752,$B$5,$E$3,$F$3,$G$3)</f>
        <v>74.500000000000043</v>
      </c>
      <c r="B753" s="1">
        <f ca="1"/>
        <v>-191.61928303009006</v>
      </c>
      <c r="C753" s="1">
        <f ca="1"/>
        <v>41.537176300920073</v>
      </c>
      <c r="D753" s="1"/>
      <c r="E753">
        <f t="shared" ca="1" si="23"/>
        <v>4</v>
      </c>
      <c r="F753" s="1">
        <f t="shared" ca="1" si="22"/>
        <v>-191.61928303009006</v>
      </c>
    </row>
    <row r="754" spans="1:6" x14ac:dyDescent="0.25">
      <c r="A754" s="1">
        <f t="array" aca="1" ref="A754:C754" ca="1">ODE_RK4(A753:C753,$B$5,$E$3,$F$3,$G$3)</f>
        <v>74.600000000000037</v>
      </c>
      <c r="B754" s="1">
        <f ca="1"/>
        <v>-187.44573511119597</v>
      </c>
      <c r="C754" s="1">
        <f ca="1"/>
        <v>42.011882803125665</v>
      </c>
      <c r="D754" s="1"/>
      <c r="E754">
        <f t="shared" ca="1" si="23"/>
        <v>4</v>
      </c>
      <c r="F754" s="1">
        <f t="shared" ca="1" si="22"/>
        <v>-187.44573511119597</v>
      </c>
    </row>
    <row r="755" spans="1:6" x14ac:dyDescent="0.25">
      <c r="A755" s="1">
        <f t="array" aca="1" ref="A755:C755" ca="1">ODE_RK4(A754:C754,$B$5,$E$3,$F$3,$G$3)</f>
        <v>74.700000000000031</v>
      </c>
      <c r="B755" s="1">
        <f ca="1"/>
        <v>-183.22515276467971</v>
      </c>
      <c r="C755" s="1">
        <f ca="1"/>
        <v>42.476106313616583</v>
      </c>
      <c r="D755" s="1"/>
      <c r="E755">
        <f t="shared" ca="1" si="23"/>
        <v>4</v>
      </c>
      <c r="F755" s="1">
        <f t="shared" ca="1" si="22"/>
        <v>-183.22515276467971</v>
      </c>
    </row>
    <row r="756" spans="1:6" x14ac:dyDescent="0.25">
      <c r="A756" s="1">
        <f t="array" aca="1" ref="A756:C756" ca="1">ODE_RK4(A755:C755,$B$5,$E$3,$F$3,$G$3)</f>
        <v>74.800000000000026</v>
      </c>
      <c r="B756" s="1">
        <f ca="1"/>
        <v>-178.95858915631172</v>
      </c>
      <c r="C756" s="1">
        <f ca="1"/>
        <v>42.929730341962987</v>
      </c>
      <c r="D756" s="1"/>
      <c r="E756">
        <f t="shared" ca="1" si="23"/>
        <v>4</v>
      </c>
      <c r="F756" s="1">
        <f t="shared" ca="1" si="22"/>
        <v>-178.95858915631172</v>
      </c>
    </row>
    <row r="757" spans="1:6" x14ac:dyDescent="0.25">
      <c r="A757" s="1">
        <f t="array" aca="1" ref="A757:C757" ca="1">ODE_RK4(A756:C756,$B$5,$E$3,$F$3,$G$3)</f>
        <v>74.90000000000002</v>
      </c>
      <c r="B757" s="1">
        <f ca="1"/>
        <v>-174.64710899083795</v>
      </c>
      <c r="C757" s="1">
        <f ca="1"/>
        <v>43.372641042701453</v>
      </c>
      <c r="D757" s="1"/>
      <c r="E757">
        <f t="shared" ca="1" si="23"/>
        <v>4</v>
      </c>
      <c r="F757" s="1">
        <f t="shared" ca="1" si="22"/>
        <v>-174.64710899083795</v>
      </c>
    </row>
    <row r="758" spans="1:6" x14ac:dyDescent="0.25">
      <c r="A758" s="1">
        <f t="array" aca="1" ref="A758:C758" ca="1">ODE_RK4(A757:C757,$B$5,$E$3,$F$3,$G$3)</f>
        <v>75.000000000000014</v>
      </c>
      <c r="B758" s="1">
        <f ca="1"/>
        <v>-170.2917882462896</v>
      </c>
      <c r="C758" s="1">
        <f ca="1"/>
        <v>43.804727243906001</v>
      </c>
      <c r="D758" s="1"/>
      <c r="E758">
        <f t="shared" ca="1" si="23"/>
        <v>4</v>
      </c>
      <c r="F758" s="1">
        <f t="shared" ca="1" si="22"/>
        <v>-170.2917882462896</v>
      </c>
    </row>
    <row r="759" spans="1:6" x14ac:dyDescent="0.25">
      <c r="A759" s="1">
        <f t="array" aca="1" ref="A759:C759" ca="1">ODE_RK4(A758:C758,$B$5,$E$3,$F$3,$G$3)</f>
        <v>75.100000000000009</v>
      </c>
      <c r="B759" s="1">
        <f ca="1"/>
        <v>-165.89371390546341</v>
      </c>
      <c r="C759" s="1">
        <f ca="1"/>
        <v>44.225880475091934</v>
      </c>
      <c r="D759" s="1"/>
      <c r="E759">
        <f t="shared" ca="1" si="23"/>
        <v>4</v>
      </c>
      <c r="F759" s="1">
        <f t="shared" ca="1" si="22"/>
        <v>-165.89371390546341</v>
      </c>
    </row>
    <row r="760" spans="1:6" x14ac:dyDescent="0.25">
      <c r="A760" s="1">
        <f t="array" aca="1" ref="A760:C760" ca="1">ODE_RK4(A759:C759,$B$5,$E$3,$F$3,$G$3)</f>
        <v>75.2</v>
      </c>
      <c r="B760" s="1">
        <f ca="1"/>
        <v>-161.45398368463967</v>
      </c>
      <c r="C760" s="1">
        <f ca="1"/>
        <v>44.63599499444549</v>
      </c>
      <c r="D760" s="1"/>
      <c r="E760">
        <f t="shared" ca="1" si="23"/>
        <v>4</v>
      </c>
      <c r="F760" s="1">
        <f t="shared" ca="1" si="22"/>
        <v>-161.45398368463967</v>
      </c>
    </row>
    <row r="761" spans="1:6" x14ac:dyDescent="0.25">
      <c r="A761" s="1">
        <f t="array" aca="1" ref="A761:C761" ca="1">ODE_RK4(A760:C760,$B$5,$E$3,$F$3,$G$3)</f>
        <v>75.3</v>
      </c>
      <c r="B761" s="1">
        <f ca="1"/>
        <v>-156.97370575960554</v>
      </c>
      <c r="C761" s="1">
        <f ca="1"/>
        <v>45.034967815372475</v>
      </c>
      <c r="D761" s="1"/>
      <c r="E761">
        <f t="shared" ca="1" si="23"/>
        <v>4</v>
      </c>
      <c r="F761" s="1">
        <f t="shared" ca="1" si="22"/>
        <v>-156.97370575960554</v>
      </c>
    </row>
    <row r="762" spans="1:6" x14ac:dyDescent="0.25">
      <c r="A762" s="1">
        <f t="array" aca="1" ref="A762:C762" ca="1">ODE_RK4(A761:C761,$B$5,$E$3,$F$3,$G$3)</f>
        <v>75.399999999999991</v>
      </c>
      <c r="B762" s="1">
        <f ca="1"/>
        <v>-152.45399848905225</v>
      </c>
      <c r="C762" s="1">
        <f ca="1"/>
        <v>45.422698732359237</v>
      </c>
      <c r="D762" s="1"/>
      <c r="E762">
        <f t="shared" ca="1" si="23"/>
        <v>4</v>
      </c>
      <c r="F762" s="1">
        <f t="shared" ca="1" si="22"/>
        <v>-152.45399848905225</v>
      </c>
    </row>
    <row r="763" spans="1:6" x14ac:dyDescent="0.25">
      <c r="A763" s="1">
        <f t="array" aca="1" ref="A763:C763" ca="1">ODE_RK4(A762:C762,$B$5,$E$3,$F$3,$G$3)</f>
        <v>75.499999999999986</v>
      </c>
      <c r="B763" s="1">
        <f ca="1"/>
        <v>-147.89599013541508</v>
      </c>
      <c r="C763" s="1">
        <f ca="1"/>
        <v>45.799090346139423</v>
      </c>
      <c r="D763" s="1"/>
      <c r="E763">
        <f t="shared" ca="1" si="23"/>
        <v>4</v>
      </c>
      <c r="F763" s="1">
        <f t="shared" ca="1" si="22"/>
        <v>-147.89599013541508</v>
      </c>
    </row>
    <row r="764" spans="1:6" x14ac:dyDescent="0.25">
      <c r="A764" s="1">
        <f t="array" aca="1" ref="A764:C764" ca="1">ODE_RK4(A763:C763,$B$5,$E$3,$F$3,$G$3)</f>
        <v>75.59999999999998</v>
      </c>
      <c r="B764" s="1">
        <f ca="1"/>
        <v>-143.30081858322561</v>
      </c>
      <c r="C764" s="1">
        <f ca="1"/>
        <v>46.164048088160243</v>
      </c>
      <c r="D764" s="1"/>
      <c r="E764">
        <f t="shared" ca="1" si="23"/>
        <v>4</v>
      </c>
      <c r="F764" s="1">
        <f t="shared" ca="1" si="22"/>
        <v>-143.30081858322561</v>
      </c>
    </row>
    <row r="765" spans="1:6" x14ac:dyDescent="0.25">
      <c r="A765" s="1">
        <f t="array" aca="1" ref="A765:C765" ca="1">ODE_RK4(A764:C764,$B$5,$E$3,$F$3,$G$3)</f>
        <v>75.699999999999974</v>
      </c>
      <c r="B765" s="1">
        <f ca="1"/>
        <v>-138.66963105504703</v>
      </c>
      <c r="C765" s="1">
        <f ca="1"/>
        <v>46.51748024434211</v>
      </c>
      <c r="D765" s="1"/>
      <c r="E765">
        <f t="shared" ca="1" si="23"/>
        <v>4</v>
      </c>
      <c r="F765" s="1">
        <f t="shared" ca="1" si="22"/>
        <v>-138.66963105504703</v>
      </c>
    </row>
    <row r="766" spans="1:6" x14ac:dyDescent="0.25">
      <c r="A766" s="1">
        <f t="array" aca="1" ref="A766:C766" ca="1">ODE_RK4(A765:C765,$B$5,$E$3,$F$3,$G$3)</f>
        <v>75.799999999999969</v>
      </c>
      <c r="B766" s="1">
        <f ca="1"/>
        <v>-134.00358382506309</v>
      </c>
      <c r="C766" s="1">
        <f ca="1"/>
        <v>46.859297978125653</v>
      </c>
      <c r="D766" s="1"/>
      <c r="E766">
        <f t="shared" ca="1" si="23"/>
        <v>4</v>
      </c>
      <c r="F766" s="1">
        <f t="shared" ca="1" si="22"/>
        <v>-134.00358382506309</v>
      </c>
    </row>
    <row r="767" spans="1:6" x14ac:dyDescent="0.25">
      <c r="A767" s="1">
        <f t="array" aca="1" ref="A767:C767" ca="1">ODE_RK4(A766:C766,$B$5,$E$3,$F$3,$G$3)</f>
        <v>75.899999999999963</v>
      </c>
      <c r="B767" s="1">
        <f ca="1"/>
        <v>-129.30384193039208</v>
      </c>
      <c r="C767" s="1">
        <f ca="1"/>
        <v>47.189415352800317</v>
      </c>
      <c r="D767" s="1"/>
      <c r="E767">
        <f t="shared" ca="1" si="23"/>
        <v>4</v>
      </c>
      <c r="F767" s="1">
        <f t="shared" ca="1" si="22"/>
        <v>-129.30384193039208</v>
      </c>
    </row>
    <row r="768" spans="1:6" x14ac:dyDescent="0.25">
      <c r="A768" s="1">
        <f t="array" aca="1" ref="A768:C768" ca="1">ODE_RK4(A767:C767,$B$5,$E$3,$F$3,$G$3)</f>
        <v>75.999999999999957</v>
      </c>
      <c r="B768" s="1">
        <f ca="1"/>
        <v>-124.57157888019833</v>
      </c>
      <c r="C768" s="1">
        <f ca="1"/>
        <v>47.507749353108949</v>
      </c>
      <c r="D768" s="1"/>
      <c r="E768">
        <f t="shared" ca="1" si="23"/>
        <v>4</v>
      </c>
      <c r="F768" s="1">
        <f t="shared" ca="1" si="22"/>
        <v>-124.57157888019833</v>
      </c>
    </row>
    <row r="769" spans="1:6" x14ac:dyDescent="0.25">
      <c r="A769" s="1">
        <f t="array" aca="1" ref="A769:C769" ca="1">ODE_RK4(A768:C768,$B$5,$E$3,$F$3,$G$3)</f>
        <v>76.099999999999952</v>
      </c>
      <c r="B769" s="1">
        <f ca="1"/>
        <v>-119.80797636267339</v>
      </c>
      <c r="C769" s="1">
        <f ca="1"/>
        <v>47.814219906122943</v>
      </c>
      <c r="D769" s="1"/>
      <c r="E769">
        <f t="shared" ca="1" si="23"/>
        <v>4</v>
      </c>
      <c r="F769" s="1">
        <f t="shared" ca="1" si="22"/>
        <v>-119.80797636267339</v>
      </c>
    </row>
    <row r="770" spans="1:6" x14ac:dyDescent="0.25">
      <c r="A770" s="1">
        <f t="array" aca="1" ref="A770:C770" ca="1">ODE_RK4(A769:C769,$B$5,$E$3,$F$3,$G$3)</f>
        <v>76.199999999999946</v>
      </c>
      <c r="B770" s="1">
        <f ca="1"/>
        <v>-115.0142239499605</v>
      </c>
      <c r="C770" s="1">
        <f ca="1"/>
        <v>48.108749901382687</v>
      </c>
      <c r="D770" s="1"/>
      <c r="E770">
        <f t="shared" ca="1" si="23"/>
        <v>4</v>
      </c>
      <c r="F770" s="1">
        <f t="shared" ca="1" si="22"/>
        <v>-115.0142239499605</v>
      </c>
    </row>
    <row r="771" spans="1:6" x14ac:dyDescent="0.25">
      <c r="A771" s="1">
        <f t="array" aca="1" ref="A771:C771" ca="1">ODE_RK4(A770:C770,$B$5,$E$3,$F$3,$G$3)</f>
        <v>76.29999999999994</v>
      </c>
      <c r="B771" s="1">
        <f ca="1"/>
        <v>-110.19151880109565</v>
      </c>
      <c r="C771" s="1">
        <f ca="1"/>
        <v>48.391265210298215</v>
      </c>
      <c r="D771" s="1"/>
      <c r="E771">
        <f t="shared" ca="1" si="23"/>
        <v>4</v>
      </c>
      <c r="F771" s="1">
        <f t="shared" ca="1" si="22"/>
        <v>-110.19151880109565</v>
      </c>
    </row>
    <row r="772" spans="1:6" x14ac:dyDescent="0.25">
      <c r="A772" s="1">
        <f t="array" aca="1" ref="A772:C772" ca="1">ODE_RK4(A771:C771,$B$5,$E$3,$F$3,$G$3)</f>
        <v>76.399999999999935</v>
      </c>
      <c r="B772" s="1">
        <f ca="1"/>
        <v>-105.3410653630397</v>
      </c>
      <c r="C772" s="1">
        <f ca="1"/>
        <v>48.661694704805271</v>
      </c>
      <c r="D772" s="1"/>
      <c r="E772">
        <f t="shared" ca="1" si="23"/>
        <v>4</v>
      </c>
      <c r="F772" s="1">
        <f t="shared" ca="1" si="22"/>
        <v>-105.3410653630397</v>
      </c>
    </row>
    <row r="773" spans="1:6" x14ac:dyDescent="0.25">
      <c r="A773" s="1">
        <f t="array" aca="1" ref="A773:C773" ca="1">ODE_RK4(A772:C772,$B$5,$E$3,$F$3,$G$3)</f>
        <v>76.499999999999929</v>
      </c>
      <c r="B773" s="1">
        <f ca="1"/>
        <v>-100.46407506987599</v>
      </c>
      <c r="C773" s="1">
        <f ca="1"/>
        <v>48.919970275271972</v>
      </c>
      <c r="D773" s="1"/>
      <c r="E773">
        <f t="shared" ca="1" si="23"/>
        <v>4</v>
      </c>
      <c r="F773" s="1">
        <f t="shared" ca="1" si="22"/>
        <v>-100.46407506987599</v>
      </c>
    </row>
    <row r="774" spans="1:6" x14ac:dyDescent="0.25">
      <c r="A774" s="1">
        <f t="array" aca="1" ref="A774:C774" ca="1">ODE_RK4(A773:C773,$B$5,$E$3,$F$3,$G$3)</f>
        <v>76.599999999999923</v>
      </c>
      <c r="B774" s="1">
        <f ca="1"/>
        <v>-95.561766040248727</v>
      </c>
      <c r="C774" s="1">
        <f ca="1"/>
        <v>49.166026847651665</v>
      </c>
      <c r="D774" s="1"/>
      <c r="E774">
        <f t="shared" ca="1" si="23"/>
        <v>4</v>
      </c>
      <c r="F774" s="1">
        <f t="shared" ca="1" si="22"/>
        <v>-95.561766040248727</v>
      </c>
    </row>
    <row r="775" spans="1:6" x14ac:dyDescent="0.25">
      <c r="A775" s="1">
        <f t="array" aca="1" ref="A775:C775" ca="1">ODE_RK4(A774:C774,$B$5,$E$3,$F$3,$G$3)</f>
        <v>76.699999999999918</v>
      </c>
      <c r="B775" s="1">
        <f ca="1"/>
        <v>-90.635362773117649</v>
      </c>
      <c r="C775" s="1">
        <f ca="1"/>
        <v>49.399802399877615</v>
      </c>
      <c r="D775" s="1"/>
      <c r="E775">
        <f t="shared" ca="1" si="23"/>
        <v>4</v>
      </c>
      <c r="F775" s="1">
        <f t="shared" ca="1" si="22"/>
        <v>-90.635362773117649</v>
      </c>
    </row>
    <row r="776" spans="1:6" x14ac:dyDescent="0.25">
      <c r="A776" s="1">
        <f t="array" aca="1" ref="A776:C776" ca="1">ODE_RK4(A775:C775,$B$5,$E$3,$F$3,$G$3)</f>
        <v>76.799999999999912</v>
      </c>
      <c r="B776" s="1">
        <f ca="1"/>
        <v>-85.686095841904987</v>
      </c>
      <c r="C776" s="1">
        <f ca="1"/>
        <v>49.621237977495362</v>
      </c>
      <c r="D776" s="1"/>
      <c r="E776">
        <f t="shared" ca="1" si="23"/>
        <v>4</v>
      </c>
      <c r="F776" s="1">
        <f t="shared" ref="F776:F839" ca="1" si="24">B776</f>
        <v>-85.686095841904987</v>
      </c>
    </row>
    <row r="777" spans="1:6" x14ac:dyDescent="0.25">
      <c r="A777" s="1">
        <f t="array" aca="1" ref="A777:C777" ca="1">ODE_RK4(A776:C776,$B$5,$E$3,$F$3,$G$3)</f>
        <v>76.899999999999906</v>
      </c>
      <c r="B777" s="1">
        <f ca="1"/>
        <v>-80.715201587111039</v>
      </c>
      <c r="C777" s="1">
        <f ca="1"/>
        <v>49.830277708528882</v>
      </c>
      <c r="D777" s="1"/>
      <c r="E777">
        <f t="shared" ref="E777:E840" ca="1" si="25">(C777*C778&lt;0)*1+E776</f>
        <v>4</v>
      </c>
      <c r="F777" s="1">
        <f t="shared" ca="1" si="24"/>
        <v>-80.715201587111039</v>
      </c>
    </row>
    <row r="778" spans="1:6" x14ac:dyDescent="0.25">
      <c r="A778" s="1">
        <f t="array" aca="1" ref="A778:C778" ca="1">ODE_RK4(A777:C777,$B$5,$E$3,$F$3,$G$3)</f>
        <v>76.999999999999901</v>
      </c>
      <c r="B778" s="1">
        <f ca="1"/>
        <v>-75.72392180747525</v>
      </c>
      <c r="C778" s="1">
        <f ca="1"/>
        <v>50.026868817576741</v>
      </c>
      <c r="D778" s="1"/>
      <c r="E778">
        <f t="shared" ca="1" si="25"/>
        <v>4</v>
      </c>
      <c r="F778" s="1">
        <f t="shared" ca="1" si="24"/>
        <v>-75.72392180747525</v>
      </c>
    </row>
    <row r="779" spans="1:6" x14ac:dyDescent="0.25">
      <c r="A779" s="1">
        <f t="array" aca="1" ref="A779:C779" ca="1">ODE_RK4(A778:C778,$B$5,$E$3,$F$3,$G$3)</f>
        <v>77.099999999999895</v>
      </c>
      <c r="B779" s="1">
        <f ca="1"/>
        <v>-70.71350344975987</v>
      </c>
      <c r="C779" s="1">
        <f ca="1"/>
        <v>50.210961639134695</v>
      </c>
      <c r="D779" s="1"/>
      <c r="E779">
        <f t="shared" ca="1" si="25"/>
        <v>4</v>
      </c>
      <c r="F779" s="1">
        <f t="shared" ca="1" si="24"/>
        <v>-70.71350344975987</v>
      </c>
    </row>
    <row r="780" spans="1:6" x14ac:dyDescent="0.25">
      <c r="A780" s="1">
        <f t="array" aca="1" ref="A780:C780" ca="1">ODE_RK4(A779:C779,$B$5,$E$3,$F$3,$G$3)</f>
        <v>77.199999999999889</v>
      </c>
      <c r="B780" s="1">
        <f ca="1"/>
        <v>-65.685198297233711</v>
      </c>
      <c r="C780" s="1">
        <f ca="1"/>
        <v>50.382509630141421</v>
      </c>
      <c r="D780" s="1"/>
      <c r="E780">
        <f t="shared" ca="1" si="25"/>
        <v>4</v>
      </c>
      <c r="F780" s="1">
        <f t="shared" ca="1" si="24"/>
        <v>-65.685198297233711</v>
      </c>
    </row>
    <row r="781" spans="1:6" x14ac:dyDescent="0.25">
      <c r="A781" s="1">
        <f t="array" aca="1" ref="A781:C781" ca="1">ODE_RK4(A780:C780,$B$5,$E$3,$F$3,$G$3)</f>
        <v>77.299999999999883</v>
      </c>
      <c r="B781" s="1">
        <f ca="1"/>
        <v>-60.6402626569338</v>
      </c>
      <c r="C781" s="1">
        <f ca="1"/>
        <v>50.541469381744143</v>
      </c>
      <c r="D781" s="1"/>
      <c r="E781">
        <f t="shared" ca="1" si="25"/>
        <v>4</v>
      </c>
      <c r="F781" s="1">
        <f t="shared" ca="1" si="24"/>
        <v>-60.6402626569338</v>
      </c>
    </row>
    <row r="782" spans="1:6" x14ac:dyDescent="0.25">
      <c r="A782" s="1">
        <f t="array" aca="1" ref="A782:C782" ca="1">ODE_RK4(A781:C781,$B$5,$E$3,$F$3,$G$3)</f>
        <v>77.399999999999878</v>
      </c>
      <c r="B782" s="1">
        <f ca="1"/>
        <v>-55.579957045783118</v>
      </c>
      <c r="C782" s="1">
        <f ca="1"/>
        <v>50.687800630281231</v>
      </c>
      <c r="D782" s="1"/>
      <c r="E782">
        <f t="shared" ca="1" si="25"/>
        <v>4</v>
      </c>
      <c r="F782" s="1">
        <f t="shared" ca="1" si="24"/>
        <v>-55.579957045783118</v>
      </c>
    </row>
    <row r="783" spans="1:6" x14ac:dyDescent="0.25">
      <c r="A783" s="1">
        <f t="array" aca="1" ref="A783:C783" ca="1">ODE_RK4(A782:C782,$B$5,$E$3,$F$3,$G$3)</f>
        <v>77.499999999999872</v>
      </c>
      <c r="B783" s="1">
        <f ca="1"/>
        <v>-50.505545875642767</v>
      </c>
      <c r="C783" s="1">
        <f ca="1"/>
        <v>50.821466267478961</v>
      </c>
      <c r="D783" s="1"/>
      <c r="E783">
        <f t="shared" ca="1" si="25"/>
        <v>4</v>
      </c>
      <c r="F783" s="1">
        <f t="shared" ca="1" si="24"/>
        <v>-50.505545875642767</v>
      </c>
    </row>
    <row r="784" spans="1:6" x14ac:dyDescent="0.25">
      <c r="A784" s="1">
        <f t="array" aca="1" ref="A784:C784" ca="1">ODE_RK4(A783:C783,$B$5,$E$3,$F$3,$G$3)</f>
        <v>77.599999999999866</v>
      </c>
      <c r="B784" s="1">
        <f ca="1"/>
        <v>-45.418297137377337</v>
      </c>
      <c r="C784" s="1">
        <f ca="1"/>
        <v>50.942432349859885</v>
      </c>
      <c r="D784" s="1"/>
      <c r="E784">
        <f t="shared" ca="1" si="25"/>
        <v>4</v>
      </c>
      <c r="F784" s="1">
        <f t="shared" ca="1" si="24"/>
        <v>-45.418297137377337</v>
      </c>
    </row>
    <row r="785" spans="1:6" x14ac:dyDescent="0.25">
      <c r="A785" s="1">
        <f t="array" aca="1" ref="A785:C785" ca="1">ODE_RK4(A784:C784,$B$5,$E$3,$F$3,$G$3)</f>
        <v>77.699999999999861</v>
      </c>
      <c r="B785" s="1">
        <f ca="1"/>
        <v>-40.319482084012371</v>
      </c>
      <c r="C785" s="1">
        <f ca="1"/>
        <v>51.05066810736038</v>
      </c>
      <c r="D785" s="1"/>
      <c r="E785">
        <f t="shared" ca="1" si="25"/>
        <v>4</v>
      </c>
      <c r="F785" s="1">
        <f t="shared" ca="1" si="24"/>
        <v>-40.319482084012371</v>
      </c>
    </row>
    <row r="786" spans="1:6" x14ac:dyDescent="0.25">
      <c r="A786" s="1">
        <f t="array" aca="1" ref="A786:C786" ca="1">ODE_RK4(A785:C785,$B$5,$E$3,$F$3,$G$3)</f>
        <v>77.799999999999855</v>
      </c>
      <c r="B786" s="1">
        <f ca="1"/>
        <v>-35.210374913063077</v>
      </c>
      <c r="C786" s="1">
        <f ca="1"/>
        <v>51.146145951155248</v>
      </c>
      <c r="D786" s="1"/>
      <c r="E786">
        <f t="shared" ca="1" si="25"/>
        <v>4</v>
      </c>
      <c r="F786" s="1">
        <f t="shared" ca="1" si="24"/>
        <v>-35.210374913063077</v>
      </c>
    </row>
    <row r="787" spans="1:6" x14ac:dyDescent="0.25">
      <c r="A787" s="1">
        <f t="array" aca="1" ref="A787:C787" ca="1">ODE_RK4(A786:C786,$B$5,$E$3,$F$3,$G$3)</f>
        <v>77.899999999999849</v>
      </c>
      <c r="B787" s="1">
        <f ca="1"/>
        <v>-30.092252448113715</v>
      </c>
      <c r="C787" s="1">
        <f ca="1"/>
        <v>51.228841480687329</v>
      </c>
      <c r="D787" s="1"/>
      <c r="E787">
        <f t="shared" ca="1" si="25"/>
        <v>4</v>
      </c>
      <c r="F787" s="1">
        <f t="shared" ca="1" si="24"/>
        <v>-30.092252448113715</v>
      </c>
    </row>
    <row r="788" spans="1:6" x14ac:dyDescent="0.25">
      <c r="A788" s="1">
        <f t="array" aca="1" ref="A788:C788" ca="1">ODE_RK4(A787:C787,$B$5,$E$3,$F$3,$G$3)</f>
        <v>77.999999999999844</v>
      </c>
      <c r="B788" s="1">
        <f ca="1"/>
        <v>-24.966393819727219</v>
      </c>
      <c r="C788" s="1">
        <f ca="1"/>
        <v>51.298733489900371</v>
      </c>
      <c r="D788" s="1"/>
      <c r="E788">
        <f t="shared" ca="1" si="25"/>
        <v>4</v>
      </c>
      <c r="F788" s="1">
        <f t="shared" ca="1" si="24"/>
        <v>-24.966393819727219</v>
      </c>
    </row>
    <row r="789" spans="1:6" x14ac:dyDescent="0.25">
      <c r="A789" s="1">
        <f t="array" aca="1" ref="A789:C789" ca="1">ODE_RK4(A788:C788,$B$5,$E$3,$F$3,$G$3)</f>
        <v>78.099999999999838</v>
      </c>
      <c r="B789" s="1">
        <f ca="1"/>
        <v>-19.834080145764776</v>
      </c>
      <c r="C789" s="1">
        <f ca="1"/>
        <v>51.355803972673534</v>
      </c>
      <c r="D789" s="1"/>
      <c r="E789">
        <f t="shared" ca="1" si="25"/>
        <v>4</v>
      </c>
      <c r="F789" s="1">
        <f t="shared" ca="1" si="24"/>
        <v>-19.834080145764776</v>
      </c>
    </row>
    <row r="790" spans="1:6" x14ac:dyDescent="0.25">
      <c r="A790" s="1">
        <f t="array" aca="1" ref="A790:C790" ca="1">ODE_RK4(A789:C789,$B$5,$E$3,$F$3,$G$3)</f>
        <v>78.199999999999832</v>
      </c>
      <c r="B790" s="1">
        <f ca="1"/>
        <v>-14.696594211195279</v>
      </c>
      <c r="C790" s="1">
        <f ca="1"/>
        <v>51.400038127456149</v>
      </c>
      <c r="D790" s="1"/>
      <c r="E790">
        <f t="shared" ca="1" si="25"/>
        <v>4</v>
      </c>
      <c r="F790" s="1">
        <f t="shared" ca="1" si="24"/>
        <v>-14.696594211195279</v>
      </c>
    </row>
    <row r="791" spans="1:6" x14ac:dyDescent="0.25">
      <c r="A791" s="1">
        <f t="array" aca="1" ref="A791:C791" ca="1">ODE_RK4(A790:C790,$B$5,$E$3,$F$3,$G$3)</f>
        <v>78.299999999999827</v>
      </c>
      <c r="B791" s="1">
        <f ca="1"/>
        <v>-9.555220147474671</v>
      </c>
      <c r="C791" s="1">
        <f ca="1"/>
        <v>51.43142436110157</v>
      </c>
      <c r="D791" s="1"/>
      <c r="E791">
        <f t="shared" ca="1" si="25"/>
        <v>4</v>
      </c>
      <c r="F791" s="1">
        <f t="shared" ca="1" si="24"/>
        <v>-9.555220147474671</v>
      </c>
    </row>
    <row r="792" spans="1:6" x14ac:dyDescent="0.25">
      <c r="A792" s="1">
        <f t="array" aca="1" ref="A792:C792" ca="1">ODE_RK4(A791:C791,$B$5,$E$3,$F$3,$G$3)</f>
        <v>78.399999999999821</v>
      </c>
      <c r="B792" s="1">
        <f ca="1"/>
        <v>-4.4112431115753061</v>
      </c>
      <c r="C792" s="1">
        <f ca="1"/>
        <v>51.449954291899068</v>
      </c>
      <c r="D792" s="1"/>
      <c r="E792">
        <f t="shared" ca="1" si="25"/>
        <v>4</v>
      </c>
      <c r="F792" s="1">
        <f t="shared" ca="1" si="24"/>
        <v>-4.4112431115753061</v>
      </c>
    </row>
    <row r="793" spans="1:6" x14ac:dyDescent="0.25">
      <c r="A793" s="1">
        <f t="array" aca="1" ref="A793:C793" ca="1">ODE_RK4(A792:C792,$B$5,$E$3,$F$3,$G$3)</f>
        <v>78.499999999999815</v>
      </c>
      <c r="B793" s="1">
        <f ca="1"/>
        <v>0.73405103525442161</v>
      </c>
      <c r="C793" s="1">
        <f ca="1"/>
        <v>51.455622751803027</v>
      </c>
      <c r="D793" s="1"/>
      <c r="E793">
        <f t="shared" ca="1" si="25"/>
        <v>4</v>
      </c>
      <c r="F793" s="1">
        <f t="shared" ca="1" si="24"/>
        <v>0.73405103525442161</v>
      </c>
    </row>
    <row r="794" spans="1:6" x14ac:dyDescent="0.25">
      <c r="A794" s="1">
        <f t="array" aca="1" ref="A794:C794" ca="1">ODE_RK4(A793:C793,$B$5,$E$3,$F$3,$G$3)</f>
        <v>78.59999999999981</v>
      </c>
      <c r="B794" s="1">
        <f ca="1"/>
        <v>5.8793760489199149</v>
      </c>
      <c r="C794" s="1">
        <f ca="1"/>
        <v>51.448427787858826</v>
      </c>
      <c r="D794" s="1"/>
      <c r="E794">
        <f t="shared" ca="1" si="25"/>
        <v>4</v>
      </c>
      <c r="F794" s="1">
        <f t="shared" ca="1" si="24"/>
        <v>5.8793760489199149</v>
      </c>
    </row>
    <row r="795" spans="1:6" x14ac:dyDescent="0.25">
      <c r="A795" s="1">
        <f t="array" aca="1" ref="A795:C795" ca="1">ODE_RK4(A794:C794,$B$5,$E$3,$F$3,$G$3)</f>
        <v>78.699999999999804</v>
      </c>
      <c r="B795" s="1">
        <f ca="1"/>
        <v>11.023445624019303</v>
      </c>
      <c r="C795" s="1">
        <f ca="1"/>
        <v>51.428370662825017</v>
      </c>
      <c r="D795" s="1"/>
      <c r="E795">
        <f t="shared" ca="1" si="25"/>
        <v>4</v>
      </c>
      <c r="F795" s="1">
        <f t="shared" ca="1" si="24"/>
        <v>11.023445624019303</v>
      </c>
    </row>
    <row r="796" spans="1:6" x14ac:dyDescent="0.25">
      <c r="A796" s="1">
        <f t="array" aca="1" ref="A796:C796" ca="1">ODE_RK4(A795:C795,$B$5,$E$3,$F$3,$G$3)</f>
        <v>78.799999999999798</v>
      </c>
      <c r="B796" s="1">
        <f ca="1"/>
        <v>16.164973715411094</v>
      </c>
      <c r="C796" s="1">
        <f ca="1"/>
        <v>51.395455854991638</v>
      </c>
      <c r="D796" s="1"/>
      <c r="E796">
        <f t="shared" ca="1" si="25"/>
        <v>4</v>
      </c>
      <c r="F796" s="1">
        <f t="shared" ca="1" si="24"/>
        <v>16.164973715411094</v>
      </c>
    </row>
    <row r="797" spans="1:6" x14ac:dyDescent="0.25">
      <c r="A797" s="1">
        <f t="array" aca="1" ref="A797:C797" ca="1">ODE_RK4(A796:C796,$B$5,$E$3,$F$3,$G$3)</f>
        <v>78.899999999999793</v>
      </c>
      <c r="B797" s="1">
        <f ca="1"/>
        <v>21.302674859730164</v>
      </c>
      <c r="C797" s="1">
        <f ca="1"/>
        <v>51.349691057194619</v>
      </c>
      <c r="D797" s="1"/>
      <c r="E797">
        <f t="shared" ca="1" si="25"/>
        <v>4</v>
      </c>
      <c r="F797" s="1">
        <f t="shared" ca="1" si="24"/>
        <v>21.302674859730164</v>
      </c>
    </row>
    <row r="798" spans="1:6" x14ac:dyDescent="0.25">
      <c r="A798" s="1">
        <f t="array" aca="1" ref="A798:C798" ca="1">ODE_RK4(A797:C797,$B$5,$E$3,$F$3,$G$3)</f>
        <v>78.999999999999787</v>
      </c>
      <c r="B798" s="1">
        <f ca="1"/>
        <v>26.435264496771708</v>
      </c>
      <c r="C798" s="1">
        <f ca="1"/>
        <v>51.291087175026554</v>
      </c>
      <c r="D798" s="1"/>
      <c r="E798">
        <f t="shared" ca="1" si="25"/>
        <v>4</v>
      </c>
      <c r="F798" s="1">
        <f t="shared" ca="1" si="24"/>
        <v>26.435264496771708</v>
      </c>
    </row>
    <row r="799" spans="1:6" x14ac:dyDescent="0.25">
      <c r="A799" s="1">
        <f t="array" aca="1" ref="A799:C799" ca="1">ODE_RK4(A798:C798,$B$5,$E$3,$F$3,$G$3)</f>
        <v>79.099999999999781</v>
      </c>
      <c r="B799" s="1">
        <f ca="1"/>
        <v>31.561459290662778</v>
      </c>
      <c r="C799" s="1">
        <f ca="1"/>
        <v>51.2196583242442</v>
      </c>
      <c r="D799" s="1"/>
      <c r="E799">
        <f t="shared" ca="1" si="25"/>
        <v>4</v>
      </c>
      <c r="F799" s="1">
        <f t="shared" ca="1" si="24"/>
        <v>31.561459290662778</v>
      </c>
    </row>
    <row r="800" spans="1:6" x14ac:dyDescent="0.25">
      <c r="A800" s="1">
        <f t="array" aca="1" ref="A800:C800" ca="1">ODE_RK4(A799:C799,$B$5,$E$3,$F$3,$G$3)</f>
        <v>79.199999999999775</v>
      </c>
      <c r="B800" s="1">
        <f ca="1"/>
        <v>36.679977450741141</v>
      </c>
      <c r="C800" s="1">
        <f ca="1"/>
        <v>51.135421827373371</v>
      </c>
      <c r="D800" s="1"/>
      <c r="E800">
        <f t="shared" ca="1" si="25"/>
        <v>4</v>
      </c>
      <c r="F800" s="1">
        <f t="shared" ca="1" si="24"/>
        <v>36.679977450741141</v>
      </c>
    </row>
    <row r="801" spans="1:6" x14ac:dyDescent="0.25">
      <c r="A801" s="1">
        <f t="array" aca="1" ref="A801:C801" ca="1">ODE_RK4(A800:C800,$B$5,$E$3,$F$3,$G$3)</f>
        <v>79.29999999999977</v>
      </c>
      <c r="B801" s="1">
        <f ca="1"/>
        <v>41.789539052061201</v>
      </c>
      <c r="C801" s="1">
        <f ca="1"/>
        <v>51.038398209511982</v>
      </c>
      <c r="D801" s="1"/>
      <c r="E801">
        <f t="shared" ca="1" si="25"/>
        <v>4</v>
      </c>
      <c r="F801" s="1">
        <f t="shared" ca="1" si="24"/>
        <v>41.789539052061201</v>
      </c>
    </row>
    <row r="802" spans="1:6" x14ac:dyDescent="0.25">
      <c r="A802" s="1">
        <f t="array" aca="1" ref="A802:C802" ca="1">ODE_RK4(A801:C801,$B$5,$E$3,$F$3,$G$3)</f>
        <v>79.399999999999764</v>
      </c>
      <c r="B802" s="1">
        <f ca="1"/>
        <v>46.888866355446865</v>
      </c>
      <c r="C802" s="1">
        <f ca="1"/>
        <v>50.928611193332323</v>
      </c>
      <c r="D802" s="1"/>
      <c r="E802">
        <f t="shared" ca="1" si="25"/>
        <v>4</v>
      </c>
      <c r="F802" s="1">
        <f t="shared" ca="1" si="24"/>
        <v>46.888866355446865</v>
      </c>
    </row>
    <row r="803" spans="1:6" x14ac:dyDescent="0.25">
      <c r="A803" s="1">
        <f t="array" aca="1" ref="A803:C803" ca="1">ODE_RK4(A802:C802,$B$5,$E$3,$F$3,$G$3)</f>
        <v>79.499999999999758</v>
      </c>
      <c r="B803" s="1">
        <f ca="1"/>
        <v>51.976684127011303</v>
      </c>
      <c r="C803" s="1">
        <f ca="1"/>
        <v>50.806087693283715</v>
      </c>
      <c r="D803" s="1"/>
      <c r="E803">
        <f t="shared" ca="1" si="25"/>
        <v>4</v>
      </c>
      <c r="F803" s="1">
        <f t="shared" ca="1" si="24"/>
        <v>51.976684127011303</v>
      </c>
    </row>
    <row r="804" spans="1:6" x14ac:dyDescent="0.25">
      <c r="A804" s="1">
        <f t="array" aca="1" ref="A804:C804" ca="1">ODE_RK4(A803:C803,$B$5,$E$3,$F$3,$G$3)</f>
        <v>79.599999999999753</v>
      </c>
      <c r="B804" s="1">
        <f ca="1"/>
        <v>57.05171995706371</v>
      </c>
      <c r="C804" s="1">
        <f ca="1"/>
        <v>50.670857808997013</v>
      </c>
      <c r="D804" s="1"/>
      <c r="E804">
        <f t="shared" ca="1" si="25"/>
        <v>4</v>
      </c>
      <c r="F804" s="1">
        <f t="shared" ca="1" si="24"/>
        <v>57.05171995706371</v>
      </c>
    </row>
    <row r="805" spans="1:6" x14ac:dyDescent="0.25">
      <c r="A805" s="1">
        <f t="array" aca="1" ref="A805:C805" ca="1">ODE_RK4(A804:C804,$B$5,$E$3,$F$3,$G$3)</f>
        <v>79.699999999999747</v>
      </c>
      <c r="B805" s="1">
        <f ca="1"/>
        <v>62.112704578323324</v>
      </c>
      <c r="C805" s="1">
        <f ca="1"/>
        <v>50.522954817892554</v>
      </c>
      <c r="D805" s="1"/>
      <c r="E805">
        <f t="shared" ca="1" si="25"/>
        <v>4</v>
      </c>
      <c r="F805" s="1">
        <f t="shared" ca="1" si="24"/>
        <v>62.112704578323324</v>
      </c>
    </row>
    <row r="806" spans="1:6" x14ac:dyDescent="0.25">
      <c r="A806" s="1">
        <f t="array" aca="1" ref="A806:C806" ca="1">ODE_RK4(A805:C805,$B$5,$E$3,$F$3,$G$3)</f>
        <v>79.799999999999741</v>
      </c>
      <c r="B806" s="1">
        <f ca="1"/>
        <v>67.158372183361109</v>
      </c>
      <c r="C806" s="1">
        <f ca="1"/>
        <v>50.362415166993358</v>
      </c>
      <c r="D806" s="1"/>
      <c r="E806">
        <f t="shared" ca="1" si="25"/>
        <v>4</v>
      </c>
      <c r="F806" s="1">
        <f t="shared" ca="1" si="24"/>
        <v>67.158372183361109</v>
      </c>
    </row>
    <row r="807" spans="1:6" x14ac:dyDescent="0.25">
      <c r="A807" s="1">
        <f t="array" aca="1" ref="A807:C807" ca="1">ODE_RK4(A806:C806,$B$5,$E$3,$F$3,$G$3)</f>
        <v>79.899999999999736</v>
      </c>
      <c r="B807" s="1">
        <f ca="1"/>
        <v>72.187460741189739</v>
      </c>
      <c r="C807" s="1">
        <f ca="1"/>
        <v>50.189278463945612</v>
      </c>
      <c r="D807" s="1"/>
      <c r="E807">
        <f t="shared" ca="1" si="25"/>
        <v>4</v>
      </c>
      <c r="F807" s="1">
        <f t="shared" ca="1" si="24"/>
        <v>72.187460741189739</v>
      </c>
    </row>
    <row r="808" spans="1:6" x14ac:dyDescent="0.25">
      <c r="A808" s="1">
        <f t="array" aca="1" ref="A808:C808" ca="1">ODE_RK4(A807:C807,$B$5,$E$3,$F$3,$G$3)</f>
        <v>79.99999999999973</v>
      </c>
      <c r="B808" s="1">
        <f ca="1"/>
        <v>77.198712312922652</v>
      </c>
      <c r="C808" s="1">
        <f ca="1"/>
        <v>50.003587467248636</v>
      </c>
      <c r="D808" s="1"/>
      <c r="E808">
        <f t="shared" ca="1" si="25"/>
        <v>4</v>
      </c>
      <c r="F808" s="1">
        <f t="shared" ca="1" si="24"/>
        <v>77.198712312922652</v>
      </c>
    </row>
    <row r="809" spans="1:6" x14ac:dyDescent="0.25">
      <c r="A809" s="1">
        <f t="array" aca="1" ref="A809:C809" ca="1">ODE_RK4(A808:C808,$B$5,$E$3,$F$3,$G$3)</f>
        <v>80.099999999999724</v>
      </c>
      <c r="B809" s="1">
        <f ca="1"/>
        <v>82.190873366423233</v>
      </c>
      <c r="C809" s="1">
        <f ca="1"/>
        <v>49.805388075696726</v>
      </c>
      <c r="D809" s="1"/>
      <c r="E809">
        <f t="shared" ca="1" si="25"/>
        <v>4</v>
      </c>
      <c r="F809" s="1">
        <f t="shared" ca="1" si="24"/>
        <v>82.190873366423233</v>
      </c>
    </row>
    <row r="810" spans="1:6" x14ac:dyDescent="0.25">
      <c r="A810" s="1">
        <f t="array" aca="1" ref="A810:C810" ca="1">ODE_RK4(A809:C809,$B$5,$E$3,$F$3,$G$3)</f>
        <v>80.199999999999719</v>
      </c>
      <c r="B810" s="1">
        <f ca="1"/>
        <v>87.162695089865537</v>
      </c>
      <c r="C810" s="1">
        <f ca="1"/>
        <v>49.594729317035529</v>
      </c>
      <c r="D810" s="1"/>
      <c r="E810">
        <f t="shared" ca="1" si="25"/>
        <v>4</v>
      </c>
      <c r="F810" s="1">
        <f t="shared" ca="1" si="24"/>
        <v>87.162695089865537</v>
      </c>
    </row>
    <row r="811" spans="1:6" x14ac:dyDescent="0.25">
      <c r="A811" s="1">
        <f t="array" aca="1" ref="A811:C811" ca="1">ODE_RK4(A810:C810,$B$5,$E$3,$F$3,$G$3)</f>
        <v>80.299999999999713</v>
      </c>
      <c r="B811" s="1">
        <f ca="1"/>
        <v>92.112933704127869</v>
      </c>
      <c r="C811" s="1">
        <f ca="1"/>
        <v>49.371663335835699</v>
      </c>
      <c r="D811" s="1"/>
      <c r="E811">
        <f t="shared" ca="1" si="25"/>
        <v>4</v>
      </c>
      <c r="F811" s="1">
        <f t="shared" ca="1" si="24"/>
        <v>92.112933704127869</v>
      </c>
    </row>
    <row r="812" spans="1:6" x14ac:dyDescent="0.25">
      <c r="A812" s="1">
        <f t="array" aca="1" ref="A812:C812" ca="1">ODE_RK4(A811:C811,$B$5,$E$3,$F$3,$G$3)</f>
        <v>80.399999999999707</v>
      </c>
      <c r="B812" s="1">
        <f ca="1"/>
        <v>97.040350773941384</v>
      </c>
      <c r="C812" s="1">
        <f ca="1"/>
        <v>49.136245380586864</v>
      </c>
      <c r="D812" s="1"/>
      <c r="E812">
        <f t="shared" ca="1" si="25"/>
        <v>4</v>
      </c>
      <c r="F812" s="1">
        <f t="shared" ca="1" si="24"/>
        <v>97.040350773941384</v>
      </c>
    </row>
    <row r="813" spans="1:6" x14ac:dyDescent="0.25">
      <c r="A813" s="1">
        <f t="array" aca="1" ref="A813:C813" ca="1">ODE_RK4(A812:C812,$B$5,$E$3,$F$3,$G$3)</f>
        <v>80.499999999999702</v>
      </c>
      <c r="B813" s="1">
        <f ca="1"/>
        <v>101.94371351771559</v>
      </c>
      <c r="C813" s="1">
        <f ca="1"/>
        <v>48.888533790015089</v>
      </c>
      <c r="D813" s="1"/>
      <c r="E813">
        <f t="shared" ca="1" si="25"/>
        <v>4</v>
      </c>
      <c r="F813" s="1">
        <f t="shared" ca="1" si="24"/>
        <v>101.94371351771559</v>
      </c>
    </row>
    <row r="814" spans="1:6" x14ac:dyDescent="0.25">
      <c r="A814" s="1">
        <f t="array" aca="1" ref="A814:C814" ca="1">ODE_RK4(A813:C813,$B$5,$E$3,$F$3,$G$3)</f>
        <v>80.599999999999696</v>
      </c>
      <c r="B814" s="1">
        <f ca="1"/>
        <v>106.82179511596345</v>
      </c>
      <c r="C814" s="1">
        <f ca="1"/>
        <v>48.62858997862724</v>
      </c>
      <c r="D814" s="1"/>
      <c r="E814">
        <f t="shared" ca="1" si="25"/>
        <v>4</v>
      </c>
      <c r="F814" s="1">
        <f t="shared" ca="1" si="24"/>
        <v>106.82179511596345</v>
      </c>
    </row>
    <row r="815" spans="1:6" x14ac:dyDescent="0.25">
      <c r="A815" s="1">
        <f t="array" aca="1" ref="A815:C815" ca="1">ODE_RK4(A814:C814,$B$5,$E$3,$F$3,$G$3)</f>
        <v>80.69999999999969</v>
      </c>
      <c r="B815" s="1">
        <f ca="1"/>
        <v>111.67337501824879</v>
      </c>
      <c r="C815" s="1">
        <f ca="1"/>
        <v>48.356478421485775</v>
      </c>
      <c r="D815" s="1"/>
      <c r="E815">
        <f t="shared" ca="1" si="25"/>
        <v>4</v>
      </c>
      <c r="F815" s="1">
        <f t="shared" ca="1" si="24"/>
        <v>111.67337501824879</v>
      </c>
    </row>
    <row r="816" spans="1:6" x14ac:dyDescent="0.25">
      <c r="A816" s="1">
        <f t="array" aca="1" ref="A816:C816" ca="1">ODE_RK4(A815:C815,$B$5,$E$3,$F$3,$G$3)</f>
        <v>80.799999999999685</v>
      </c>
      <c r="B816" s="1">
        <f ca="1"/>
        <v>116.49723924857928</v>
      </c>
      <c r="C816" s="1">
        <f ca="1"/>
        <v>48.072266638217833</v>
      </c>
      <c r="D816" s="1"/>
      <c r="E816">
        <f t="shared" ca="1" si="25"/>
        <v>4</v>
      </c>
      <c r="F816" s="1">
        <f t="shared" ca="1" si="24"/>
        <v>116.49723924857928</v>
      </c>
    </row>
    <row r="817" spans="1:6" x14ac:dyDescent="0.25">
      <c r="A817" s="1">
        <f t="array" aca="1" ref="A817:C817" ca="1">ODE_RK4(A816:C816,$B$5,$E$3,$F$3,$G$3)</f>
        <v>80.899999999999679</v>
      </c>
      <c r="B817" s="1">
        <f ca="1"/>
        <v>121.29218070916853</v>
      </c>
      <c r="C817" s="1">
        <f ca="1"/>
        <v>47.776025176262486</v>
      </c>
      <c r="D817" s="1"/>
      <c r="E817">
        <f t="shared" ca="1" si="25"/>
        <v>4</v>
      </c>
      <c r="F817" s="1">
        <f t="shared" ca="1" si="24"/>
        <v>121.29218070916853</v>
      </c>
    </row>
    <row r="818" spans="1:6" x14ac:dyDescent="0.25">
      <c r="A818" s="1">
        <f t="array" aca="1" ref="A818:C818" ca="1">ODE_RK4(A817:C817,$B$5,$E$3,$F$3,$G$3)</f>
        <v>80.999999999999673</v>
      </c>
      <c r="B818" s="1">
        <f ca="1"/>
        <v>126.05699948249142</v>
      </c>
      <c r="C818" s="1">
        <f ca="1"/>
        <v>47.467827593360354</v>
      </c>
      <c r="D818" s="1"/>
      <c r="E818">
        <f t="shared" ca="1" si="25"/>
        <v>4</v>
      </c>
      <c r="F818" s="1">
        <f t="shared" ca="1" si="24"/>
        <v>126.05699948249142</v>
      </c>
    </row>
    <row r="819" spans="1:6" x14ac:dyDescent="0.25">
      <c r="A819" s="1">
        <f t="array" aca="1" ref="A819:C819" ca="1">ODE_RK4(A818:C818,$B$5,$E$3,$F$3,$G$3)</f>
        <v>81.099999999999667</v>
      </c>
      <c r="B819" s="1">
        <f ca="1"/>
        <v>130.79050313155685</v>
      </c>
      <c r="C819" s="1">
        <f ca="1"/>
        <v>47.147750439289972</v>
      </c>
      <c r="D819" s="1"/>
      <c r="E819">
        <f t="shared" ca="1" si="25"/>
        <v>4</v>
      </c>
      <c r="F819" s="1">
        <f t="shared" ca="1" si="24"/>
        <v>130.79050313155685</v>
      </c>
    </row>
    <row r="820" spans="1:6" x14ac:dyDescent="0.25">
      <c r="A820" s="1">
        <f t="array" aca="1" ref="A820:C820" ca="1">ODE_RK4(A819:C819,$B$5,$E$3,$F$3,$G$3)</f>
        <v>81.199999999999662</v>
      </c>
      <c r="B820" s="1">
        <f ca="1"/>
        <v>135.49150699832299</v>
      </c>
      <c r="C820" s="1">
        <f ca="1"/>
        <v>46.815873236855346</v>
      </c>
      <c r="D820" s="1"/>
      <c r="E820">
        <f t="shared" ca="1" si="25"/>
        <v>4</v>
      </c>
      <c r="F820" s="1">
        <f t="shared" ca="1" si="24"/>
        <v>135.49150699832299</v>
      </c>
    </row>
    <row r="821" spans="1:6" x14ac:dyDescent="0.25">
      <c r="A821" s="1">
        <f t="array" aca="1" ref="A821:C821" ca="1">ODE_RK4(A820:C820,$B$5,$E$3,$F$3,$G$3)</f>
        <v>81.299999999999656</v>
      </c>
      <c r="B821" s="1">
        <f ca="1"/>
        <v>140.15883450018023</v>
      </c>
      <c r="C821" s="1">
        <f ca="1"/>
        <v>46.472278462129516</v>
      </c>
      <c r="D821" s="1"/>
      <c r="E821">
        <f t="shared" ca="1" si="25"/>
        <v>4</v>
      </c>
      <c r="F821" s="1">
        <f t="shared" ca="1" si="24"/>
        <v>140.15883450018023</v>
      </c>
    </row>
    <row r="822" spans="1:6" x14ac:dyDescent="0.25">
      <c r="A822" s="1">
        <f t="array" aca="1" ref="A822:C822" ca="1">ODE_RK4(A821:C821,$B$5,$E$3,$F$3,$G$3)</f>
        <v>81.39999999999965</v>
      </c>
      <c r="B822" s="1">
        <f ca="1"/>
        <v>144.79131742442772</v>
      </c>
      <c r="C822" s="1">
        <f ca="1"/>
        <v>46.117051523958985</v>
      </c>
      <c r="D822" s="1"/>
      <c r="E822">
        <f t="shared" ca="1" si="25"/>
        <v>4</v>
      </c>
      <c r="F822" s="1">
        <f t="shared" ca="1" si="24"/>
        <v>144.79131742442772</v>
      </c>
    </row>
    <row r="823" spans="1:6" x14ac:dyDescent="0.25">
      <c r="A823" s="1">
        <f t="array" aca="1" ref="A823:C823" ca="1">ODE_RK4(A822:C822,$B$5,$E$3,$F$3,$G$3)</f>
        <v>81.499999999999645</v>
      </c>
      <c r="B823" s="1">
        <f ca="1"/>
        <v>149.3877962206696</v>
      </c>
      <c r="C823" s="1">
        <f ca="1"/>
        <v>45.750280742734091</v>
      </c>
      <c r="D823" s="1"/>
      <c r="E823">
        <f t="shared" ca="1" si="25"/>
        <v>4</v>
      </c>
      <c r="F823" s="1">
        <f t="shared" ca="1" si="24"/>
        <v>149.3877962206696</v>
      </c>
    </row>
    <row r="824" spans="1:6" x14ac:dyDescent="0.25">
      <c r="A824" s="1">
        <f t="array" aca="1" ref="A824:C824" ca="1">ODE_RK4(A823:C823,$B$5,$E$3,$F$3,$G$3)</f>
        <v>81.599999999999639</v>
      </c>
      <c r="B824" s="1">
        <f ca="1"/>
        <v>153.94712029105807</v>
      </c>
      <c r="C824" s="1">
        <f ca="1"/>
        <v>45.372057328430643</v>
      </c>
      <c r="D824" s="1"/>
      <c r="E824">
        <f t="shared" ca="1" si="25"/>
        <v>4</v>
      </c>
      <c r="F824" s="1">
        <f t="shared" ca="1" si="24"/>
        <v>153.94712029105807</v>
      </c>
    </row>
    <row r="825" spans="1:6" x14ac:dyDescent="0.25">
      <c r="A825" s="1">
        <f t="array" aca="1" ref="A825:C825" ca="1">ODE_RK4(A824:C824,$B$5,$E$3,$F$3,$G$3)</f>
        <v>81.699999999999633</v>
      </c>
      <c r="B825" s="1">
        <f ca="1"/>
        <v>158.46814827831031</v>
      </c>
      <c r="C825" s="1">
        <f ca="1"/>
        <v>44.982475357928259</v>
      </c>
      <c r="D825" s="1"/>
      <c r="E825">
        <f t="shared" ca="1" si="25"/>
        <v>4</v>
      </c>
      <c r="F825" s="1">
        <f t="shared" ca="1" si="24"/>
        <v>158.46814827831031</v>
      </c>
    </row>
    <row r="826" spans="1:6" x14ac:dyDescent="0.25">
      <c r="A826" s="1">
        <f t="array" aca="1" ref="A826:C826" ca="1">ODE_RK4(A825:C825,$B$5,$E$3,$F$3,$G$3)</f>
        <v>81.799999999999628</v>
      </c>
      <c r="B826" s="1">
        <f ca="1"/>
        <v>162.94974835142739</v>
      </c>
      <c r="C826" s="1">
        <f ca="1"/>
        <v>44.581631751611049</v>
      </c>
      <c r="D826" s="1"/>
      <c r="E826">
        <f t="shared" ca="1" si="25"/>
        <v>4</v>
      </c>
      <c r="F826" s="1">
        <f t="shared" ca="1" si="24"/>
        <v>162.94974835142739</v>
      </c>
    </row>
    <row r="827" spans="1:6" x14ac:dyDescent="0.25">
      <c r="A827" s="1">
        <f t="array" aca="1" ref="A827:C827" ca="1">ODE_RK4(A826:C826,$B$5,$E$3,$F$3,$G$3)</f>
        <v>81.899999999999622</v>
      </c>
      <c r="B827" s="1">
        <f ca="1"/>
        <v>167.39079848904348</v>
      </c>
      <c r="C827" s="1">
        <f ca="1"/>
        <v>44.169626249256446</v>
      </c>
      <c r="D827" s="1"/>
      <c r="E827">
        <f t="shared" ca="1" si="25"/>
        <v>4</v>
      </c>
      <c r="F827" s="1">
        <f t="shared" ca="1" si="24"/>
        <v>167.39079848904348</v>
      </c>
    </row>
    <row r="828" spans="1:6" x14ac:dyDescent="0.25">
      <c r="A828" s="1">
        <f t="array" aca="1" ref="A828:C828" ca="1">ODE_RK4(A827:C827,$B$5,$E$3,$F$3,$G$3)</f>
        <v>81.999999999999616</v>
      </c>
      <c r="B828" s="1">
        <f ca="1"/>
        <v>171.79018676033459</v>
      </c>
      <c r="C828" s="1">
        <f ca="1"/>
        <v>43.746561385218207</v>
      </c>
      <c r="D828" s="1"/>
      <c r="E828">
        <f t="shared" ca="1" si="25"/>
        <v>4</v>
      </c>
      <c r="F828" s="1">
        <f t="shared" ca="1" si="24"/>
        <v>171.79018676033459</v>
      </c>
    </row>
    <row r="829" spans="1:6" x14ac:dyDescent="0.25">
      <c r="A829" s="1">
        <f t="array" aca="1" ref="A829:C829" ca="1">ODE_RK4(A828:C828,$B$5,$E$3,$F$3,$G$3)</f>
        <v>82.099999999999611</v>
      </c>
      <c r="B829" s="1">
        <f ca="1"/>
        <v>176.14681160341635</v>
      </c>
      <c r="C829" s="1">
        <f ca="1"/>
        <v>43.312542462909754</v>
      </c>
      <c r="D829" s="1"/>
      <c r="E829">
        <f t="shared" ca="1" si="25"/>
        <v>4</v>
      </c>
      <c r="F829" s="1">
        <f t="shared" ca="1" si="24"/>
        <v>176.14681160341635</v>
      </c>
    </row>
    <row r="830" spans="1:6" x14ac:dyDescent="0.25">
      <c r="A830" s="1">
        <f t="array" aca="1" ref="A830:C830" ca="1">ODE_RK4(A829:C829,$B$5,$E$3,$F$3,$G$3)</f>
        <v>82.199999999999605</v>
      </c>
      <c r="B830" s="1">
        <f ca="1"/>
        <v>180.45958210116126</v>
      </c>
      <c r="C830" s="1">
        <f ca="1"/>
        <v>42.867677528594186</v>
      </c>
      <c r="D830" s="1"/>
      <c r="E830">
        <f t="shared" ca="1" si="25"/>
        <v>4</v>
      </c>
      <c r="F830" s="1">
        <f t="shared" ca="1" si="24"/>
        <v>180.45958210116126</v>
      </c>
    </row>
    <row r="831" spans="1:6" x14ac:dyDescent="0.25">
      <c r="A831" s="1">
        <f t="array" aca="1" ref="A831:C831" ca="1">ODE_RK4(A830:C830,$B$5,$E$3,$F$3,$G$3)</f>
        <v>82.299999999999599</v>
      </c>
      <c r="B831" s="1">
        <f ca="1"/>
        <v>184.72741825436628</v>
      </c>
      <c r="C831" s="1">
        <f ca="1"/>
        <v>42.412077344487528</v>
      </c>
      <c r="D831" s="1"/>
      <c r="E831">
        <f t="shared" ca="1" si="25"/>
        <v>4</v>
      </c>
      <c r="F831" s="1">
        <f t="shared" ca="1" si="24"/>
        <v>184.72741825436628</v>
      </c>
    </row>
    <row r="832" spans="1:6" x14ac:dyDescent="0.25">
      <c r="A832" s="1">
        <f t="array" aca="1" ref="A832:C832" ca="1">ODE_RK4(A831:C831,$B$5,$E$3,$F$3,$G$3)</f>
        <v>82.399999999999594</v>
      </c>
      <c r="B832" s="1">
        <f ca="1"/>
        <v>188.94925125220234</v>
      </c>
      <c r="C832" s="1">
        <f ca="1"/>
        <v>41.945855361181842</v>
      </c>
      <c r="D832" s="1"/>
      <c r="E832">
        <f t="shared" ca="1" si="25"/>
        <v>4</v>
      </c>
      <c r="F832" s="1">
        <f t="shared" ca="1" si="24"/>
        <v>188.94925125220234</v>
      </c>
    </row>
    <row r="833" spans="1:6" x14ac:dyDescent="0.25">
      <c r="A833" s="1">
        <f t="array" aca="1" ref="A833:C833" ca="1">ODE_RK4(A832:C832,$B$5,$E$3,$F$3,$G$3)</f>
        <v>82.499999999999588</v>
      </c>
      <c r="B833" s="1">
        <f ca="1"/>
        <v>193.12402373987808</v>
      </c>
      <c r="C833" s="1">
        <f ca="1"/>
        <v>41.46912768939513</v>
      </c>
      <c r="D833" s="1"/>
      <c r="E833">
        <f t="shared" ca="1" si="25"/>
        <v>4</v>
      </c>
      <c r="F833" s="1">
        <f t="shared" ca="1" si="24"/>
        <v>193.12402373987808</v>
      </c>
    </row>
    <row r="834" spans="1:6" x14ac:dyDescent="0.25">
      <c r="A834" s="1">
        <f t="array" aca="1" ref="A834:C834" ca="1">ODE_RK4(A833:C833,$B$5,$E$3,$F$3,$G$3)</f>
        <v>82.599999999999582</v>
      </c>
      <c r="B834" s="1">
        <f ca="1"/>
        <v>197.25069008345091</v>
      </c>
      <c r="C834" s="1">
        <f ca="1"/>
        <v>40.982013071055071</v>
      </c>
      <c r="D834" s="1"/>
      <c r="E834">
        <f t="shared" ca="1" si="25"/>
        <v>4</v>
      </c>
      <c r="F834" s="1">
        <f t="shared" ca="1" si="24"/>
        <v>197.25069008345091</v>
      </c>
    </row>
    <row r="835" spans="1:6" x14ac:dyDescent="0.25">
      <c r="A835" s="1">
        <f t="array" aca="1" ref="A835:C835" ca="1">ODE_RK4(A834:C834,$B$5,$E$3,$F$3,$G$3)</f>
        <v>82.699999999999577</v>
      </c>
      <c r="B835" s="1">
        <f ca="1"/>
        <v>201.3282166317187</v>
      </c>
      <c r="C835" s="1">
        <f ca="1"/>
        <v>40.484632849723702</v>
      </c>
      <c r="D835" s="1"/>
      <c r="E835">
        <f t="shared" ca="1" si="25"/>
        <v>4</v>
      </c>
      <c r="F835" s="1">
        <f t="shared" ca="1" si="24"/>
        <v>201.3282166317187</v>
      </c>
    </row>
    <row r="836" spans="1:6" x14ac:dyDescent="0.25">
      <c r="A836" s="1">
        <f t="array" aca="1" ref="A836:C836" ca="1">ODE_RK4(A835:C835,$B$5,$E$3,$F$3,$G$3)</f>
        <v>82.799999999999571</v>
      </c>
      <c r="B836" s="1">
        <f ca="1"/>
        <v>205.35558197512705</v>
      </c>
      <c r="C836" s="1">
        <f ca="1"/>
        <v>39.977110940370515</v>
      </c>
      <c r="D836" s="1"/>
      <c r="E836">
        <f t="shared" ca="1" si="25"/>
        <v>4</v>
      </c>
      <c r="F836" s="1">
        <f t="shared" ca="1" si="24"/>
        <v>205.35558197512705</v>
      </c>
    </row>
    <row r="837" spans="1:6" x14ac:dyDescent="0.25">
      <c r="A837" s="1">
        <f t="array" aca="1" ref="A837:C837" ca="1">ODE_RK4(A836:C836,$B$5,$E$3,$F$3,$G$3)</f>
        <v>82.899999999999565</v>
      </c>
      <c r="B837" s="1">
        <f ca="1"/>
        <v>209.33177720162675</v>
      </c>
      <c r="C837" s="1">
        <f ca="1"/>
        <v>39.459573798501445</v>
      </c>
      <c r="D837" s="1"/>
      <c r="E837">
        <f t="shared" ca="1" si="25"/>
        <v>4</v>
      </c>
      <c r="F837" s="1">
        <f t="shared" ca="1" si="24"/>
        <v>209.33177720162675</v>
      </c>
    </row>
    <row r="838" spans="1:6" x14ac:dyDescent="0.25">
      <c r="A838" s="1">
        <f t="array" aca="1" ref="A838:C838" ca="1">ODE_RK4(A837:C837,$B$5,$E$3,$F$3,$G$3)</f>
        <v>82.999999999999559</v>
      </c>
      <c r="B838" s="1">
        <f ca="1"/>
        <v>213.25580614941768</v>
      </c>
      <c r="C838" s="1">
        <f ca="1"/>
        <v>38.932150388651451</v>
      </c>
      <c r="D838" s="1"/>
      <c r="E838">
        <f t="shared" ca="1" si="25"/>
        <v>4</v>
      </c>
      <c r="F838" s="1">
        <f t="shared" ca="1" si="24"/>
        <v>213.25580614941768</v>
      </c>
    </row>
    <row r="839" spans="1:6" x14ac:dyDescent="0.25">
      <c r="A839" s="1">
        <f t="array" aca="1" ref="A839:C839" ca="1">ODE_RK4(A838:C838,$B$5,$E$3,$F$3,$G$3)</f>
        <v>83.099999999999554</v>
      </c>
      <c r="B839" s="1">
        <f ca="1"/>
        <v>217.1266856565158</v>
      </c>
      <c r="C839" s="1">
        <f ca="1"/>
        <v>38.394972152248513</v>
      </c>
      <c r="D839" s="1"/>
      <c r="E839">
        <f t="shared" ca="1" si="25"/>
        <v>4</v>
      </c>
      <c r="F839" s="1">
        <f t="shared" ca="1" si="24"/>
        <v>217.1266856565158</v>
      </c>
    </row>
    <row r="840" spans="1:6" x14ac:dyDescent="0.25">
      <c r="A840" s="1">
        <f t="array" aca="1" ref="A840:C840" ca="1">ODE_RK4(A839:C839,$B$5,$E$3,$F$3,$G$3)</f>
        <v>83.199999999999548</v>
      </c>
      <c r="B840" s="1">
        <f ca="1"/>
        <v>220.94344580708051</v>
      </c>
      <c r="C840" s="1">
        <f ca="1"/>
        <v>37.848172974857135</v>
      </c>
      <c r="D840" s="1"/>
      <c r="E840">
        <f t="shared" ca="1" si="25"/>
        <v>4</v>
      </c>
      <c r="F840" s="1">
        <f t="shared" ref="F840:F903" ca="1" si="26">B840</f>
        <v>220.94344580708051</v>
      </c>
    </row>
    <row r="841" spans="1:6" x14ac:dyDescent="0.25">
      <c r="A841" s="1">
        <f t="array" aca="1" ref="A841:C841" ca="1">ODE_RK4(A840:C840,$B$5,$E$3,$F$3,$G$3)</f>
        <v>83.299999999999542</v>
      </c>
      <c r="B841" s="1">
        <f ca="1"/>
        <v>224.70513017444088</v>
      </c>
      <c r="C841" s="1">
        <f ca="1"/>
        <v>37.291889152809397</v>
      </c>
      <c r="D841" s="1"/>
      <c r="E841">
        <f t="shared" ref="E841:E904" ca="1" si="27">(C841*C842&lt;0)*1+E840</f>
        <v>4</v>
      </c>
      <c r="F841" s="1">
        <f t="shared" ca="1" si="26"/>
        <v>224.70513017444088</v>
      </c>
    </row>
    <row r="842" spans="1:6" x14ac:dyDescent="0.25">
      <c r="A842" s="1">
        <f t="array" aca="1" ref="A842:C842" ca="1">ODE_RK4(A841:C841,$B$5,$E$3,$F$3,$G$3)</f>
        <v>83.399999999999537</v>
      </c>
      <c r="B842" s="1">
        <f ca="1"/>
        <v>228.41079606075985</v>
      </c>
      <c r="C842" s="1">
        <f ca="1"/>
        <v>36.726259359231989</v>
      </c>
      <c r="D842" s="1"/>
      <c r="E842">
        <f t="shared" ca="1" si="27"/>
        <v>4</v>
      </c>
      <c r="F842" s="1">
        <f t="shared" ca="1" si="26"/>
        <v>228.41079606075985</v>
      </c>
    </row>
    <row r="843" spans="1:6" x14ac:dyDescent="0.25">
      <c r="A843" s="1">
        <f t="array" aca="1" ref="A843:C843" ca="1">ODE_RK4(A842:C842,$B$5,$E$3,$F$3,$G$3)</f>
        <v>83.499999999999531</v>
      </c>
      <c r="B843" s="1">
        <f ca="1"/>
        <v>232.0595147332761</v>
      </c>
      <c r="C843" s="1">
        <f ca="1"/>
        <v>36.151424609477594</v>
      </c>
      <c r="D843" s="1"/>
      <c r="E843">
        <f t="shared" ca="1" si="27"/>
        <v>4</v>
      </c>
      <c r="F843" s="1">
        <f t="shared" ca="1" si="26"/>
        <v>232.0595147332761</v>
      </c>
    </row>
    <row r="844" spans="1:6" x14ac:dyDescent="0.25">
      <c r="A844" s="1">
        <f t="array" aca="1" ref="A844:C844" ca="1">ODE_RK4(A843:C843,$B$5,$E$3,$F$3,$G$3)</f>
        <v>83.599999999999525</v>
      </c>
      <c r="B844" s="1">
        <f ca="1"/>
        <v>235.65037165706474</v>
      </c>
      <c r="C844" s="1">
        <f ca="1"/>
        <v>35.56752822596934</v>
      </c>
      <c r="D844" s="1"/>
      <c r="E844">
        <f t="shared" ca="1" si="27"/>
        <v>4</v>
      </c>
      <c r="F844" s="1">
        <f t="shared" ca="1" si="26"/>
        <v>235.65037165706474</v>
      </c>
    </row>
    <row r="845" spans="1:6" x14ac:dyDescent="0.25">
      <c r="A845" s="1">
        <f t="array" aca="1" ref="A845:C845" ca="1">ODE_RK4(A844:C844,$B$5,$E$3,$F$3,$G$3)</f>
        <v>83.69999999999952</v>
      </c>
      <c r="B845" s="1">
        <f ca="1"/>
        <v>239.18246672425812</v>
      </c>
      <c r="C845" s="1">
        <f ca="1"/>
        <v>34.974715802466982</v>
      </c>
      <c r="D845" s="1"/>
      <c r="E845">
        <f t="shared" ca="1" si="27"/>
        <v>4</v>
      </c>
      <c r="F845" s="1">
        <f t="shared" ca="1" si="26"/>
        <v>239.18246672425812</v>
      </c>
    </row>
    <row r="846" spans="1:6" x14ac:dyDescent="0.25">
      <c r="A846" s="1">
        <f t="array" aca="1" ref="A846:C846" ca="1">ODE_RK4(A845:C845,$B$5,$E$3,$F$3,$G$3)</f>
        <v>83.799999999999514</v>
      </c>
      <c r="B846" s="1">
        <f ca="1"/>
        <v>242.65491447966966</v>
      </c>
      <c r="C846" s="1">
        <f ca="1"/>
        <v>34.373135167763785</v>
      </c>
      <c r="D846" s="1"/>
      <c r="E846">
        <f t="shared" ca="1" si="27"/>
        <v>4</v>
      </c>
      <c r="F846" s="1">
        <f t="shared" ca="1" si="26"/>
        <v>242.65491447966966</v>
      </c>
    </row>
    <row r="847" spans="1:6" x14ac:dyDescent="0.25">
      <c r="A847" s="1">
        <f t="array" aca="1" ref="A847:C847" ca="1">ODE_RK4(A846:C846,$B$5,$E$3,$F$3,$G$3)</f>
        <v>83.899999999999508</v>
      </c>
      <c r="B847" s="1">
        <f ca="1"/>
        <v>246.06684434276391</v>
      </c>
      <c r="C847" s="1">
        <f ca="1"/>
        <v>33.762936348823182</v>
      </c>
      <c r="D847" s="1"/>
      <c r="E847">
        <f t="shared" ca="1" si="27"/>
        <v>4</v>
      </c>
      <c r="F847" s="1">
        <f t="shared" ca="1" si="26"/>
        <v>246.06684434276391</v>
      </c>
    </row>
    <row r="848" spans="1:6" x14ac:dyDescent="0.25">
      <c r="A848" s="1">
        <f t="array" aca="1" ref="A848:C848" ca="1">ODE_RK4(A847:C847,$B$5,$E$3,$F$3,$G$3)</f>
        <v>83.999999999999503</v>
      </c>
      <c r="B848" s="1">
        <f ca="1"/>
        <v>249.4174008259173</v>
      </c>
      <c r="C848" s="1">
        <f ca="1"/>
        <v>33.144271533364304</v>
      </c>
      <c r="D848" s="1"/>
      <c r="E848">
        <f t="shared" ca="1" si="27"/>
        <v>4</v>
      </c>
      <c r="F848" s="1">
        <f t="shared" ca="1" si="26"/>
        <v>249.4174008259173</v>
      </c>
    </row>
    <row r="849" spans="1:6" x14ac:dyDescent="0.25">
      <c r="A849" s="1">
        <f t="array" aca="1" ref="A849:C849" ca="1">ODE_RK4(A848:C848,$B$5,$E$3,$F$3,$G$3)</f>
        <v>84.099999999999497</v>
      </c>
      <c r="B849" s="1">
        <f ca="1"/>
        <v>252.70574374891473</v>
      </c>
      <c r="C849" s="1">
        <f ca="1"/>
        <v>32.517295031905824</v>
      </c>
      <c r="D849" s="1"/>
      <c r="E849">
        <f t="shared" ca="1" si="27"/>
        <v>4</v>
      </c>
      <c r="F849" s="1">
        <f t="shared" ca="1" si="26"/>
        <v>252.70574374891473</v>
      </c>
    </row>
    <row r="850" spans="1:6" x14ac:dyDescent="0.25">
      <c r="A850" s="1">
        <f t="array" aca="1" ref="A850:C850" ca="1">ODE_RK4(A849:C849,$B$5,$E$3,$F$3,$G$3)</f>
        <v>84.199999999999491</v>
      </c>
      <c r="B850" s="1">
        <f ca="1"/>
        <v>255.93104844962843</v>
      </c>
      <c r="C850" s="1">
        <f ca="1"/>
        <v>31.882163239277507</v>
      </c>
      <c r="D850" s="1"/>
      <c r="E850">
        <f t="shared" ca="1" si="27"/>
        <v>4</v>
      </c>
      <c r="F850" s="1">
        <f t="shared" ca="1" si="26"/>
        <v>255.93104844962843</v>
      </c>
    </row>
    <row r="851" spans="1:6" x14ac:dyDescent="0.25">
      <c r="A851" s="1">
        <f t="array" aca="1" ref="A851:C851" ca="1">ODE_RK4(A850:C850,$B$5,$E$3,$F$3,$G$3)</f>
        <v>84.299999999999486</v>
      </c>
      <c r="B851" s="1">
        <f ca="1"/>
        <v>259.09250599082611</v>
      </c>
      <c r="C851" s="1">
        <f ca="1"/>
        <v>31.23903459560907</v>
      </c>
      <c r="D851" s="1"/>
      <c r="E851">
        <f t="shared" ca="1" si="27"/>
        <v>4</v>
      </c>
      <c r="F851" s="1">
        <f t="shared" ca="1" si="26"/>
        <v>259.09250599082611</v>
      </c>
    </row>
    <row r="852" spans="1:6" x14ac:dyDescent="0.25">
      <c r="A852" s="1">
        <f t="array" aca="1" ref="A852:C852" ca="1">ODE_RK4(A851:C851,$B$5,$E$3,$F$3,$G$3)</f>
        <v>84.39999999999948</v>
      </c>
      <c r="B852" s="1">
        <f ca="1"/>
        <v>262.18932336305659</v>
      </c>
      <c r="C852" s="1">
        <f ca="1"/>
        <v>30.588069546806153</v>
      </c>
      <c r="D852" s="1"/>
      <c r="E852">
        <f t="shared" ca="1" si="27"/>
        <v>4</v>
      </c>
      <c r="F852" s="1">
        <f t="shared" ca="1" si="26"/>
        <v>262.18932336305659</v>
      </c>
    </row>
    <row r="853" spans="1:6" x14ac:dyDescent="0.25">
      <c r="A853" s="1">
        <f t="array" aca="1" ref="A853:C853" ca="1">ODE_RK4(A852:C852,$B$5,$E$3,$F$3,$G$3)</f>
        <v>84.499999999999474</v>
      </c>
      <c r="B853" s="1">
        <f ca="1"/>
        <v>265.22072368356191</v>
      </c>
      <c r="C853" s="1">
        <f ca="1"/>
        <v>29.929430504523157</v>
      </c>
      <c r="D853" s="1"/>
      <c r="E853">
        <f t="shared" ca="1" si="27"/>
        <v>4</v>
      </c>
      <c r="F853" s="1">
        <f t="shared" ca="1" si="26"/>
        <v>265.22072368356191</v>
      </c>
    </row>
    <row r="854" spans="1:6" x14ac:dyDescent="0.25">
      <c r="A854" s="1">
        <f t="array" aca="1" ref="A854:C854" ca="1">ODE_RK4(A853:C853,$B$5,$E$3,$F$3,$G$3)</f>
        <v>84.599999999999469</v>
      </c>
      <c r="B854" s="1">
        <f ca="1"/>
        <v>268.18594639116634</v>
      </c>
      <c r="C854" s="1">
        <f ca="1"/>
        <v>29.263281805643015</v>
      </c>
      <c r="D854" s="1"/>
      <c r="E854">
        <f t="shared" ca="1" si="27"/>
        <v>4</v>
      </c>
      <c r="F854" s="1">
        <f t="shared" ca="1" si="26"/>
        <v>268.18594639116634</v>
      </c>
    </row>
    <row r="855" spans="1:6" x14ac:dyDescent="0.25">
      <c r="A855" s="1">
        <f t="array" aca="1" ref="A855:C855" ca="1">ODE_RK4(A854:C854,$B$5,$E$3,$F$3,$G$3)</f>
        <v>84.699999999999463</v>
      </c>
      <c r="B855" s="1">
        <f ca="1"/>
        <v>271.08424743709304</v>
      </c>
      <c r="C855" s="1">
        <f ca="1"/>
        <v>28.589789671273969</v>
      </c>
      <c r="D855" s="1"/>
      <c r="E855">
        <f t="shared" ca="1" si="27"/>
        <v>4</v>
      </c>
      <c r="F855" s="1">
        <f t="shared" ca="1" si="26"/>
        <v>271.08424743709304</v>
      </c>
    </row>
    <row r="856" spans="1:6" x14ac:dyDescent="0.25">
      <c r="A856" s="1">
        <f t="array" aca="1" ref="A856:C856" ca="1">ODE_RK4(A855:C855,$B$5,$E$3,$F$3,$G$3)</f>
        <v>84.799999999999457</v>
      </c>
      <c r="B856" s="1">
        <f ca="1"/>
        <v>273.91489947166065</v>
      </c>
      <c r="C856" s="1">
        <f ca="1"/>
        <v>27.909122165273597</v>
      </c>
      <c r="D856" s="1"/>
      <c r="E856">
        <f t="shared" ca="1" si="27"/>
        <v>4</v>
      </c>
      <c r="F856" s="1">
        <f t="shared" ca="1" si="26"/>
        <v>273.91489947166065</v>
      </c>
    </row>
    <row r="857" spans="1:6" x14ac:dyDescent="0.25">
      <c r="A857" s="1">
        <f t="array" aca="1" ref="A857:C857" ca="1">ODE_RK4(A856:C856,$B$5,$E$3,$F$3,$G$3)</f>
        <v>84.899999999999451</v>
      </c>
      <c r="B857" s="1">
        <f ca="1"/>
        <v>276.67719202681297</v>
      </c>
      <c r="C857" s="1">
        <f ca="1"/>
        <v>27.22144915231042</v>
      </c>
      <c r="D857" s="1"/>
      <c r="E857">
        <f t="shared" ca="1" si="27"/>
        <v>4</v>
      </c>
      <c r="F857" s="1">
        <f t="shared" ca="1" si="26"/>
        <v>276.67719202681297</v>
      </c>
    </row>
    <row r="858" spans="1:6" x14ac:dyDescent="0.25">
      <c r="A858" s="1">
        <f t="array" aca="1" ref="A858:C858" ca="1">ODE_RK4(A857:C857,$B$5,$E$3,$F$3,$G$3)</f>
        <v>84.999999999999446</v>
      </c>
      <c r="B858" s="1">
        <f ca="1"/>
        <v>279.37043169443604</v>
      </c>
      <c r="C858" s="1">
        <f ca="1"/>
        <v>26.526942255473578</v>
      </c>
      <c r="D858" s="1"/>
      <c r="E858">
        <f t="shared" ca="1" si="27"/>
        <v>4</v>
      </c>
      <c r="F858" s="1">
        <f t="shared" ca="1" si="26"/>
        <v>279.37043169443604</v>
      </c>
    </row>
    <row r="859" spans="1:6" x14ac:dyDescent="0.25">
      <c r="A859" s="1">
        <f t="array" aca="1" ref="A859:C859" ca="1">ODE_RK4(A858:C858,$B$5,$E$3,$F$3,$G$3)</f>
        <v>85.09999999999944</v>
      </c>
      <c r="B859" s="1">
        <f ca="1"/>
        <v>281.99394230041759</v>
      </c>
      <c r="C859" s="1">
        <f ca="1"/>
        <v>25.825774813441143</v>
      </c>
      <c r="D859" s="1"/>
      <c r="E859">
        <f t="shared" ca="1" si="27"/>
        <v>4</v>
      </c>
      <c r="F859" s="1">
        <f t="shared" ca="1" si="26"/>
        <v>281.99394230041759</v>
      </c>
    </row>
    <row r="860" spans="1:6" x14ac:dyDescent="0.25">
      <c r="A860" s="1">
        <f t="array" aca="1" ref="A860:C860" ca="1">ODE_RK4(A859:C859,$B$5,$E$3,$F$3,$G$3)</f>
        <v>85.199999999999434</v>
      </c>
      <c r="B860" s="1">
        <f ca="1"/>
        <v>284.5470650744054</v>
      </c>
      <c r="C860" s="1">
        <f ca="1"/>
        <v>25.118121837217753</v>
      </c>
      <c r="D860" s="1"/>
      <c r="E860">
        <f t="shared" ca="1" si="27"/>
        <v>4</v>
      </c>
      <c r="F860" s="1">
        <f t="shared" ca="1" si="26"/>
        <v>284.5470650744054</v>
      </c>
    </row>
    <row r="861" spans="1:6" x14ac:dyDescent="0.25">
      <c r="A861" s="1">
        <f t="array" aca="1" ref="A861:C861" ca="1">ODE_RK4(A860:C860,$B$5,$E$3,$F$3,$G$3)</f>
        <v>85.299999999999429</v>
      </c>
      <c r="B861" s="1">
        <f ca="1"/>
        <v>287.02915881522182</v>
      </c>
      <c r="C861" s="1">
        <f ca="1"/>
        <v>24.404159966452376</v>
      </c>
      <c r="D861" s="1"/>
      <c r="E861">
        <f t="shared" ca="1" si="27"/>
        <v>4</v>
      </c>
      <c r="F861" s="1">
        <f t="shared" ca="1" si="26"/>
        <v>287.02915881522182</v>
      </c>
    </row>
    <row r="862" spans="1:6" x14ac:dyDescent="0.25">
      <c r="A862" s="1">
        <f t="array" aca="1" ref="A862:C862" ca="1">ODE_RK4(A861:C861,$B$5,$E$3,$F$3,$G$3)</f>
        <v>85.399999999999423</v>
      </c>
      <c r="B862" s="1">
        <f ca="1"/>
        <v>289.43960005189314</v>
      </c>
      <c r="C862" s="1">
        <f ca="1"/>
        <v>23.684067425347099</v>
      </c>
      <c r="D862" s="1"/>
      <c r="E862">
        <f t="shared" ca="1" si="27"/>
        <v>4</v>
      </c>
      <c r="F862" s="1">
        <f t="shared" ca="1" si="26"/>
        <v>289.43960005189314</v>
      </c>
    </row>
    <row r="863" spans="1:6" x14ac:dyDescent="0.25">
      <c r="A863" s="1">
        <f t="array" aca="1" ref="A863:C863" ca="1">ODE_RK4(A862:C862,$B$5,$E$3,$F$3,$G$3)</f>
        <v>85.499999999999417</v>
      </c>
      <c r="B863" s="1">
        <f ca="1"/>
        <v>291.77778320025288</v>
      </c>
      <c r="C863" s="1">
        <f ca="1"/>
        <v>22.958023978167944</v>
      </c>
      <c r="D863" s="1"/>
      <c r="E863">
        <f t="shared" ca="1" si="27"/>
        <v>4</v>
      </c>
      <c r="F863" s="1">
        <f t="shared" ca="1" si="26"/>
        <v>291.77778320025288</v>
      </c>
    </row>
    <row r="864" spans="1:6" x14ac:dyDescent="0.25">
      <c r="A864" s="1">
        <f t="array" aca="1" ref="A864:C864" ca="1">ODE_RK4(A863:C863,$B$5,$E$3,$F$3,$G$3)</f>
        <v>85.599999999999412</v>
      </c>
      <c r="B864" s="1">
        <f ca="1"/>
        <v>294.04312071508036</v>
      </c>
      <c r="C864" s="1">
        <f ca="1"/>
        <v>22.226210884368825</v>
      </c>
      <c r="D864" s="1"/>
      <c r="E864">
        <f t="shared" ca="1" si="27"/>
        <v>4</v>
      </c>
      <c r="F864" s="1">
        <f t="shared" ca="1" si="26"/>
        <v>294.04312071508036</v>
      </c>
    </row>
    <row r="865" spans="1:6" x14ac:dyDescent="0.25">
      <c r="A865" s="1">
        <f t="array" aca="1" ref="A865:C865" ca="1">ODE_RK4(A864:C864,$B$5,$E$3,$F$3,$G$3)</f>
        <v>85.699999999999406</v>
      </c>
      <c r="B865" s="1">
        <f ca="1"/>
        <v>296.23504323773574</v>
      </c>
      <c r="C865" s="1">
        <f ca="1"/>
        <v>21.488810853339853</v>
      </c>
      <c r="D865" s="1"/>
      <c r="E865">
        <f t="shared" ca="1" si="27"/>
        <v>4</v>
      </c>
      <c r="F865" s="1">
        <f t="shared" ca="1" si="26"/>
        <v>296.23504323773574</v>
      </c>
    </row>
    <row r="866" spans="1:6" x14ac:dyDescent="0.25">
      <c r="A866" s="1">
        <f t="array" aca="1" ref="A866:C866" ca="1">ODE_RK4(A865:C865,$B$5,$E$3,$F$3,$G$3)</f>
        <v>85.7999999999994</v>
      </c>
      <c r="B866" s="1">
        <f ca="1"/>
        <v>298.35299973925459</v>
      </c>
      <c r="C866" s="1">
        <f ca="1"/>
        <v>20.746007998791267</v>
      </c>
      <c r="D866" s="1"/>
      <c r="E866">
        <f t="shared" ca="1" si="27"/>
        <v>4</v>
      </c>
      <c r="F866" s="1">
        <f t="shared" ca="1" si="26"/>
        <v>298.35299973925459</v>
      </c>
    </row>
    <row r="867" spans="1:6" x14ac:dyDescent="0.25">
      <c r="A867" s="1">
        <f t="array" aca="1" ref="A867:C867" ca="1">ODE_RK4(A866:C866,$B$5,$E$3,$F$3,$G$3)</f>
        <v>85.899999999999395</v>
      </c>
      <c r="B867" s="1">
        <f ca="1"/>
        <v>300.39645765886632</v>
      </c>
      <c r="C867" s="1">
        <f ca="1"/>
        <v>19.997987792784393</v>
      </c>
      <c r="D867" s="1"/>
      <c r="E867">
        <f t="shared" ca="1" si="27"/>
        <v>4</v>
      </c>
      <c r="F867" s="1">
        <f t="shared" ca="1" si="26"/>
        <v>300.39645765886632</v>
      </c>
    </row>
    <row r="868" spans="1:6" x14ac:dyDescent="0.25">
      <c r="A868" s="1">
        <f t="array" aca="1" ref="A868:C868" ca="1">ODE_RK4(A867:C867,$B$5,$E$3,$F$3,$G$3)</f>
        <v>85.999999999999389</v>
      </c>
      <c r="B868" s="1">
        <f ca="1"/>
        <v>302.36490303790134</v>
      </c>
      <c r="C868" s="1">
        <f ca="1"/>
        <v>19.244937019421112</v>
      </c>
      <c r="D868" s="1"/>
      <c r="E868">
        <f t="shared" ca="1" si="27"/>
        <v>4</v>
      </c>
      <c r="F868" s="1">
        <f t="shared" ca="1" si="26"/>
        <v>302.36490303790134</v>
      </c>
    </row>
    <row r="869" spans="1:6" x14ac:dyDescent="0.25">
      <c r="A869" s="1">
        <f t="array" aca="1" ref="A869:C869" ca="1">ODE_RK4(A868:C868,$B$5,$E$3,$F$3,$G$3)</f>
        <v>86.099999999999383</v>
      </c>
      <c r="B869" s="1">
        <f ca="1"/>
        <v>304.25784064905309</v>
      </c>
      <c r="C869" s="1">
        <f ca="1"/>
        <v>18.487043728203396</v>
      </c>
      <c r="D869" s="1"/>
      <c r="E869">
        <f t="shared" ca="1" si="27"/>
        <v>4</v>
      </c>
      <c r="F869" s="1">
        <f t="shared" ca="1" si="26"/>
        <v>304.25784064905309</v>
      </c>
    </row>
    <row r="870" spans="1:6" x14ac:dyDescent="0.25">
      <c r="A870" s="1">
        <f t="array" aca="1" ref="A870:C870" ca="1">ODE_RK4(A869:C869,$B$5,$E$3,$F$3,$G$3)</f>
        <v>86.199999999999378</v>
      </c>
      <c r="B870" s="1">
        <f ca="1"/>
        <v>306.07479412096325</v>
      </c>
      <c r="C870" s="1">
        <f ca="1"/>
        <v>17.724497187074547</v>
      </c>
      <c r="D870" s="1"/>
      <c r="E870">
        <f t="shared" ca="1" si="27"/>
        <v>4</v>
      </c>
      <c r="F870" s="1">
        <f t="shared" ca="1" si="26"/>
        <v>306.07479412096325</v>
      </c>
    </row>
    <row r="871" spans="1:6" x14ac:dyDescent="0.25">
      <c r="A871" s="1">
        <f t="array" aca="1" ref="A871:C871" ca="1">ODE_RK4(A870:C870,$B$5,$E$3,$F$3,$G$3)</f>
        <v>86.299999999999372</v>
      </c>
      <c r="B871" s="1">
        <f ca="1"/>
        <v>307.81530605809763</v>
      </c>
      <c r="C871" s="1">
        <f ca="1"/>
        <v>16.957487835153881</v>
      </c>
      <c r="D871" s="1"/>
      <c r="E871">
        <f t="shared" ca="1" si="27"/>
        <v>4</v>
      </c>
      <c r="F871" s="1">
        <f t="shared" ca="1" si="26"/>
        <v>307.81530605809763</v>
      </c>
    </row>
    <row r="872" spans="1:6" x14ac:dyDescent="0.25">
      <c r="A872" s="1">
        <f t="array" aca="1" ref="A872:C872" ca="1">ODE_RK4(A871:C871,$B$5,$E$3,$F$3,$G$3)</f>
        <v>86.399999999999366</v>
      </c>
      <c r="B872" s="1">
        <f ca="1"/>
        <v>309.47893815588367</v>
      </c>
      <c r="C872" s="1">
        <f ca="1"/>
        <v>16.186207235176656</v>
      </c>
      <c r="D872" s="1"/>
      <c r="E872">
        <f t="shared" ca="1" si="27"/>
        <v>4</v>
      </c>
      <c r="F872" s="1">
        <f t="shared" ca="1" si="26"/>
        <v>309.47893815588367</v>
      </c>
    </row>
    <row r="873" spans="1:6" x14ac:dyDescent="0.25">
      <c r="A873" s="1">
        <f t="array" aca="1" ref="A873:C873" ca="1">ODE_RK4(A872:C872,$B$5,$E$3,$F$3,$G$3)</f>
        <v>86.499999999999361</v>
      </c>
      <c r="B873" s="1">
        <f ca="1"/>
        <v>311.06527131107987</v>
      </c>
      <c r="C873" s="1">
        <f ca="1"/>
        <v>15.410848025651116</v>
      </c>
      <c r="D873" s="1"/>
      <c r="E873">
        <f t="shared" ca="1" si="27"/>
        <v>4</v>
      </c>
      <c r="F873" s="1">
        <f t="shared" ca="1" si="26"/>
        <v>311.06527131107987</v>
      </c>
    </row>
    <row r="874" spans="1:6" x14ac:dyDescent="0.25">
      <c r="A874" s="1">
        <f t="array" aca="1" ref="A874:C874" ca="1">ODE_RK4(A873:C873,$B$5,$E$3,$F$3,$G$3)</f>
        <v>86.599999999999355</v>
      </c>
      <c r="B874" s="1">
        <f ca="1"/>
        <v>312.57390572734954</v>
      </c>
      <c r="C874" s="1">
        <f ca="1"/>
        <v>14.631603872744607</v>
      </c>
      <c r="D874" s="1"/>
      <c r="E874">
        <f t="shared" ca="1" si="27"/>
        <v>4</v>
      </c>
      <c r="F874" s="1">
        <f t="shared" ca="1" si="26"/>
        <v>312.57390572734954</v>
      </c>
    </row>
    <row r="875" spans="1:6" x14ac:dyDescent="0.25">
      <c r="A875" s="1">
        <f t="array" aca="1" ref="A875:C875" ca="1">ODE_RK4(A874:C874,$B$5,$E$3,$F$3,$G$3)</f>
        <v>86.699999999999349</v>
      </c>
      <c r="B875" s="1">
        <f ca="1"/>
        <v>314.00446101601256</v>
      </c>
      <c r="C875" s="1">
        <f ca="1"/>
        <v>13.848669421910776</v>
      </c>
      <c r="D875" s="1"/>
      <c r="E875">
        <f t="shared" ca="1" si="27"/>
        <v>4</v>
      </c>
      <c r="F875" s="1">
        <f t="shared" ca="1" si="26"/>
        <v>314.00446101601256</v>
      </c>
    </row>
    <row r="876" spans="1:6" x14ac:dyDescent="0.25">
      <c r="A876" s="1">
        <f t="array" aca="1" ref="A876:C876" ca="1">ODE_RK4(A875:C875,$B$5,$E$3,$F$3,$G$3)</f>
        <v>86.799999999999343</v>
      </c>
      <c r="B876" s="1">
        <f ca="1"/>
        <v>315.35657629194918</v>
      </c>
      <c r="C876" s="1">
        <f ca="1"/>
        <v>13.062240249269934</v>
      </c>
      <c r="D876" s="1"/>
      <c r="E876">
        <f t="shared" ca="1" si="27"/>
        <v>4</v>
      </c>
      <c r="F876" s="1">
        <f t="shared" ca="1" si="26"/>
        <v>315.35657629194918</v>
      </c>
    </row>
    <row r="877" spans="1:6" x14ac:dyDescent="0.25">
      <c r="A877" s="1">
        <f t="array" aca="1" ref="A877:C877" ca="1">ODE_RK4(A876:C876,$B$5,$E$3,$F$3,$G$3)</f>
        <v>86.899999999999338</v>
      </c>
      <c r="B877" s="1">
        <f ca="1"/>
        <v>316.6299102646322</v>
      </c>
      <c r="C877" s="1">
        <f ca="1"/>
        <v>12.272512812754742</v>
      </c>
      <c r="D877" s="1"/>
      <c r="E877">
        <f t="shared" ca="1" si="27"/>
        <v>4</v>
      </c>
      <c r="F877" s="1">
        <f t="shared" ca="1" si="26"/>
        <v>316.6299102646322</v>
      </c>
    </row>
    <row r="878" spans="1:6" x14ac:dyDescent="0.25">
      <c r="A878" s="1">
        <f t="array" aca="1" ref="A878:C878" ca="1">ODE_RK4(A877:C877,$B$5,$E$3,$F$3,$G$3)</f>
        <v>86.999999999999332</v>
      </c>
      <c r="B878" s="1">
        <f ca="1"/>
        <v>317.82414132426442</v>
      </c>
      <c r="C878" s="1">
        <f ca="1"/>
        <v>11.479684403033406</v>
      </c>
      <c r="D878" s="1"/>
      <c r="E878">
        <f t="shared" ca="1" si="27"/>
        <v>4</v>
      </c>
      <c r="F878" s="1">
        <f t="shared" ca="1" si="26"/>
        <v>317.82414132426442</v>
      </c>
    </row>
    <row r="879" spans="1:6" x14ac:dyDescent="0.25">
      <c r="A879" s="1">
        <f t="array" aca="1" ref="A879:C879" ca="1">ODE_RK4(A878:C878,$B$5,$E$3,$F$3,$G$3)</f>
        <v>87.099999999999326</v>
      </c>
      <c r="B879" s="1">
        <f ca="1"/>
        <v>318.9389676229996</v>
      </c>
      <c r="C879" s="1">
        <f ca="1"/>
        <v>10.683953094222643</v>
      </c>
      <c r="D879" s="1"/>
      <c r="E879">
        <f t="shared" ca="1" si="27"/>
        <v>4</v>
      </c>
      <c r="F879" s="1">
        <f t="shared" ca="1" si="26"/>
        <v>318.9389676229996</v>
      </c>
    </row>
    <row r="880" spans="1:6" x14ac:dyDescent="0.25">
      <c r="A880" s="1">
        <f t="array" aca="1" ref="A880:C880" ca="1">ODE_RK4(A879:C879,$B$5,$E$3,$F$3,$G$3)</f>
        <v>87.199999999999321</v>
      </c>
      <c r="B880" s="1">
        <f ca="1"/>
        <v>319.97410715122618</v>
      </c>
      <c r="C880" s="1">
        <f ca="1"/>
        <v>9.8855176944027381</v>
      </c>
      <c r="D880" s="1"/>
      <c r="E880">
        <f t="shared" ca="1" si="27"/>
        <v>4</v>
      </c>
      <c r="F880" s="1">
        <f t="shared" ca="1" si="26"/>
        <v>319.97410715122618</v>
      </c>
    </row>
    <row r="881" spans="1:6" x14ac:dyDescent="0.25">
      <c r="A881" s="1">
        <f t="array" aca="1" ref="A881:C881" ca="1">ODE_RK4(A880:C880,$B$5,$E$3,$F$3,$G$3)</f>
        <v>87.299999999999315</v>
      </c>
      <c r="B881" s="1">
        <f ca="1"/>
        <v>320.929297808895</v>
      </c>
      <c r="C881" s="1">
        <f ca="1"/>
        <v>9.0845776959470612</v>
      </c>
      <c r="D881" s="1"/>
      <c r="E881">
        <f t="shared" ca="1" si="27"/>
        <v>4</v>
      </c>
      <c r="F881" s="1">
        <f t="shared" ca="1" si="26"/>
        <v>320.929297808895</v>
      </c>
    </row>
    <row r="882" spans="1:6" x14ac:dyDescent="0.25">
      <c r="A882" s="1">
        <f t="array" aca="1" ref="A882:C882" ca="1">ODE_RK4(A881:C881,$B$5,$E$3,$F$3,$G$3)</f>
        <v>87.399999999999309</v>
      </c>
      <c r="B882" s="1">
        <f ca="1"/>
        <v>321.80429747187264</v>
      </c>
      <c r="C882" s="1">
        <f ca="1"/>
        <v>8.2813332256784307</v>
      </c>
      <c r="D882" s="1"/>
      <c r="E882">
        <f t="shared" ca="1" si="27"/>
        <v>4</v>
      </c>
      <c r="F882" s="1">
        <f t="shared" ca="1" si="26"/>
        <v>321.80429747187264</v>
      </c>
    </row>
    <row r="883" spans="1:6" x14ac:dyDescent="0.25">
      <c r="A883" s="1">
        <f t="array" aca="1" ref="A883:C883" ca="1">ODE_RK4(A882:C882,$B$5,$E$3,$F$3,$G$3)</f>
        <v>87.499999999999304</v>
      </c>
      <c r="B883" s="1">
        <f ca="1"/>
        <v>322.59888405330349</v>
      </c>
      <c r="C883" s="1">
        <f ca="1"/>
        <v>7.4759849948647998</v>
      </c>
      <c r="D883" s="1"/>
      <c r="E883">
        <f t="shared" ca="1" si="27"/>
        <v>4</v>
      </c>
      <c r="F883" s="1">
        <f t="shared" ca="1" si="26"/>
        <v>322.59888405330349</v>
      </c>
    </row>
    <row r="884" spans="1:6" x14ac:dyDescent="0.25">
      <c r="A884" s="1">
        <f t="array" aca="1" ref="A884:C884" ca="1">ODE_RK4(A883:C883,$B$5,$E$3,$F$3,$G$3)</f>
        <v>87.599999999999298</v>
      </c>
      <c r="B884" s="1">
        <f ca="1"/>
        <v>323.31285555996527</v>
      </c>
      <c r="C884" s="1">
        <f ca="1"/>
        <v>6.6687342490667483</v>
      </c>
      <c r="D884" s="1"/>
      <c r="E884">
        <f t="shared" ca="1" si="27"/>
        <v>4</v>
      </c>
      <c r="F884" s="1">
        <f t="shared" ca="1" si="26"/>
        <v>323.31285555996527</v>
      </c>
    </row>
    <row r="885" spans="1:6" x14ac:dyDescent="0.25">
      <c r="A885" s="1">
        <f t="array" aca="1" ref="A885:C885" ca="1">ODE_RK4(A884:C884,$B$5,$E$3,$F$3,$G$3)</f>
        <v>87.699999999999292</v>
      </c>
      <c r="B885" s="1">
        <f ca="1"/>
        <v>323.94603014360354</v>
      </c>
      <c r="C885" s="1">
        <f ca="1"/>
        <v>5.8597827178493125</v>
      </c>
      <c r="D885" s="1"/>
      <c r="E885">
        <f t="shared" ca="1" si="27"/>
        <v>4</v>
      </c>
      <c r="F885" s="1">
        <f t="shared" ca="1" si="26"/>
        <v>323.94603014360354</v>
      </c>
    </row>
    <row r="886" spans="1:6" x14ac:dyDescent="0.25">
      <c r="A886" s="1">
        <f t="array" aca="1" ref="A886:C886" ca="1">ODE_RK4(A885:C885,$B$5,$E$3,$F$3,$G$3)</f>
        <v>87.799999999999287</v>
      </c>
      <c r="B886" s="1">
        <f ca="1"/>
        <v>324.49824614723224</v>
      </c>
      <c r="C886" s="1">
        <f ca="1"/>
        <v>5.049332564370725</v>
      </c>
      <c r="D886" s="1"/>
      <c r="E886">
        <f t="shared" ca="1" si="27"/>
        <v>4</v>
      </c>
      <c r="F886" s="1">
        <f t="shared" ca="1" si="26"/>
        <v>324.49824614723224</v>
      </c>
    </row>
    <row r="887" spans="1:6" x14ac:dyDescent="0.25">
      <c r="A887" s="1">
        <f t="array" aca="1" ref="A887:C887" ca="1">ODE_RK4(A886:C886,$B$5,$E$3,$F$3,$G$3)</f>
        <v>87.899999999999281</v>
      </c>
      <c r="B887" s="1">
        <f ca="1"/>
        <v>324.96936214638845</v>
      </c>
      <c r="C887" s="1">
        <f ca="1"/>
        <v>4.2375863348606542</v>
      </c>
      <c r="D887" s="1"/>
      <c r="E887">
        <f t="shared" ca="1" si="27"/>
        <v>4</v>
      </c>
      <c r="F887" s="1">
        <f t="shared" ca="1" si="26"/>
        <v>324.96936214638845</v>
      </c>
    </row>
    <row r="888" spans="1:6" x14ac:dyDescent="0.25">
      <c r="A888" s="1">
        <f t="array" aca="1" ref="A888:C888" ca="1">ODE_RK4(A887:C887,$B$5,$E$3,$F$3,$G$3)</f>
        <v>87.999999999999275</v>
      </c>
      <c r="B888" s="1">
        <f ca="1"/>
        <v>325.35925698533083</v>
      </c>
      <c r="C888" s="1">
        <f ca="1"/>
        <v>3.4247469080005768</v>
      </c>
      <c r="D888" s="1"/>
      <c r="E888">
        <f t="shared" ca="1" si="27"/>
        <v>4</v>
      </c>
      <c r="F888" s="1">
        <f t="shared" ca="1" si="26"/>
        <v>325.35925698533083</v>
      </c>
    </row>
    <row r="889" spans="1:6" x14ac:dyDescent="0.25">
      <c r="A889" s="1">
        <f t="array" aca="1" ref="A889:C889" ca="1">ODE_RK4(A888:C888,$B$5,$E$3,$F$3,$G$3)</f>
        <v>88.09999999999927</v>
      </c>
      <c r="B889" s="1">
        <f ca="1"/>
        <v>325.66782980817237</v>
      </c>
      <c r="C889" s="1">
        <f ca="1"/>
        <v>2.6110174442189242</v>
      </c>
      <c r="D889" s="1"/>
      <c r="E889">
        <f t="shared" ca="1" si="27"/>
        <v>4</v>
      </c>
      <c r="F889" s="1">
        <f t="shared" ca="1" si="26"/>
        <v>325.66782980817237</v>
      </c>
    </row>
    <row r="890" spans="1:6" x14ac:dyDescent="0.25">
      <c r="A890" s="1">
        <f t="array" aca="1" ref="A890:C890" ca="1">ODE_RK4(A889:C889,$B$5,$E$3,$F$3,$G$3)</f>
        <v>88.199999999999264</v>
      </c>
      <c r="B890" s="1">
        <f ca="1"/>
        <v>325.89500008493974</v>
      </c>
      <c r="C890" s="1">
        <f ca="1"/>
        <v>1.7966013349136865</v>
      </c>
      <c r="D890" s="1"/>
      <c r="E890">
        <f t="shared" ca="1" si="27"/>
        <v>4</v>
      </c>
      <c r="F890" s="1">
        <f t="shared" ca="1" si="26"/>
        <v>325.89500008493974</v>
      </c>
    </row>
    <row r="891" spans="1:6" x14ac:dyDescent="0.25">
      <c r="A891" s="1">
        <f t="array" aca="1" ref="A891:C891" ca="1">ODE_RK4(A890:C890,$B$5,$E$3,$F$3,$G$3)</f>
        <v>88.299999999999258</v>
      </c>
      <c r="B891" s="1">
        <f ca="1"/>
        <v>326.0407076325522</v>
      </c>
      <c r="C891" s="1">
        <f ca="1"/>
        <v>0.98170215161515639</v>
      </c>
      <c r="D891" s="1"/>
      <c r="E891">
        <f t="shared" ca="1" si="27"/>
        <v>4</v>
      </c>
      <c r="F891" s="1">
        <f t="shared" ca="1" si="26"/>
        <v>326.0407076325522</v>
      </c>
    </row>
    <row r="892" spans="1:6" x14ac:dyDescent="0.25">
      <c r="A892" s="1">
        <f t="array" aca="1" ref="A892:C892" ca="1">ODE_RK4(A891:C891,$B$5,$E$3,$F$3,$G$3)</f>
        <v>88.399999999999253</v>
      </c>
      <c r="B892" s="1">
        <f ca="1"/>
        <v>326.10491263071492</v>
      </c>
      <c r="C892" s="1">
        <f ca="1"/>
        <v>0.16652359510152437</v>
      </c>
      <c r="D892" s="1"/>
      <c r="E892">
        <f t="shared" ca="1" si="27"/>
        <v>5</v>
      </c>
      <c r="F892" s="1">
        <f t="shared" ca="1" si="26"/>
        <v>326.10491263071492</v>
      </c>
    </row>
    <row r="893" spans="1:6" x14ac:dyDescent="0.25">
      <c r="A893" s="1">
        <f t="array" aca="1" ref="A893:C893" ca="1">ODE_RK4(A892:C892,$B$5,$E$3,$F$3,$G$3)</f>
        <v>88.499999999999247</v>
      </c>
      <c r="B893" s="1">
        <f ca="1"/>
        <v>326.08759563272224</v>
      </c>
      <c r="C893" s="1">
        <f ca="1"/>
        <v>-0.64873055551995917</v>
      </c>
      <c r="D893" s="1"/>
      <c r="E893">
        <f t="shared" ca="1" si="27"/>
        <v>5</v>
      </c>
      <c r="F893" s="1">
        <f t="shared" ca="1" si="26"/>
        <v>326.08759563272224</v>
      </c>
    </row>
    <row r="894" spans="1:6" x14ac:dyDescent="0.25">
      <c r="A894" s="1">
        <f t="array" aca="1" ref="A894:C894" ca="1">ODE_RK4(A893:C893,$B$5,$E$3,$F$3,$G$3)</f>
        <v>88.599999999999241</v>
      </c>
      <c r="B894" s="1">
        <f ca="1"/>
        <v>325.98875757116804</v>
      </c>
      <c r="C894" s="1">
        <f ca="1"/>
        <v>-1.4638564937535239</v>
      </c>
      <c r="D894" s="1"/>
      <c r="E894">
        <f t="shared" ca="1" si="27"/>
        <v>5</v>
      </c>
      <c r="F894" s="1">
        <f t="shared" ca="1" si="26"/>
        <v>325.98875757116804</v>
      </c>
    </row>
    <row r="895" spans="1:6" x14ac:dyDescent="0.25">
      <c r="A895" s="1">
        <f t="array" aca="1" ref="A895:C895" ca="1">ODE_RK4(A894:C894,$B$5,$E$3,$F$3,$G$3)</f>
        <v>88.699999999999235</v>
      </c>
      <c r="B895" s="1">
        <f ca="1"/>
        <v>325.80841975856174</v>
      </c>
      <c r="C895" s="1">
        <f ca="1"/>
        <v>-2.2786504366643894</v>
      </c>
      <c r="D895" s="1"/>
      <c r="E895">
        <f t="shared" ca="1" si="27"/>
        <v>5</v>
      </c>
      <c r="F895" s="1">
        <f t="shared" ca="1" si="26"/>
        <v>325.80841975856174</v>
      </c>
    </row>
    <row r="896" spans="1:6" x14ac:dyDescent="0.25">
      <c r="A896" s="1">
        <f t="array" aca="1" ref="A896:C896" ca="1">ODE_RK4(A895:C895,$B$5,$E$3,$F$3,$G$3)</f>
        <v>88.79999999999923</v>
      </c>
      <c r="B896" s="1">
        <f ca="1"/>
        <v>325.54662388284947</v>
      </c>
      <c r="C896" s="1">
        <f ca="1"/>
        <v>-3.092908675824507</v>
      </c>
      <c r="D896" s="1"/>
      <c r="E896">
        <f t="shared" ca="1" si="27"/>
        <v>5</v>
      </c>
      <c r="F896" s="1">
        <f t="shared" ca="1" si="26"/>
        <v>325.54662388284947</v>
      </c>
    </row>
    <row r="897" spans="1:6" x14ac:dyDescent="0.25">
      <c r="A897" s="1">
        <f t="array" aca="1" ref="A897:C897" ca="1">ODE_RK4(A896:C896,$B$5,$E$3,$F$3,$G$3)</f>
        <v>88.899999999999224</v>
      </c>
      <c r="B897" s="1">
        <f ca="1"/>
        <v>325.20343199784099</v>
      </c>
      <c r="C897" s="1">
        <f ca="1"/>
        <v>-3.9064276282417998</v>
      </c>
      <c r="D897" s="1"/>
      <c r="E897">
        <f t="shared" ca="1" si="27"/>
        <v>5</v>
      </c>
      <c r="F897" s="1">
        <f t="shared" ca="1" si="26"/>
        <v>325.20343199784099</v>
      </c>
    </row>
    <row r="898" spans="1:6" x14ac:dyDescent="0.25">
      <c r="A898" s="1">
        <f t="array" aca="1" ref="A898:C898" ca="1">ODE_RK4(A897:C897,$B$5,$E$3,$F$3,$G$3)</f>
        <v>88.999999999999218</v>
      </c>
      <c r="B898" s="1">
        <f ca="1"/>
        <v>324.77892650854534</v>
      </c>
      <c r="C898" s="1">
        <f ca="1"/>
        <v>-4.719003887260163</v>
      </c>
      <c r="D898" s="1"/>
      <c r="E898">
        <f t="shared" ca="1" si="27"/>
        <v>5</v>
      </c>
      <c r="F898" s="1">
        <f t="shared" ca="1" si="26"/>
        <v>324.77892650854534</v>
      </c>
    </row>
    <row r="899" spans="1:6" x14ac:dyDescent="0.25">
      <c r="A899" s="1">
        <f t="array" aca="1" ref="A899:C899" ca="1">ODE_RK4(A898:C898,$B$5,$E$3,$F$3,$G$3)</f>
        <v>89.099999999999213</v>
      </c>
      <c r="B899" s="1">
        <f ca="1"/>
        <v>324.27321015141774</v>
      </c>
      <c r="C899" s="1">
        <f ca="1"/>
        <v>-5.530434273417506</v>
      </c>
      <c r="D899" s="1"/>
      <c r="E899">
        <f t="shared" ca="1" si="27"/>
        <v>5</v>
      </c>
      <c r="F899" s="1">
        <f t="shared" ca="1" si="26"/>
        <v>324.27321015141774</v>
      </c>
    </row>
    <row r="900" spans="1:6" x14ac:dyDescent="0.25">
      <c r="A900" s="1">
        <f t="array" aca="1" ref="A900:C900" ca="1">ODE_RK4(A899:C899,$B$5,$E$3,$F$3,$G$3)</f>
        <v>89.199999999999207</v>
      </c>
      <c r="B900" s="1">
        <f ca="1"/>
        <v>323.68640596952309</v>
      </c>
      <c r="C900" s="1">
        <f ca="1"/>
        <v>-6.340515885249113</v>
      </c>
      <c r="D900" s="1"/>
      <c r="E900">
        <f t="shared" ca="1" si="27"/>
        <v>5</v>
      </c>
      <c r="F900" s="1">
        <f t="shared" ca="1" si="26"/>
        <v>323.68640596952309</v>
      </c>
    </row>
    <row r="901" spans="1:6" x14ac:dyDescent="0.25">
      <c r="A901" s="1">
        <f t="array" aca="1" ref="A901:C901" ca="1">ODE_RK4(A900:C900,$B$5,$E$3,$F$3,$G$3)</f>
        <v>89.299999999999201</v>
      </c>
      <c r="B901" s="1">
        <f ca="1"/>
        <v>323.01865728262186</v>
      </c>
      <c r="C901" s="1">
        <f ca="1"/>
        <v>-7.1490461500236213</v>
      </c>
      <c r="D901" s="1"/>
      <c r="E901">
        <f t="shared" ca="1" si="27"/>
        <v>5</v>
      </c>
      <c r="F901" s="1">
        <f t="shared" ca="1" si="26"/>
        <v>323.01865728262186</v>
      </c>
    </row>
    <row r="902" spans="1:6" x14ac:dyDescent="0.25">
      <c r="A902" s="1">
        <f t="array" aca="1" ref="A902:C902" ca="1">ODE_RK4(A901:C901,$B$5,$E$3,$F$3,$G$3)</f>
        <v>89.399999999999196</v>
      </c>
      <c r="B902" s="1">
        <f ca="1"/>
        <v>322.27012765218564</v>
      </c>
      <c r="C902" s="1">
        <f ca="1"/>
        <v>-7.9558228743989359</v>
      </c>
      <c r="D902" s="1"/>
      <c r="E902">
        <f t="shared" ca="1" si="27"/>
        <v>5</v>
      </c>
      <c r="F902" s="1">
        <f t="shared" ca="1" si="26"/>
        <v>322.27012765218564</v>
      </c>
    </row>
    <row r="903" spans="1:6" x14ac:dyDescent="0.25">
      <c r="A903" s="1">
        <f t="array" aca="1" ref="A903:C903" ca="1">ODE_RK4(A902:C902,$B$5,$E$3,$F$3,$G$3)</f>
        <v>89.49999999999919</v>
      </c>
      <c r="B903" s="1">
        <f ca="1"/>
        <v>321.44100084135101</v>
      </c>
      <c r="C903" s="1">
        <f ca="1"/>
        <v>-8.7606442949854042</v>
      </c>
      <c r="D903" s="1"/>
      <c r="E903">
        <f t="shared" ca="1" si="27"/>
        <v>5</v>
      </c>
      <c r="F903" s="1">
        <f t="shared" ca="1" si="26"/>
        <v>321.44100084135101</v>
      </c>
    </row>
    <row r="904" spans="1:6" x14ac:dyDescent="0.25">
      <c r="A904" s="1">
        <f t="array" aca="1" ref="A904:C904" ca="1">ODE_RK4(A903:C903,$B$5,$E$3,$F$3,$G$3)</f>
        <v>89.599999999999184</v>
      </c>
      <c r="B904" s="1">
        <f ca="1"/>
        <v>320.5314807698212</v>
      </c>
      <c r="C904" s="1">
        <f ca="1"/>
        <v>-9.5633091288036187</v>
      </c>
      <c r="D904" s="1"/>
      <c r="E904">
        <f t="shared" ca="1" si="27"/>
        <v>5</v>
      </c>
      <c r="F904" s="1">
        <f t="shared" ref="F904:F967" ca="1" si="28">B904</f>
        <v>320.5314807698212</v>
      </c>
    </row>
    <row r="905" spans="1:6" x14ac:dyDescent="0.25">
      <c r="A905" s="1">
        <f t="array" aca="1" ref="A905:C905" ca="1">ODE_RK4(A904:C904,$B$5,$E$3,$F$3,$G$3)</f>
        <v>89.699999999999179</v>
      </c>
      <c r="B905" s="1">
        <f ca="1"/>
        <v>319.54179146372707</v>
      </c>
      <c r="C905" s="1">
        <f ca="1"/>
        <v>-10.363616623624212</v>
      </c>
      <c r="D905" s="1"/>
      <c r="E905">
        <f t="shared" ref="E905:E968" ca="1" si="29">(C905*C906&lt;0)*1+E904</f>
        <v>5</v>
      </c>
      <c r="F905" s="1">
        <f t="shared" ca="1" si="28"/>
        <v>319.54179146372707</v>
      </c>
    </row>
    <row r="906" spans="1:6" x14ac:dyDescent="0.25">
      <c r="A906" s="1">
        <f t="array" aca="1" ref="A906:C906" ca="1">ODE_RK4(A905:C905,$B$5,$E$3,$F$3,$G$3)</f>
        <v>89.799999999999173</v>
      </c>
      <c r="B906" s="1">
        <f ca="1"/>
        <v>318.47217700045917</v>
      </c>
      <c r="C906" s="1">
        <f ca="1"/>
        <v>-11.161366608177071</v>
      </c>
      <c r="D906" s="1"/>
      <c r="E906">
        <f t="shared" ca="1" si="29"/>
        <v>5</v>
      </c>
      <c r="F906" s="1">
        <f t="shared" ca="1" si="28"/>
        <v>318.47217700045917</v>
      </c>
    </row>
    <row r="907" spans="1:6" x14ac:dyDescent="0.25">
      <c r="A907" s="1">
        <f t="array" aca="1" ref="A907:C907" ca="1">ODE_RK4(A906:C906,$B$5,$E$3,$F$3,$G$3)</f>
        <v>89.899999999999167</v>
      </c>
      <c r="B907" s="1">
        <f ca="1"/>
        <v>317.3229014484852</v>
      </c>
      <c r="C907" s="1">
        <f ca="1"/>
        <v>-11.956359542217401</v>
      </c>
      <c r="D907" s="1"/>
      <c r="E907">
        <f t="shared" ca="1" si="29"/>
        <v>5</v>
      </c>
      <c r="F907" s="1">
        <f t="shared" ca="1" si="28"/>
        <v>317.3229014484852</v>
      </c>
    </row>
    <row r="908" spans="1:6" x14ac:dyDescent="0.25">
      <c r="A908" s="1">
        <f t="array" aca="1" ref="A908:C908" ca="1">ODE_RK4(A907:C907,$B$5,$E$3,$F$3,$G$3)</f>
        <v>89.999999999999162</v>
      </c>
      <c r="B908" s="1">
        <f ca="1"/>
        <v>316.09424880216699</v>
      </c>
      <c r="C908" s="1">
        <f ca="1"/>
        <v>-12.748396566436133</v>
      </c>
      <c r="D908" s="1"/>
      <c r="E908">
        <f t="shared" ca="1" si="29"/>
        <v>5</v>
      </c>
      <c r="F908" s="1">
        <f t="shared" ca="1" si="28"/>
        <v>316.09424880216699</v>
      </c>
    </row>
    <row r="909" spans="1:6" x14ac:dyDescent="0.25">
      <c r="A909" s="1">
        <f t="array" aca="1" ref="A909:C909" ca="1">ODE_RK4(A908:C908,$B$5,$E$3,$F$3,$G$3)</f>
        <v>90.099999999999156</v>
      </c>
      <c r="B909" s="1">
        <f ca="1"/>
        <v>314.78652291159347</v>
      </c>
      <c r="C909" s="1">
        <f ca="1"/>
        <v>-13.537279552202166</v>
      </c>
      <c r="D909" s="1"/>
      <c r="E909">
        <f t="shared" ca="1" si="29"/>
        <v>5</v>
      </c>
      <c r="F909" s="1">
        <f t="shared" ca="1" si="28"/>
        <v>314.78652291159347</v>
      </c>
    </row>
    <row r="910" spans="1:6" x14ac:dyDescent="0.25">
      <c r="A910" s="1">
        <f t="array" aca="1" ref="A910:C910" ca="1">ODE_RK4(A909:C909,$B$5,$E$3,$F$3,$G$3)</f>
        <v>90.19999999999915</v>
      </c>
      <c r="B910" s="1">
        <f ca="1"/>
        <v>313.40004740744683</v>
      </c>
      <c r="C910" s="1">
        <f ca="1"/>
        <v>-14.322811151124027</v>
      </c>
      <c r="D910" s="1"/>
      <c r="E910">
        <f t="shared" ca="1" si="29"/>
        <v>5</v>
      </c>
      <c r="F910" s="1">
        <f t="shared" ca="1" si="28"/>
        <v>313.40004740744683</v>
      </c>
    </row>
    <row r="911" spans="1:6" x14ac:dyDescent="0.25">
      <c r="A911" s="1">
        <f t="array" aca="1" ref="A911:C911" ca="1">ODE_RK4(A910:C910,$B$5,$E$3,$F$3,$G$3)</f>
        <v>90.299999999999145</v>
      </c>
      <c r="B911" s="1">
        <f ca="1"/>
        <v>311.93516562092066</v>
      </c>
      <c r="C911" s="1">
        <f ca="1"/>
        <v>-15.104794844418524</v>
      </c>
      <c r="D911" s="1"/>
      <c r="E911">
        <f t="shared" ca="1" si="29"/>
        <v>5</v>
      </c>
      <c r="F911" s="1">
        <f t="shared" ca="1" si="28"/>
        <v>311.93516562092066</v>
      </c>
    </row>
    <row r="912" spans="1:6" x14ac:dyDescent="0.25">
      <c r="A912" s="1">
        <f t="array" aca="1" ref="A912:C912" ca="1">ODE_RK4(A911:C911,$B$5,$E$3,$F$3,$G$3)</f>
        <v>90.399999999999139</v>
      </c>
      <c r="B912" s="1">
        <f ca="1"/>
        <v>310.39224049870944</v>
      </c>
      <c r="C912" s="1">
        <f ca="1"/>
        <v>-15.883034992074087</v>
      </c>
      <c r="D912" s="1"/>
      <c r="E912">
        <f t="shared" ca="1" si="29"/>
        <v>5</v>
      </c>
      <c r="F912" s="1">
        <f t="shared" ca="1" si="28"/>
        <v>310.39224049870944</v>
      </c>
    </row>
    <row r="913" spans="1:6" x14ac:dyDescent="0.25">
      <c r="A913" s="1">
        <f t="array" aca="1" ref="A913:C913" ca="1">ODE_RK4(A912:C912,$B$5,$E$3,$F$3,$G$3)</f>
        <v>90.499999999999133</v>
      </c>
      <c r="B913" s="1">
        <f ca="1"/>
        <v>308.77165451309099</v>
      </c>
      <c r="C913" s="1">
        <f ca="1"/>
        <v>-16.657336881796432</v>
      </c>
      <c r="D913" s="1"/>
      <c r="E913">
        <f t="shared" ca="1" si="29"/>
        <v>5</v>
      </c>
      <c r="F913" s="1">
        <f t="shared" ca="1" si="28"/>
        <v>308.77165451309099</v>
      </c>
    </row>
    <row r="914" spans="1:6" x14ac:dyDescent="0.25">
      <c r="A914" s="1">
        <f t="array" aca="1" ref="A914:C914" ca="1">ODE_RK4(A913:C913,$B$5,$E$3,$F$3,$G$3)</f>
        <v>90.599999999999127</v>
      </c>
      <c r="B914" s="1">
        <f ca="1"/>
        <v>307.07380956712376</v>
      </c>
      <c r="C914" s="1">
        <f ca="1"/>
        <v>-17.427506777724371</v>
      </c>
      <c r="D914" s="1"/>
      <c r="E914">
        <f t="shared" ca="1" si="29"/>
        <v>5</v>
      </c>
      <c r="F914" s="1">
        <f t="shared" ca="1" si="28"/>
        <v>307.07380956712376</v>
      </c>
    </row>
    <row r="915" spans="1:6" x14ac:dyDescent="0.25">
      <c r="A915" s="1">
        <f t="array" aca="1" ref="A915:C915" ca="1">ODE_RK4(A914:C914,$B$5,$E$3,$F$3,$G$3)</f>
        <v>90.699999999999122</v>
      </c>
      <c r="B915" s="1">
        <f ca="1"/>
        <v>305.29912689498246</v>
      </c>
      <c r="C915" s="1">
        <f ca="1"/>
        <v>-18.193351968903528</v>
      </c>
      <c r="D915" s="1"/>
      <c r="E915">
        <f t="shared" ca="1" si="29"/>
        <v>5</v>
      </c>
      <c r="F915" s="1">
        <f t="shared" ca="1" si="28"/>
        <v>305.29912689498246</v>
      </c>
    </row>
    <row r="916" spans="1:6" x14ac:dyDescent="0.25">
      <c r="A916" s="1">
        <f t="array" aca="1" ref="A916:C916" ca="1">ODE_RK4(A915:C915,$B$5,$E$3,$F$3,$G$3)</f>
        <v>90.799999999999116</v>
      </c>
      <c r="B916" s="1">
        <f ca="1"/>
        <v>303.44804695745705</v>
      </c>
      <c r="C916" s="1">
        <f ca="1"/>
        <v>-18.95468081750586</v>
      </c>
      <c r="D916" s="1"/>
      <c r="E916">
        <f t="shared" ca="1" si="29"/>
        <v>5</v>
      </c>
      <c r="F916" s="1">
        <f t="shared" ca="1" si="28"/>
        <v>303.44804695745705</v>
      </c>
    </row>
    <row r="917" spans="1:6" x14ac:dyDescent="0.25">
      <c r="A917" s="1">
        <f t="array" aca="1" ref="A917:C917" ca="1">ODE_RK4(A916:C916,$B$5,$E$3,$F$3,$G$3)</f>
        <v>90.89999999999911</v>
      </c>
      <c r="B917" s="1">
        <f ca="1"/>
        <v>301.52102933264058</v>
      </c>
      <c r="C917" s="1">
        <f ca="1"/>
        <v>-19.711302806782918</v>
      </c>
      <c r="D917" s="1"/>
      <c r="E917">
        <f t="shared" ca="1" si="29"/>
        <v>5</v>
      </c>
      <c r="F917" s="1">
        <f t="shared" ca="1" si="28"/>
        <v>301.52102933264058</v>
      </c>
    </row>
    <row r="918" spans="1:6" x14ac:dyDescent="0.25">
      <c r="A918" s="1">
        <f t="array" aca="1" ref="A918:C918" ca="1">ODE_RK4(A917:C917,$B$5,$E$3,$F$3,$G$3)</f>
        <v>90.999999999999105</v>
      </c>
      <c r="B918" s="1">
        <f ca="1"/>
        <v>299.51855260183356</v>
      </c>
      <c r="C918" s="1">
        <f ca="1"/>
        <v>-20.463028588740823</v>
      </c>
      <c r="D918" s="1"/>
      <c r="E918">
        <f t="shared" ca="1" si="29"/>
        <v>5</v>
      </c>
      <c r="F918" s="1">
        <f t="shared" ca="1" si="28"/>
        <v>299.51855260183356</v>
      </c>
    </row>
    <row r="919" spans="1:6" x14ac:dyDescent="0.25">
      <c r="A919" s="1">
        <f t="array" aca="1" ref="A919:C919" ca="1">ODE_RK4(A918:C918,$B$5,$E$3,$F$3,$G$3)</f>
        <v>91.099999999999099</v>
      </c>
      <c r="B919" s="1">
        <f ca="1"/>
        <v>297.44111423069256</v>
      </c>
      <c r="C919" s="1">
        <f ca="1"/>
        <v>-21.209670031525061</v>
      </c>
      <c r="D919" s="1"/>
      <c r="E919">
        <f t="shared" ca="1" si="29"/>
        <v>5</v>
      </c>
      <c r="F919" s="1">
        <f t="shared" ca="1" si="28"/>
        <v>297.44111423069256</v>
      </c>
    </row>
    <row r="920" spans="1:6" x14ac:dyDescent="0.25">
      <c r="A920" s="1">
        <f t="array" aca="1" ref="A920:C920" ca="1">ODE_RK4(A919:C919,$B$5,$E$3,$F$3,$G$3)</f>
        <v>91.199999999999093</v>
      </c>
      <c r="B920" s="1">
        <f ca="1"/>
        <v>295.289230445653</v>
      </c>
      <c r="C920" s="1">
        <f ca="1"/>
        <v>-21.951040266503217</v>
      </c>
      <c r="D920" s="1"/>
      <c r="E920">
        <f t="shared" ca="1" si="29"/>
        <v>5</v>
      </c>
      <c r="F920" s="1">
        <f t="shared" ca="1" si="28"/>
        <v>295.289230445653</v>
      </c>
    </row>
    <row r="921" spans="1:6" x14ac:dyDescent="0.25">
      <c r="A921" s="1">
        <f t="array" aca="1" ref="A921:C921" ca="1">ODE_RK4(A920:C920,$B$5,$E$3,$F$3,$G$3)</f>
        <v>91.299999999999088</v>
      </c>
      <c r="B921" s="1">
        <f ca="1"/>
        <v>293.06343610565659</v>
      </c>
      <c r="C921" s="1">
        <f ca="1"/>
        <v>-22.686953735033878</v>
      </c>
      <c r="D921" s="1"/>
      <c r="E921">
        <f t="shared" ca="1" si="29"/>
        <v>5</v>
      </c>
      <c r="F921" s="1">
        <f t="shared" ca="1" si="28"/>
        <v>293.06343610565659</v>
      </c>
    </row>
    <row r="922" spans="1:6" x14ac:dyDescent="0.25">
      <c r="A922" s="1">
        <f t="array" aca="1" ref="A922:C922" ca="1">ODE_RK4(A921:C921,$B$5,$E$3,$F$3,$G$3)</f>
        <v>91.399999999999082</v>
      </c>
      <c r="B922" s="1">
        <f ca="1"/>
        <v>290.76428456921565</v>
      </c>
      <c r="C922" s="1">
        <f ca="1"/>
        <v>-23.417226234909979</v>
      </c>
      <c r="D922" s="1"/>
      <c r="E922">
        <f t="shared" ca="1" si="29"/>
        <v>5</v>
      </c>
      <c r="F922" s="1">
        <f t="shared" ca="1" si="28"/>
        <v>290.76428456921565</v>
      </c>
    </row>
    <row r="923" spans="1:6" x14ac:dyDescent="0.25">
      <c r="A923" s="1">
        <f t="array" aca="1" ref="A923:C923" ca="1">ODE_RK4(A922:C922,$B$5,$E$3,$F$3,$G$3)</f>
        <v>91.499999999999076</v>
      </c>
      <c r="B923" s="1">
        <f ca="1"/>
        <v>288.39234755684669</v>
      </c>
      <c r="C923" s="1">
        <f ca="1"/>
        <v>-24.141674966464997</v>
      </c>
      <c r="D923" s="1"/>
      <c r="E923">
        <f t="shared" ca="1" si="29"/>
        <v>5</v>
      </c>
      <c r="F923" s="1">
        <f t="shared" ca="1" si="28"/>
        <v>288.39234755684669</v>
      </c>
    </row>
    <row r="924" spans="1:6" x14ac:dyDescent="0.25">
      <c r="A924" s="1">
        <f t="array" aca="1" ref="A924:C924" ca="1">ODE_RK4(A923:C923,$B$5,$E$3,$F$3,$G$3)</f>
        <v>91.599999999999071</v>
      </c>
      <c r="B924" s="1">
        <f ca="1"/>
        <v>285.94821500890816</v>
      </c>
      <c r="C924" s="1">
        <f ca="1"/>
        <v>-24.860118578330425</v>
      </c>
      <c r="D924" s="1"/>
      <c r="E924">
        <f t="shared" ca="1" si="29"/>
        <v>5</v>
      </c>
      <c r="F924" s="1">
        <f t="shared" ca="1" si="28"/>
        <v>285.94821500890816</v>
      </c>
    </row>
    <row r="925" spans="1:6" x14ac:dyDescent="0.25">
      <c r="A925" s="1">
        <f t="array" aca="1" ref="A925:C925" ca="1">ODE_RK4(A924:C924,$B$5,$E$3,$F$3,$G$3)</f>
        <v>91.699999999999065</v>
      </c>
      <c r="B925" s="1">
        <f ca="1"/>
        <v>283.43249493887731</v>
      </c>
      <c r="C925" s="1">
        <f ca="1"/>
        <v>-25.5723772128331</v>
      </c>
      <c r="D925" s="1"/>
      <c r="E925">
        <f t="shared" ca="1" si="29"/>
        <v>5</v>
      </c>
      <c r="F925" s="1">
        <f t="shared" ca="1" si="28"/>
        <v>283.43249493887731</v>
      </c>
    </row>
    <row r="926" spans="1:6" x14ac:dyDescent="0.25">
      <c r="A926" s="1">
        <f t="array" aca="1" ref="A926:C926" ca="1">ODE_RK4(A925:C925,$B$5,$E$3,$F$3,$G$3)</f>
        <v>91.799999999999059</v>
      </c>
      <c r="B926" s="1">
        <f ca="1"/>
        <v>280.84581328210271</v>
      </c>
      <c r="C926" s="1">
        <f ca="1"/>
        <v>-26.27827255102099</v>
      </c>
      <c r="D926" s="1"/>
      <c r="E926">
        <f t="shared" ca="1" si="29"/>
        <v>5</v>
      </c>
      <c r="F926" s="1">
        <f t="shared" ca="1" si="28"/>
        <v>280.84581328210271</v>
      </c>
    </row>
    <row r="927" spans="1:6" x14ac:dyDescent="0.25">
      <c r="A927" s="1">
        <f t="array" aca="1" ref="A927:C927" ca="1">ODE_RK4(A926:C926,$B$5,$E$3,$F$3,$G$3)</f>
        <v>91.899999999999054</v>
      </c>
      <c r="B927" s="1">
        <f ca="1"/>
        <v>278.18881374007009</v>
      </c>
      <c r="C927" s="1">
        <f ca="1"/>
        <v>-26.977627857306189</v>
      </c>
      <c r="D927" s="1"/>
      <c r="E927">
        <f t="shared" ca="1" si="29"/>
        <v>5</v>
      </c>
      <c r="F927" s="1">
        <f t="shared" ca="1" si="28"/>
        <v>278.18881374007009</v>
      </c>
    </row>
    <row r="928" spans="1:6" x14ac:dyDescent="0.25">
      <c r="A928" s="1">
        <f t="array" aca="1" ref="A928:C928" ca="1">ODE_RK4(A927:C927,$B$5,$E$3,$F$3,$G$3)</f>
        <v>91.999999999999048</v>
      </c>
      <c r="B928" s="1">
        <f ca="1"/>
        <v>275.4621576202203</v>
      </c>
      <c r="C928" s="1">
        <f ca="1"/>
        <v>-27.670268023713941</v>
      </c>
      <c r="D928" s="1"/>
      <c r="E928">
        <f t="shared" ca="1" si="29"/>
        <v>5</v>
      </c>
      <c r="F928" s="1">
        <f t="shared" ca="1" si="28"/>
        <v>275.4621576202203</v>
      </c>
    </row>
    <row r="929" spans="1:6" x14ac:dyDescent="0.25">
      <c r="A929" s="1">
        <f t="array" aca="1" ref="A929:C929" ca="1">ODE_RK4(A928:C928,$B$5,$E$3,$F$3,$G$3)</f>
        <v>92.099999999999042</v>
      </c>
      <c r="B929" s="1">
        <f ca="1"/>
        <v>272.66652367135907</v>
      </c>
      <c r="C929" s="1">
        <f ca="1"/>
        <v>-28.35601961372662</v>
      </c>
      <c r="D929" s="1"/>
      <c r="E929">
        <f t="shared" ca="1" si="29"/>
        <v>5</v>
      </c>
      <c r="F929" s="1">
        <f t="shared" ca="1" si="28"/>
        <v>272.66652367135907</v>
      </c>
    </row>
    <row r="930" spans="1:6" x14ac:dyDescent="0.25">
      <c r="A930" s="1">
        <f t="array" aca="1" ref="A930:C930" ca="1">ODE_RK4(A929:C929,$B$5,$E$3,$F$3,$G$3)</f>
        <v>92.199999999999037</v>
      </c>
      <c r="B930" s="1">
        <f ca="1"/>
        <v>269.80260791469982</v>
      </c>
      <c r="C930" s="1">
        <f ca="1"/>
        <v>-29.034710905711659</v>
      </c>
      <c r="D930" s="1"/>
      <c r="E930">
        <f t="shared" ca="1" si="29"/>
        <v>5</v>
      </c>
      <c r="F930" s="1">
        <f t="shared" ca="1" si="28"/>
        <v>269.80260791469982</v>
      </c>
    </row>
    <row r="931" spans="1:6" x14ac:dyDescent="0.25">
      <c r="A931" s="1">
        <f t="array" aca="1" ref="A931:C931" ca="1">ODE_RK4(A930:C930,$B$5,$E$3,$F$3,$G$3)</f>
        <v>92.299999999999031</v>
      </c>
      <c r="B931" s="1">
        <f ca="1"/>
        <v>266.87112347058127</v>
      </c>
      <c r="C931" s="1">
        <f ca="1"/>
        <v>-29.706171935922601</v>
      </c>
      <c r="D931" s="1"/>
      <c r="E931">
        <f t="shared" ca="1" si="29"/>
        <v>5</v>
      </c>
      <c r="F931" s="1">
        <f t="shared" ca="1" si="28"/>
        <v>266.87112347058127</v>
      </c>
    </row>
    <row r="932" spans="1:6" x14ac:dyDescent="0.25">
      <c r="A932" s="1">
        <f t="array" aca="1" ref="A932:C932" ca="1">ODE_RK4(A931:C931,$B$5,$E$3,$F$3,$G$3)</f>
        <v>92.399999999999025</v>
      </c>
      <c r="B932" s="1">
        <f ca="1"/>
        <v>263.87280038090324</v>
      </c>
      <c r="C932" s="1">
        <f ca="1"/>
        <v>-30.370234541062452</v>
      </c>
      <c r="D932" s="1"/>
      <c r="E932">
        <f t="shared" ca="1" si="29"/>
        <v>5</v>
      </c>
      <c r="F932" s="1">
        <f t="shared" ca="1" si="28"/>
        <v>263.87280038090324</v>
      </c>
    </row>
    <row r="933" spans="1:6" x14ac:dyDescent="0.25">
      <c r="A933" s="1">
        <f t="array" aca="1" ref="A933:C933" ca="1">ODE_RK4(A932:C932,$B$5,$E$3,$F$3,$G$3)</f>
        <v>92.499999999999019</v>
      </c>
      <c r="B933" s="1">
        <f ca="1"/>
        <v>260.80838542732465</v>
      </c>
      <c r="C933" s="1">
        <f ca="1"/>
        <v>-31.026732400398728</v>
      </c>
      <c r="D933" s="1"/>
      <c r="E933">
        <f t="shared" ca="1" si="29"/>
        <v>5</v>
      </c>
      <c r="F933" s="1">
        <f t="shared" ca="1" si="28"/>
        <v>260.80838542732465</v>
      </c>
    </row>
    <row r="934" spans="1:6" x14ac:dyDescent="0.25">
      <c r="A934" s="1">
        <f t="array" aca="1" ref="A934:C934" ca="1">ODE_RK4(A933:C933,$B$5,$E$3,$F$3,$G$3)</f>
        <v>92.599999999999014</v>
      </c>
      <c r="B934" s="1">
        <f ca="1"/>
        <v>257.67864194526908</v>
      </c>
      <c r="C934" s="1">
        <f ca="1"/>
        <v>-31.675501077419611</v>
      </c>
      <c r="D934" s="1"/>
      <c r="E934">
        <f t="shared" ca="1" si="29"/>
        <v>5</v>
      </c>
      <c r="F934" s="1">
        <f t="shared" ca="1" si="28"/>
        <v>257.67864194526908</v>
      </c>
    </row>
    <row r="935" spans="1:6" x14ac:dyDescent="0.25">
      <c r="A935" s="1">
        <f t="array" aca="1" ref="A935:C935" ca="1">ODE_RK4(A934:C934,$B$5,$E$3,$F$3,$G$3)</f>
        <v>92.699999999999008</v>
      </c>
      <c r="B935" s="1">
        <f ca="1"/>
        <v>254.4843496337844</v>
      </c>
      <c r="C935" s="1">
        <f ca="1"/>
        <v>-32.316378061020792</v>
      </c>
      <c r="D935" s="1"/>
      <c r="E935">
        <f t="shared" ca="1" si="29"/>
        <v>5</v>
      </c>
      <c r="F935" s="1">
        <f t="shared" ca="1" si="28"/>
        <v>254.4843496337844</v>
      </c>
    </row>
    <row r="936" spans="1:6" x14ac:dyDescent="0.25">
      <c r="A936" s="1">
        <f t="array" aca="1" ref="A936:C936" ca="1">ODE_RK4(A935:C935,$B$5,$E$3,$F$3,$G$3)</f>
        <v>92.799999999999002</v>
      </c>
      <c r="B936" s="1">
        <f ca="1"/>
        <v>251.22630436130342</v>
      </c>
      <c r="C936" s="1">
        <f ca="1"/>
        <v>-32.949202806212696</v>
      </c>
      <c r="D936" s="1"/>
      <c r="E936">
        <f t="shared" ca="1" si="29"/>
        <v>5</v>
      </c>
      <c r="F936" s="1">
        <f t="shared" ca="1" si="28"/>
        <v>251.22630436130342</v>
      </c>
    </row>
    <row r="937" spans="1:6" x14ac:dyDescent="0.25">
      <c r="A937" s="1">
        <f t="array" aca="1" ref="A937:C937" ca="1">ODE_RK4(A936:C936,$B$5,$E$3,$F$3,$G$3)</f>
        <v>92.899999999998997</v>
      </c>
      <c r="B937" s="1">
        <f ca="1"/>
        <v>247.90531796735419</v>
      </c>
      <c r="C937" s="1">
        <f ca="1"/>
        <v>-33.573816774337885</v>
      </c>
      <c r="D937" s="1"/>
      <c r="E937">
        <f t="shared" ca="1" si="29"/>
        <v>5</v>
      </c>
      <c r="F937" s="1">
        <f t="shared" ca="1" si="28"/>
        <v>247.90531796735419</v>
      </c>
    </row>
    <row r="938" spans="1:6" x14ac:dyDescent="0.25">
      <c r="A938" s="1">
        <f t="array" aca="1" ref="A938:C938" ca="1">ODE_RK4(A937:C937,$B$5,$E$3,$F$3,$G$3)</f>
        <v>92.999999999998991</v>
      </c>
      <c r="B938" s="1">
        <f ca="1"/>
        <v>244.52221806026961</v>
      </c>
      <c r="C938" s="1">
        <f ca="1"/>
        <v>-34.190063472788552</v>
      </c>
      <c r="D938" s="1"/>
      <c r="E938">
        <f t="shared" ca="1" si="29"/>
        <v>5</v>
      </c>
      <c r="F938" s="1">
        <f t="shared" ca="1" si="28"/>
        <v>244.52221806026961</v>
      </c>
    </row>
    <row r="939" spans="1:6" x14ac:dyDescent="0.25">
      <c r="A939" s="1">
        <f t="array" aca="1" ref="A939:C939" ca="1">ODE_RK4(A938:C938,$B$5,$E$3,$F$3,$G$3)</f>
        <v>93.099999999998985</v>
      </c>
      <c r="B939" s="1">
        <f ca="1"/>
        <v>241.07784781094614</v>
      </c>
      <c r="C939" s="1">
        <f ca="1"/>
        <v>-34.797788494214167</v>
      </c>
      <c r="D939" s="1"/>
      <c r="E939">
        <f t="shared" ca="1" si="29"/>
        <v>5</v>
      </c>
      <c r="F939" s="1">
        <f t="shared" ca="1" si="28"/>
        <v>241.07784781094614</v>
      </c>
    </row>
    <row r="940" spans="1:6" x14ac:dyDescent="0.25">
      <c r="A940" s="1">
        <f t="array" aca="1" ref="A940:C940" ca="1">ODE_RK4(A939:C939,$B$5,$E$3,$F$3,$G$3)</f>
        <v>93.19999999999898</v>
      </c>
      <c r="B940" s="1">
        <f ca="1"/>
        <v>237.57306574270356</v>
      </c>
      <c r="C940" s="1">
        <f ca="1"/>
        <v>-35.396839555209482</v>
      </c>
      <c r="D940" s="1"/>
      <c r="E940">
        <f t="shared" ca="1" si="29"/>
        <v>5</v>
      </c>
      <c r="F940" s="1">
        <f t="shared" ca="1" si="28"/>
        <v>237.57306574270356</v>
      </c>
    </row>
    <row r="941" spans="1:6" x14ac:dyDescent="0.25">
      <c r="A941" s="1">
        <f t="array" aca="1" ref="A941:C941" ca="1">ODE_RK4(A940:C940,$B$5,$E$3,$F$3,$G$3)</f>
        <v>93.299999999998974</v>
      </c>
      <c r="B941" s="1">
        <f ca="1"/>
        <v>234.00874551729797</v>
      </c>
      <c r="C941" s="1">
        <f ca="1"/>
        <v>-35.987066534473115</v>
      </c>
      <c r="D941" s="1"/>
      <c r="E941">
        <f t="shared" ca="1" si="29"/>
        <v>5</v>
      </c>
      <c r="F941" s="1">
        <f t="shared" ca="1" si="28"/>
        <v>234.00874551729797</v>
      </c>
    </row>
    <row r="942" spans="1:6" x14ac:dyDescent="0.25">
      <c r="A942" s="1">
        <f t="array" aca="1" ref="A942:C942" ca="1">ODE_RK4(A941:C941,$B$5,$E$3,$F$3,$G$3)</f>
        <v>93.399999999998968</v>
      </c>
      <c r="B942" s="1">
        <f ca="1"/>
        <v>230.38577571714109</v>
      </c>
      <c r="C942" s="1">
        <f ca="1"/>
        <v>-36.568321510427268</v>
      </c>
      <c r="D942" s="1"/>
      <c r="E942">
        <f t="shared" ca="1" si="29"/>
        <v>5</v>
      </c>
      <c r="F942" s="1">
        <f t="shared" ca="1" si="28"/>
        <v>230.38577571714109</v>
      </c>
    </row>
    <row r="943" spans="1:6" x14ac:dyDescent="0.25">
      <c r="A943" s="1">
        <f t="array" aca="1" ref="A943:C943" ca="1">ODE_RK4(A942:C942,$B$5,$E$3,$F$3,$G$3)</f>
        <v>93.499999999998963</v>
      </c>
      <c r="B943" s="1">
        <f ca="1"/>
        <v>226.7050596237807</v>
      </c>
      <c r="C943" s="1">
        <f ca="1"/>
        <v>-37.14045879828906</v>
      </c>
      <c r="D943" s="1"/>
      <c r="E943">
        <f t="shared" ca="1" si="29"/>
        <v>5</v>
      </c>
      <c r="F943" s="1">
        <f t="shared" ca="1" si="28"/>
        <v>226.7050596237807</v>
      </c>
    </row>
    <row r="944" spans="1:6" x14ac:dyDescent="0.25">
      <c r="A944" s="1">
        <f t="array" aca="1" ref="A944:C944" ca="1">ODE_RK4(A943:C943,$B$5,$E$3,$F$3,$G$3)</f>
        <v>93.599999999998957</v>
      </c>
      <c r="B944" s="1">
        <f ca="1"/>
        <v>222.96751499269695</v>
      </c>
      <c r="C944" s="1">
        <f ca="1"/>
        <v>-37.70333498658421</v>
      </c>
      <c r="D944" s="1"/>
      <c r="E944">
        <f t="shared" ca="1" si="29"/>
        <v>5</v>
      </c>
      <c r="F944" s="1">
        <f t="shared" ca="1" si="28"/>
        <v>222.96751499269695</v>
      </c>
    </row>
    <row r="945" spans="1:6" x14ac:dyDescent="0.25">
      <c r="A945" s="1">
        <f t="array" aca="1" ref="A945:C945" ca="1">ODE_RK4(A944:C944,$B$5,$E$3,$F$3,$G$3)</f>
        <v>93.699999999998951</v>
      </c>
      <c r="B945" s="1">
        <f ca="1"/>
        <v>219.1740738244709</v>
      </c>
      <c r="C945" s="1">
        <f ca="1"/>
        <v>-38.25680897309396</v>
      </c>
      <c r="D945" s="1"/>
      <c r="E945">
        <f t="shared" ca="1" si="29"/>
        <v>5</v>
      </c>
      <c r="F945" s="1">
        <f t="shared" ca="1" si="28"/>
        <v>219.1740738244709</v>
      </c>
    </row>
    <row r="946" spans="1:6" x14ac:dyDescent="0.25">
      <c r="A946" s="1">
        <f t="array" aca="1" ref="A946:C946" ca="1">ODE_RK4(A945:C945,$B$5,$E$3,$F$3,$G$3)</f>
        <v>93.799999999998946</v>
      </c>
      <c r="B946" s="1">
        <f ca="1"/>
        <v>215.32568213238241</v>
      </c>
      <c r="C946" s="1">
        <f ca="1"/>
        <v>-38.800742000226144</v>
      </c>
      <c r="D946" s="1"/>
      <c r="E946">
        <f t="shared" ca="1" si="29"/>
        <v>5</v>
      </c>
      <c r="F946" s="1">
        <f t="shared" ca="1" si="28"/>
        <v>215.32568213238241</v>
      </c>
    </row>
    <row r="947" spans="1:6" x14ac:dyDescent="0.25">
      <c r="A947" s="1">
        <f t="array" aca="1" ref="A947:C947" ca="1">ODE_RK4(A946:C946,$B$5,$E$3,$F$3,$G$3)</f>
        <v>93.89999999999894</v>
      </c>
      <c r="B947" s="1">
        <f ca="1"/>
        <v>211.42329970649507</v>
      </c>
      <c r="C947" s="1">
        <f ca="1"/>
        <v>-39.334997689801625</v>
      </c>
      <c r="D947" s="1"/>
      <c r="E947">
        <f t="shared" ca="1" si="29"/>
        <v>5</v>
      </c>
      <c r="F947" s="1">
        <f t="shared" ca="1" si="28"/>
        <v>211.42329970649507</v>
      </c>
    </row>
    <row r="948" spans="1:6" x14ac:dyDescent="0.25">
      <c r="A948" s="1">
        <f t="array" aca="1" ref="A948:C948" ca="1">ODE_RK4(A947:C947,$B$5,$E$3,$F$3,$G$3)</f>
        <v>93.999999999998934</v>
      </c>
      <c r="B948" s="1">
        <f ca="1"/>
        <v>207.46789987428735</v>
      </c>
      <c r="C948" s="1">
        <f ca="1"/>
        <v>-39.85944207724733</v>
      </c>
      <c r="D948" s="1"/>
      <c r="E948">
        <f t="shared" ca="1" si="29"/>
        <v>5</v>
      </c>
      <c r="F948" s="1">
        <f t="shared" ca="1" si="28"/>
        <v>207.46789987428735</v>
      </c>
    </row>
    <row r="949" spans="1:6" x14ac:dyDescent="0.25">
      <c r="A949" s="1">
        <f t="array" aca="1" ref="A949:C949" ca="1">ODE_RK4(A948:C948,$B$5,$E$3,$F$3,$G$3)</f>
        <v>94.099999999998929</v>
      </c>
      <c r="B949" s="1">
        <f ca="1"/>
        <v>203.46046925788937</v>
      </c>
      <c r="C949" s="1">
        <f ca="1"/>
        <v>-40.373943645187303</v>
      </c>
      <c r="D949" s="1"/>
      <c r="E949">
        <f t="shared" ca="1" si="29"/>
        <v>5</v>
      </c>
      <c r="F949" s="1">
        <f t="shared" ca="1" si="28"/>
        <v>203.46046925788937</v>
      </c>
    </row>
    <row r="950" spans="1:6" x14ac:dyDescent="0.25">
      <c r="A950" s="1">
        <f t="array" aca="1" ref="A950:C950" ca="1">ODE_RK4(A949:C949,$B$5,$E$3,$F$3,$G$3)</f>
        <v>94.199999999998923</v>
      </c>
      <c r="B950" s="1">
        <f ca="1"/>
        <v>199.402007527986</v>
      </c>
      <c r="C950" s="1">
        <f ca="1"/>
        <v>-40.878373356423396</v>
      </c>
      <c r="D950" s="1"/>
      <c r="E950">
        <f t="shared" ca="1" si="29"/>
        <v>5</v>
      </c>
      <c r="F950" s="1">
        <f t="shared" ca="1" si="28"/>
        <v>199.402007527986</v>
      </c>
    </row>
    <row r="951" spans="1:6" x14ac:dyDescent="0.25">
      <c r="A951" s="1">
        <f t="array" aca="1" ref="A951:C951" ca="1">ODE_RK4(A950:C950,$B$5,$E$3,$F$3,$G$3)</f>
        <v>94.299999999998917</v>
      </c>
      <c r="B951" s="1">
        <f ca="1"/>
        <v>195.29352715444759</v>
      </c>
      <c r="C951" s="1">
        <f ca="1"/>
        <v>-41.372604686297279</v>
      </c>
      <c r="D951" s="1"/>
      <c r="E951">
        <f t="shared" ca="1" si="29"/>
        <v>5</v>
      </c>
      <c r="F951" s="1">
        <f t="shared" ca="1" si="28"/>
        <v>195.29352715444759</v>
      </c>
    </row>
    <row r="952" spans="1:6" x14ac:dyDescent="0.25">
      <c r="A952" s="1">
        <f t="array" aca="1" ref="A952:C952" ca="1">ODE_RK4(A951:C951,$B$5,$E$3,$F$3,$G$3)</f>
        <v>94.399999999998911</v>
      </c>
      <c r="B952" s="1">
        <f ca="1"/>
        <v>191.13605315375071</v>
      </c>
      <c r="C952" s="1">
        <f ca="1"/>
        <v>-41.856513654425676</v>
      </c>
      <c r="D952" s="1"/>
      <c r="E952">
        <f t="shared" ca="1" si="29"/>
        <v>5</v>
      </c>
      <c r="F952" s="1">
        <f t="shared" ca="1" si="28"/>
        <v>191.13605315375071</v>
      </c>
    </row>
    <row r="953" spans="1:6" x14ac:dyDescent="0.25">
      <c r="A953" s="1">
        <f t="array" aca="1" ref="A953:C953" ca="1">ODE_RK4(A952:C952,$B$5,$E$3,$F$3,$G$3)</f>
        <v>94.499999999998906</v>
      </c>
      <c r="B953" s="1">
        <f ca="1"/>
        <v>186.93062283325153</v>
      </c>
      <c r="C953" s="1">
        <f ca="1"/>
        <v>-42.329978855800903</v>
      </c>
      <c r="D953" s="1"/>
      <c r="E953">
        <f t="shared" ca="1" si="29"/>
        <v>5</v>
      </c>
      <c r="F953" s="1">
        <f t="shared" ca="1" si="28"/>
        <v>186.93062283325153</v>
      </c>
    </row>
    <row r="954" spans="1:6" x14ac:dyDescent="0.25">
      <c r="A954" s="1">
        <f t="array" aca="1" ref="A954:C954" ca="1">ODE_RK4(A953:C953,$B$5,$E$3,$F$3,$G$3)</f>
        <v>94.5999999999989</v>
      </c>
      <c r="B954" s="1">
        <f ca="1"/>
        <v>182.67828553237615</v>
      </c>
      <c r="C954" s="1">
        <f ca="1"/>
        <v>-42.792881491248806</v>
      </c>
      <c r="D954" s="1"/>
      <c r="E954">
        <f t="shared" ca="1" si="29"/>
        <v>5</v>
      </c>
      <c r="F954" s="1">
        <f t="shared" ca="1" si="28"/>
        <v>182.67828553237615</v>
      </c>
    </row>
    <row r="955" spans="1:6" x14ac:dyDescent="0.25">
      <c r="A955" s="1">
        <f t="array" aca="1" ref="A955:C955" ca="1">ODE_RK4(A954:C954,$B$5,$E$3,$F$3,$G$3)</f>
        <v>94.699999999998894</v>
      </c>
      <c r="B955" s="1">
        <f ca="1"/>
        <v>178.38010236079199</v>
      </c>
      <c r="C955" s="1">
        <f ca="1"/>
        <v>-43.245105397236586</v>
      </c>
      <c r="D955" s="1"/>
      <c r="E955">
        <f t="shared" ca="1" si="29"/>
        <v>5</v>
      </c>
      <c r="F955" s="1">
        <f t="shared" ca="1" si="28"/>
        <v>178.38010236079199</v>
      </c>
    </row>
    <row r="956" spans="1:6" x14ac:dyDescent="0.25">
      <c r="A956" s="1">
        <f t="array" aca="1" ref="A956:C956" ca="1">ODE_RK4(A955:C955,$B$5,$E$3,$F$3,$G$3)</f>
        <v>94.799999999998889</v>
      </c>
      <c r="B956" s="1">
        <f ca="1"/>
        <v>174.03714593362588</v>
      </c>
      <c r="C956" s="1">
        <f ca="1"/>
        <v>-43.686537075022919</v>
      </c>
      <c r="D956" s="1"/>
      <c r="E956">
        <f t="shared" ca="1" si="29"/>
        <v>5</v>
      </c>
      <c r="F956" s="1">
        <f t="shared" ca="1" si="28"/>
        <v>174.03714593362588</v>
      </c>
    </row>
    <row r="957" spans="1:6" x14ac:dyDescent="0.25">
      <c r="A957" s="1">
        <f t="array" aca="1" ref="A957:C957" ca="1">ODE_RK4(A956:C956,$B$5,$E$3,$F$3,$G$3)</f>
        <v>94.899999999998883</v>
      </c>
      <c r="B957" s="1">
        <f ca="1"/>
        <v>169.65050010379474</v>
      </c>
      <c r="C957" s="1">
        <f ca="1"/>
        <v>-44.117065719143156</v>
      </c>
      <c r="D957" s="1"/>
      <c r="E957">
        <f t="shared" ca="1" si="29"/>
        <v>5</v>
      </c>
      <c r="F957" s="1">
        <f t="shared" ca="1" si="28"/>
        <v>169.65050010379474</v>
      </c>
    </row>
    <row r="958" spans="1:6" x14ac:dyDescent="0.25">
      <c r="A958" s="1">
        <f t="array" aca="1" ref="A958:C958" ca="1">ODE_RK4(A957:C957,$B$5,$E$3,$F$3,$G$3)</f>
        <v>94.999999999998877</v>
      </c>
      <c r="B958" s="1">
        <f ca="1"/>
        <v>165.22125969151574</v>
      </c>
      <c r="C958" s="1">
        <f ca="1"/>
        <v>-44.536583245222339</v>
      </c>
      <c r="D958" s="1"/>
      <c r="E958">
        <f t="shared" ca="1" si="29"/>
        <v>5</v>
      </c>
      <c r="F958" s="1">
        <f t="shared" ca="1" si="28"/>
        <v>165.22125969151574</v>
      </c>
    </row>
    <row r="959" spans="1:6" x14ac:dyDescent="0.25">
      <c r="A959" s="1">
        <f t="array" aca="1" ref="A959:C959" ca="1">ODE_RK4(A958:C958,$B$5,$E$3,$F$3,$G$3)</f>
        <v>95.099999999998872</v>
      </c>
      <c r="B959" s="1">
        <f ca="1"/>
        <v>160.75053021106348</v>
      </c>
      <c r="C959" s="1">
        <f ca="1"/>
        <v>-44.944984317109181</v>
      </c>
      <c r="D959" s="1"/>
      <c r="E959">
        <f t="shared" ca="1" si="29"/>
        <v>5</v>
      </c>
      <c r="F959" s="1">
        <f t="shared" ca="1" si="28"/>
        <v>160.75053021106348</v>
      </c>
    </row>
    <row r="960" spans="1:6" x14ac:dyDescent="0.25">
      <c r="A960" s="1">
        <f t="array" aca="1" ref="A960:C960" ca="1">ODE_RK4(A959:C959,$B$5,$E$3,$F$3,$G$3)</f>
        <v>95.199999999998866</v>
      </c>
      <c r="B960" s="1">
        <f ca="1"/>
        <v>156.23942759484214</v>
      </c>
      <c r="C960" s="1">
        <f ca="1"/>
        <v>-45.342166373324083</v>
      </c>
      <c r="D960" s="1"/>
      <c r="E960">
        <f t="shared" ca="1" si="29"/>
        <v>5</v>
      </c>
      <c r="F960" s="1">
        <f t="shared" ca="1" si="28"/>
        <v>156.23942759484214</v>
      </c>
    </row>
    <row r="961" spans="1:6" x14ac:dyDescent="0.25">
      <c r="A961" s="1">
        <f t="array" aca="1" ref="A961:C961" ca="1">ODE_RK4(A960:C960,$B$5,$E$3,$F$3,$G$3)</f>
        <v>95.29999999999886</v>
      </c>
      <c r="B961" s="1">
        <f ca="1"/>
        <v>151.68907791484193</v>
      </c>
      <c r="C961" s="1">
        <f ca="1"/>
        <v>-45.728029652814634</v>
      </c>
      <c r="D961" s="1"/>
      <c r="E961">
        <f t="shared" ca="1" si="29"/>
        <v>5</v>
      </c>
      <c r="F961" s="1">
        <f t="shared" ca="1" si="28"/>
        <v>151.68907791484193</v>
      </c>
    </row>
    <row r="962" spans="1:6" x14ac:dyDescent="0.25">
      <c r="A962" s="1">
        <f t="array" aca="1" ref="A962:C962" ca="1">ODE_RK4(A961:C961,$B$5,$E$3,$F$3,$G$3)</f>
        <v>95.399999999998855</v>
      </c>
      <c r="B962" s="1">
        <f ca="1"/>
        <v>147.10061710154883</v>
      </c>
      <c r="C962" s="1">
        <f ca="1"/>
        <v>-46.102477220012062</v>
      </c>
      <c r="D962" s="1"/>
      <c r="E962">
        <f t="shared" ca="1" si="29"/>
        <v>5</v>
      </c>
      <c r="F962" s="1">
        <f t="shared" ca="1" si="28"/>
        <v>147.10061710154883</v>
      </c>
    </row>
    <row r="963" spans="1:6" x14ac:dyDescent="0.25">
      <c r="A963" s="1">
        <f t="array" aca="1" ref="A963:C963" ca="1">ODE_RK4(A962:C962,$B$5,$E$3,$F$3,$G$3)</f>
        <v>95.499999999998849</v>
      </c>
      <c r="B963" s="1">
        <f ca="1"/>
        <v>142.47519066037813</v>
      </c>
      <c r="C963" s="1">
        <f ca="1"/>
        <v>-46.465414989182406</v>
      </c>
      <c r="D963" s="1"/>
      <c r="E963">
        <f t="shared" ca="1" si="29"/>
        <v>5</v>
      </c>
      <c r="F963" s="1">
        <f t="shared" ca="1" si="28"/>
        <v>142.47519066037813</v>
      </c>
    </row>
    <row r="964" spans="1:6" x14ac:dyDescent="0.25">
      <c r="A964" s="1">
        <f t="array" aca="1" ref="A964:C964" ca="1">ODE_RK4(A963:C963,$B$5,$E$3,$F$3,$G$3)</f>
        <v>95.599999999998843</v>
      </c>
      <c r="B964" s="1">
        <f ca="1"/>
        <v>137.81395338570252</v>
      </c>
      <c r="C964" s="1">
        <f ca="1"/>
        <v>-46.816751748066217</v>
      </c>
      <c r="D964" s="1"/>
      <c r="E964">
        <f t="shared" ca="1" si="29"/>
        <v>5</v>
      </c>
      <c r="F964" s="1">
        <f t="shared" ca="1" si="28"/>
        <v>137.81395338570252</v>
      </c>
    </row>
    <row r="965" spans="1:6" x14ac:dyDescent="0.25">
      <c r="A965" s="1">
        <f t="array" aca="1" ref="A965:C965" ca="1">ODE_RK4(A964:C964,$B$5,$E$3,$F$3,$G$3)</f>
        <v>95.699999999998838</v>
      </c>
      <c r="B965" s="1">
        <f ca="1"/>
        <v>133.11806907254601</v>
      </c>
      <c r="C965" s="1">
        <f ca="1"/>
        <v>-47.156399180800918</v>
      </c>
      <c r="D965" s="1"/>
      <c r="E965">
        <f t="shared" ca="1" si="29"/>
        <v>5</v>
      </c>
      <c r="F965" s="1">
        <f t="shared" ca="1" si="28"/>
        <v>133.11806907254601</v>
      </c>
    </row>
    <row r="966" spans="1:6" x14ac:dyDescent="0.25">
      <c r="A966" s="1">
        <f t="array" aca="1" ref="A966:C966" ca="1">ODE_RK4(A965:C965,$B$5,$E$3,$F$3,$G$3)</f>
        <v>95.799999999998832</v>
      </c>
      <c r="B966" s="1">
        <f ca="1"/>
        <v>128.38871022601577</v>
      </c>
      <c r="C966" s="1">
        <f ca="1"/>
        <v>-47.484271890120034</v>
      </c>
      <c r="D966" s="1"/>
      <c r="E966">
        <f t="shared" ca="1" si="29"/>
        <v>5</v>
      </c>
      <c r="F966" s="1">
        <f t="shared" ca="1" si="28"/>
        <v>128.38871022601577</v>
      </c>
    </row>
    <row r="967" spans="1:6" x14ac:dyDescent="0.25">
      <c r="A967" s="1">
        <f t="array" aca="1" ref="A967:C967" ca="1">ODE_RK4(A966:C966,$B$5,$E$3,$F$3,$G$3)</f>
        <v>95.899999999998826</v>
      </c>
      <c r="B967" s="1">
        <f ca="1"/>
        <v>123.62705776854435</v>
      </c>
      <c r="C967" s="1">
        <f ca="1"/>
        <v>-47.800287418823679</v>
      </c>
      <c r="D967" s="1"/>
      <c r="E967">
        <f t="shared" ca="1" si="29"/>
        <v>5</v>
      </c>
      <c r="F967" s="1">
        <f t="shared" ca="1" si="28"/>
        <v>123.62705776854435</v>
      </c>
    </row>
    <row r="968" spans="1:6" x14ac:dyDescent="0.25">
      <c r="A968" s="1">
        <f t="array" aca="1" ref="A968:C968" ca="1">ODE_RK4(A967:C967,$B$5,$E$3,$F$3,$G$3)</f>
        <v>95.99999999999882</v>
      </c>
      <c r="B968" s="1">
        <f ca="1"/>
        <v>118.83430074501534</v>
      </c>
      <c r="C968" s="1">
        <f ca="1"/>
        <v>-48.10436627051498</v>
      </c>
      <c r="D968" s="1"/>
      <c r="E968">
        <f t="shared" ca="1" si="29"/>
        <v>5</v>
      </c>
      <c r="F968" s="1">
        <f t="shared" ref="F968:F1008" ca="1" si="30">B968</f>
        <v>118.83430074501534</v>
      </c>
    </row>
    <row r="969" spans="1:6" x14ac:dyDescent="0.25">
      <c r="A969" s="1">
        <f t="array" aca="1" ref="A969:C969" ca="1">ODE_RK4(A968:C968,$B$5,$E$3,$F$3,$G$3)</f>
        <v>96.099999999998815</v>
      </c>
      <c r="B969" s="1">
        <f ca="1"/>
        <v>114.01163602584633</v>
      </c>
      <c r="C969" s="1">
        <f ca="1"/>
        <v>-48.396431929597156</v>
      </c>
      <c r="D969" s="1"/>
      <c r="E969">
        <f t="shared" ref="E969:E1008" ca="1" si="31">(C969*C970&lt;0)*1+E968</f>
        <v>5</v>
      </c>
      <c r="F969" s="1">
        <f t="shared" ca="1" si="30"/>
        <v>114.01163602584633</v>
      </c>
    </row>
    <row r="970" spans="1:6" x14ac:dyDescent="0.25">
      <c r="A970" s="1">
        <f t="array" aca="1" ref="A970:C970" ca="1">ODE_RK4(A969:C969,$B$5,$E$3,$F$3,$G$3)</f>
        <v>96.199999999998809</v>
      </c>
      <c r="B970" s="1">
        <f ca="1"/>
        <v>109.16026800810302</v>
      </c>
      <c r="C970" s="1">
        <f ca="1"/>
        <v>-48.676410880526227</v>
      </c>
      <c r="D970" s="1"/>
      <c r="E970">
        <f t="shared" ca="1" si="31"/>
        <v>5</v>
      </c>
      <c r="F970" s="1">
        <f t="shared" ca="1" si="30"/>
        <v>109.16026800810302</v>
      </c>
    </row>
    <row r="971" spans="1:6" x14ac:dyDescent="0.25">
      <c r="A971" s="1">
        <f t="array" aca="1" ref="A971:C971" ca="1">ODE_RK4(A970:C970,$B$5,$E$3,$F$3,$G$3)</f>
        <v>96.299999999998803</v>
      </c>
      <c r="B971" s="1">
        <f ca="1"/>
        <v>104.28140831471931</v>
      </c>
      <c r="C971" s="1">
        <f ca="1"/>
        <v>-48.944232626314566</v>
      </c>
      <c r="D971" s="1"/>
      <c r="E971">
        <f t="shared" ca="1" si="31"/>
        <v>5</v>
      </c>
      <c r="F971" s="1">
        <f t="shared" ca="1" si="30"/>
        <v>104.28140831471931</v>
      </c>
    </row>
    <row r="972" spans="1:6" x14ac:dyDescent="0.25">
      <c r="A972" s="1">
        <f t="array" aca="1" ref="A972:C972" ca="1">ODE_RK4(A971:C971,$B$5,$E$3,$F$3,$G$3)</f>
        <v>96.399999999998798</v>
      </c>
      <c r="B972" s="1">
        <f ca="1"/>
        <v>99.376275491898454</v>
      </c>
      <c r="C972" s="1">
        <f ca="1"/>
        <v>-49.199829706280568</v>
      </c>
      <c r="D972" s="1"/>
      <c r="E972">
        <f t="shared" ca="1" si="31"/>
        <v>5</v>
      </c>
      <c r="F972" s="1">
        <f t="shared" ca="1" si="30"/>
        <v>99.376275491898454</v>
      </c>
    </row>
    <row r="973" spans="1:6" x14ac:dyDescent="0.25">
      <c r="A973" s="1">
        <f t="array" aca="1" ref="A973:C973" ca="1">ODE_RK4(A972:C972,$B$5,$E$3,$F$3,$G$3)</f>
        <v>96.499999999998792</v>
      </c>
      <c r="B973" s="1">
        <f ca="1"/>
        <v>94.446094704770687</v>
      </c>
      <c r="C973" s="1">
        <f ca="1"/>
        <v>-49.443137713039995</v>
      </c>
      <c r="D973" s="1"/>
      <c r="E973">
        <f t="shared" ca="1" si="31"/>
        <v>5</v>
      </c>
      <c r="F973" s="1">
        <f t="shared" ca="1" si="30"/>
        <v>94.446094704770687</v>
      </c>
    </row>
    <row r="974" spans="1:6" x14ac:dyDescent="0.25">
      <c r="A974" s="1">
        <f t="array" aca="1" ref="A974:C974" ca="1">ODE_RK4(A973:C973,$B$5,$E$3,$F$3,$G$3)</f>
        <v>96.599999999998786</v>
      </c>
      <c r="B974" s="1">
        <f ca="1"/>
        <v>89.492097431383641</v>
      </c>
      <c r="C974" s="1">
        <f ca="1"/>
        <v>-49.674095308734749</v>
      </c>
      <c r="D974" s="1"/>
      <c r="E974">
        <f t="shared" ca="1" si="31"/>
        <v>5</v>
      </c>
      <c r="F974" s="1">
        <f t="shared" ca="1" si="30"/>
        <v>89.492097431383641</v>
      </c>
    </row>
    <row r="975" spans="1:6" x14ac:dyDescent="0.25">
      <c r="A975" s="1">
        <f t="array" aca="1" ref="A975:C975" ca="1">ODE_RK4(A974:C974,$B$5,$E$3,$F$3,$G$3)</f>
        <v>96.699999999998781</v>
      </c>
      <c r="B975" s="1">
        <f ca="1"/>
        <v>84.515521155101737</v>
      </c>
      <c r="C975" s="1">
        <f ca="1"/>
        <v>-49.892644240494917</v>
      </c>
      <c r="D975" s="1"/>
      <c r="E975">
        <f t="shared" ca="1" si="31"/>
        <v>5</v>
      </c>
      <c r="F975" s="1">
        <f t="shared" ca="1" si="30"/>
        <v>84.515521155101737</v>
      </c>
    </row>
    <row r="976" spans="1:6" x14ac:dyDescent="0.25">
      <c r="A976" s="1">
        <f t="array" aca="1" ref="A976:C976" ca="1">ODE_RK4(A975:C975,$B$5,$E$3,$F$3,$G$3)</f>
        <v>96.799999999998775</v>
      </c>
      <c r="B976" s="1">
        <f ca="1"/>
        <v>79.51760905549142</v>
      </c>
      <c r="C976" s="1">
        <f ca="1"/>
        <v>-50.098729355130246</v>
      </c>
      <c r="D976" s="1"/>
      <c r="E976">
        <f t="shared" ca="1" si="31"/>
        <v>5</v>
      </c>
      <c r="F976" s="1">
        <f t="shared" ca="1" si="30"/>
        <v>79.51760905549142</v>
      </c>
    </row>
    <row r="977" spans="1:6" x14ac:dyDescent="0.25">
      <c r="A977" s="1">
        <f t="array" aca="1" ref="A977:C977" ca="1">ODE_RK4(A976:C976,$B$5,$E$3,$F$3,$G$3)</f>
        <v>96.899999999998769</v>
      </c>
      <c r="B977" s="1">
        <f ca="1"/>
        <v>74.499609697769571</v>
      </c>
      <c r="C977" s="1">
        <f ca="1"/>
        <v>-50.292298613047329</v>
      </c>
      <c r="D977" s="1"/>
      <c r="E977">
        <f t="shared" ca="1" si="31"/>
        <v>5</v>
      </c>
      <c r="F977" s="1">
        <f t="shared" ca="1" si="30"/>
        <v>74.499609697769571</v>
      </c>
    </row>
    <row r="978" spans="1:6" x14ac:dyDescent="0.25">
      <c r="A978" s="1">
        <f t="array" aca="1" ref="A978:C978" ca="1">ODE_RK4(A977:C977,$B$5,$E$3,$F$3,$G$3)</f>
        <v>96.999999999998764</v>
      </c>
      <c r="B978" s="1">
        <f ca="1"/>
        <v>69.462776720892521</v>
      </c>
      <c r="C978" s="1">
        <f ca="1"/>
        <v>-50.473303101388986</v>
      </c>
      <c r="D978" s="1"/>
      <c r="E978">
        <f t="shared" ca="1" si="31"/>
        <v>5</v>
      </c>
      <c r="F978" s="1">
        <f t="shared" ca="1" si="30"/>
        <v>69.462776720892521</v>
      </c>
    </row>
    <row r="979" spans="1:6" x14ac:dyDescent="0.25">
      <c r="A979" s="1">
        <f t="array" aca="1" ref="A979:C979" ca="1">ODE_RK4(A978:C978,$B$5,$E$3,$F$3,$G$3)</f>
        <v>97.099999999998758</v>
      </c>
      <c r="B979" s="1">
        <f ca="1"/>
        <v>64.408368524363709</v>
      </c>
      <c r="C979" s="1">
        <f ca="1"/>
        <v>-50.641697046392501</v>
      </c>
      <c r="D979" s="1"/>
      <c r="E979">
        <f t="shared" ca="1" si="31"/>
        <v>5</v>
      </c>
      <c r="F979" s="1">
        <f t="shared" ca="1" si="30"/>
        <v>64.408368524363709</v>
      </c>
    </row>
    <row r="980" spans="1:6" x14ac:dyDescent="0.25">
      <c r="A980" s="1">
        <f t="array" aca="1" ref="A980:C980" ca="1">ODE_RK4(A979:C979,$B$5,$E$3,$F$3,$G$3)</f>
        <v>97.199999999998752</v>
      </c>
      <c r="B980" s="1">
        <f ca="1"/>
        <v>59.337647953838172</v>
      </c>
      <c r="C980" s="1">
        <f ca="1"/>
        <v>-50.797437824963666</v>
      </c>
      <c r="D980" s="1"/>
      <c r="E980">
        <f t="shared" ca="1" si="31"/>
        <v>5</v>
      </c>
      <c r="F980" s="1">
        <f t="shared" ca="1" si="30"/>
        <v>59.337647953838172</v>
      </c>
    </row>
    <row r="981" spans="1:6" x14ac:dyDescent="0.25">
      <c r="A981" s="1">
        <f t="array" aca="1" ref="A981:C981" ca="1">ODE_RK4(A980:C980,$B$5,$E$3,$F$3,$G$3)</f>
        <v>97.299999999998747</v>
      </c>
      <c r="B981" s="1">
        <f ca="1"/>
        <v>54.251881985602381</v>
      </c>
      <c r="C981" s="1">
        <f ca="1"/>
        <v>-50.940485975463581</v>
      </c>
      <c r="D981" s="1"/>
      <c r="E981">
        <f t="shared" ca="1" si="31"/>
        <v>5</v>
      </c>
      <c r="F981" s="1">
        <f t="shared" ca="1" si="30"/>
        <v>54.251881985602381</v>
      </c>
    </row>
    <row r="982" spans="1:6" x14ac:dyDescent="0.25">
      <c r="A982" s="1">
        <f t="array" aca="1" ref="A982:C982" ca="1">ODE_RK4(A981:C981,$B$5,$E$3,$F$3,$G$3)</f>
        <v>97.399999999998741</v>
      </c>
      <c r="B982" s="1">
        <f ca="1"/>
        <v>49.152341410008333</v>
      </c>
      <c r="C982" s="1">
        <f ca="1"/>
        <v>-51.070805207705618</v>
      </c>
      <c r="D982" s="1"/>
      <c r="E982">
        <f t="shared" ca="1" si="31"/>
        <v>5</v>
      </c>
      <c r="F982" s="1">
        <f t="shared" ca="1" si="30"/>
        <v>49.152341410008333</v>
      </c>
    </row>
    <row r="983" spans="1:6" x14ac:dyDescent="0.25">
      <c r="A983" s="1">
        <f t="array" aca="1" ref="A983:C983" ca="1">ODE_RK4(A982:C982,$B$5,$E$3,$F$3,$G$3)</f>
        <v>97.499999999998735</v>
      </c>
      <c r="B983" s="1">
        <f ca="1"/>
        <v>44.040300513940949</v>
      </c>
      <c r="C983" s="1">
        <f ca="1"/>
        <v>-51.18836241215994</v>
      </c>
      <c r="D983" s="1"/>
      <c r="E983">
        <f t="shared" ca="1" si="31"/>
        <v>5</v>
      </c>
      <c r="F983" s="1">
        <f t="shared" ca="1" si="30"/>
        <v>44.040300513940949</v>
      </c>
    </row>
    <row r="984" spans="1:6" x14ac:dyDescent="0.25">
      <c r="A984" s="1">
        <f t="array" aca="1" ref="A984:C984" ca="1">ODE_RK4(A983:C983,$B$5,$E$3,$F$3,$G$3)</f>
        <v>97.59999999999873</v>
      </c>
      <c r="B984" s="1">
        <f ca="1"/>
        <v>38.917036762398098</v>
      </c>
      <c r="C984" s="1">
        <f ca="1"/>
        <v>-51.293127668363226</v>
      </c>
      <c r="D984" s="1"/>
      <c r="E984">
        <f t="shared" ca="1" si="31"/>
        <v>5</v>
      </c>
      <c r="F984" s="1">
        <f t="shared" ca="1" si="30"/>
        <v>38.917036762398098</v>
      </c>
    </row>
    <row r="985" spans="1:6" x14ac:dyDescent="0.25">
      <c r="A985" s="1">
        <f t="array" aca="1" ref="A985:C985" ca="1">ODE_RK4(A984:C984,$B$5,$E$3,$F$3,$G$3)</f>
        <v>97.699999999998724</v>
      </c>
      <c r="B985" s="1">
        <f ca="1"/>
        <v>33.783830479262882</v>
      </c>
      <c r="C985" s="1">
        <f ca="1"/>
        <v>-51.385074252531531</v>
      </c>
      <c r="D985" s="1"/>
      <c r="E985">
        <f t="shared" ca="1" si="31"/>
        <v>5</v>
      </c>
      <c r="F985" s="1">
        <f t="shared" ca="1" si="30"/>
        <v>33.783830479262882</v>
      </c>
    </row>
    <row r="986" spans="1:6" x14ac:dyDescent="0.25">
      <c r="A986" s="1">
        <f t="array" aca="1" ref="A986:C986" ca="1">ODE_RK4(A985:C985,$B$5,$E$3,$F$3,$G$3)</f>
        <v>97.799999999998718</v>
      </c>
      <c r="B986" s="1">
        <f ca="1"/>
        <v>28.641964527347874</v>
      </c>
      <c r="C986" s="1">
        <f ca="1"/>
        <v>-51.464178644374279</v>
      </c>
      <c r="D986" s="1"/>
      <c r="E986">
        <f t="shared" ca="1" si="31"/>
        <v>5</v>
      </c>
      <c r="F986" s="1">
        <f t="shared" ca="1" si="30"/>
        <v>28.641964527347874</v>
      </c>
    </row>
    <row r="987" spans="1:6" x14ac:dyDescent="0.25">
      <c r="A987" s="1">
        <f t="array" aca="1" ref="A987:C987" ca="1">ODE_RK4(A986:C986,$B$5,$E$3,$F$3,$G$3)</f>
        <v>97.899999999998712</v>
      </c>
      <c r="B987" s="1">
        <f ca="1"/>
        <v>23.492723987791337</v>
      </c>
      <c r="C987" s="1">
        <f ca="1"/>
        <v>-51.530420533107694</v>
      </c>
      <c r="D987" s="1"/>
      <c r="E987">
        <f t="shared" ca="1" si="31"/>
        <v>5</v>
      </c>
      <c r="F987" s="1">
        <f t="shared" ca="1" si="30"/>
        <v>23.492723987791337</v>
      </c>
    </row>
    <row r="988" spans="1:6" x14ac:dyDescent="0.25">
      <c r="A988" s="1">
        <f t="array" aca="1" ref="A988:C988" ca="1">ODE_RK4(A987:C987,$B$5,$E$3,$F$3,$G$3)</f>
        <v>97.999999999998707</v>
      </c>
      <c r="B988" s="1">
        <f ca="1"/>
        <v>18.337395838885488</v>
      </c>
      <c r="C988" s="1">
        <f ca="1"/>
        <v>-51.583782822666144</v>
      </c>
      <c r="D988" s="1"/>
      <c r="E988">
        <f t="shared" ca="1" si="31"/>
        <v>5</v>
      </c>
      <c r="F988" s="1">
        <f t="shared" ca="1" si="30"/>
        <v>18.337395838885488</v>
      </c>
    </row>
    <row r="989" spans="1:6" x14ac:dyDescent="0.25">
      <c r="A989" s="1">
        <f t="array" aca="1" ref="A989:C989" ca="1">ODE_RK4(A988:C988,$B$5,$E$3,$F$3,$G$3)</f>
        <v>98.099999999998701</v>
      </c>
      <c r="B989" s="1">
        <f ca="1"/>
        <v>13.177268634417128</v>
      </c>
      <c r="C989" s="1">
        <f ca="1"/>
        <v>-51.624251636109996</v>
      </c>
      <c r="D989" s="1"/>
      <c r="E989">
        <f t="shared" ca="1" si="31"/>
        <v>5</v>
      </c>
      <c r="F989" s="1">
        <f t="shared" ca="1" si="30"/>
        <v>13.177268634417128</v>
      </c>
    </row>
    <row r="990" spans="1:6" x14ac:dyDescent="0.25">
      <c r="A990" s="1">
        <f t="array" aca="1" ref="A990:C990" ca="1">ODE_RK4(A989:C989,$B$5,$E$3,$F$3,$G$3)</f>
        <v>98.199999999998695</v>
      </c>
      <c r="B990" s="1">
        <f ca="1"/>
        <v>8.0136321816009755</v>
      </c>
      <c r="C990" s="1">
        <f ca="1"/>
        <v>-51.651816319228907</v>
      </c>
      <c r="D990" s="1"/>
      <c r="E990">
        <f t="shared" ca="1" si="31"/>
        <v>5</v>
      </c>
      <c r="F990" s="1">
        <f t="shared" ca="1" si="30"/>
        <v>8.0136321816009755</v>
      </c>
    </row>
    <row r="991" spans="1:6" x14ac:dyDescent="0.25">
      <c r="A991" s="1">
        <f t="array" aca="1" ref="A991:C991" ca="1">ODE_RK4(A990:C990,$B$5,$E$3,$F$3,$G$3)</f>
        <v>98.29999999999869</v>
      </c>
      <c r="B991" s="1">
        <f ca="1"/>
        <v>2.8477772186862502</v>
      </c>
      <c r="C991" s="1">
        <f ca="1"/>
        <v>-51.666469443339608</v>
      </c>
      <c r="D991" s="1"/>
      <c r="E991">
        <f t="shared" ca="1" si="31"/>
        <v>5</v>
      </c>
      <c r="F991" s="1">
        <f t="shared" ca="1" si="30"/>
        <v>2.8477772186862502</v>
      </c>
    </row>
    <row r="992" spans="1:6" x14ac:dyDescent="0.25">
      <c r="A992" s="1">
        <f t="array" aca="1" ref="A992:C992" ca="1">ODE_RK4(A991:C991,$B$5,$E$3,$F$3,$G$3)</f>
        <v>98.399999999998684</v>
      </c>
      <c r="B992" s="1">
        <f ca="1"/>
        <v>-2.3190049076829373</v>
      </c>
      <c r="C992" s="1">
        <f ca="1"/>
        <v>-51.668206807277429</v>
      </c>
      <c r="D992" s="1"/>
      <c r="E992">
        <f t="shared" ca="1" si="31"/>
        <v>5</v>
      </c>
      <c r="F992" s="1">
        <f t="shared" ca="1" si="30"/>
        <v>-2.3190049076829373</v>
      </c>
    </row>
    <row r="993" spans="1:6" x14ac:dyDescent="0.25">
      <c r="A993" s="1">
        <f t="array" aca="1" ref="A993:C993" ca="1">ODE_RK4(A992:C992,$B$5,$E$3,$F$3,$G$3)</f>
        <v>98.499999999998678</v>
      </c>
      <c r="B993" s="1">
        <f ca="1"/>
        <v>-7.4854225652727289</v>
      </c>
      <c r="C993" s="1">
        <f ca="1"/>
        <v>-51.657027438581032</v>
      </c>
      <c r="D993" s="1"/>
      <c r="E993">
        <f t="shared" ca="1" si="31"/>
        <v>5</v>
      </c>
      <c r="F993" s="1">
        <f t="shared" ca="1" si="30"/>
        <v>-7.4854225652727289</v>
      </c>
    </row>
    <row r="994" spans="1:6" x14ac:dyDescent="0.25">
      <c r="A994" s="1">
        <f t="array" aca="1" ref="A994:C994" ca="1">ODE_RK4(A993:C993,$B$5,$E$3,$F$3,$G$3)</f>
        <v>98.599999999998673</v>
      </c>
      <c r="B994" s="1">
        <f ca="1"/>
        <v>-12.650184159149514</v>
      </c>
      <c r="C994" s="1">
        <f ca="1"/>
        <v>-51.632933593870057</v>
      </c>
      <c r="D994" s="1"/>
      <c r="E994">
        <f t="shared" ca="1" si="31"/>
        <v>5</v>
      </c>
      <c r="F994" s="1">
        <f t="shared" ca="1" si="30"/>
        <v>-12.650184159149514</v>
      </c>
    </row>
    <row r="995" spans="1:6" x14ac:dyDescent="0.25">
      <c r="A995" s="1">
        <f t="array" aca="1" ref="A995:C995" ca="1">ODE_RK4(A994:C994,$B$5,$E$3,$F$3,$G$3)</f>
        <v>98.699999999998667</v>
      </c>
      <c r="B995" s="1">
        <f ca="1"/>
        <v>-17.811998454574056</v>
      </c>
      <c r="C995" s="1">
        <f ca="1"/>
        <v>-51.595930758415506</v>
      </c>
      <c r="D995" s="1"/>
      <c r="E995">
        <f t="shared" ca="1" si="31"/>
        <v>5</v>
      </c>
      <c r="F995" s="1">
        <f t="shared" ca="1" si="30"/>
        <v>-17.811998454574056</v>
      </c>
    </row>
    <row r="996" spans="1:6" x14ac:dyDescent="0.25">
      <c r="A996" s="1">
        <f t="array" aca="1" ref="A996:C996" ca="1">ODE_RK4(A995:C995,$B$5,$E$3,$F$3,$G$3)</f>
        <v>98.799999999998661</v>
      </c>
      <c r="B996" s="1">
        <f ca="1"/>
        <v>-22.969574899819008</v>
      </c>
      <c r="C996" s="1">
        <f ca="1"/>
        <v>-51.546027644902985</v>
      </c>
      <c r="D996" s="1"/>
      <c r="E996">
        <f t="shared" ca="1" si="31"/>
        <v>5</v>
      </c>
      <c r="F996" s="1">
        <f t="shared" ca="1" si="30"/>
        <v>-22.969574899819008</v>
      </c>
    </row>
    <row r="997" spans="1:6" x14ac:dyDescent="0.25">
      <c r="A997" s="1">
        <f t="array" aca="1" ref="A997:C997" ca="1">ODE_RK4(A996:C996,$B$5,$E$3,$F$3,$G$3)</f>
        <v>98.899999999998656</v>
      </c>
      <c r="B997" s="1">
        <f ca="1"/>
        <v>-28.121623948829154</v>
      </c>
      <c r="C997" s="1">
        <f ca="1"/>
        <v>-51.483236191389025</v>
      </c>
      <c r="D997" s="1"/>
      <c r="E997">
        <f t="shared" ca="1" si="31"/>
        <v>5</v>
      </c>
      <c r="F997" s="1">
        <f t="shared" ca="1" si="30"/>
        <v>-28.121623948829154</v>
      </c>
    </row>
    <row r="998" spans="1:6" x14ac:dyDescent="0.25">
      <c r="A998" s="1">
        <f t="array" aca="1" ref="A998:C998" ca="1">ODE_RK4(A997:C997,$B$5,$E$3,$F$3,$G$3)</f>
        <v>98.99999999999865</v>
      </c>
      <c r="B998" s="1">
        <f ca="1"/>
        <v>-33.266857383643654</v>
      </c>
      <c r="C998" s="1">
        <f ca="1"/>
        <v>-51.407571558451018</v>
      </c>
      <c r="D998" s="1"/>
      <c r="E998">
        <f t="shared" ca="1" si="31"/>
        <v>5</v>
      </c>
      <c r="F998" s="1">
        <f t="shared" ca="1" si="30"/>
        <v>-33.266857383643654</v>
      </c>
    </row>
    <row r="999" spans="1:6" x14ac:dyDescent="0.25">
      <c r="A999" s="1">
        <f t="array" aca="1" ref="A999:C999" ca="1">ODE_RK4(A998:C998,$B$5,$E$3,$F$3,$G$3)</f>
        <v>99.099999999998644</v>
      </c>
      <c r="B999" s="1">
        <f ca="1"/>
        <v>-38.403988636499726</v>
      </c>
      <c r="C999" s="1">
        <f ca="1"/>
        <v>-51.319052125531414</v>
      </c>
      <c r="D999" s="1"/>
      <c r="E999">
        <f t="shared" ca="1" si="31"/>
        <v>5</v>
      </c>
      <c r="F999" s="1">
        <f t="shared" ca="1" si="30"/>
        <v>-38.403988636499726</v>
      </c>
    </row>
    <row r="1000" spans="1:6" x14ac:dyDescent="0.25">
      <c r="A1000" s="1">
        <f t="array" aca="1" ref="A1000:C1000" ca="1">ODE_RK4(A999:C999,$B$5,$E$3,$F$3,$G$3)</f>
        <v>99.199999999998639</v>
      </c>
      <c r="B1000" s="1">
        <f ca="1"/>
        <v>-43.5317331115372</v>
      </c>
      <c r="C1000" s="1">
        <f ca="1"/>
        <v>-51.217699486477052</v>
      </c>
      <c r="D1000" s="1"/>
      <c r="E1000">
        <f t="shared" ca="1" si="31"/>
        <v>5</v>
      </c>
      <c r="F1000" s="1">
        <f t="shared" ca="1" si="30"/>
        <v>-43.5317331115372</v>
      </c>
    </row>
    <row r="1001" spans="1:6" x14ac:dyDescent="0.25">
      <c r="A1001" s="1">
        <f t="array" aca="1" ref="A1001:C1001" ca="1">ODE_RK4(A1000:C1000,$B$5,$E$3,$F$3,$G$3)</f>
        <v>99.299999999998633</v>
      </c>
      <c r="B1001" s="1">
        <f ca="1"/>
        <v>-48.648808506023499</v>
      </c>
      <c r="C1001" s="1">
        <f ca="1"/>
        <v>-51.103538444274733</v>
      </c>
      <c r="D1001" s="1"/>
      <c r="E1001">
        <f t="shared" ca="1" si="31"/>
        <v>5</v>
      </c>
      <c r="F1001" s="1">
        <f t="shared" ca="1" si="30"/>
        <v>-48.648808506023499</v>
      </c>
    </row>
    <row r="1002" spans="1:6" x14ac:dyDescent="0.25">
      <c r="A1002" s="1">
        <f t="array" aca="1" ref="A1002:C1002" ca="1">ODE_RK4(A1001:C1001,$B$5,$E$3,$F$3,$G$3)</f>
        <v>99.399999999998627</v>
      </c>
      <c r="B1002" s="1">
        <f ca="1"/>
        <v>-53.753935131018757</v>
      </c>
      <c r="C1002" s="1">
        <f ca="1"/>
        <v>-50.976597004984292</v>
      </c>
      <c r="D1002" s="1"/>
      <c r="E1002">
        <f t="shared" ca="1" si="31"/>
        <v>5</v>
      </c>
      <c r="F1002" s="1">
        <f t="shared" ca="1" si="30"/>
        <v>-53.753935131018757</v>
      </c>
    </row>
    <row r="1003" spans="1:6" x14ac:dyDescent="0.25">
      <c r="A1003" s="1">
        <f t="array" aca="1" ref="A1003:C1003" ca="1">ODE_RK4(A1002:C1002,$B$5,$E$3,$F$3,$G$3)</f>
        <v>99.499999999998622</v>
      </c>
      <c r="B1003" s="1">
        <f ca="1"/>
        <v>-58.845836231400831</v>
      </c>
      <c r="C1003" s="1">
        <f ca="1"/>
        <v>-50.836906370870686</v>
      </c>
      <c r="D1003" s="1"/>
      <c r="E1003">
        <f t="shared" ca="1" si="31"/>
        <v>5</v>
      </c>
      <c r="F1003" s="1">
        <f t="shared" ca="1" si="30"/>
        <v>-58.845836231400831</v>
      </c>
    </row>
    <row r="1004" spans="1:6" x14ac:dyDescent="0.25">
      <c r="A1004" s="1">
        <f t="array" aca="1" ref="A1004:C1004" ca="1">ODE_RK4(A1003:C1003,$B$5,$E$3,$F$3,$G$3)</f>
        <v>99.599999999998616</v>
      </c>
      <c r="B1004" s="1">
        <f ca="1"/>
        <v>-63.923238305170237</v>
      </c>
      <c r="C1004" s="1">
        <f ca="1"/>
        <v>-50.684500932736732</v>
      </c>
      <c r="D1004" s="1"/>
      <c r="E1004">
        <f t="shared" ca="1" si="31"/>
        <v>5</v>
      </c>
      <c r="F1004" s="1">
        <f t="shared" ca="1" si="30"/>
        <v>-63.923238305170237</v>
      </c>
    </row>
    <row r="1005" spans="1:6" x14ac:dyDescent="0.25">
      <c r="A1005" s="1">
        <f t="array" aca="1" ref="A1005:C1005" ca="1">ODE_RK4(A1004:C1004,$B$5,$E$3,$F$3,$G$3)</f>
        <v>99.69999999999861</v>
      </c>
      <c r="B1005" s="1">
        <f ca="1"/>
        <v>-68.984871421955091</v>
      </c>
      <c r="C1005" s="1">
        <f ca="1"/>
        <v>-50.519418261458419</v>
      </c>
      <c r="D1005" s="1"/>
      <c r="E1005">
        <f t="shared" ca="1" si="31"/>
        <v>5</v>
      </c>
      <c r="F1005" s="1">
        <f t="shared" ca="1" si="30"/>
        <v>-68.984871421955091</v>
      </c>
    </row>
    <row r="1006" spans="1:6" x14ac:dyDescent="0.25">
      <c r="A1006" s="1">
        <f t="array" aca="1" ref="A1006:C1006" ca="1">ODE_RK4(A1005:C1005,$B$5,$E$3,$F$3,$G$3)</f>
        <v>99.799999999998604</v>
      </c>
      <c r="B1006" s="1">
        <f ca="1"/>
        <v>-74.02946954063647</v>
      </c>
      <c r="C1006" s="1">
        <f ca="1"/>
        <v>-50.341699098724867</v>
      </c>
      <c r="D1006" s="1"/>
      <c r="E1006">
        <f t="shared" ca="1" si="31"/>
        <v>5</v>
      </c>
      <c r="F1006" s="1">
        <f t="shared" ca="1" si="30"/>
        <v>-74.02946954063647</v>
      </c>
    </row>
    <row r="1007" spans="1:6" x14ac:dyDescent="0.25">
      <c r="A1007" s="1">
        <f t="array" aca="1" ref="A1007:C1007" ca="1">ODE_RK4(A1006:C1006,$B$5,$E$3,$F$3,$G$3)</f>
        <v>99.899999999998599</v>
      </c>
      <c r="B1007" s="1">
        <f ca="1"/>
        <v>-79.055770826014665</v>
      </c>
      <c r="C1007" s="1">
        <f ca="1"/>
        <v>-50.151387346985217</v>
      </c>
      <c r="D1007" s="1"/>
      <c r="E1007">
        <f t="shared" ca="1" si="31"/>
        <v>5</v>
      </c>
      <c r="F1007" s="1">
        <f t="shared" ca="1" si="30"/>
        <v>-79.055770826014665</v>
      </c>
    </row>
    <row r="1008" spans="1:6" x14ac:dyDescent="0.25">
      <c r="A1008" s="1">
        <f t="array" aca="1" ref="A1008:C1008" ca="1">ODE_RK4(A1007:C1007,$B$5,$E$3,$F$3,$G$3)</f>
        <v>99.999999999998593</v>
      </c>
      <c r="B1008" s="1">
        <f ca="1"/>
        <v>-84.06251796443722</v>
      </c>
      <c r="C1008" s="1">
        <f ca="1"/>
        <v>-49.948530058604916</v>
      </c>
      <c r="D1008" s="1"/>
      <c r="E1008">
        <f t="shared" ca="1" si="31"/>
        <v>5</v>
      </c>
      <c r="F1008" s="1">
        <f t="shared" ca="1" si="30"/>
        <v>-84.06251796443722</v>
      </c>
    </row>
  </sheetData>
  <pageMargins left="0.511811024" right="0.511811024" top="0.78740157499999996" bottom="0.78740157499999996" header="0.31496062000000002" footer="0.3149606200000000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Plan1</vt:lpstr>
      <vt:lpstr>Plan2</vt:lpstr>
      <vt:lpstr>Plan3</vt:lpstr>
      <vt:lpstr>Graf1</vt:lpstr>
      <vt:lpstr>Graf2</vt:lpstr>
      <vt:lpstr>Graf3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</dc:creator>
  <cp:lastModifiedBy>Gustavo Mirapalheta</cp:lastModifiedBy>
  <dcterms:created xsi:type="dcterms:W3CDTF">2010-10-17T04:43:31Z</dcterms:created>
  <dcterms:modified xsi:type="dcterms:W3CDTF">2021-12-02T15:26:26Z</dcterms:modified>
</cp:coreProperties>
</file>