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Gustavo\Documents\Dropbox\Disciplinas\Métodos Numéricos\"/>
    </mc:Choice>
  </mc:AlternateContent>
  <bookViews>
    <workbookView xWindow="0" yWindow="0" windowWidth="20490" windowHeight="8910" firstSheet="9" activeTab="9"/>
  </bookViews>
  <sheets>
    <sheet name="1D-Sylvester" sheetId="2" r:id="rId1"/>
    <sheet name="1D-Chapra v.1" sheetId="3" r:id="rId2"/>
    <sheet name="1D-Chapra v.2" sheetId="4" r:id="rId3"/>
    <sheet name="1D-Chapra v.3" sheetId="5" r:id="rId4"/>
    <sheet name="1D-Chapra v.4" sheetId="6" r:id="rId5"/>
    <sheet name="1D-Chapra v.5" sheetId="7" r:id="rId6"/>
    <sheet name="1D-Chapra v.6" sheetId="8" r:id="rId7"/>
    <sheet name="2D-1oElemento" sheetId="9" r:id="rId8"/>
    <sheet name="2D-2oElemento" sheetId="10" r:id="rId9"/>
    <sheet name="2D-StrangVBA" sheetId="1" r:id="rId10"/>
    <sheet name="2D-Chapra" sheetId="11" r:id="rId11"/>
    <sheet name="2D-Chapra v.2" sheetId="12" r:id="rId12"/>
    <sheet name="2D-Chapra v.2 VBA" sheetId="15" r:id="rId13"/>
  </sheets>
  <functionGroups builtInGroupCount="18"/>
  <definedNames>
    <definedName name="C_">'1D-Sylvester'!$C$3:$H$12</definedName>
    <definedName name="CtSC_">'1D-Sylvester'!$W$3:$AB$8</definedName>
    <definedName name="CtTC_">'1D-Sylvester'!$W$15:$AB$20</definedName>
    <definedName name="g_">'1D-Sylvester'!$AK$24</definedName>
    <definedName name="L_">'1D-Sylvester'!$AF$28</definedName>
    <definedName name="Le_">'1D-Sylvester'!$AK$25</definedName>
    <definedName name="M_">'1D-Sylvester'!$AE$3:$AJ$8</definedName>
    <definedName name="R_">'1D-Sylvester'!$AK$23</definedName>
    <definedName name="S_">'1D-Sylvester'!$K$3:$T$12</definedName>
    <definedName name="solver_adj" localSheetId="2" hidden="1">'1D-Chapra v.2'!$S$14,'1D-Chapra v.2'!$P$15:$P$17,'1D-Chapra v.2'!$S$18</definedName>
    <definedName name="solver_adj" localSheetId="3" hidden="1">'1D-Chapra v.3'!$AB$34,'1D-Chapra v.3'!$P$15:$P$17,'1D-Chapra v.3'!$AB$38</definedName>
    <definedName name="solver_adj" localSheetId="4" hidden="1">'1D-Chapra v.4'!$AB$34,'1D-Chapra v.4'!$P$15:$P$17,'1D-Chapra v.4'!$AB$38</definedName>
    <definedName name="solver_adj" localSheetId="5" hidden="1">'1D-Chapra v.5'!$P$14:$P$16,'1D-Chapra v.5'!$AJ$17:$AJ$18</definedName>
    <definedName name="solver_adj" localSheetId="0" hidden="1">'1D-Sylvester'!$AL$15:$AL$19</definedName>
    <definedName name="solver_adj" localSheetId="10" hidden="1">'2D-Chapra'!$W$119:$W$120,'2D-Chapra'!$W$123:$W$124</definedName>
    <definedName name="solver_adj" localSheetId="11" hidden="1">'2D-Chapra v.2'!#REF!</definedName>
    <definedName name="solver_adj" localSheetId="12" hidden="1">'2D-Chapra v.2 VBA'!#REF!</definedName>
    <definedName name="solver_adj" localSheetId="9" hidden="1">'2D-StrangVBA'!$O$26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0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9" hidden="1">0.0001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0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9" hidden="1">1</definedName>
    <definedName name="solver_eng" localSheetId="2" hidden="1">2</definedName>
    <definedName name="solver_eng" localSheetId="3" hidden="1">2</definedName>
    <definedName name="solver_eng" localSheetId="4" hidden="1">2</definedName>
    <definedName name="solver_eng" localSheetId="5" hidden="1">2</definedName>
    <definedName name="solver_eng" localSheetId="6" hidden="1">2</definedName>
    <definedName name="solver_eng" localSheetId="0" hidden="1">2</definedName>
    <definedName name="solver_eng" localSheetId="10" hidden="1">2</definedName>
    <definedName name="solver_eng" localSheetId="11" hidden="1">2</definedName>
    <definedName name="solver_eng" localSheetId="12" hidden="1">2</definedName>
    <definedName name="solver_eng" localSheetId="9" hidden="1">2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0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9" hidden="1">1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0" hidden="1">2147483647</definedName>
    <definedName name="solver_itr" localSheetId="10" hidden="1">2147483647</definedName>
    <definedName name="solver_itr" localSheetId="11" hidden="1">2147483647</definedName>
    <definedName name="solver_itr" localSheetId="12" hidden="1">2147483647</definedName>
    <definedName name="solver_itr" localSheetId="9" hidden="1">2147483647</definedName>
    <definedName name="solver_lhs1" localSheetId="2" hidden="1">'1D-Chapra v.2'!$T$14:$T$18</definedName>
    <definedName name="solver_lhs1" localSheetId="3" hidden="1">'1D-Chapra v.3'!$R$14:$R$18</definedName>
    <definedName name="solver_lhs1" localSheetId="4" hidden="1">'1D-Chapra v.4'!$R$14:$R$18</definedName>
    <definedName name="solver_lhs1" localSheetId="5" hidden="1">'1D-Chapra v.5'!$N$22:$N$26</definedName>
    <definedName name="solver_lhs1" localSheetId="6" hidden="1">'1D-Chapra v.6'!#REF!</definedName>
    <definedName name="solver_lhs1" localSheetId="0" hidden="1">'1D-Sylvester'!$AN$15:$AN$19</definedName>
    <definedName name="solver_lhs1" localSheetId="10" hidden="1">'2D-Chapra'!$Y$119:$Y$120</definedName>
    <definedName name="solver_lhs1" localSheetId="11" hidden="1">'2D-Chapra v.2'!$Y$114:$Y$117</definedName>
    <definedName name="solver_lhs1" localSheetId="12" hidden="1">'2D-Chapra v.2 VBA'!$Y$114:$Y$117</definedName>
    <definedName name="solver_lhs1" localSheetId="9" hidden="1">'2D-StrangVBA'!$Q$26</definedName>
    <definedName name="solver_lhs2" localSheetId="0" hidden="1">'1D-Sylvester'!$AN$15:$AN$19</definedName>
    <definedName name="solver_lhs2" localSheetId="10" hidden="1">'2D-Chapra'!$Y$123:$Y$124</definedName>
    <definedName name="solver_lhs2" localSheetId="11" hidden="1">'2D-Chapra v.2'!$Y$123:$Y$124</definedName>
    <definedName name="solver_lhs2" localSheetId="12" hidden="1">'2D-Chapra v.2 VBA'!$Y$123:$Y$124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0" hidden="1">2147483647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ip" localSheetId="9" hidden="1">2147483647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0" hidden="1">30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ni" localSheetId="9" hidden="1">30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0" hidden="1">0.075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rt" localSheetId="9" hidden="1">0.075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0" hidden="1">2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msl" localSheetId="9" hidden="1">2</definedName>
    <definedName name="solver_neg" localSheetId="2" hidden="1">2</definedName>
    <definedName name="solver_neg" localSheetId="3" hidden="1">2</definedName>
    <definedName name="solver_neg" localSheetId="4" hidden="1">2</definedName>
    <definedName name="solver_neg" localSheetId="5" hidden="1">2</definedName>
    <definedName name="solver_neg" localSheetId="6" hidden="1">1</definedName>
    <definedName name="solver_neg" localSheetId="0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9" hidden="1">1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0" hidden="1">2147483647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od" localSheetId="9" hidden="1">2147483647</definedName>
    <definedName name="solver_num" localSheetId="2" hidden="1">1</definedName>
    <definedName name="solver_num" localSheetId="3" hidden="1">1</definedName>
    <definedName name="solver_num" localSheetId="4" hidden="1">1</definedName>
    <definedName name="solver_num" localSheetId="5" hidden="1">1</definedName>
    <definedName name="solver_num" localSheetId="6" hidden="1">0</definedName>
    <definedName name="solver_num" localSheetId="0" hidden="1">1</definedName>
    <definedName name="solver_num" localSheetId="10" hidden="1">2</definedName>
    <definedName name="solver_num" localSheetId="11" hidden="1">1</definedName>
    <definedName name="solver_num" localSheetId="12" hidden="1">1</definedName>
    <definedName name="solver_num" localSheetId="9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0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9" hidden="1">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0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9" hidden="1">0.000001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bv" localSheetId="6" hidden="1">1</definedName>
    <definedName name="solver_rbv" localSheetId="0" hidden="1">1</definedName>
    <definedName name="solver_rbv" localSheetId="10" hidden="1">1</definedName>
    <definedName name="solver_rbv" localSheetId="11" hidden="1">1</definedName>
    <definedName name="solver_rbv" localSheetId="12" hidden="1">1</definedName>
    <definedName name="solver_rbv" localSheetId="9" hidden="1">1</definedName>
    <definedName name="solver_rel1" localSheetId="2" hidden="1">2</definedName>
    <definedName name="solver_rel1" localSheetId="3" hidden="1">2</definedName>
    <definedName name="solver_rel1" localSheetId="4" hidden="1">2</definedName>
    <definedName name="solver_rel1" localSheetId="5" hidden="1">2</definedName>
    <definedName name="solver_rel1" localSheetId="6" hidden="1">2</definedName>
    <definedName name="solver_rel1" localSheetId="0" hidden="1">2</definedName>
    <definedName name="solver_rel1" localSheetId="10" hidden="1">2</definedName>
    <definedName name="solver_rel1" localSheetId="11" hidden="1">2</definedName>
    <definedName name="solver_rel1" localSheetId="12" hidden="1">2</definedName>
    <definedName name="solver_rel1" localSheetId="9" hidden="1">2</definedName>
    <definedName name="solver_rel2" localSheetId="0" hidden="1">2</definedName>
    <definedName name="solver_rel2" localSheetId="10" hidden="1">2</definedName>
    <definedName name="solver_rel2" localSheetId="11" hidden="1">2</definedName>
    <definedName name="solver_rel2" localSheetId="12" hidden="1">2</definedName>
    <definedName name="solver_rhs1" localSheetId="2" hidden="1">'1D-Chapra v.2'!$V$14:$V$18</definedName>
    <definedName name="solver_rhs1" localSheetId="3" hidden="1">'1D-Chapra v.3'!$T$14:$T$18</definedName>
    <definedName name="solver_rhs1" localSheetId="4" hidden="1">'1D-Chapra v.4'!$T$14:$T$18</definedName>
    <definedName name="solver_rhs1" localSheetId="5" hidden="1">'1D-Chapra v.5'!$P$22:$P$26</definedName>
    <definedName name="solver_rhs1" localSheetId="6" hidden="1">'1D-Chapra v.6'!#REF!</definedName>
    <definedName name="solver_rhs1" localSheetId="0" hidden="1">'1D-Sylvester'!$AP$15:$AP$19</definedName>
    <definedName name="solver_rhs1" localSheetId="10" hidden="1">0</definedName>
    <definedName name="solver_rhs1" localSheetId="11" hidden="1">0</definedName>
    <definedName name="solver_rhs1" localSheetId="12" hidden="1">0</definedName>
    <definedName name="solver_rhs1" localSheetId="9" hidden="1">0</definedName>
    <definedName name="solver_rhs2" localSheetId="0" hidden="1">'1D-Sylvester'!$AP$15:$AP$19</definedName>
    <definedName name="solver_rhs2" localSheetId="10" hidden="1">0</definedName>
    <definedName name="solver_rhs2" localSheetId="11" hidden="1">0</definedName>
    <definedName name="solver_rhs2" localSheetId="12" hidden="1">0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0" hidden="1">2</definedName>
    <definedName name="solver_rlx" localSheetId="10" hidden="1">2</definedName>
    <definedName name="solver_rlx" localSheetId="11" hidden="1">2</definedName>
    <definedName name="solver_rlx" localSheetId="12" hidden="1">2</definedName>
    <definedName name="solver_rlx" localSheetId="9" hidden="1">2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0" hidden="1">0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d" localSheetId="9" hidden="1">0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cl" localSheetId="6" hidden="1">1</definedName>
    <definedName name="solver_scl" localSheetId="0" hidden="1">1</definedName>
    <definedName name="solver_scl" localSheetId="10" hidden="1">1</definedName>
    <definedName name="solver_scl" localSheetId="11" hidden="1">1</definedName>
    <definedName name="solver_scl" localSheetId="12" hidden="1">1</definedName>
    <definedName name="solver_scl" localSheetId="9" hidden="1">1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0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9" hidden="1">2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0" hidden="1">100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ssz" localSheetId="9" hidden="1">100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0" hidden="1">2147483647</definedName>
    <definedName name="solver_tim" localSheetId="10" hidden="1">2147483647</definedName>
    <definedName name="solver_tim" localSheetId="11" hidden="1">2147483647</definedName>
    <definedName name="solver_tim" localSheetId="12" hidden="1">2147483647</definedName>
    <definedName name="solver_tim" localSheetId="9" hidden="1">2147483647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0" hidden="1">0.01</definedName>
    <definedName name="solver_tol" localSheetId="10" hidden="1">0.01</definedName>
    <definedName name="solver_tol" localSheetId="11" hidden="1">0.01</definedName>
    <definedName name="solver_tol" localSheetId="12" hidden="1">0.01</definedName>
    <definedName name="solver_tol" localSheetId="9" hidden="1">0.01</definedName>
    <definedName name="solver_typ" localSheetId="2" hidden="1">1</definedName>
    <definedName name="solver_typ" localSheetId="3" hidden="1">1</definedName>
    <definedName name="solver_typ" localSheetId="4" hidden="1">1</definedName>
    <definedName name="solver_typ" localSheetId="5" hidden="1">1</definedName>
    <definedName name="solver_typ" localSheetId="6" hidden="1">1</definedName>
    <definedName name="solver_typ" localSheetId="0" hidden="1">1</definedName>
    <definedName name="solver_typ" localSheetId="10" hidden="1">1</definedName>
    <definedName name="solver_typ" localSheetId="11" hidden="1">1</definedName>
    <definedName name="solver_typ" localSheetId="12" hidden="1">1</definedName>
    <definedName name="solver_typ" localSheetId="9" hidden="1">1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0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9" hidden="1">0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0" hidden="1">3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9" hidden="1">3</definedName>
    <definedName name="T_">'1D-Sylvester'!$K$15:$T$24</definedName>
    <definedName name="V0_">'1D-Sylvester'!$AL$20</definedName>
    <definedName name="W_">'1D-Sylvester'!$AE$10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0" i="15" l="1"/>
  <c r="S58" i="15"/>
  <c r="K58" i="15"/>
  <c r="B5" i="15"/>
  <c r="A6" i="15" s="1"/>
  <c r="A5" i="15"/>
  <c r="S4" i="15"/>
  <c r="S60" i="15" s="1"/>
  <c r="Q4" i="15"/>
  <c r="Q60" i="15" s="1"/>
  <c r="O4" i="15"/>
  <c r="O60" i="15" s="1"/>
  <c r="M4" i="15"/>
  <c r="M60" i="15" s="1"/>
  <c r="K4" i="15"/>
  <c r="K60" i="15" s="1"/>
  <c r="I4" i="15"/>
  <c r="G4" i="15"/>
  <c r="G60" i="15" s="1"/>
  <c r="E4" i="15"/>
  <c r="E60" i="15" s="1"/>
  <c r="C4" i="15"/>
  <c r="C60" i="15" s="1"/>
  <c r="S3" i="15"/>
  <c r="S59" i="15" s="1"/>
  <c r="Q3" i="15"/>
  <c r="Q59" i="15" s="1"/>
  <c r="O3" i="15"/>
  <c r="O59" i="15" s="1"/>
  <c r="M3" i="15"/>
  <c r="M59" i="15" s="1"/>
  <c r="K3" i="15"/>
  <c r="K59" i="15" s="1"/>
  <c r="I3" i="15"/>
  <c r="I59" i="15" s="1"/>
  <c r="G3" i="15"/>
  <c r="G59" i="15" s="1"/>
  <c r="E3" i="15"/>
  <c r="E59" i="15" s="1"/>
  <c r="C3" i="15"/>
  <c r="R3" i="15" s="1"/>
  <c r="R59" i="15" s="1"/>
  <c r="S2" i="15"/>
  <c r="Q2" i="15"/>
  <c r="O2" i="15"/>
  <c r="M2" i="15"/>
  <c r="K2" i="15"/>
  <c r="I2" i="15"/>
  <c r="G2" i="15"/>
  <c r="E2" i="15"/>
  <c r="C2" i="15"/>
  <c r="C58" i="15" s="1"/>
  <c r="S26" i="1"/>
  <c r="AC17" i="1" a="1"/>
  <c r="Z14" i="1" a="1"/>
  <c r="W11" i="1" a="1"/>
  <c r="T8" i="1" a="1"/>
  <c r="Q5" i="1" a="1"/>
  <c r="N2" i="1" a="1"/>
  <c r="F11" i="10" a="1"/>
  <c r="F11" i="9" a="1"/>
  <c r="BZ53" i="15" a="1"/>
  <c r="BW50" i="15" a="1"/>
  <c r="BT47" i="15" a="1"/>
  <c r="BQ44" i="15" a="1"/>
  <c r="BN41" i="15" a="1"/>
  <c r="BK38" i="15" a="1"/>
  <c r="BH35" i="15" a="1"/>
  <c r="BE32" i="15" a="1"/>
  <c r="BB29" i="15" a="1"/>
  <c r="AY26" i="15" a="1"/>
  <c r="AV23" i="15" a="1"/>
  <c r="AS20" i="15" a="1"/>
  <c r="AP17" i="15" a="1"/>
  <c r="AM14" i="15" a="1"/>
  <c r="AJ11" i="15" a="1"/>
  <c r="AG8" i="15" a="1"/>
  <c r="AA2" i="15" a="1"/>
  <c r="AD5" i="15" a="1"/>
  <c r="AC17" i="1" l="1"/>
  <c r="AD18" i="1"/>
  <c r="AE19" i="1"/>
  <c r="AD17" i="1"/>
  <c r="AE18" i="1"/>
  <c r="AE17" i="1"/>
  <c r="AC19" i="1"/>
  <c r="AC18" i="1"/>
  <c r="AD19" i="1"/>
  <c r="Z15" i="1"/>
  <c r="AA16" i="1"/>
  <c r="Z14" i="1"/>
  <c r="AA15" i="1"/>
  <c r="AB16" i="1"/>
  <c r="AA14" i="1"/>
  <c r="AB15" i="1"/>
  <c r="AB14" i="1"/>
  <c r="Z16" i="1"/>
  <c r="W12" i="1"/>
  <c r="X13" i="1"/>
  <c r="W11" i="1"/>
  <c r="X12" i="1"/>
  <c r="Y13" i="1"/>
  <c r="X11" i="1"/>
  <c r="Y12" i="1"/>
  <c r="Y11" i="1"/>
  <c r="W13" i="1"/>
  <c r="T9" i="1"/>
  <c r="U10" i="1"/>
  <c r="T8" i="1"/>
  <c r="U9" i="1"/>
  <c r="V10" i="1"/>
  <c r="U8" i="1"/>
  <c r="V9" i="1"/>
  <c r="V8" i="1"/>
  <c r="T10" i="1"/>
  <c r="Q5" i="1"/>
  <c r="R6" i="1"/>
  <c r="S7" i="1"/>
  <c r="R5" i="1"/>
  <c r="S6" i="1"/>
  <c r="S5" i="1"/>
  <c r="Q7" i="1"/>
  <c r="Q6" i="1"/>
  <c r="R7" i="1"/>
  <c r="N3" i="1"/>
  <c r="O4" i="1"/>
  <c r="N2" i="1"/>
  <c r="O3" i="1"/>
  <c r="P4" i="1"/>
  <c r="O2" i="1"/>
  <c r="P3" i="1"/>
  <c r="P2" i="1"/>
  <c r="N4" i="1"/>
  <c r="F13" i="10"/>
  <c r="H11" i="10"/>
  <c r="H12" i="10"/>
  <c r="G11" i="10"/>
  <c r="H13" i="10"/>
  <c r="G12" i="10"/>
  <c r="F11" i="10"/>
  <c r="G13" i="10"/>
  <c r="F12" i="10"/>
  <c r="F12" i="9"/>
  <c r="G13" i="9"/>
  <c r="F11" i="9"/>
  <c r="G12" i="9"/>
  <c r="H13" i="9"/>
  <c r="G11" i="9"/>
  <c r="H12" i="9"/>
  <c r="H11" i="9"/>
  <c r="F13" i="9"/>
  <c r="CA55" i="15"/>
  <c r="BZ54" i="15"/>
  <c r="BZ55" i="15"/>
  <c r="CB53" i="15"/>
  <c r="CB54" i="15"/>
  <c r="CA53" i="15"/>
  <c r="CB55" i="15"/>
  <c r="CA54" i="15"/>
  <c r="BZ53" i="15"/>
  <c r="BY52" i="15"/>
  <c r="BX51" i="15"/>
  <c r="BW50" i="15"/>
  <c r="BW52" i="15"/>
  <c r="BY50" i="15"/>
  <c r="BY51" i="15"/>
  <c r="BX52" i="15"/>
  <c r="BW51" i="15"/>
  <c r="BX50" i="15"/>
  <c r="BU49" i="15"/>
  <c r="BT48" i="15"/>
  <c r="BT49" i="15"/>
  <c r="BV47" i="15"/>
  <c r="BV48" i="15"/>
  <c r="BU47" i="15"/>
  <c r="BV49" i="15"/>
  <c r="BU48" i="15"/>
  <c r="BT47" i="15"/>
  <c r="BS46" i="15"/>
  <c r="BR45" i="15"/>
  <c r="BQ44" i="15"/>
  <c r="BR46" i="15"/>
  <c r="BQ45" i="15"/>
  <c r="BQ46" i="15"/>
  <c r="BS44" i="15"/>
  <c r="BS45" i="15"/>
  <c r="BR44" i="15"/>
  <c r="BP42" i="15"/>
  <c r="BO41" i="15"/>
  <c r="BP43" i="15"/>
  <c r="BO42" i="15"/>
  <c r="BN41" i="15"/>
  <c r="BO43" i="15"/>
  <c r="BN42" i="15"/>
  <c r="BN43" i="15"/>
  <c r="BP41" i="15"/>
  <c r="BL40" i="15"/>
  <c r="BK39" i="15"/>
  <c r="BK40" i="15"/>
  <c r="BM38" i="15"/>
  <c r="BM39" i="15"/>
  <c r="BL38" i="15"/>
  <c r="BM40" i="15"/>
  <c r="BL39" i="15"/>
  <c r="BK38" i="15"/>
  <c r="BI37" i="15"/>
  <c r="BH36" i="15"/>
  <c r="BH37" i="15"/>
  <c r="BJ35" i="15"/>
  <c r="BJ36" i="15"/>
  <c r="BI35" i="15"/>
  <c r="BJ37" i="15"/>
  <c r="BI36" i="15"/>
  <c r="BH35" i="15"/>
  <c r="BG34" i="15"/>
  <c r="BF33" i="15"/>
  <c r="BE32" i="15"/>
  <c r="BF34" i="15"/>
  <c r="BE33" i="15"/>
  <c r="BE34" i="15"/>
  <c r="BG32" i="15"/>
  <c r="BG33" i="15"/>
  <c r="BF32" i="15"/>
  <c r="BD31" i="15"/>
  <c r="BC30" i="15"/>
  <c r="BB29" i="15"/>
  <c r="BC31" i="15"/>
  <c r="BB30" i="15"/>
  <c r="BB31" i="15"/>
  <c r="BD29" i="15"/>
  <c r="BD30" i="15"/>
  <c r="BC29" i="15"/>
  <c r="AZ28" i="15"/>
  <c r="AY27" i="15"/>
  <c r="AY28" i="15"/>
  <c r="BA26" i="15"/>
  <c r="BA27" i="15"/>
  <c r="AZ26" i="15"/>
  <c r="BA28" i="15"/>
  <c r="AZ27" i="15"/>
  <c r="AY26" i="15"/>
  <c r="AX25" i="15"/>
  <c r="AW24" i="15"/>
  <c r="AV23" i="15"/>
  <c r="AW25" i="15"/>
  <c r="AV24" i="15"/>
  <c r="AV25" i="15"/>
  <c r="AX23" i="15"/>
  <c r="AX24" i="15"/>
  <c r="AW23" i="15"/>
  <c r="AU22" i="15"/>
  <c r="AT21" i="15"/>
  <c r="AS20" i="15"/>
  <c r="AT22" i="15"/>
  <c r="AS21" i="15"/>
  <c r="AS22" i="15"/>
  <c r="AU20" i="15"/>
  <c r="AU21" i="15"/>
  <c r="AT20" i="15"/>
  <c r="AQ19" i="15"/>
  <c r="AP18" i="15"/>
  <c r="AQ17" i="15"/>
  <c r="AR19" i="15"/>
  <c r="AP17" i="15"/>
  <c r="AP19" i="15"/>
  <c r="AR17" i="15"/>
  <c r="AR18" i="15"/>
  <c r="AQ18" i="15"/>
  <c r="AN16" i="15"/>
  <c r="AM15" i="15"/>
  <c r="AM16" i="15"/>
  <c r="AO14" i="15"/>
  <c r="AO15" i="15"/>
  <c r="AN14" i="15"/>
  <c r="AO16" i="15"/>
  <c r="AN15" i="15"/>
  <c r="AM14" i="15"/>
  <c r="AL13" i="15"/>
  <c r="AK12" i="15"/>
  <c r="AJ11" i="15"/>
  <c r="AK13" i="15"/>
  <c r="AJ12" i="15"/>
  <c r="AJ13" i="15"/>
  <c r="AL11" i="15"/>
  <c r="AL12" i="15"/>
  <c r="AK11" i="15"/>
  <c r="AI10" i="15"/>
  <c r="AH9" i="15"/>
  <c r="AG8" i="15"/>
  <c r="AG10" i="15"/>
  <c r="AH8" i="15"/>
  <c r="AH10" i="15"/>
  <c r="AG9" i="15"/>
  <c r="AI8" i="15"/>
  <c r="AI9" i="15"/>
  <c r="AA3" i="15"/>
  <c r="AB4" i="15"/>
  <c r="AA2" i="15"/>
  <c r="AB3" i="15"/>
  <c r="AC4" i="15"/>
  <c r="AB2" i="15"/>
  <c r="AC3" i="15"/>
  <c r="AC2" i="15"/>
  <c r="AA4" i="15"/>
  <c r="AF7" i="15"/>
  <c r="AE6" i="15"/>
  <c r="AD5" i="15"/>
  <c r="AE7" i="15"/>
  <c r="AD6" i="15"/>
  <c r="AD7" i="15"/>
  <c r="AF5" i="15"/>
  <c r="AF6" i="15"/>
  <c r="AE5" i="15"/>
  <c r="M58" i="15"/>
  <c r="E58" i="15"/>
  <c r="O58" i="15"/>
  <c r="I58" i="15"/>
  <c r="Q58" i="15"/>
  <c r="C5" i="15"/>
  <c r="B6" i="15"/>
  <c r="G58" i="15"/>
  <c r="H2" i="15"/>
  <c r="L2" i="15"/>
  <c r="P2" i="15"/>
  <c r="T2" i="15"/>
  <c r="H3" i="15"/>
  <c r="H59" i="15" s="1"/>
  <c r="L3" i="15"/>
  <c r="L59" i="15" s="1"/>
  <c r="P3" i="15"/>
  <c r="P59" i="15" s="1"/>
  <c r="T3" i="15"/>
  <c r="T59" i="15" s="1"/>
  <c r="H4" i="15"/>
  <c r="H60" i="15" s="1"/>
  <c r="L4" i="15"/>
  <c r="L60" i="15" s="1"/>
  <c r="P4" i="15"/>
  <c r="P60" i="15" s="1"/>
  <c r="T4" i="15"/>
  <c r="T60" i="15" s="1"/>
  <c r="C59" i="15"/>
  <c r="F2" i="15"/>
  <c r="J2" i="15"/>
  <c r="N2" i="15"/>
  <c r="R2" i="15"/>
  <c r="F3" i="15"/>
  <c r="F59" i="15" s="1"/>
  <c r="J3" i="15"/>
  <c r="J59" i="15" s="1"/>
  <c r="N3" i="15"/>
  <c r="N59" i="15" s="1"/>
  <c r="F4" i="15"/>
  <c r="F60" i="15" s="1"/>
  <c r="J4" i="15"/>
  <c r="J60" i="15" s="1"/>
  <c r="N4" i="15"/>
  <c r="N60" i="15" s="1"/>
  <c r="R4" i="15"/>
  <c r="R60" i="15" s="1"/>
  <c r="CB55" i="12"/>
  <c r="CA55" i="12"/>
  <c r="BZ55" i="12"/>
  <c r="CB54" i="12"/>
  <c r="CA54" i="12"/>
  <c r="BZ54" i="12"/>
  <c r="CA53" i="12" s="1"/>
  <c r="CB53" i="12"/>
  <c r="BZ53" i="12"/>
  <c r="BY52" i="12"/>
  <c r="BX52" i="12"/>
  <c r="BW52" i="12"/>
  <c r="BY50" i="12" s="1"/>
  <c r="BY51" i="12"/>
  <c r="BX51" i="12"/>
  <c r="BW51" i="12"/>
  <c r="BX50" i="12"/>
  <c r="BW50" i="12"/>
  <c r="BV49" i="12"/>
  <c r="BU49" i="12"/>
  <c r="BT49" i="12"/>
  <c r="BV48" i="12"/>
  <c r="BU48" i="12"/>
  <c r="BT48" i="12"/>
  <c r="BU47" i="12" s="1"/>
  <c r="BV47" i="12"/>
  <c r="BT47" i="12"/>
  <c r="BS46" i="12"/>
  <c r="BR46" i="12"/>
  <c r="BQ46" i="12"/>
  <c r="BS44" i="12" s="1"/>
  <c r="BS45" i="12"/>
  <c r="BR45" i="12"/>
  <c r="BQ45" i="12"/>
  <c r="BR44" i="12"/>
  <c r="BQ44" i="12"/>
  <c r="BP43" i="12"/>
  <c r="BO43" i="12"/>
  <c r="BN43" i="12"/>
  <c r="BP42" i="12"/>
  <c r="BO42" i="12"/>
  <c r="BN42" i="12"/>
  <c r="BO41" i="12" s="1"/>
  <c r="BP41" i="12"/>
  <c r="BN41" i="12"/>
  <c r="BM40" i="12"/>
  <c r="BL40" i="12"/>
  <c r="BK40" i="12"/>
  <c r="BM38" i="12" s="1"/>
  <c r="BM39" i="12"/>
  <c r="BL39" i="12"/>
  <c r="BK39" i="12"/>
  <c r="BL38" i="12" s="1"/>
  <c r="BK38" i="12"/>
  <c r="BJ37" i="12"/>
  <c r="BI37" i="12"/>
  <c r="BH37" i="12"/>
  <c r="BJ36" i="12"/>
  <c r="BI36" i="12"/>
  <c r="BH36" i="12"/>
  <c r="BI35" i="12" s="1"/>
  <c r="BJ35" i="12"/>
  <c r="BH35" i="12"/>
  <c r="BG34" i="12"/>
  <c r="BF34" i="12"/>
  <c r="BE34" i="12"/>
  <c r="BG32" i="12" s="1"/>
  <c r="BG33" i="12"/>
  <c r="BF33" i="12"/>
  <c r="BE33" i="12"/>
  <c r="BF32" i="12" s="1"/>
  <c r="BE32" i="12"/>
  <c r="BD31" i="12"/>
  <c r="BC31" i="12"/>
  <c r="BB31" i="12"/>
  <c r="BD30" i="12"/>
  <c r="BC30" i="12"/>
  <c r="BB30" i="12"/>
  <c r="BC29" i="12" s="1"/>
  <c r="BD29" i="12"/>
  <c r="BB29" i="12"/>
  <c r="BA28" i="12"/>
  <c r="AZ28" i="12"/>
  <c r="AY28" i="12"/>
  <c r="BA27" i="12"/>
  <c r="AZ27" i="12"/>
  <c r="AY27" i="12"/>
  <c r="BA26" i="12"/>
  <c r="AZ26" i="12"/>
  <c r="AY26" i="12"/>
  <c r="AX25" i="12"/>
  <c r="AW25" i="12"/>
  <c r="AX24" i="12" s="1"/>
  <c r="AV25" i="12"/>
  <c r="AW24" i="12"/>
  <c r="AV24" i="12"/>
  <c r="AW23" i="12" s="1"/>
  <c r="AX23" i="12"/>
  <c r="AV23" i="12"/>
  <c r="AU22" i="12"/>
  <c r="AT22" i="12"/>
  <c r="AS22" i="12"/>
  <c r="AU20" i="12" s="1"/>
  <c r="AU21" i="12"/>
  <c r="AT21" i="12"/>
  <c r="AS21" i="12"/>
  <c r="AT20" i="12" s="1"/>
  <c r="AS20" i="12"/>
  <c r="AR19" i="12"/>
  <c r="AQ19" i="12"/>
  <c r="AR18" i="12" s="1"/>
  <c r="AP19" i="12"/>
  <c r="AQ18" i="12"/>
  <c r="AP18" i="12"/>
  <c r="AQ17" i="12" s="1"/>
  <c r="AR17" i="12"/>
  <c r="AP17" i="12"/>
  <c r="AO16" i="12"/>
  <c r="AN16" i="12"/>
  <c r="AM16" i="12"/>
  <c r="AO14" i="12" s="1"/>
  <c r="AO15" i="12"/>
  <c r="AN15" i="12"/>
  <c r="AM15" i="12"/>
  <c r="AN14" i="12" s="1"/>
  <c r="AM14" i="12"/>
  <c r="AL13" i="12"/>
  <c r="AK13" i="12"/>
  <c r="AJ13" i="12"/>
  <c r="AL12" i="12"/>
  <c r="AK12" i="12"/>
  <c r="AJ12" i="12"/>
  <c r="AK11" i="12" s="1"/>
  <c r="AL11" i="12"/>
  <c r="AJ11" i="12"/>
  <c r="AI10" i="12"/>
  <c r="AH10" i="12"/>
  <c r="AG10" i="12"/>
  <c r="AI9" i="12"/>
  <c r="AH9" i="12"/>
  <c r="AG9" i="12"/>
  <c r="AH8" i="12" s="1"/>
  <c r="AI8" i="12"/>
  <c r="AG8" i="12"/>
  <c r="AF7" i="12"/>
  <c r="AE7" i="12"/>
  <c r="AD7" i="12"/>
  <c r="AF6" i="12"/>
  <c r="AE6" i="12"/>
  <c r="AD6" i="12"/>
  <c r="AE5" i="12" s="1"/>
  <c r="AF5" i="12"/>
  <c r="AD5" i="12"/>
  <c r="B5" i="12"/>
  <c r="A5" i="12"/>
  <c r="AC4" i="12"/>
  <c r="AB4" i="12"/>
  <c r="AA4" i="12"/>
  <c r="AC2" i="12" s="1"/>
  <c r="C4" i="12"/>
  <c r="AC3" i="12"/>
  <c r="AB3" i="12"/>
  <c r="AA3" i="12"/>
  <c r="AB2" i="12" s="1"/>
  <c r="C3" i="12"/>
  <c r="AA2" i="12"/>
  <c r="C2" i="12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E105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E104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E103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E102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E101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E100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E99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E98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E97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E96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E95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E94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E93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E91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E90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E89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E87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E86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E85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E83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E82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E81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E79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E78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E77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E75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E74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E73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CB55" i="11"/>
  <c r="CA55" i="11"/>
  <c r="CB54" i="11" s="1"/>
  <c r="BZ55" i="11"/>
  <c r="CA54" i="11"/>
  <c r="BZ54" i="11"/>
  <c r="CB53" i="11"/>
  <c r="CA53" i="11"/>
  <c r="BZ53" i="11"/>
  <c r="BY52" i="11"/>
  <c r="BX52" i="11"/>
  <c r="BW52" i="11"/>
  <c r="BY51" i="11"/>
  <c r="BX51" i="11"/>
  <c r="BW51" i="11"/>
  <c r="BX50" i="11" s="1"/>
  <c r="BY50" i="11"/>
  <c r="BW50" i="11"/>
  <c r="BV49" i="11"/>
  <c r="BU49" i="11"/>
  <c r="BV48" i="11" s="1"/>
  <c r="BT49" i="11"/>
  <c r="BU48" i="11"/>
  <c r="BT48" i="11"/>
  <c r="BV47" i="11"/>
  <c r="BU47" i="11"/>
  <c r="BT47" i="11"/>
  <c r="BS46" i="11"/>
  <c r="BR46" i="11"/>
  <c r="BQ46" i="11"/>
  <c r="BS45" i="11"/>
  <c r="BR45" i="11"/>
  <c r="BQ45" i="11"/>
  <c r="BR44" i="11" s="1"/>
  <c r="BS44" i="11"/>
  <c r="BQ44" i="11"/>
  <c r="BP43" i="11"/>
  <c r="BO43" i="11"/>
  <c r="BP42" i="11" s="1"/>
  <c r="BN43" i="11"/>
  <c r="BO42" i="11"/>
  <c r="BN42" i="11"/>
  <c r="BP41" i="11"/>
  <c r="BO41" i="11"/>
  <c r="BN41" i="11"/>
  <c r="BM40" i="11"/>
  <c r="BL40" i="11"/>
  <c r="BK40" i="11"/>
  <c r="BM39" i="11"/>
  <c r="BL39" i="11"/>
  <c r="BK39" i="11"/>
  <c r="BL38" i="11" s="1"/>
  <c r="BM38" i="11"/>
  <c r="BK38" i="11"/>
  <c r="BJ37" i="11"/>
  <c r="BI37" i="11"/>
  <c r="BJ36" i="11" s="1"/>
  <c r="BH37" i="11"/>
  <c r="BI36" i="11"/>
  <c r="BH36" i="11"/>
  <c r="BJ35" i="11"/>
  <c r="BI35" i="11"/>
  <c r="BH35" i="11"/>
  <c r="BG34" i="11"/>
  <c r="BF34" i="11"/>
  <c r="BE34" i="11"/>
  <c r="BG33" i="11"/>
  <c r="BF33" i="11"/>
  <c r="BE33" i="11"/>
  <c r="BF32" i="11" s="1"/>
  <c r="BG32" i="11"/>
  <c r="BE32" i="11"/>
  <c r="BD31" i="11"/>
  <c r="BC31" i="11"/>
  <c r="BD30" i="11" s="1"/>
  <c r="BB31" i="11"/>
  <c r="BC30" i="11"/>
  <c r="BB30" i="11"/>
  <c r="BD29" i="11"/>
  <c r="BC29" i="11"/>
  <c r="BB29" i="11"/>
  <c r="BA28" i="11"/>
  <c r="AZ28" i="11"/>
  <c r="AY28" i="11"/>
  <c r="BA27" i="11"/>
  <c r="AZ27" i="11"/>
  <c r="AY27" i="11"/>
  <c r="AZ26" i="11" s="1"/>
  <c r="BA26" i="11"/>
  <c r="AY26" i="11"/>
  <c r="AX25" i="11"/>
  <c r="AW25" i="11"/>
  <c r="AX24" i="11" s="1"/>
  <c r="AV25" i="11"/>
  <c r="AW24" i="11"/>
  <c r="AV24" i="11"/>
  <c r="AX23" i="11"/>
  <c r="AW23" i="11"/>
  <c r="AV23" i="11"/>
  <c r="AU22" i="11"/>
  <c r="AT22" i="11"/>
  <c r="AS22" i="11"/>
  <c r="AU21" i="11"/>
  <c r="AT21" i="11"/>
  <c r="AS21" i="11"/>
  <c r="AT20" i="11" s="1"/>
  <c r="AU20" i="11"/>
  <c r="AS20" i="11"/>
  <c r="AR19" i="11"/>
  <c r="AQ19" i="11"/>
  <c r="AR18" i="11" s="1"/>
  <c r="AP19" i="11"/>
  <c r="AQ18" i="11"/>
  <c r="AP18" i="11"/>
  <c r="AR17" i="11"/>
  <c r="AQ17" i="11"/>
  <c r="AP17" i="11"/>
  <c r="AO16" i="11"/>
  <c r="AN16" i="11"/>
  <c r="AM16" i="11"/>
  <c r="AO15" i="11"/>
  <c r="AN15" i="11"/>
  <c r="AM15" i="11"/>
  <c r="AN14" i="11" s="1"/>
  <c r="AO14" i="11"/>
  <c r="AM14" i="11"/>
  <c r="AL13" i="11"/>
  <c r="AK13" i="11"/>
  <c r="AL12" i="11" s="1"/>
  <c r="AJ13" i="11"/>
  <c r="AK12" i="11"/>
  <c r="AJ12" i="11"/>
  <c r="AL11" i="11"/>
  <c r="AK11" i="11"/>
  <c r="AJ11" i="11"/>
  <c r="AI10" i="11"/>
  <c r="AH10" i="11"/>
  <c r="AG10" i="11"/>
  <c r="AI9" i="11"/>
  <c r="AH9" i="11"/>
  <c r="AG9" i="11"/>
  <c r="AH8" i="11" s="1"/>
  <c r="AI8" i="11"/>
  <c r="AG8" i="11"/>
  <c r="AF7" i="11"/>
  <c r="AE7" i="11"/>
  <c r="AF6" i="11" s="1"/>
  <c r="AD7" i="11"/>
  <c r="AE6" i="11"/>
  <c r="AD6" i="11"/>
  <c r="AF5" i="11"/>
  <c r="AE5" i="11"/>
  <c r="AD5" i="11"/>
  <c r="B5" i="11"/>
  <c r="B6" i="11" s="1"/>
  <c r="B7" i="11" s="1"/>
  <c r="A5" i="11"/>
  <c r="C5" i="11" s="1"/>
  <c r="C61" i="11" s="1"/>
  <c r="AC4" i="11"/>
  <c r="AB4" i="11"/>
  <c r="AA4" i="11"/>
  <c r="C4" i="11"/>
  <c r="C60" i="11" s="1"/>
  <c r="AC3" i="11"/>
  <c r="AB3" i="11"/>
  <c r="AA3" i="11"/>
  <c r="AB2" i="11" s="1"/>
  <c r="C3" i="11"/>
  <c r="C59" i="11" s="1"/>
  <c r="AC2" i="11"/>
  <c r="AA2" i="11"/>
  <c r="C2" i="11"/>
  <c r="B6" i="10" a="1"/>
  <c r="C8" i="10" s="1"/>
  <c r="H4" i="10"/>
  <c r="G4" i="10"/>
  <c r="F4" i="10"/>
  <c r="H3" i="10"/>
  <c r="G3" i="10"/>
  <c r="F3" i="10"/>
  <c r="H2" i="10"/>
  <c r="G2" i="10"/>
  <c r="F2" i="10"/>
  <c r="B6" i="9" a="1"/>
  <c r="C8" i="9" s="1"/>
  <c r="H4" i="9"/>
  <c r="G4" i="9"/>
  <c r="F4" i="9"/>
  <c r="H3" i="9"/>
  <c r="G3" i="9"/>
  <c r="F3" i="9"/>
  <c r="H2" i="9"/>
  <c r="G2" i="9"/>
  <c r="F2" i="9"/>
  <c r="F34" i="8"/>
  <c r="E34" i="8"/>
  <c r="E33" i="8"/>
  <c r="E32" i="8"/>
  <c r="E31" i="8"/>
  <c r="F30" i="8"/>
  <c r="E30" i="8"/>
  <c r="AJ26" i="8"/>
  <c r="AJ25" i="8"/>
  <c r="AJ25" i="8" a="1"/>
  <c r="AJ23" i="8"/>
  <c r="AJ22" i="8"/>
  <c r="AJ22" i="8" a="1"/>
  <c r="AJ24" i="8" s="1"/>
  <c r="Z25" i="8"/>
  <c r="Z22" i="8" a="1"/>
  <c r="AF18" i="8"/>
  <c r="AG17" i="8"/>
  <c r="AH16" i="8"/>
  <c r="AD16" i="8"/>
  <c r="AE15" i="8"/>
  <c r="AF14" i="8"/>
  <c r="AD14" i="8" a="1"/>
  <c r="AG18" i="8" s="1"/>
  <c r="X18" i="8"/>
  <c r="U18" i="8"/>
  <c r="T18" i="8"/>
  <c r="V17" i="8"/>
  <c r="U17" i="8"/>
  <c r="W16" i="8"/>
  <c r="V16" i="8"/>
  <c r="X15" i="8"/>
  <c r="W15" i="8"/>
  <c r="T15" i="8"/>
  <c r="X14" i="8"/>
  <c r="U14" i="8"/>
  <c r="T14" i="8"/>
  <c r="T14" i="8" a="1"/>
  <c r="W18" i="8" s="1"/>
  <c r="L18" i="8"/>
  <c r="M17" i="8"/>
  <c r="N16" i="8"/>
  <c r="J16" i="8"/>
  <c r="K15" i="8"/>
  <c r="L14" i="8"/>
  <c r="J14" i="8" a="1"/>
  <c r="M18" i="8" s="1"/>
  <c r="L26" i="7"/>
  <c r="K26" i="7"/>
  <c r="L25" i="7"/>
  <c r="K25" i="7"/>
  <c r="L24" i="7"/>
  <c r="K24" i="7"/>
  <c r="L23" i="7"/>
  <c r="K23" i="7"/>
  <c r="L22" i="7"/>
  <c r="K22" i="7"/>
  <c r="AF18" i="7"/>
  <c r="AE15" i="7"/>
  <c r="AD14" i="7" a="1"/>
  <c r="AD16" i="7" s="1"/>
  <c r="X18" i="7"/>
  <c r="U18" i="7"/>
  <c r="T18" i="7"/>
  <c r="V17" i="7"/>
  <c r="U17" i="7"/>
  <c r="W16" i="7"/>
  <c r="V16" i="7"/>
  <c r="X15" i="7"/>
  <c r="W15" i="7"/>
  <c r="T15" i="7"/>
  <c r="X14" i="7"/>
  <c r="U14" i="7"/>
  <c r="T14" i="7"/>
  <c r="T14" i="7" a="1"/>
  <c r="W18" i="7" s="1"/>
  <c r="L18" i="7"/>
  <c r="M17" i="7"/>
  <c r="N16" i="7"/>
  <c r="J16" i="7"/>
  <c r="K15" i="7"/>
  <c r="L14" i="7"/>
  <c r="J14" i="7" a="1"/>
  <c r="N17" i="7" s="1"/>
  <c r="Z38" i="6"/>
  <c r="W38" i="6"/>
  <c r="V38" i="6"/>
  <c r="X37" i="6"/>
  <c r="W37" i="6"/>
  <c r="Y36" i="6"/>
  <c r="X36" i="6"/>
  <c r="Z35" i="6"/>
  <c r="Y35" i="6"/>
  <c r="V35" i="6"/>
  <c r="Z34" i="6"/>
  <c r="W34" i="6"/>
  <c r="V34" i="6"/>
  <c r="V34" i="6" a="1"/>
  <c r="Y38" i="6" s="1"/>
  <c r="L26" i="6"/>
  <c r="K26" i="6"/>
  <c r="L25" i="6"/>
  <c r="K25" i="6"/>
  <c r="L24" i="6"/>
  <c r="K24" i="6"/>
  <c r="L23" i="6"/>
  <c r="K23" i="6"/>
  <c r="L22" i="6"/>
  <c r="K22" i="6"/>
  <c r="W18" i="6"/>
  <c r="W17" i="6"/>
  <c r="W16" i="6"/>
  <c r="V15" i="6"/>
  <c r="V14" i="6"/>
  <c r="V14" i="6" a="1"/>
  <c r="Z18" i="6" s="1"/>
  <c r="L18" i="6"/>
  <c r="L17" i="6"/>
  <c r="K16" i="6"/>
  <c r="K15" i="6"/>
  <c r="K14" i="6"/>
  <c r="J14" i="6" a="1"/>
  <c r="N17" i="6" s="1"/>
  <c r="W38" i="5"/>
  <c r="W37" i="5"/>
  <c r="W36" i="5"/>
  <c r="V35" i="5"/>
  <c r="V34" i="5"/>
  <c r="V34" i="5" a="1"/>
  <c r="Z38" i="5" s="1"/>
  <c r="L26" i="5"/>
  <c r="K26" i="5"/>
  <c r="L25" i="5"/>
  <c r="K25" i="5"/>
  <c r="L24" i="5"/>
  <c r="K24" i="5"/>
  <c r="L23" i="5"/>
  <c r="K23" i="5"/>
  <c r="L22" i="5"/>
  <c r="K22" i="5"/>
  <c r="Z18" i="5"/>
  <c r="Y18" i="5"/>
  <c r="W18" i="5"/>
  <c r="Z17" i="5"/>
  <c r="X17" i="5"/>
  <c r="W17" i="5"/>
  <c r="Y16" i="5"/>
  <c r="X16" i="5"/>
  <c r="W16" i="5"/>
  <c r="Y15" i="5"/>
  <c r="X15" i="5"/>
  <c r="V15" i="5"/>
  <c r="Y14" i="5"/>
  <c r="W14" i="5"/>
  <c r="V14" i="5"/>
  <c r="V14" i="5" a="1"/>
  <c r="M18" i="5"/>
  <c r="L18" i="5"/>
  <c r="N17" i="5"/>
  <c r="M17" i="5"/>
  <c r="L17" i="5"/>
  <c r="N16" i="5"/>
  <c r="M16" i="5"/>
  <c r="K16" i="5"/>
  <c r="N15" i="5"/>
  <c r="L15" i="5"/>
  <c r="K15" i="5"/>
  <c r="M14" i="5"/>
  <c r="L14" i="5"/>
  <c r="K14" i="5"/>
  <c r="J14" i="5" a="1"/>
  <c r="L26" i="4"/>
  <c r="K26" i="4"/>
  <c r="L25" i="4"/>
  <c r="K25" i="4"/>
  <c r="L24" i="4"/>
  <c r="K24" i="4"/>
  <c r="L23" i="4"/>
  <c r="K23" i="4"/>
  <c r="L22" i="4"/>
  <c r="K22" i="4"/>
  <c r="N18" i="4"/>
  <c r="L18" i="4"/>
  <c r="K18" i="4"/>
  <c r="J18" i="4"/>
  <c r="M17" i="4"/>
  <c r="L17" i="4"/>
  <c r="K17" i="4"/>
  <c r="N16" i="4"/>
  <c r="M16" i="4"/>
  <c r="L16" i="4"/>
  <c r="J16" i="4"/>
  <c r="N15" i="4"/>
  <c r="M15" i="4"/>
  <c r="K15" i="4"/>
  <c r="J15" i="4"/>
  <c r="N14" i="4"/>
  <c r="L14" i="4"/>
  <c r="K14" i="4"/>
  <c r="J14" i="4"/>
  <c r="J14" i="4" a="1"/>
  <c r="M18" i="4" s="1"/>
  <c r="Q32" i="3"/>
  <c r="Q30" i="3"/>
  <c r="Q30" i="3" a="1"/>
  <c r="Q31" i="3" s="1"/>
  <c r="M27" i="3"/>
  <c r="M26" i="3"/>
  <c r="M25" i="3"/>
  <c r="M24" i="3"/>
  <c r="M23" i="3"/>
  <c r="J27" i="3"/>
  <c r="I27" i="3"/>
  <c r="J26" i="3"/>
  <c r="I26" i="3"/>
  <c r="J25" i="3"/>
  <c r="H25" i="3"/>
  <c r="I24" i="3"/>
  <c r="H24" i="3"/>
  <c r="I23" i="3"/>
  <c r="H23" i="3"/>
  <c r="G23" i="3" a="1"/>
  <c r="K26" i="3" s="1"/>
  <c r="AH28" i="2"/>
  <c r="AH27" i="2"/>
  <c r="AH26" i="2"/>
  <c r="AH25" i="2"/>
  <c r="AH24" i="2"/>
  <c r="AF24" i="2"/>
  <c r="AF25" i="2" s="1"/>
  <c r="AH23" i="2"/>
  <c r="W15" i="2" a="1"/>
  <c r="AB20" i="2" s="1"/>
  <c r="W3" i="2" a="1"/>
  <c r="AA8" i="2" s="1"/>
  <c r="D6" i="10" l="1"/>
  <c r="B8" i="10"/>
  <c r="P58" i="15"/>
  <c r="F58" i="15"/>
  <c r="L58" i="15"/>
  <c r="T5" i="15"/>
  <c r="T61" i="15" s="1"/>
  <c r="P5" i="15"/>
  <c r="P61" i="15" s="1"/>
  <c r="L5" i="15"/>
  <c r="L61" i="15" s="1"/>
  <c r="H5" i="15"/>
  <c r="H61" i="15" s="1"/>
  <c r="C61" i="15"/>
  <c r="R5" i="15"/>
  <c r="R61" i="15" s="1"/>
  <c r="N5" i="15"/>
  <c r="N61" i="15" s="1"/>
  <c r="J5" i="15"/>
  <c r="J61" i="15" s="1"/>
  <c r="F5" i="15"/>
  <c r="F61" i="15" s="1"/>
  <c r="S5" i="15"/>
  <c r="K5" i="15"/>
  <c r="O5" i="15"/>
  <c r="Q5" i="15"/>
  <c r="I5" i="15"/>
  <c r="G5" i="15"/>
  <c r="M5" i="15"/>
  <c r="E5" i="15"/>
  <c r="R58" i="15"/>
  <c r="H58" i="15"/>
  <c r="J58" i="15"/>
  <c r="A7" i="15"/>
  <c r="C7" i="15" s="1"/>
  <c r="B7" i="15"/>
  <c r="N58" i="15"/>
  <c r="T58" i="15"/>
  <c r="C6" i="15"/>
  <c r="D6" i="9"/>
  <c r="B8" i="9"/>
  <c r="AF26" i="2"/>
  <c r="Z3" i="2"/>
  <c r="X4" i="2"/>
  <c r="Z5" i="2"/>
  <c r="AB6" i="2"/>
  <c r="X8" i="2"/>
  <c r="Y6" i="2"/>
  <c r="E114" i="11" a="1"/>
  <c r="W15" i="2"/>
  <c r="AA15" i="2"/>
  <c r="Y16" i="2"/>
  <c r="W17" i="2"/>
  <c r="AA17" i="2"/>
  <c r="Y18" i="2"/>
  <c r="W19" i="2"/>
  <c r="AA19" i="2"/>
  <c r="Y20" i="2"/>
  <c r="X3" i="2"/>
  <c r="AB3" i="2"/>
  <c r="Z4" i="2"/>
  <c r="X5" i="2"/>
  <c r="AB5" i="2"/>
  <c r="Z6" i="2"/>
  <c r="X7" i="2"/>
  <c r="AB7" i="2"/>
  <c r="Z8" i="2"/>
  <c r="X15" i="2"/>
  <c r="AB15" i="2"/>
  <c r="Z16" i="2"/>
  <c r="X17" i="2"/>
  <c r="AB17" i="2"/>
  <c r="Z18" i="2"/>
  <c r="X19" i="2"/>
  <c r="AB19" i="2"/>
  <c r="Z20" i="2"/>
  <c r="J23" i="3"/>
  <c r="K24" i="3"/>
  <c r="K25" i="3"/>
  <c r="Q33" i="3"/>
  <c r="N18" i="5"/>
  <c r="J18" i="5"/>
  <c r="K17" i="5"/>
  <c r="L16" i="5"/>
  <c r="M15" i="5"/>
  <c r="N14" i="5"/>
  <c r="J14" i="5"/>
  <c r="J15" i="5"/>
  <c r="J16" i="5"/>
  <c r="J17" i="5"/>
  <c r="K18" i="5"/>
  <c r="X18" i="5"/>
  <c r="Y17" i="5"/>
  <c r="Z16" i="5"/>
  <c r="V16" i="5"/>
  <c r="W15" i="5"/>
  <c r="X14" i="5"/>
  <c r="T14" i="5" s="1" a="1"/>
  <c r="Z14" i="5"/>
  <c r="Z15" i="5"/>
  <c r="V17" i="5"/>
  <c r="V18" i="5"/>
  <c r="W34" i="5"/>
  <c r="X35" i="5"/>
  <c r="X36" i="5"/>
  <c r="X37" i="5"/>
  <c r="Y38" i="5"/>
  <c r="L14" i="6"/>
  <c r="L15" i="6"/>
  <c r="M16" i="6"/>
  <c r="M17" i="6"/>
  <c r="M18" i="6"/>
  <c r="W14" i="6"/>
  <c r="T14" i="6" s="1" a="1"/>
  <c r="X15" i="6"/>
  <c r="X16" i="6"/>
  <c r="X17" i="6"/>
  <c r="Y18" i="6"/>
  <c r="M14" i="7"/>
  <c r="K16" i="7"/>
  <c r="S2" i="12"/>
  <c r="M2" i="12"/>
  <c r="H2" i="12"/>
  <c r="C58" i="11"/>
  <c r="B8" i="11"/>
  <c r="Q2" i="12"/>
  <c r="AB4" i="2"/>
  <c r="X6" i="2"/>
  <c r="Z7" i="2"/>
  <c r="AB8" i="2"/>
  <c r="W3" i="2"/>
  <c r="AA3" i="2"/>
  <c r="Y4" i="2"/>
  <c r="W5" i="2"/>
  <c r="AA5" i="2"/>
  <c r="W7" i="2"/>
  <c r="AA7" i="2"/>
  <c r="Y8" i="2"/>
  <c r="Y3" i="2"/>
  <c r="W4" i="2"/>
  <c r="AA4" i="2"/>
  <c r="Y5" i="2"/>
  <c r="W6" i="2"/>
  <c r="AA6" i="2"/>
  <c r="Y7" i="2"/>
  <c r="W8" i="2"/>
  <c r="Y15" i="2"/>
  <c r="W16" i="2"/>
  <c r="AA16" i="2"/>
  <c r="Y17" i="2"/>
  <c r="W18" i="2"/>
  <c r="AA18" i="2"/>
  <c r="Y19" i="2"/>
  <c r="W20" i="2"/>
  <c r="AA20" i="2"/>
  <c r="K27" i="3"/>
  <c r="G27" i="3"/>
  <c r="H26" i="3"/>
  <c r="I25" i="3"/>
  <c r="J24" i="3"/>
  <c r="K23" i="3"/>
  <c r="G23" i="3"/>
  <c r="G24" i="3"/>
  <c r="G25" i="3"/>
  <c r="G26" i="3"/>
  <c r="H27" i="3"/>
  <c r="Q34" i="3"/>
  <c r="Y34" i="5"/>
  <c r="Y35" i="5"/>
  <c r="Y36" i="5"/>
  <c r="Z37" i="5"/>
  <c r="M14" i="6"/>
  <c r="N15" i="6"/>
  <c r="N16" i="6"/>
  <c r="Y14" i="6"/>
  <c r="Y15" i="6"/>
  <c r="Y16" i="6"/>
  <c r="Z17" i="6"/>
  <c r="AG18" i="7"/>
  <c r="AH17" i="7"/>
  <c r="AD17" i="7"/>
  <c r="AE16" i="7"/>
  <c r="AF15" i="7"/>
  <c r="AG14" i="7"/>
  <c r="AE18" i="7"/>
  <c r="AF17" i="7"/>
  <c r="AG16" i="7"/>
  <c r="AH15" i="7"/>
  <c r="AD15" i="7"/>
  <c r="AE14" i="7"/>
  <c r="AH18" i="7"/>
  <c r="AD18" i="7"/>
  <c r="AE17" i="7"/>
  <c r="AF16" i="7"/>
  <c r="AG15" i="7"/>
  <c r="AH14" i="7"/>
  <c r="AD14" i="7"/>
  <c r="AH16" i="7"/>
  <c r="Z26" i="8"/>
  <c r="Z22" i="8"/>
  <c r="Z24" i="8"/>
  <c r="Z23" i="8"/>
  <c r="Z15" i="2"/>
  <c r="X16" i="2"/>
  <c r="AB16" i="2"/>
  <c r="Z17" i="2"/>
  <c r="X18" i="2"/>
  <c r="AB18" i="2"/>
  <c r="Z19" i="2"/>
  <c r="X20" i="2"/>
  <c r="X38" i="5"/>
  <c r="Y37" i="5"/>
  <c r="Z36" i="5"/>
  <c r="V36" i="5"/>
  <c r="W35" i="5"/>
  <c r="X34" i="5"/>
  <c r="Z34" i="5"/>
  <c r="Z35" i="5"/>
  <c r="V37" i="5"/>
  <c r="V38" i="5"/>
  <c r="N18" i="6"/>
  <c r="J18" i="6"/>
  <c r="K17" i="6"/>
  <c r="L16" i="6"/>
  <c r="M15" i="6"/>
  <c r="N14" i="6"/>
  <c r="J14" i="6"/>
  <c r="J15" i="6"/>
  <c r="J16" i="6"/>
  <c r="J17" i="6"/>
  <c r="K18" i="6"/>
  <c r="X18" i="6"/>
  <c r="Y17" i="6"/>
  <c r="Z16" i="6"/>
  <c r="V16" i="6"/>
  <c r="W15" i="6"/>
  <c r="X14" i="6"/>
  <c r="Z14" i="6"/>
  <c r="Z15" i="6"/>
  <c r="V17" i="6"/>
  <c r="V18" i="6"/>
  <c r="K18" i="7"/>
  <c r="L17" i="7"/>
  <c r="M16" i="7"/>
  <c r="N15" i="7"/>
  <c r="J15" i="7"/>
  <c r="K14" i="7"/>
  <c r="N18" i="7"/>
  <c r="J18" i="7"/>
  <c r="K17" i="7"/>
  <c r="L16" i="7"/>
  <c r="M15" i="7"/>
  <c r="N14" i="7"/>
  <c r="J14" i="7"/>
  <c r="N22" i="7" s="1" a="1"/>
  <c r="L15" i="7"/>
  <c r="J17" i="7"/>
  <c r="M18" i="7"/>
  <c r="AF14" i="7"/>
  <c r="AG17" i="7"/>
  <c r="S3" i="12"/>
  <c r="S59" i="12" s="1"/>
  <c r="S4" i="12"/>
  <c r="S60" i="12" s="1"/>
  <c r="M14" i="4"/>
  <c r="R14" i="4" s="1" a="1"/>
  <c r="L15" i="4"/>
  <c r="K16" i="4"/>
  <c r="J17" i="4"/>
  <c r="N17" i="4"/>
  <c r="X34" i="6"/>
  <c r="W35" i="6"/>
  <c r="V36" i="6"/>
  <c r="Z36" i="6"/>
  <c r="Y37" i="6"/>
  <c r="X38" i="6"/>
  <c r="V14" i="7"/>
  <c r="P22" i="7" s="1" a="1"/>
  <c r="U15" i="7"/>
  <c r="T16" i="7"/>
  <c r="X16" i="7"/>
  <c r="W17" i="7"/>
  <c r="V18" i="7"/>
  <c r="J14" i="8"/>
  <c r="N14" i="8"/>
  <c r="M15" i="8"/>
  <c r="L16" i="8"/>
  <c r="K17" i="8"/>
  <c r="J18" i="8"/>
  <c r="N18" i="8"/>
  <c r="V14" i="8"/>
  <c r="T22" i="8" s="1" a="1"/>
  <c r="U15" i="8"/>
  <c r="T16" i="8"/>
  <c r="X16" i="8"/>
  <c r="W17" i="8"/>
  <c r="V18" i="8"/>
  <c r="AD14" i="8"/>
  <c r="AH14" i="8"/>
  <c r="AG15" i="8"/>
  <c r="AF16" i="8"/>
  <c r="AE17" i="8"/>
  <c r="AD18" i="8"/>
  <c r="AH18" i="8"/>
  <c r="B6" i="9"/>
  <c r="C7" i="9"/>
  <c r="D8" i="9"/>
  <c r="B6" i="10"/>
  <c r="C7" i="10"/>
  <c r="D8" i="10"/>
  <c r="A6" i="11"/>
  <c r="E2" i="12"/>
  <c r="K2" i="12"/>
  <c r="P2" i="12"/>
  <c r="G3" i="12"/>
  <c r="G59" i="12" s="1"/>
  <c r="L3" i="12"/>
  <c r="L59" i="12" s="1"/>
  <c r="Q3" i="12"/>
  <c r="Q59" i="12" s="1"/>
  <c r="G4" i="12"/>
  <c r="G60" i="12" s="1"/>
  <c r="L4" i="12"/>
  <c r="L60" i="12" s="1"/>
  <c r="Q4" i="12"/>
  <c r="Q60" i="12" s="1"/>
  <c r="Y34" i="6"/>
  <c r="X35" i="6"/>
  <c r="W36" i="6"/>
  <c r="V37" i="6"/>
  <c r="Z37" i="6"/>
  <c r="W14" i="7"/>
  <c r="V15" i="7"/>
  <c r="U16" i="7"/>
  <c r="T17" i="7"/>
  <c r="X17" i="7"/>
  <c r="K14" i="8"/>
  <c r="J15" i="8"/>
  <c r="N15" i="8"/>
  <c r="M16" i="8"/>
  <c r="L17" i="8"/>
  <c r="K18" i="8"/>
  <c r="W14" i="8"/>
  <c r="V15" i="8"/>
  <c r="U16" i="8"/>
  <c r="T17" i="8"/>
  <c r="X17" i="8"/>
  <c r="AE14" i="8"/>
  <c r="AD15" i="8"/>
  <c r="AH15" i="8"/>
  <c r="AG16" i="8"/>
  <c r="AF17" i="8"/>
  <c r="AE18" i="8"/>
  <c r="C6" i="9"/>
  <c r="D7" i="9"/>
  <c r="C6" i="10"/>
  <c r="D7" i="10"/>
  <c r="G2" i="12"/>
  <c r="L2" i="12"/>
  <c r="H3" i="12"/>
  <c r="H59" i="12" s="1"/>
  <c r="M3" i="12"/>
  <c r="M59" i="12" s="1"/>
  <c r="H4" i="12"/>
  <c r="H60" i="12" s="1"/>
  <c r="M4" i="12"/>
  <c r="M60" i="12" s="1"/>
  <c r="C59" i="12"/>
  <c r="R3" i="12"/>
  <c r="R59" i="12" s="1"/>
  <c r="N3" i="12"/>
  <c r="N59" i="12" s="1"/>
  <c r="J3" i="12"/>
  <c r="J59" i="12" s="1"/>
  <c r="F3" i="12"/>
  <c r="F59" i="12" s="1"/>
  <c r="I3" i="12"/>
  <c r="I59" i="12" s="1"/>
  <c r="O3" i="12"/>
  <c r="O59" i="12" s="1"/>
  <c r="T3" i="12"/>
  <c r="T59" i="12" s="1"/>
  <c r="C60" i="12"/>
  <c r="R4" i="12"/>
  <c r="R60" i="12" s="1"/>
  <c r="N4" i="12"/>
  <c r="N60" i="12" s="1"/>
  <c r="J4" i="12"/>
  <c r="J60" i="12" s="1"/>
  <c r="F4" i="12"/>
  <c r="F60" i="12" s="1"/>
  <c r="I4" i="12"/>
  <c r="I60" i="12" s="1"/>
  <c r="O4" i="12"/>
  <c r="O60" i="12" s="1"/>
  <c r="T4" i="12"/>
  <c r="T60" i="12" s="1"/>
  <c r="C5" i="12"/>
  <c r="M14" i="8"/>
  <c r="L15" i="8"/>
  <c r="K16" i="8"/>
  <c r="J17" i="8"/>
  <c r="J25" i="8" s="1" a="1"/>
  <c r="N17" i="8"/>
  <c r="AG25" i="8" s="1" a="1"/>
  <c r="AG14" i="8"/>
  <c r="M22" i="8" s="1" a="1"/>
  <c r="AF15" i="8"/>
  <c r="AE16" i="8"/>
  <c r="AD17" i="8"/>
  <c r="AH17" i="8"/>
  <c r="M25" i="8" s="1" a="1"/>
  <c r="B7" i="9"/>
  <c r="B7" i="10"/>
  <c r="C58" i="12"/>
  <c r="R2" i="12"/>
  <c r="N2" i="12"/>
  <c r="J2" i="12"/>
  <c r="F2" i="12"/>
  <c r="I2" i="12"/>
  <c r="O2" i="12"/>
  <c r="T2" i="12"/>
  <c r="E3" i="12"/>
  <c r="E59" i="12" s="1"/>
  <c r="K3" i="12"/>
  <c r="K59" i="12" s="1"/>
  <c r="P3" i="12"/>
  <c r="P59" i="12" s="1"/>
  <c r="E4" i="12"/>
  <c r="E60" i="12" s="1"/>
  <c r="K4" i="12"/>
  <c r="K60" i="12" s="1"/>
  <c r="P4" i="12"/>
  <c r="P60" i="12" s="1"/>
  <c r="B6" i="12"/>
  <c r="A6" i="12"/>
  <c r="C6" i="12" s="1"/>
  <c r="B11" i="10" l="1" a="1"/>
  <c r="C11" i="10" s="1"/>
  <c r="G6" i="10" s="1"/>
  <c r="C62" i="15"/>
  <c r="R6" i="15"/>
  <c r="R62" i="15" s="1"/>
  <c r="N6" i="15"/>
  <c r="J6" i="15"/>
  <c r="J62" i="15" s="1"/>
  <c r="F6" i="15"/>
  <c r="T6" i="15"/>
  <c r="P6" i="15"/>
  <c r="P62" i="15" s="1"/>
  <c r="L6" i="15"/>
  <c r="H6" i="15"/>
  <c r="H62" i="15" s="1"/>
  <c r="M6" i="15"/>
  <c r="M62" i="15" s="1"/>
  <c r="E6" i="15"/>
  <c r="E62" i="15" s="1"/>
  <c r="I6" i="15"/>
  <c r="I62" i="15" s="1"/>
  <c r="S6" i="15"/>
  <c r="S62" i="15" s="1"/>
  <c r="K6" i="15"/>
  <c r="K62" i="15" s="1"/>
  <c r="Q6" i="15"/>
  <c r="Q62" i="15" s="1"/>
  <c r="G6" i="15"/>
  <c r="G62" i="15" s="1"/>
  <c r="O6" i="15"/>
  <c r="O62" i="15" s="1"/>
  <c r="I61" i="15"/>
  <c r="S61" i="15"/>
  <c r="B23" i="1" a="1"/>
  <c r="C25" i="1" s="1"/>
  <c r="A8" i="15"/>
  <c r="B8" i="15"/>
  <c r="E61" i="15"/>
  <c r="Q61" i="15"/>
  <c r="C63" i="15"/>
  <c r="T7" i="15"/>
  <c r="T63" i="15" s="1"/>
  <c r="P7" i="15"/>
  <c r="P63" i="15" s="1"/>
  <c r="L7" i="15"/>
  <c r="L63" i="15" s="1"/>
  <c r="H7" i="15"/>
  <c r="H63" i="15" s="1"/>
  <c r="R7" i="15"/>
  <c r="R63" i="15" s="1"/>
  <c r="N7" i="15"/>
  <c r="N63" i="15" s="1"/>
  <c r="J7" i="15"/>
  <c r="J63" i="15" s="1"/>
  <c r="F7" i="15"/>
  <c r="F63" i="15" s="1"/>
  <c r="M7" i="15"/>
  <c r="M63" i="15" s="1"/>
  <c r="E7" i="15"/>
  <c r="E63" i="15" s="1"/>
  <c r="S7" i="15"/>
  <c r="S63" i="15" s="1"/>
  <c r="K7" i="15"/>
  <c r="K63" i="15" s="1"/>
  <c r="Q7" i="15"/>
  <c r="Q63" i="15" s="1"/>
  <c r="I7" i="15"/>
  <c r="I63" i="15" s="1"/>
  <c r="O7" i="15"/>
  <c r="O63" i="15" s="1"/>
  <c r="G7" i="15"/>
  <c r="G63" i="15" s="1"/>
  <c r="M61" i="15"/>
  <c r="O61" i="15"/>
  <c r="G61" i="15"/>
  <c r="K61" i="15"/>
  <c r="B12" i="9" a="1"/>
  <c r="P23" i="7"/>
  <c r="P25" i="7"/>
  <c r="P24" i="7"/>
  <c r="P26" i="7"/>
  <c r="P22" i="7"/>
  <c r="T18" i="5"/>
  <c r="T14" i="5"/>
  <c r="T16" i="5"/>
  <c r="T15" i="5"/>
  <c r="T17" i="5"/>
  <c r="AG26" i="8"/>
  <c r="AG25" i="8"/>
  <c r="AH26" i="8"/>
  <c r="AH25" i="8"/>
  <c r="M26" i="8"/>
  <c r="M25" i="8"/>
  <c r="N26" i="8"/>
  <c r="N25" i="8"/>
  <c r="V26" i="8"/>
  <c r="W25" i="8"/>
  <c r="X24" i="8"/>
  <c r="T24" i="8"/>
  <c r="U23" i="8"/>
  <c r="V22" i="8"/>
  <c r="X26" i="8"/>
  <c r="T26" i="8"/>
  <c r="U25" i="8"/>
  <c r="V24" i="8"/>
  <c r="W23" i="8"/>
  <c r="X22" i="8"/>
  <c r="T22" i="8"/>
  <c r="W26" i="8"/>
  <c r="X25" i="8"/>
  <c r="T25" i="8"/>
  <c r="U24" i="8"/>
  <c r="V23" i="8"/>
  <c r="W22" i="8"/>
  <c r="W24" i="8"/>
  <c r="X23" i="8"/>
  <c r="U22" i="8"/>
  <c r="U26" i="8"/>
  <c r="T23" i="8"/>
  <c r="V25" i="8"/>
  <c r="R15" i="4"/>
  <c r="T15" i="4" s="1"/>
  <c r="R18" i="4"/>
  <c r="T18" i="4" s="1"/>
  <c r="R17" i="4"/>
  <c r="T17" i="4" s="1"/>
  <c r="R16" i="4"/>
  <c r="T16" i="4" s="1"/>
  <c r="R14" i="4"/>
  <c r="T14" i="4" s="1"/>
  <c r="T18" i="6"/>
  <c r="T14" i="6"/>
  <c r="T17" i="6"/>
  <c r="T16" i="6"/>
  <c r="T15" i="6"/>
  <c r="T129" i="11"/>
  <c r="P129" i="11"/>
  <c r="L129" i="11"/>
  <c r="H129" i="11"/>
  <c r="T128" i="11"/>
  <c r="P128" i="11"/>
  <c r="L128" i="11"/>
  <c r="H128" i="11"/>
  <c r="T127" i="11"/>
  <c r="P127" i="11"/>
  <c r="L127" i="11"/>
  <c r="H127" i="11"/>
  <c r="T126" i="11"/>
  <c r="P126" i="11"/>
  <c r="L126" i="11"/>
  <c r="H126" i="11"/>
  <c r="T125" i="11"/>
  <c r="P125" i="11"/>
  <c r="L125" i="11"/>
  <c r="H125" i="11"/>
  <c r="T124" i="11"/>
  <c r="P124" i="11"/>
  <c r="L124" i="11"/>
  <c r="H124" i="11"/>
  <c r="T123" i="11"/>
  <c r="P123" i="11"/>
  <c r="L123" i="11"/>
  <c r="H123" i="11"/>
  <c r="T122" i="11"/>
  <c r="Q129" i="11"/>
  <c r="K129" i="11"/>
  <c r="F129" i="11"/>
  <c r="Q128" i="11"/>
  <c r="K128" i="11"/>
  <c r="F128" i="11"/>
  <c r="Q127" i="11"/>
  <c r="K127" i="11"/>
  <c r="F127" i="11"/>
  <c r="Q126" i="11"/>
  <c r="K126" i="11"/>
  <c r="F126" i="11"/>
  <c r="Q125" i="11"/>
  <c r="K125" i="11"/>
  <c r="F125" i="11"/>
  <c r="Q124" i="11"/>
  <c r="K124" i="11"/>
  <c r="F124" i="11"/>
  <c r="Q123" i="11"/>
  <c r="K123" i="11"/>
  <c r="F123" i="11"/>
  <c r="Q122" i="11"/>
  <c r="M122" i="11"/>
  <c r="I122" i="11"/>
  <c r="E122" i="11"/>
  <c r="Q121" i="11"/>
  <c r="M121" i="11"/>
  <c r="I121" i="11"/>
  <c r="E121" i="11"/>
  <c r="Q120" i="11"/>
  <c r="M120" i="11"/>
  <c r="I120" i="11"/>
  <c r="E120" i="11"/>
  <c r="Q119" i="11"/>
  <c r="M119" i="11"/>
  <c r="I119" i="11"/>
  <c r="E119" i="11"/>
  <c r="Q118" i="11"/>
  <c r="M118" i="11"/>
  <c r="I118" i="11"/>
  <c r="E118" i="11"/>
  <c r="Q117" i="11"/>
  <c r="M117" i="11"/>
  <c r="I117" i="11"/>
  <c r="E117" i="11"/>
  <c r="Q116" i="11"/>
  <c r="M116" i="11"/>
  <c r="I116" i="11"/>
  <c r="E116" i="11"/>
  <c r="Q115" i="11"/>
  <c r="M115" i="11"/>
  <c r="I115" i="11"/>
  <c r="E115" i="11"/>
  <c r="Q114" i="11"/>
  <c r="M114" i="11"/>
  <c r="I114" i="11"/>
  <c r="E114" i="11"/>
  <c r="O129" i="11"/>
  <c r="J129" i="11"/>
  <c r="E129" i="11"/>
  <c r="O128" i="11"/>
  <c r="J128" i="11"/>
  <c r="E128" i="11"/>
  <c r="O127" i="11"/>
  <c r="J127" i="11"/>
  <c r="E127" i="11"/>
  <c r="O126" i="11"/>
  <c r="J126" i="11"/>
  <c r="E126" i="11"/>
  <c r="O125" i="11"/>
  <c r="J125" i="11"/>
  <c r="E125" i="11"/>
  <c r="O124" i="11"/>
  <c r="J124" i="11"/>
  <c r="E124" i="11"/>
  <c r="O123" i="11"/>
  <c r="J123" i="11"/>
  <c r="E123" i="11"/>
  <c r="P122" i="11"/>
  <c r="L122" i="11"/>
  <c r="H122" i="11"/>
  <c r="T121" i="11"/>
  <c r="P121" i="11"/>
  <c r="L121" i="11"/>
  <c r="H121" i="11"/>
  <c r="T120" i="11"/>
  <c r="P120" i="11"/>
  <c r="L120" i="11"/>
  <c r="H120" i="11"/>
  <c r="T119" i="11"/>
  <c r="P119" i="11"/>
  <c r="L119" i="11"/>
  <c r="H119" i="11"/>
  <c r="T118" i="11"/>
  <c r="P118" i="11"/>
  <c r="L118" i="11"/>
  <c r="H118" i="11"/>
  <c r="T117" i="11"/>
  <c r="P117" i="11"/>
  <c r="L117" i="11"/>
  <c r="H117" i="11"/>
  <c r="T116" i="11"/>
  <c r="P116" i="11"/>
  <c r="L116" i="11"/>
  <c r="H116" i="11"/>
  <c r="T115" i="11"/>
  <c r="P115" i="11"/>
  <c r="L115" i="11"/>
  <c r="H115" i="11"/>
  <c r="T114" i="11"/>
  <c r="P114" i="11"/>
  <c r="L114" i="11"/>
  <c r="H114" i="11"/>
  <c r="S129" i="11"/>
  <c r="N129" i="11"/>
  <c r="I129" i="11"/>
  <c r="S128" i="11"/>
  <c r="N128" i="11"/>
  <c r="I128" i="11"/>
  <c r="S127" i="11"/>
  <c r="N127" i="11"/>
  <c r="I127" i="11"/>
  <c r="S126" i="11"/>
  <c r="N126" i="11"/>
  <c r="I126" i="11"/>
  <c r="S125" i="11"/>
  <c r="N125" i="11"/>
  <c r="I125" i="11"/>
  <c r="S124" i="11"/>
  <c r="N124" i="11"/>
  <c r="I124" i="11"/>
  <c r="S123" i="11"/>
  <c r="N123" i="11"/>
  <c r="I123" i="11"/>
  <c r="S122" i="11"/>
  <c r="O122" i="11"/>
  <c r="K122" i="11"/>
  <c r="G122" i="11"/>
  <c r="S121" i="11"/>
  <c r="O121" i="11"/>
  <c r="K121" i="11"/>
  <c r="G121" i="11"/>
  <c r="S120" i="11"/>
  <c r="O120" i="11"/>
  <c r="K120" i="11"/>
  <c r="G120" i="11"/>
  <c r="S119" i="11"/>
  <c r="O119" i="11"/>
  <c r="K119" i="11"/>
  <c r="G119" i="11"/>
  <c r="S118" i="11"/>
  <c r="O118" i="11"/>
  <c r="K118" i="11"/>
  <c r="G118" i="11"/>
  <c r="S117" i="11"/>
  <c r="O117" i="11"/>
  <c r="K117" i="11"/>
  <c r="G117" i="11"/>
  <c r="S116" i="11"/>
  <c r="O116" i="11"/>
  <c r="K116" i="11"/>
  <c r="G116" i="11"/>
  <c r="S115" i="11"/>
  <c r="O115" i="11"/>
  <c r="K115" i="11"/>
  <c r="G115" i="11"/>
  <c r="S114" i="11"/>
  <c r="O114" i="11"/>
  <c r="K114" i="11"/>
  <c r="G114" i="11"/>
  <c r="R129" i="11"/>
  <c r="M129" i="11"/>
  <c r="G129" i="11"/>
  <c r="R128" i="11"/>
  <c r="M128" i="11"/>
  <c r="G128" i="11"/>
  <c r="R127" i="11"/>
  <c r="M127" i="11"/>
  <c r="G127" i="11"/>
  <c r="R126" i="11"/>
  <c r="M126" i="11"/>
  <c r="G126" i="11"/>
  <c r="R125" i="11"/>
  <c r="M125" i="11"/>
  <c r="G125" i="11"/>
  <c r="R124" i="11"/>
  <c r="M124" i="11"/>
  <c r="G124" i="11"/>
  <c r="R123" i="11"/>
  <c r="M123" i="11"/>
  <c r="G123" i="11"/>
  <c r="R122" i="11"/>
  <c r="N122" i="11"/>
  <c r="J122" i="11"/>
  <c r="F122" i="11"/>
  <c r="R121" i="11"/>
  <c r="N121" i="11"/>
  <c r="J121" i="11"/>
  <c r="F121" i="11"/>
  <c r="R120" i="11"/>
  <c r="N120" i="11"/>
  <c r="J120" i="11"/>
  <c r="F120" i="11"/>
  <c r="R119" i="11"/>
  <c r="N119" i="11"/>
  <c r="J119" i="11"/>
  <c r="F119" i="11"/>
  <c r="R118" i="11"/>
  <c r="N118" i="11"/>
  <c r="J118" i="11"/>
  <c r="F118" i="11"/>
  <c r="R117" i="11"/>
  <c r="N117" i="11"/>
  <c r="J117" i="11"/>
  <c r="F117" i="11"/>
  <c r="R116" i="11"/>
  <c r="N116" i="11"/>
  <c r="J116" i="11"/>
  <c r="F116" i="11"/>
  <c r="R115" i="11"/>
  <c r="N115" i="11"/>
  <c r="J115" i="11"/>
  <c r="F115" i="11"/>
  <c r="R114" i="11"/>
  <c r="N114" i="11"/>
  <c r="J114" i="11"/>
  <c r="F114" i="11"/>
  <c r="T58" i="12"/>
  <c r="B11" i="10"/>
  <c r="F6" i="10" s="1"/>
  <c r="D11" i="10"/>
  <c r="H6" i="10" s="1"/>
  <c r="P58" i="12"/>
  <c r="S58" i="12"/>
  <c r="B7" i="12"/>
  <c r="A7" i="12"/>
  <c r="O58" i="12"/>
  <c r="N58" i="12"/>
  <c r="B11" i="9" a="1"/>
  <c r="L58" i="12"/>
  <c r="B13" i="9" a="1"/>
  <c r="K58" i="12"/>
  <c r="B12" i="10" a="1"/>
  <c r="J22" i="8" a="1"/>
  <c r="AE3" i="2" a="1"/>
  <c r="R14" i="5" a="1"/>
  <c r="AD22" i="8" a="1"/>
  <c r="I58" i="12"/>
  <c r="R58" i="12"/>
  <c r="N23" i="8"/>
  <c r="N24" i="8"/>
  <c r="N22" i="8"/>
  <c r="M24" i="8"/>
  <c r="M22" i="8"/>
  <c r="M23" i="8"/>
  <c r="G58" i="12"/>
  <c r="E58" i="12"/>
  <c r="Q58" i="12"/>
  <c r="H58" i="12"/>
  <c r="C62" i="12"/>
  <c r="L6" i="12"/>
  <c r="L62" i="12" s="1"/>
  <c r="K6" i="12"/>
  <c r="K62" i="12" s="1"/>
  <c r="J6" i="12"/>
  <c r="J62" i="12" s="1"/>
  <c r="M6" i="12"/>
  <c r="M62" i="12" s="1"/>
  <c r="J58" i="12"/>
  <c r="L26" i="8"/>
  <c r="K25" i="8"/>
  <c r="J26" i="8"/>
  <c r="L25" i="8"/>
  <c r="J25" i="8"/>
  <c r="K26" i="8"/>
  <c r="C61" i="12"/>
  <c r="R5" i="12"/>
  <c r="R61" i="12" s="1"/>
  <c r="N5" i="12"/>
  <c r="N61" i="12" s="1"/>
  <c r="J5" i="12"/>
  <c r="J61" i="12" s="1"/>
  <c r="F5" i="12"/>
  <c r="F61" i="12" s="1"/>
  <c r="Q5" i="12"/>
  <c r="Q61" i="12" s="1"/>
  <c r="M5" i="12"/>
  <c r="M61" i="12" s="1"/>
  <c r="I5" i="12"/>
  <c r="I61" i="12" s="1"/>
  <c r="T5" i="12"/>
  <c r="T61" i="12" s="1"/>
  <c r="P5" i="12"/>
  <c r="P61" i="12" s="1"/>
  <c r="L5" i="12"/>
  <c r="L61" i="12" s="1"/>
  <c r="H5" i="12"/>
  <c r="H61" i="12" s="1"/>
  <c r="O5" i="12"/>
  <c r="O61" i="12" s="1"/>
  <c r="K5" i="12"/>
  <c r="K61" i="12" s="1"/>
  <c r="G5" i="12"/>
  <c r="G61" i="12" s="1"/>
  <c r="S5" i="12"/>
  <c r="S61" i="12" s="1"/>
  <c r="E5" i="12"/>
  <c r="E61" i="12" s="1"/>
  <c r="B12" i="9"/>
  <c r="F7" i="9" s="1"/>
  <c r="D12" i="9"/>
  <c r="H7" i="9" s="1"/>
  <c r="C12" i="9"/>
  <c r="G7" i="9" s="1"/>
  <c r="N25" i="7"/>
  <c r="N23" i="7"/>
  <c r="N26" i="7"/>
  <c r="N22" i="7"/>
  <c r="N24" i="7"/>
  <c r="B9" i="11"/>
  <c r="F58" i="12"/>
  <c r="AD25" i="8" a="1"/>
  <c r="AG22" i="8" a="1"/>
  <c r="B13" i="10" a="1"/>
  <c r="C6" i="11"/>
  <c r="C62" i="11" s="1"/>
  <c r="A7" i="11"/>
  <c r="R14" i="6" a="1"/>
  <c r="M58" i="12"/>
  <c r="AF27" i="2"/>
  <c r="C26" i="1" l="1"/>
  <c r="D28" i="1"/>
  <c r="G23" i="1"/>
  <c r="E26" i="1"/>
  <c r="C29" i="1"/>
  <c r="F24" i="1"/>
  <c r="F29" i="1"/>
  <c r="B25" i="1"/>
  <c r="C27" i="1"/>
  <c r="H29" i="1"/>
  <c r="D25" i="1"/>
  <c r="B28" i="1"/>
  <c r="E23" i="1"/>
  <c r="D27" i="1"/>
  <c r="E29" i="1"/>
  <c r="H24" i="1"/>
  <c r="F27" i="1"/>
  <c r="B23" i="1"/>
  <c r="G25" i="1"/>
  <c r="E28" i="1"/>
  <c r="H23" i="1"/>
  <c r="B26" i="1"/>
  <c r="G28" i="1"/>
  <c r="C24" i="1"/>
  <c r="H26" i="1"/>
  <c r="A9" i="15"/>
  <c r="C9" i="15" s="1"/>
  <c r="B9" i="15"/>
  <c r="L62" i="15"/>
  <c r="H27" i="1"/>
  <c r="F25" i="1"/>
  <c r="D23" i="1"/>
  <c r="G27" i="1"/>
  <c r="E25" i="1"/>
  <c r="C23" i="1"/>
  <c r="C28" i="1"/>
  <c r="H25" i="1"/>
  <c r="F23" i="1"/>
  <c r="F28" i="1"/>
  <c r="D26" i="1"/>
  <c r="B24" i="1"/>
  <c r="C8" i="15"/>
  <c r="N62" i="15"/>
  <c r="T62" i="15"/>
  <c r="B29" i="1"/>
  <c r="G26" i="1"/>
  <c r="E24" i="1"/>
  <c r="H28" i="1"/>
  <c r="F26" i="1"/>
  <c r="D24" i="1"/>
  <c r="D29" i="1"/>
  <c r="B27" i="1"/>
  <c r="G24" i="1"/>
  <c r="G29" i="1"/>
  <c r="E27" i="1"/>
  <c r="F62" i="15"/>
  <c r="AF28" i="2"/>
  <c r="AG27" i="2" s="1"/>
  <c r="C7" i="11"/>
  <c r="C63" i="11" s="1"/>
  <c r="A8" i="11"/>
  <c r="AF26" i="8"/>
  <c r="AE25" i="8"/>
  <c r="AD26" i="8"/>
  <c r="AF25" i="8"/>
  <c r="AE26" i="8"/>
  <c r="AD25" i="8"/>
  <c r="B10" i="11"/>
  <c r="Q6" i="12"/>
  <c r="Q62" i="12" s="1"/>
  <c r="N6" i="12"/>
  <c r="N62" i="12" s="1"/>
  <c r="O6" i="12"/>
  <c r="O62" i="12" s="1"/>
  <c r="P6" i="12"/>
  <c r="P62" i="12" s="1"/>
  <c r="L23" i="8"/>
  <c r="K22" i="8"/>
  <c r="K24" i="8"/>
  <c r="J23" i="8"/>
  <c r="J24" i="8"/>
  <c r="L22" i="8"/>
  <c r="K23" i="8"/>
  <c r="J22" i="8"/>
  <c r="L24" i="8"/>
  <c r="B13" i="9"/>
  <c r="F8" i="9" s="1"/>
  <c r="D13" i="9"/>
  <c r="H8" i="9" s="1"/>
  <c r="C13" i="9"/>
  <c r="G8" i="9" s="1"/>
  <c r="C7" i="12"/>
  <c r="R16" i="6"/>
  <c r="R14" i="6"/>
  <c r="R18" i="6"/>
  <c r="R17" i="6"/>
  <c r="R15" i="6"/>
  <c r="AG24" i="8"/>
  <c r="AG22" i="8"/>
  <c r="AG23" i="8"/>
  <c r="AH24" i="8"/>
  <c r="AH22" i="8"/>
  <c r="AH23" i="8"/>
  <c r="E6" i="12"/>
  <c r="E62" i="12" s="1"/>
  <c r="R6" i="12"/>
  <c r="R62" i="12" s="1"/>
  <c r="S6" i="12"/>
  <c r="S62" i="12" s="1"/>
  <c r="T6" i="12"/>
  <c r="T62" i="12" s="1"/>
  <c r="AD24" i="8"/>
  <c r="AF22" i="8"/>
  <c r="AF24" i="8"/>
  <c r="AE23" i="8"/>
  <c r="AD22" i="8"/>
  <c r="AE24" i="8"/>
  <c r="AD23" i="8"/>
  <c r="AE22" i="8"/>
  <c r="AF23" i="8"/>
  <c r="B12" i="10"/>
  <c r="F7" i="10" s="1"/>
  <c r="D12" i="10"/>
  <c r="H7" i="10" s="1"/>
  <c r="C12" i="10"/>
  <c r="G7" i="10" s="1"/>
  <c r="B8" i="12"/>
  <c r="A8" i="12"/>
  <c r="Y114" i="11" a="1"/>
  <c r="B13" i="10"/>
  <c r="F8" i="10" s="1"/>
  <c r="D13" i="10"/>
  <c r="H8" i="10" s="1"/>
  <c r="C13" i="10"/>
  <c r="G8" i="10" s="1"/>
  <c r="I6" i="12"/>
  <c r="I62" i="12" s="1"/>
  <c r="F6" i="12"/>
  <c r="G6" i="12"/>
  <c r="G62" i="12" s="1"/>
  <c r="H6" i="12"/>
  <c r="R16" i="5"/>
  <c r="R17" i="5"/>
  <c r="R15" i="5"/>
  <c r="R14" i="5"/>
  <c r="R18" i="5"/>
  <c r="AH8" i="2"/>
  <c r="AJ7" i="2"/>
  <c r="AF7" i="2"/>
  <c r="AH6" i="2"/>
  <c r="AJ5" i="2"/>
  <c r="AF5" i="2"/>
  <c r="AH4" i="2"/>
  <c r="AJ3" i="2"/>
  <c r="AF3" i="2"/>
  <c r="AI8" i="2"/>
  <c r="AE8" i="2"/>
  <c r="AG7" i="2"/>
  <c r="AI6" i="2"/>
  <c r="AG5" i="2"/>
  <c r="AE4" i="2"/>
  <c r="AG8" i="2"/>
  <c r="AI7" i="2"/>
  <c r="AE7" i="2"/>
  <c r="AG6" i="2"/>
  <c r="AI5" i="2"/>
  <c r="AE5" i="2"/>
  <c r="AG4" i="2"/>
  <c r="AI3" i="2"/>
  <c r="AE3" i="2"/>
  <c r="AJ8" i="2"/>
  <c r="AF8" i="2"/>
  <c r="AH7" i="2"/>
  <c r="AJ6" i="2"/>
  <c r="AF6" i="2"/>
  <c r="AH5" i="2"/>
  <c r="AJ4" i="2"/>
  <c r="AF4" i="2"/>
  <c r="AH3" i="2"/>
  <c r="AE6" i="2"/>
  <c r="AI4" i="2"/>
  <c r="AG3" i="2"/>
  <c r="B11" i="9"/>
  <c r="F6" i="9" s="1"/>
  <c r="D11" i="9"/>
  <c r="H6" i="9" s="1"/>
  <c r="C11" i="9"/>
  <c r="G6" i="9" s="1"/>
  <c r="Q23" i="1" l="1" a="1"/>
  <c r="Q23" i="1" s="1"/>
  <c r="C64" i="15"/>
  <c r="R8" i="15"/>
  <c r="N8" i="15"/>
  <c r="J8" i="15"/>
  <c r="F8" i="15"/>
  <c r="T8" i="15"/>
  <c r="P8" i="15"/>
  <c r="L8" i="15"/>
  <c r="H8" i="15"/>
  <c r="M8" i="15"/>
  <c r="E8" i="15"/>
  <c r="Q8" i="15"/>
  <c r="S8" i="15"/>
  <c r="K8" i="15"/>
  <c r="I8" i="15"/>
  <c r="G8" i="15"/>
  <c r="O8" i="15"/>
  <c r="A10" i="15"/>
  <c r="B10" i="15"/>
  <c r="T9" i="15"/>
  <c r="T65" i="15" s="1"/>
  <c r="P9" i="15"/>
  <c r="P65" i="15" s="1"/>
  <c r="L9" i="15"/>
  <c r="L65" i="15" s="1"/>
  <c r="H9" i="15"/>
  <c r="H65" i="15" s="1"/>
  <c r="R9" i="15"/>
  <c r="R65" i="15" s="1"/>
  <c r="N9" i="15"/>
  <c r="N65" i="15" s="1"/>
  <c r="J9" i="15"/>
  <c r="J65" i="15" s="1"/>
  <c r="F9" i="15"/>
  <c r="F65" i="15" s="1"/>
  <c r="O9" i="15"/>
  <c r="O65" i="15" s="1"/>
  <c r="G9" i="15"/>
  <c r="G65" i="15" s="1"/>
  <c r="K9" i="15"/>
  <c r="K65" i="15" s="1"/>
  <c r="C65" i="15"/>
  <c r="M9" i="15"/>
  <c r="M65" i="15" s="1"/>
  <c r="E9" i="15"/>
  <c r="E65" i="15" s="1"/>
  <c r="S9" i="15"/>
  <c r="S65" i="15" s="1"/>
  <c r="I9" i="15"/>
  <c r="I65" i="15" s="1"/>
  <c r="Q9" i="15"/>
  <c r="Q65" i="15" s="1"/>
  <c r="AE15" i="2" a="1"/>
  <c r="AE10" i="2" a="1"/>
  <c r="AE10" i="2" s="1"/>
  <c r="C8" i="11"/>
  <c r="C64" i="11" s="1"/>
  <c r="A9" i="11"/>
  <c r="H62" i="12"/>
  <c r="F62" i="12"/>
  <c r="C8" i="12"/>
  <c r="P22" i="8" a="1"/>
  <c r="B11" i="11"/>
  <c r="B9" i="12"/>
  <c r="A9" i="12"/>
  <c r="Y128" i="11"/>
  <c r="Y124" i="11"/>
  <c r="Y120" i="11"/>
  <c r="Y116" i="11"/>
  <c r="Y125" i="11"/>
  <c r="Y119" i="11"/>
  <c r="Y114" i="11"/>
  <c r="Y129" i="11"/>
  <c r="Y123" i="11"/>
  <c r="Y118" i="11"/>
  <c r="Y127" i="11"/>
  <c r="Y122" i="11"/>
  <c r="Y117" i="11"/>
  <c r="Y126" i="11"/>
  <c r="Y121" i="11"/>
  <c r="Y115" i="11"/>
  <c r="C63" i="12"/>
  <c r="S7" i="12"/>
  <c r="O7" i="12"/>
  <c r="K7" i="12"/>
  <c r="G7" i="12"/>
  <c r="G63" i="12" s="1"/>
  <c r="R7" i="12"/>
  <c r="R63" i="12" s="1"/>
  <c r="N7" i="12"/>
  <c r="J7" i="12"/>
  <c r="F7" i="12"/>
  <c r="F63" i="12" s="1"/>
  <c r="Q7" i="12"/>
  <c r="M7" i="12"/>
  <c r="I7" i="12"/>
  <c r="I63" i="12" s="1"/>
  <c r="E7" i="12"/>
  <c r="E63" i="12" s="1"/>
  <c r="T7" i="12"/>
  <c r="T63" i="12" s="1"/>
  <c r="P7" i="12"/>
  <c r="L7" i="12"/>
  <c r="H7" i="12"/>
  <c r="H63" i="12" s="1"/>
  <c r="AG28" i="2"/>
  <c r="AG24" i="2"/>
  <c r="AG23" i="2"/>
  <c r="AG25" i="2"/>
  <c r="AG26" i="2"/>
  <c r="Q28" i="1" l="1"/>
  <c r="Q26" i="1"/>
  <c r="Q24" i="1"/>
  <c r="Q29" i="1"/>
  <c r="Q27" i="1"/>
  <c r="Q25" i="1"/>
  <c r="I64" i="15"/>
  <c r="E64" i="15"/>
  <c r="N64" i="15"/>
  <c r="G64" i="15"/>
  <c r="Q64" i="15"/>
  <c r="L64" i="15"/>
  <c r="J64" i="15"/>
  <c r="P64" i="15"/>
  <c r="C10" i="15"/>
  <c r="K64" i="15"/>
  <c r="M64" i="15"/>
  <c r="T64" i="15"/>
  <c r="R64" i="15"/>
  <c r="A11" i="15"/>
  <c r="B11" i="15"/>
  <c r="O64" i="15"/>
  <c r="S64" i="15"/>
  <c r="H64" i="15"/>
  <c r="F64" i="15"/>
  <c r="L63" i="12"/>
  <c r="J63" i="12"/>
  <c r="K63" i="12"/>
  <c r="B12" i="11"/>
  <c r="C64" i="12"/>
  <c r="Q8" i="12"/>
  <c r="Q64" i="12" s="1"/>
  <c r="M8" i="12"/>
  <c r="M64" i="12" s="1"/>
  <c r="I8" i="12"/>
  <c r="E8" i="12"/>
  <c r="E64" i="12" s="1"/>
  <c r="T8" i="12"/>
  <c r="T64" i="12" s="1"/>
  <c r="P8" i="12"/>
  <c r="P64" i="12" s="1"/>
  <c r="L8" i="12"/>
  <c r="L64" i="12" s="1"/>
  <c r="H8" i="12"/>
  <c r="H64" i="12" s="1"/>
  <c r="S8" i="12"/>
  <c r="S64" i="12" s="1"/>
  <c r="O8" i="12"/>
  <c r="O64" i="12" s="1"/>
  <c r="K8" i="12"/>
  <c r="K64" i="12" s="1"/>
  <c r="G8" i="12"/>
  <c r="G64" i="12" s="1"/>
  <c r="R8" i="12"/>
  <c r="R64" i="12" s="1"/>
  <c r="N8" i="12"/>
  <c r="N64" i="12" s="1"/>
  <c r="J8" i="12"/>
  <c r="J64" i="12" s="1"/>
  <c r="F8" i="12"/>
  <c r="P63" i="12"/>
  <c r="M63" i="12"/>
  <c r="N63" i="12"/>
  <c r="O63" i="12"/>
  <c r="C9" i="12"/>
  <c r="C9" i="11"/>
  <c r="C65" i="11" s="1"/>
  <c r="A10" i="11"/>
  <c r="Q63" i="12"/>
  <c r="S63" i="12"/>
  <c r="B10" i="12"/>
  <c r="A10" i="12"/>
  <c r="C10" i="12" s="1"/>
  <c r="P26" i="8"/>
  <c r="P22" i="8"/>
  <c r="F31" i="8" s="1"/>
  <c r="P24" i="8"/>
  <c r="F33" i="8" s="1"/>
  <c r="P23" i="8"/>
  <c r="F32" i="8" s="1"/>
  <c r="P25" i="8"/>
  <c r="AI20" i="2"/>
  <c r="AE20" i="2"/>
  <c r="AG19" i="2"/>
  <c r="AG36" i="2" s="1"/>
  <c r="AI18" i="2"/>
  <c r="AI35" i="2" s="1"/>
  <c r="AE18" i="2"/>
  <c r="AE35" i="2" s="1"/>
  <c r="AG17" i="2"/>
  <c r="AG34" i="2" s="1"/>
  <c r="AI16" i="2"/>
  <c r="AI33" i="2" s="1"/>
  <c r="AE16" i="2"/>
  <c r="AE33" i="2" s="1"/>
  <c r="AG15" i="2"/>
  <c r="AG32" i="2" s="1"/>
  <c r="AH20" i="2"/>
  <c r="AJ19" i="2"/>
  <c r="AK36" i="2" s="1"/>
  <c r="AF19" i="2"/>
  <c r="AF36" i="2" s="1"/>
  <c r="AH18" i="2"/>
  <c r="AH35" i="2" s="1"/>
  <c r="AJ17" i="2"/>
  <c r="AF17" i="2"/>
  <c r="AF34" i="2" s="1"/>
  <c r="AH16" i="2"/>
  <c r="AH33" i="2" s="1"/>
  <c r="AJ15" i="2"/>
  <c r="AF15" i="2"/>
  <c r="AF32" i="2" s="1"/>
  <c r="AJ16" i="2"/>
  <c r="AG20" i="2"/>
  <c r="AI19" i="2"/>
  <c r="AI36" i="2" s="1"/>
  <c r="AE19" i="2"/>
  <c r="AE36" i="2" s="1"/>
  <c r="AG18" i="2"/>
  <c r="AG35" i="2" s="1"/>
  <c r="AI17" i="2"/>
  <c r="AI34" i="2" s="1"/>
  <c r="AE17" i="2"/>
  <c r="AE34" i="2" s="1"/>
  <c r="AG16" i="2"/>
  <c r="AG33" i="2" s="1"/>
  <c r="AI15" i="2"/>
  <c r="AI32" i="2" s="1"/>
  <c r="AE15" i="2"/>
  <c r="AJ20" i="2"/>
  <c r="AF20" i="2"/>
  <c r="AH19" i="2"/>
  <c r="AH36" i="2" s="1"/>
  <c r="AJ18" i="2"/>
  <c r="AF18" i="2"/>
  <c r="AF35" i="2" s="1"/>
  <c r="AH17" i="2"/>
  <c r="AH34" i="2" s="1"/>
  <c r="AF16" i="2"/>
  <c r="AF33" i="2" s="1"/>
  <c r="AH15" i="2"/>
  <c r="AH32" i="2" s="1"/>
  <c r="C11" i="15" l="1"/>
  <c r="A12" i="15"/>
  <c r="B12" i="15"/>
  <c r="C66" i="15"/>
  <c r="R10" i="15"/>
  <c r="N10" i="15"/>
  <c r="J10" i="15"/>
  <c r="F10" i="15"/>
  <c r="T10" i="15"/>
  <c r="P10" i="15"/>
  <c r="L10" i="15"/>
  <c r="H10" i="15"/>
  <c r="O10" i="15"/>
  <c r="G10" i="15"/>
  <c r="S10" i="15"/>
  <c r="S66" i="15" s="1"/>
  <c r="M10" i="15"/>
  <c r="E10" i="15"/>
  <c r="K10" i="15"/>
  <c r="K66" i="15" s="1"/>
  <c r="I10" i="15"/>
  <c r="Q10" i="15"/>
  <c r="C66" i="12"/>
  <c r="I10" i="12"/>
  <c r="I66" i="12" s="1"/>
  <c r="L10" i="12"/>
  <c r="L66" i="12" s="1"/>
  <c r="K10" i="12"/>
  <c r="K66" i="12" s="1"/>
  <c r="J10" i="12"/>
  <c r="J66" i="12" s="1"/>
  <c r="C65" i="12"/>
  <c r="S9" i="12"/>
  <c r="O9" i="12"/>
  <c r="K9" i="12"/>
  <c r="K65" i="12" s="1"/>
  <c r="G9" i="12"/>
  <c r="G65" i="12" s="1"/>
  <c r="R9" i="12"/>
  <c r="R65" i="12" s="1"/>
  <c r="N9" i="12"/>
  <c r="J9" i="12"/>
  <c r="J65" i="12" s="1"/>
  <c r="F9" i="12"/>
  <c r="F65" i="12" s="1"/>
  <c r="Q9" i="12"/>
  <c r="M9" i="12"/>
  <c r="I9" i="12"/>
  <c r="I65" i="12" s="1"/>
  <c r="E9" i="12"/>
  <c r="E65" i="12" s="1"/>
  <c r="T9" i="12"/>
  <c r="P9" i="12"/>
  <c r="L9" i="12"/>
  <c r="L65" i="12" s="1"/>
  <c r="H9" i="12"/>
  <c r="H65" i="12" s="1"/>
  <c r="B13" i="11"/>
  <c r="AE32" i="2"/>
  <c r="AM32" i="2" s="1" a="1"/>
  <c r="AN15" i="2" a="1"/>
  <c r="I64" i="12"/>
  <c r="B11" i="12"/>
  <c r="A11" i="12"/>
  <c r="C11" i="12" s="1"/>
  <c r="C10" i="11"/>
  <c r="C66" i="11" s="1"/>
  <c r="A11" i="11"/>
  <c r="F64" i="12"/>
  <c r="Q66" i="15" l="1"/>
  <c r="H66" i="15"/>
  <c r="I66" i="15"/>
  <c r="L66" i="15"/>
  <c r="J66" i="15"/>
  <c r="A13" i="15"/>
  <c r="B13" i="15"/>
  <c r="G66" i="15"/>
  <c r="P66" i="15"/>
  <c r="N66" i="15"/>
  <c r="C12" i="15"/>
  <c r="M66" i="15"/>
  <c r="F66" i="15"/>
  <c r="E66" i="15"/>
  <c r="O66" i="15"/>
  <c r="T66" i="15"/>
  <c r="R66" i="15"/>
  <c r="T11" i="15"/>
  <c r="T67" i="15" s="1"/>
  <c r="P11" i="15"/>
  <c r="P67" i="15" s="1"/>
  <c r="L11" i="15"/>
  <c r="L67" i="15" s="1"/>
  <c r="H11" i="15"/>
  <c r="H67" i="15" s="1"/>
  <c r="C67" i="15"/>
  <c r="R11" i="15"/>
  <c r="R67" i="15" s="1"/>
  <c r="N11" i="15"/>
  <c r="N67" i="15" s="1"/>
  <c r="J11" i="15"/>
  <c r="J67" i="15" s="1"/>
  <c r="F11" i="15"/>
  <c r="F67" i="15" s="1"/>
  <c r="O11" i="15"/>
  <c r="O67" i="15" s="1"/>
  <c r="G11" i="15"/>
  <c r="G67" i="15" s="1"/>
  <c r="S11" i="15"/>
  <c r="S67" i="15" s="1"/>
  <c r="K11" i="15"/>
  <c r="K67" i="15" s="1"/>
  <c r="M11" i="15"/>
  <c r="M67" i="15" s="1"/>
  <c r="E11" i="15"/>
  <c r="E67" i="15" s="1"/>
  <c r="I11" i="15"/>
  <c r="I67" i="15" s="1"/>
  <c r="Q11" i="15"/>
  <c r="Q67" i="15" s="1"/>
  <c r="AN20" i="2"/>
  <c r="AN16" i="2"/>
  <c r="AN19" i="2"/>
  <c r="AN15" i="2"/>
  <c r="AN18" i="2"/>
  <c r="AN17" i="2"/>
  <c r="B12" i="12"/>
  <c r="A12" i="12"/>
  <c r="AM35" i="2"/>
  <c r="AM33" i="2"/>
  <c r="AM32" i="2"/>
  <c r="AM36" i="2"/>
  <c r="AM34" i="2"/>
  <c r="B14" i="11"/>
  <c r="T65" i="12"/>
  <c r="Q65" i="12"/>
  <c r="S65" i="12"/>
  <c r="N10" i="12"/>
  <c r="N66" i="12" s="1"/>
  <c r="O10" i="12"/>
  <c r="O66" i="12" s="1"/>
  <c r="P10" i="12"/>
  <c r="P66" i="12" s="1"/>
  <c r="M10" i="12"/>
  <c r="M66" i="12" s="1"/>
  <c r="C11" i="11"/>
  <c r="C67" i="11" s="1"/>
  <c r="A12" i="11"/>
  <c r="M65" i="12"/>
  <c r="O65" i="12"/>
  <c r="R10" i="12"/>
  <c r="R66" i="12" s="1"/>
  <c r="S10" i="12"/>
  <c r="S66" i="12" s="1"/>
  <c r="T10" i="12"/>
  <c r="T66" i="12" s="1"/>
  <c r="Q10" i="12"/>
  <c r="Q66" i="12" s="1"/>
  <c r="C67" i="12"/>
  <c r="S11" i="12"/>
  <c r="S67" i="12" s="1"/>
  <c r="O11" i="12"/>
  <c r="O67" i="12" s="1"/>
  <c r="K11" i="12"/>
  <c r="K67" i="12" s="1"/>
  <c r="G11" i="12"/>
  <c r="G67" i="12" s="1"/>
  <c r="R11" i="12"/>
  <c r="R67" i="12" s="1"/>
  <c r="N11" i="12"/>
  <c r="N67" i="12" s="1"/>
  <c r="J11" i="12"/>
  <c r="J67" i="12" s="1"/>
  <c r="F11" i="12"/>
  <c r="F67" i="12" s="1"/>
  <c r="Q11" i="12"/>
  <c r="Q67" i="12" s="1"/>
  <c r="M11" i="12"/>
  <c r="M67" i="12" s="1"/>
  <c r="I11" i="12"/>
  <c r="I67" i="12" s="1"/>
  <c r="E11" i="12"/>
  <c r="E67" i="12" s="1"/>
  <c r="T11" i="12"/>
  <c r="T67" i="12" s="1"/>
  <c r="P11" i="12"/>
  <c r="P67" i="12" s="1"/>
  <c r="L11" i="12"/>
  <c r="H11" i="12"/>
  <c r="H67" i="12" s="1"/>
  <c r="P65" i="12"/>
  <c r="N65" i="12"/>
  <c r="F10" i="12"/>
  <c r="G10" i="12"/>
  <c r="G66" i="12" s="1"/>
  <c r="H10" i="12"/>
  <c r="E10" i="12"/>
  <c r="E66" i="12" s="1"/>
  <c r="C68" i="15" l="1"/>
  <c r="R12" i="15"/>
  <c r="R68" i="15" s="1"/>
  <c r="N12" i="15"/>
  <c r="N68" i="15" s="1"/>
  <c r="J12" i="15"/>
  <c r="J68" i="15" s="1"/>
  <c r="F12" i="15"/>
  <c r="F68" i="15" s="1"/>
  <c r="T12" i="15"/>
  <c r="T68" i="15" s="1"/>
  <c r="P12" i="15"/>
  <c r="P68" i="15" s="1"/>
  <c r="L12" i="15"/>
  <c r="H12" i="15"/>
  <c r="H68" i="15" s="1"/>
  <c r="Q12" i="15"/>
  <c r="Q68" i="15" s="1"/>
  <c r="I12" i="15"/>
  <c r="I68" i="15" s="1"/>
  <c r="M12" i="15"/>
  <c r="M68" i="15" s="1"/>
  <c r="E12" i="15"/>
  <c r="E68" i="15" s="1"/>
  <c r="O12" i="15"/>
  <c r="O68" i="15" s="1"/>
  <c r="G12" i="15"/>
  <c r="G68" i="15" s="1"/>
  <c r="S12" i="15"/>
  <c r="S68" i="15" s="1"/>
  <c r="K12" i="15"/>
  <c r="K68" i="15" s="1"/>
  <c r="C13" i="15"/>
  <c r="A14" i="15"/>
  <c r="C14" i="15" s="1"/>
  <c r="B14" i="15"/>
  <c r="F66" i="12"/>
  <c r="C12" i="11"/>
  <c r="C68" i="11" s="1"/>
  <c r="A13" i="11"/>
  <c r="B13" i="12"/>
  <c r="A13" i="12"/>
  <c r="C13" i="12" s="1"/>
  <c r="B15" i="11"/>
  <c r="H66" i="12"/>
  <c r="L67" i="12"/>
  <c r="C12" i="12"/>
  <c r="A15" i="15" l="1"/>
  <c r="C15" i="15" s="1"/>
  <c r="B15" i="15"/>
  <c r="L68" i="15"/>
  <c r="C70" i="15"/>
  <c r="R14" i="15"/>
  <c r="R70" i="15" s="1"/>
  <c r="N14" i="15"/>
  <c r="N70" i="15" s="1"/>
  <c r="J14" i="15"/>
  <c r="J70" i="15" s="1"/>
  <c r="F14" i="15"/>
  <c r="F70" i="15" s="1"/>
  <c r="T14" i="15"/>
  <c r="T70" i="15" s="1"/>
  <c r="P14" i="15"/>
  <c r="P70" i="15" s="1"/>
  <c r="L14" i="15"/>
  <c r="L70" i="15" s="1"/>
  <c r="H14" i="15"/>
  <c r="H70" i="15" s="1"/>
  <c r="Q14" i="15"/>
  <c r="Q70" i="15" s="1"/>
  <c r="I14" i="15"/>
  <c r="I70" i="15" s="1"/>
  <c r="M14" i="15"/>
  <c r="M70" i="15" s="1"/>
  <c r="E14" i="15"/>
  <c r="E70" i="15" s="1"/>
  <c r="O14" i="15"/>
  <c r="O70" i="15" s="1"/>
  <c r="G14" i="15"/>
  <c r="G70" i="15" s="1"/>
  <c r="S14" i="15"/>
  <c r="S70" i="15" s="1"/>
  <c r="K14" i="15"/>
  <c r="K70" i="15" s="1"/>
  <c r="C69" i="15"/>
  <c r="T13" i="15"/>
  <c r="T69" i="15" s="1"/>
  <c r="P13" i="15"/>
  <c r="P69" i="15" s="1"/>
  <c r="L13" i="15"/>
  <c r="L69" i="15" s="1"/>
  <c r="H13" i="15"/>
  <c r="H69" i="15" s="1"/>
  <c r="R13" i="15"/>
  <c r="R69" i="15" s="1"/>
  <c r="N13" i="15"/>
  <c r="N69" i="15" s="1"/>
  <c r="J13" i="15"/>
  <c r="J69" i="15" s="1"/>
  <c r="F13" i="15"/>
  <c r="F69" i="15" s="1"/>
  <c r="Q13" i="15"/>
  <c r="Q69" i="15" s="1"/>
  <c r="I13" i="15"/>
  <c r="I69" i="15" s="1"/>
  <c r="O13" i="15"/>
  <c r="O69" i="15" s="1"/>
  <c r="G13" i="15"/>
  <c r="G69" i="15" s="1"/>
  <c r="M13" i="15"/>
  <c r="M69" i="15" s="1"/>
  <c r="E13" i="15"/>
  <c r="E69" i="15" s="1"/>
  <c r="K13" i="15"/>
  <c r="K69" i="15" s="1"/>
  <c r="S13" i="15"/>
  <c r="S69" i="15" s="1"/>
  <c r="C69" i="12"/>
  <c r="B14" i="12"/>
  <c r="A14" i="12"/>
  <c r="C14" i="12" s="1"/>
  <c r="C68" i="12"/>
  <c r="Q12" i="12"/>
  <c r="Q68" i="12" s="1"/>
  <c r="M12" i="12"/>
  <c r="M68" i="12" s="1"/>
  <c r="I12" i="12"/>
  <c r="I68" i="12" s="1"/>
  <c r="E12" i="12"/>
  <c r="E68" i="12" s="1"/>
  <c r="T12" i="12"/>
  <c r="T68" i="12" s="1"/>
  <c r="P12" i="12"/>
  <c r="L12" i="12"/>
  <c r="L68" i="12" s="1"/>
  <c r="H12" i="12"/>
  <c r="H68" i="12" s="1"/>
  <c r="S12" i="12"/>
  <c r="S68" i="12" s="1"/>
  <c r="O12" i="12"/>
  <c r="O68" i="12" s="1"/>
  <c r="K12" i="12"/>
  <c r="K68" i="12" s="1"/>
  <c r="G12" i="12"/>
  <c r="G68" i="12" s="1"/>
  <c r="R12" i="12"/>
  <c r="R68" i="12" s="1"/>
  <c r="N12" i="12"/>
  <c r="J12" i="12"/>
  <c r="J68" i="12" s="1"/>
  <c r="F12" i="12"/>
  <c r="B16" i="11"/>
  <c r="C13" i="11"/>
  <c r="C69" i="11" s="1"/>
  <c r="A14" i="11"/>
  <c r="A16" i="15" l="1"/>
  <c r="C16" i="15" s="1"/>
  <c r="B16" i="15"/>
  <c r="C71" i="15"/>
  <c r="T15" i="15"/>
  <c r="T71" i="15" s="1"/>
  <c r="P15" i="15"/>
  <c r="P71" i="15" s="1"/>
  <c r="L15" i="15"/>
  <c r="L71" i="15" s="1"/>
  <c r="H15" i="15"/>
  <c r="H71" i="15" s="1"/>
  <c r="R15" i="15"/>
  <c r="R71" i="15" s="1"/>
  <c r="N15" i="15"/>
  <c r="N71" i="15" s="1"/>
  <c r="J15" i="15"/>
  <c r="J71" i="15" s="1"/>
  <c r="F15" i="15"/>
  <c r="F71" i="15" s="1"/>
  <c r="S15" i="15"/>
  <c r="S71" i="15" s="1"/>
  <c r="K15" i="15"/>
  <c r="K71" i="15" s="1"/>
  <c r="G15" i="15"/>
  <c r="G71" i="15" s="1"/>
  <c r="Q15" i="15"/>
  <c r="Q71" i="15" s="1"/>
  <c r="I15" i="15"/>
  <c r="I71" i="15" s="1"/>
  <c r="O15" i="15"/>
  <c r="O71" i="15" s="1"/>
  <c r="M15" i="15"/>
  <c r="M71" i="15" s="1"/>
  <c r="E15" i="15"/>
  <c r="E71" i="15" s="1"/>
  <c r="F68" i="12"/>
  <c r="L13" i="12"/>
  <c r="L69" i="12" s="1"/>
  <c r="I13" i="12"/>
  <c r="I69" i="12" s="1"/>
  <c r="J13" i="12"/>
  <c r="J69" i="12" s="1"/>
  <c r="K13" i="12"/>
  <c r="K69" i="12" s="1"/>
  <c r="C70" i="12"/>
  <c r="P13" i="12"/>
  <c r="P69" i="12" s="1"/>
  <c r="M13" i="12"/>
  <c r="M69" i="12" s="1"/>
  <c r="N13" i="12"/>
  <c r="N69" i="12" s="1"/>
  <c r="O13" i="12"/>
  <c r="O69" i="12" s="1"/>
  <c r="N68" i="12"/>
  <c r="P68" i="12"/>
  <c r="B15" i="12"/>
  <c r="A15" i="12"/>
  <c r="C15" i="12" s="1"/>
  <c r="T13" i="12"/>
  <c r="T69" i="12" s="1"/>
  <c r="Q13" i="12"/>
  <c r="Q69" i="12" s="1"/>
  <c r="R13" i="12"/>
  <c r="R69" i="12" s="1"/>
  <c r="S13" i="12"/>
  <c r="S69" i="12" s="1"/>
  <c r="C14" i="11"/>
  <c r="C70" i="11" s="1"/>
  <c r="A15" i="11"/>
  <c r="B17" i="11"/>
  <c r="H13" i="12"/>
  <c r="H69" i="12" s="1"/>
  <c r="E13" i="12"/>
  <c r="E69" i="12" s="1"/>
  <c r="F13" i="12"/>
  <c r="F69" i="12" s="1"/>
  <c r="G13" i="12"/>
  <c r="G69" i="12" s="1"/>
  <c r="A17" i="15" l="1"/>
  <c r="C17" i="15" s="1"/>
  <c r="B17" i="15"/>
  <c r="C72" i="15"/>
  <c r="R16" i="15"/>
  <c r="R72" i="15" s="1"/>
  <c r="N16" i="15"/>
  <c r="N72" i="15" s="1"/>
  <c r="J16" i="15"/>
  <c r="J72" i="15" s="1"/>
  <c r="F16" i="15"/>
  <c r="F72" i="15" s="1"/>
  <c r="T16" i="15"/>
  <c r="T72" i="15" s="1"/>
  <c r="P16" i="15"/>
  <c r="P72" i="15" s="1"/>
  <c r="L16" i="15"/>
  <c r="L72" i="15" s="1"/>
  <c r="H16" i="15"/>
  <c r="H72" i="15" s="1"/>
  <c r="S16" i="15"/>
  <c r="S72" i="15" s="1"/>
  <c r="K16" i="15"/>
  <c r="K72" i="15" s="1"/>
  <c r="G16" i="15"/>
  <c r="G72" i="15" s="1"/>
  <c r="Q16" i="15"/>
  <c r="Q72" i="15" s="1"/>
  <c r="I16" i="15"/>
  <c r="I72" i="15" s="1"/>
  <c r="O16" i="15"/>
  <c r="O72" i="15" s="1"/>
  <c r="M16" i="15"/>
  <c r="M72" i="15" s="1"/>
  <c r="E16" i="15"/>
  <c r="E72" i="15" s="1"/>
  <c r="B18" i="11"/>
  <c r="B16" i="12"/>
  <c r="A16" i="12"/>
  <c r="R14" i="12"/>
  <c r="R70" i="12" s="1"/>
  <c r="S14" i="12"/>
  <c r="S70" i="12" s="1"/>
  <c r="T14" i="12"/>
  <c r="T70" i="12" s="1"/>
  <c r="Q14" i="12"/>
  <c r="Q70" i="12" s="1"/>
  <c r="C15" i="11"/>
  <c r="C71" i="11" s="1"/>
  <c r="A16" i="11"/>
  <c r="F14" i="12"/>
  <c r="F70" i="12" s="1"/>
  <c r="G14" i="12"/>
  <c r="G70" i="12" s="1"/>
  <c r="H14" i="12"/>
  <c r="H70" i="12" s="1"/>
  <c r="E14" i="12"/>
  <c r="E70" i="12" s="1"/>
  <c r="J14" i="12"/>
  <c r="J70" i="12" s="1"/>
  <c r="K14" i="12"/>
  <c r="K70" i="12" s="1"/>
  <c r="L14" i="12"/>
  <c r="L70" i="12" s="1"/>
  <c r="I14" i="12"/>
  <c r="I70" i="12" s="1"/>
  <c r="C71" i="12"/>
  <c r="S15" i="12"/>
  <c r="S71" i="12" s="1"/>
  <c r="O15" i="12"/>
  <c r="O71" i="12" s="1"/>
  <c r="K15" i="12"/>
  <c r="K71" i="12" s="1"/>
  <c r="G15" i="12"/>
  <c r="G71" i="12" s="1"/>
  <c r="R15" i="12"/>
  <c r="R71" i="12" s="1"/>
  <c r="N15" i="12"/>
  <c r="N71" i="12" s="1"/>
  <c r="J15" i="12"/>
  <c r="J71" i="12" s="1"/>
  <c r="F15" i="12"/>
  <c r="F71" i="12" s="1"/>
  <c r="Q15" i="12"/>
  <c r="Q71" i="12" s="1"/>
  <c r="M15" i="12"/>
  <c r="M71" i="12" s="1"/>
  <c r="I15" i="12"/>
  <c r="I71" i="12" s="1"/>
  <c r="E15" i="12"/>
  <c r="E71" i="12" s="1"/>
  <c r="T15" i="12"/>
  <c r="T71" i="12" s="1"/>
  <c r="P15" i="12"/>
  <c r="P71" i="12" s="1"/>
  <c r="L15" i="12"/>
  <c r="L71" i="12" s="1"/>
  <c r="H15" i="12"/>
  <c r="H71" i="12" s="1"/>
  <c r="N14" i="12"/>
  <c r="N70" i="12" s="1"/>
  <c r="O14" i="12"/>
  <c r="O70" i="12" s="1"/>
  <c r="P14" i="12"/>
  <c r="P70" i="12" s="1"/>
  <c r="M14" i="12"/>
  <c r="M70" i="12" s="1"/>
  <c r="A18" i="15" l="1"/>
  <c r="C18" i="15" s="1"/>
  <c r="B18" i="15"/>
  <c r="C73" i="15"/>
  <c r="T17" i="15"/>
  <c r="T73" i="15" s="1"/>
  <c r="P17" i="15"/>
  <c r="P73" i="15" s="1"/>
  <c r="L17" i="15"/>
  <c r="L73" i="15" s="1"/>
  <c r="H17" i="15"/>
  <c r="H73" i="15" s="1"/>
  <c r="R17" i="15"/>
  <c r="R73" i="15" s="1"/>
  <c r="N17" i="15"/>
  <c r="N73" i="15" s="1"/>
  <c r="J17" i="15"/>
  <c r="J73" i="15" s="1"/>
  <c r="F17" i="15"/>
  <c r="F73" i="15" s="1"/>
  <c r="S17" i="15"/>
  <c r="S73" i="15" s="1"/>
  <c r="K17" i="15"/>
  <c r="K73" i="15" s="1"/>
  <c r="G17" i="15"/>
  <c r="G73" i="15" s="1"/>
  <c r="Q17" i="15"/>
  <c r="Q73" i="15" s="1"/>
  <c r="I17" i="15"/>
  <c r="I73" i="15" s="1"/>
  <c r="O17" i="15"/>
  <c r="O73" i="15" s="1"/>
  <c r="M17" i="15"/>
  <c r="M73" i="15" s="1"/>
  <c r="E17" i="15"/>
  <c r="E73" i="15" s="1"/>
  <c r="C16" i="12"/>
  <c r="B17" i="12"/>
  <c r="A17" i="12"/>
  <c r="C17" i="12" s="1"/>
  <c r="C16" i="11"/>
  <c r="C72" i="11" s="1"/>
  <c r="A17" i="11"/>
  <c r="B19" i="11"/>
  <c r="A19" i="15" l="1"/>
  <c r="C19" i="15" s="1"/>
  <c r="B19" i="15"/>
  <c r="C74" i="15"/>
  <c r="R18" i="15"/>
  <c r="R74" i="15" s="1"/>
  <c r="N18" i="15"/>
  <c r="N74" i="15" s="1"/>
  <c r="J18" i="15"/>
  <c r="J74" i="15" s="1"/>
  <c r="F18" i="15"/>
  <c r="F74" i="15" s="1"/>
  <c r="T18" i="15"/>
  <c r="T74" i="15" s="1"/>
  <c r="P18" i="15"/>
  <c r="P74" i="15" s="1"/>
  <c r="L18" i="15"/>
  <c r="L74" i="15" s="1"/>
  <c r="H18" i="15"/>
  <c r="H74" i="15" s="1"/>
  <c r="M18" i="15"/>
  <c r="M74" i="15" s="1"/>
  <c r="E18" i="15"/>
  <c r="E74" i="15" s="1"/>
  <c r="S18" i="15"/>
  <c r="S74" i="15" s="1"/>
  <c r="K18" i="15"/>
  <c r="K74" i="15" s="1"/>
  <c r="Q18" i="15"/>
  <c r="Q74" i="15" s="1"/>
  <c r="I18" i="15"/>
  <c r="I74" i="15" s="1"/>
  <c r="O18" i="15"/>
  <c r="O74" i="15" s="1"/>
  <c r="G18" i="15"/>
  <c r="G74" i="15" s="1"/>
  <c r="C73" i="12"/>
  <c r="C17" i="11"/>
  <c r="C73" i="11" s="1"/>
  <c r="A18" i="11"/>
  <c r="B20" i="11"/>
  <c r="B18" i="12"/>
  <c r="A18" i="12"/>
  <c r="C18" i="12" s="1"/>
  <c r="C72" i="12"/>
  <c r="Q16" i="12"/>
  <c r="Q72" i="12" s="1"/>
  <c r="M16" i="12"/>
  <c r="M72" i="12" s="1"/>
  <c r="I16" i="12"/>
  <c r="I72" i="12" s="1"/>
  <c r="E16" i="12"/>
  <c r="E72" i="12" s="1"/>
  <c r="T16" i="12"/>
  <c r="T72" i="12" s="1"/>
  <c r="P16" i="12"/>
  <c r="P72" i="12" s="1"/>
  <c r="L16" i="12"/>
  <c r="L72" i="12" s="1"/>
  <c r="H16" i="12"/>
  <c r="H72" i="12" s="1"/>
  <c r="S16" i="12"/>
  <c r="S72" i="12" s="1"/>
  <c r="O16" i="12"/>
  <c r="O72" i="12" s="1"/>
  <c r="K16" i="12"/>
  <c r="K72" i="12" s="1"/>
  <c r="G16" i="12"/>
  <c r="G72" i="12" s="1"/>
  <c r="R16" i="12"/>
  <c r="R72" i="12" s="1"/>
  <c r="N16" i="12"/>
  <c r="N72" i="12" s="1"/>
  <c r="J16" i="12"/>
  <c r="J72" i="12" s="1"/>
  <c r="F16" i="12"/>
  <c r="F72" i="12" s="1"/>
  <c r="A20" i="15" l="1"/>
  <c r="C20" i="15" s="1"/>
  <c r="B20" i="15"/>
  <c r="C75" i="15"/>
  <c r="T19" i="15"/>
  <c r="T75" i="15" s="1"/>
  <c r="P19" i="15"/>
  <c r="P75" i="15" s="1"/>
  <c r="L19" i="15"/>
  <c r="L75" i="15" s="1"/>
  <c r="H19" i="15"/>
  <c r="H75" i="15" s="1"/>
  <c r="R19" i="15"/>
  <c r="R75" i="15" s="1"/>
  <c r="N19" i="15"/>
  <c r="N75" i="15" s="1"/>
  <c r="J19" i="15"/>
  <c r="J75" i="15" s="1"/>
  <c r="F19" i="15"/>
  <c r="F75" i="15" s="1"/>
  <c r="M19" i="15"/>
  <c r="M75" i="15" s="1"/>
  <c r="E19" i="15"/>
  <c r="E75" i="15" s="1"/>
  <c r="S19" i="15"/>
  <c r="S75" i="15" s="1"/>
  <c r="K19" i="15"/>
  <c r="K75" i="15" s="1"/>
  <c r="Q19" i="15"/>
  <c r="Q75" i="15" s="1"/>
  <c r="I19" i="15"/>
  <c r="I75" i="15" s="1"/>
  <c r="G19" i="15"/>
  <c r="G75" i="15" s="1"/>
  <c r="O19" i="15"/>
  <c r="O75" i="15" s="1"/>
  <c r="B21" i="11"/>
  <c r="L17" i="12"/>
  <c r="L73" i="12" s="1"/>
  <c r="I17" i="12"/>
  <c r="I73" i="12" s="1"/>
  <c r="J17" i="12"/>
  <c r="J73" i="12" s="1"/>
  <c r="K17" i="12"/>
  <c r="K73" i="12" s="1"/>
  <c r="C74" i="12"/>
  <c r="J18" i="12"/>
  <c r="J74" i="12" s="1"/>
  <c r="C18" i="11"/>
  <c r="C74" i="11" s="1"/>
  <c r="A19" i="11"/>
  <c r="P17" i="12"/>
  <c r="P73" i="12" s="1"/>
  <c r="M17" i="12"/>
  <c r="M73" i="12" s="1"/>
  <c r="N17" i="12"/>
  <c r="N73" i="12" s="1"/>
  <c r="O17" i="12"/>
  <c r="O73" i="12" s="1"/>
  <c r="B19" i="12"/>
  <c r="A19" i="12"/>
  <c r="T17" i="12"/>
  <c r="T73" i="12" s="1"/>
  <c r="Q17" i="12"/>
  <c r="Q73" i="12" s="1"/>
  <c r="R17" i="12"/>
  <c r="R73" i="12" s="1"/>
  <c r="S17" i="12"/>
  <c r="S73" i="12" s="1"/>
  <c r="H17" i="12"/>
  <c r="H73" i="12" s="1"/>
  <c r="E17" i="12"/>
  <c r="E73" i="12" s="1"/>
  <c r="F17" i="12"/>
  <c r="F73" i="12" s="1"/>
  <c r="G17" i="12"/>
  <c r="G73" i="12" s="1"/>
  <c r="A21" i="15" l="1"/>
  <c r="C21" i="15" s="1"/>
  <c r="B21" i="15"/>
  <c r="C76" i="15"/>
  <c r="R20" i="15"/>
  <c r="R76" i="15" s="1"/>
  <c r="N20" i="15"/>
  <c r="N76" i="15" s="1"/>
  <c r="J20" i="15"/>
  <c r="J76" i="15" s="1"/>
  <c r="F20" i="15"/>
  <c r="F76" i="15" s="1"/>
  <c r="T20" i="15"/>
  <c r="T76" i="15" s="1"/>
  <c r="P20" i="15"/>
  <c r="P76" i="15" s="1"/>
  <c r="L20" i="15"/>
  <c r="L76" i="15" s="1"/>
  <c r="H20" i="15"/>
  <c r="H76" i="15" s="1"/>
  <c r="M20" i="15"/>
  <c r="M76" i="15" s="1"/>
  <c r="E20" i="15"/>
  <c r="E76" i="15" s="1"/>
  <c r="Q20" i="15"/>
  <c r="Q76" i="15" s="1"/>
  <c r="S20" i="15"/>
  <c r="S76" i="15" s="1"/>
  <c r="K20" i="15"/>
  <c r="K76" i="15" s="1"/>
  <c r="I20" i="15"/>
  <c r="I76" i="15" s="1"/>
  <c r="O20" i="15"/>
  <c r="O76" i="15" s="1"/>
  <c r="G20" i="15"/>
  <c r="G76" i="15" s="1"/>
  <c r="R18" i="12"/>
  <c r="R74" i="12" s="1"/>
  <c r="S18" i="12"/>
  <c r="S74" i="12" s="1"/>
  <c r="T18" i="12"/>
  <c r="T74" i="12" s="1"/>
  <c r="Q18" i="12"/>
  <c r="Q74" i="12" s="1"/>
  <c r="C19" i="12"/>
  <c r="F18" i="12"/>
  <c r="F74" i="12" s="1"/>
  <c r="G18" i="12"/>
  <c r="G74" i="12" s="1"/>
  <c r="H18" i="12"/>
  <c r="H74" i="12" s="1"/>
  <c r="E18" i="12"/>
  <c r="E74" i="12" s="1"/>
  <c r="B20" i="12"/>
  <c r="A20" i="12"/>
  <c r="C20" i="12" s="1"/>
  <c r="K18" i="12"/>
  <c r="K74" i="12" s="1"/>
  <c r="L18" i="12"/>
  <c r="L74" i="12" s="1"/>
  <c r="I18" i="12"/>
  <c r="I74" i="12" s="1"/>
  <c r="C19" i="11"/>
  <c r="C75" i="11" s="1"/>
  <c r="A20" i="11"/>
  <c r="N18" i="12"/>
  <c r="N74" i="12" s="1"/>
  <c r="O18" i="12"/>
  <c r="O74" i="12" s="1"/>
  <c r="P18" i="12"/>
  <c r="P74" i="12" s="1"/>
  <c r="M18" i="12"/>
  <c r="M74" i="12" s="1"/>
  <c r="B22" i="11"/>
  <c r="A22" i="15" l="1"/>
  <c r="B22" i="15"/>
  <c r="C77" i="15"/>
  <c r="T21" i="15"/>
  <c r="T77" i="15" s="1"/>
  <c r="P21" i="15"/>
  <c r="P77" i="15" s="1"/>
  <c r="L21" i="15"/>
  <c r="L77" i="15" s="1"/>
  <c r="H21" i="15"/>
  <c r="H77" i="15" s="1"/>
  <c r="R21" i="15"/>
  <c r="R77" i="15" s="1"/>
  <c r="N21" i="15"/>
  <c r="N77" i="15" s="1"/>
  <c r="J21" i="15"/>
  <c r="J77" i="15" s="1"/>
  <c r="F21" i="15"/>
  <c r="F77" i="15" s="1"/>
  <c r="O21" i="15"/>
  <c r="O77" i="15" s="1"/>
  <c r="G21" i="15"/>
  <c r="G77" i="15" s="1"/>
  <c r="K21" i="15"/>
  <c r="K77" i="15" s="1"/>
  <c r="M21" i="15"/>
  <c r="M77" i="15" s="1"/>
  <c r="E21" i="15"/>
  <c r="E77" i="15" s="1"/>
  <c r="S21" i="15"/>
  <c r="S77" i="15" s="1"/>
  <c r="Q21" i="15"/>
  <c r="Q77" i="15" s="1"/>
  <c r="I21" i="15"/>
  <c r="I77" i="15" s="1"/>
  <c r="B23" i="11"/>
  <c r="C20" i="11"/>
  <c r="C76" i="11" s="1"/>
  <c r="A21" i="11"/>
  <c r="C76" i="12"/>
  <c r="Q20" i="12"/>
  <c r="Q76" i="12" s="1"/>
  <c r="M20" i="12"/>
  <c r="M76" i="12" s="1"/>
  <c r="I20" i="12"/>
  <c r="I76" i="12" s="1"/>
  <c r="E20" i="12"/>
  <c r="E76" i="12" s="1"/>
  <c r="T20" i="12"/>
  <c r="T76" i="12" s="1"/>
  <c r="P20" i="12"/>
  <c r="P76" i="12" s="1"/>
  <c r="L20" i="12"/>
  <c r="L76" i="12" s="1"/>
  <c r="H20" i="12"/>
  <c r="H76" i="12" s="1"/>
  <c r="S20" i="12"/>
  <c r="S76" i="12" s="1"/>
  <c r="O20" i="12"/>
  <c r="O76" i="12" s="1"/>
  <c r="K20" i="12"/>
  <c r="K76" i="12" s="1"/>
  <c r="G20" i="12"/>
  <c r="G76" i="12" s="1"/>
  <c r="R20" i="12"/>
  <c r="R76" i="12" s="1"/>
  <c r="N20" i="12"/>
  <c r="N76" i="12" s="1"/>
  <c r="J20" i="12"/>
  <c r="J76" i="12" s="1"/>
  <c r="F20" i="12"/>
  <c r="F76" i="12" s="1"/>
  <c r="B21" i="12"/>
  <c r="A21" i="12"/>
  <c r="C21" i="12" s="1"/>
  <c r="C75" i="12"/>
  <c r="S19" i="12"/>
  <c r="S75" i="12" s="1"/>
  <c r="O19" i="12"/>
  <c r="O75" i="12" s="1"/>
  <c r="K19" i="12"/>
  <c r="K75" i="12" s="1"/>
  <c r="G19" i="12"/>
  <c r="G75" i="12" s="1"/>
  <c r="R19" i="12"/>
  <c r="R75" i="12" s="1"/>
  <c r="N19" i="12"/>
  <c r="N75" i="12" s="1"/>
  <c r="J19" i="12"/>
  <c r="J75" i="12" s="1"/>
  <c r="F19" i="12"/>
  <c r="F75" i="12" s="1"/>
  <c r="Q19" i="12"/>
  <c r="Q75" i="12" s="1"/>
  <c r="M19" i="12"/>
  <c r="M75" i="12" s="1"/>
  <c r="I19" i="12"/>
  <c r="I75" i="12" s="1"/>
  <c r="E19" i="12"/>
  <c r="E75" i="12" s="1"/>
  <c r="T19" i="12"/>
  <c r="T75" i="12" s="1"/>
  <c r="P19" i="12"/>
  <c r="P75" i="12" s="1"/>
  <c r="L19" i="12"/>
  <c r="L75" i="12" s="1"/>
  <c r="H19" i="12"/>
  <c r="H75" i="12" s="1"/>
  <c r="A23" i="15" l="1"/>
  <c r="B23" i="15"/>
  <c r="C22" i="15"/>
  <c r="C21" i="11"/>
  <c r="C77" i="11" s="1"/>
  <c r="A22" i="11"/>
  <c r="C77" i="12"/>
  <c r="S21" i="12"/>
  <c r="S77" i="12" s="1"/>
  <c r="O21" i="12"/>
  <c r="O77" i="12" s="1"/>
  <c r="K21" i="12"/>
  <c r="K77" i="12" s="1"/>
  <c r="G21" i="12"/>
  <c r="G77" i="12" s="1"/>
  <c r="R21" i="12"/>
  <c r="R77" i="12" s="1"/>
  <c r="N21" i="12"/>
  <c r="N77" i="12" s="1"/>
  <c r="J21" i="12"/>
  <c r="J77" i="12" s="1"/>
  <c r="F21" i="12"/>
  <c r="F77" i="12" s="1"/>
  <c r="Q21" i="12"/>
  <c r="Q77" i="12" s="1"/>
  <c r="M21" i="12"/>
  <c r="M77" i="12" s="1"/>
  <c r="I21" i="12"/>
  <c r="I77" i="12" s="1"/>
  <c r="E21" i="12"/>
  <c r="E77" i="12" s="1"/>
  <c r="T21" i="12"/>
  <c r="T77" i="12" s="1"/>
  <c r="P21" i="12"/>
  <c r="P77" i="12" s="1"/>
  <c r="L21" i="12"/>
  <c r="L77" i="12" s="1"/>
  <c r="H21" i="12"/>
  <c r="H77" i="12" s="1"/>
  <c r="B22" i="12"/>
  <c r="A22" i="12"/>
  <c r="B24" i="11"/>
  <c r="C78" i="15" l="1"/>
  <c r="R22" i="15"/>
  <c r="R78" i="15" s="1"/>
  <c r="N22" i="15"/>
  <c r="N78" i="15" s="1"/>
  <c r="J22" i="15"/>
  <c r="J78" i="15" s="1"/>
  <c r="F22" i="15"/>
  <c r="F78" i="15" s="1"/>
  <c r="T22" i="15"/>
  <c r="T78" i="15" s="1"/>
  <c r="P22" i="15"/>
  <c r="P78" i="15" s="1"/>
  <c r="L22" i="15"/>
  <c r="L78" i="15" s="1"/>
  <c r="H22" i="15"/>
  <c r="H78" i="15" s="1"/>
  <c r="O22" i="15"/>
  <c r="O78" i="15" s="1"/>
  <c r="G22" i="15"/>
  <c r="G78" i="15" s="1"/>
  <c r="K22" i="15"/>
  <c r="K78" i="15" s="1"/>
  <c r="M22" i="15"/>
  <c r="M78" i="15" s="1"/>
  <c r="E22" i="15"/>
  <c r="E78" i="15" s="1"/>
  <c r="S22" i="15"/>
  <c r="S78" i="15" s="1"/>
  <c r="Q22" i="15"/>
  <c r="Q78" i="15" s="1"/>
  <c r="I22" i="15"/>
  <c r="I78" i="15" s="1"/>
  <c r="A24" i="15"/>
  <c r="B24" i="15"/>
  <c r="C23" i="15"/>
  <c r="B23" i="12"/>
  <c r="A23" i="12"/>
  <c r="C23" i="12" s="1"/>
  <c r="B25" i="11"/>
  <c r="C22" i="11"/>
  <c r="C78" i="11" s="1"/>
  <c r="A23" i="11"/>
  <c r="C22" i="12"/>
  <c r="C79" i="15" l="1"/>
  <c r="T23" i="15"/>
  <c r="T79" i="15" s="1"/>
  <c r="P23" i="15"/>
  <c r="P79" i="15" s="1"/>
  <c r="L23" i="15"/>
  <c r="L79" i="15" s="1"/>
  <c r="H23" i="15"/>
  <c r="H79" i="15" s="1"/>
  <c r="R23" i="15"/>
  <c r="R79" i="15" s="1"/>
  <c r="N23" i="15"/>
  <c r="N79" i="15" s="1"/>
  <c r="J23" i="15"/>
  <c r="J79" i="15" s="1"/>
  <c r="F23" i="15"/>
  <c r="F79" i="15" s="1"/>
  <c r="O23" i="15"/>
  <c r="O79" i="15" s="1"/>
  <c r="G23" i="15"/>
  <c r="G79" i="15" s="1"/>
  <c r="S23" i="15"/>
  <c r="S79" i="15" s="1"/>
  <c r="K23" i="15"/>
  <c r="K79" i="15" s="1"/>
  <c r="M23" i="15"/>
  <c r="M79" i="15" s="1"/>
  <c r="E23" i="15"/>
  <c r="E79" i="15" s="1"/>
  <c r="Q23" i="15"/>
  <c r="Q79" i="15" s="1"/>
  <c r="I23" i="15"/>
  <c r="I79" i="15" s="1"/>
  <c r="A25" i="15"/>
  <c r="B25" i="15"/>
  <c r="C24" i="15"/>
  <c r="C78" i="12"/>
  <c r="Q22" i="12"/>
  <c r="Q78" i="12" s="1"/>
  <c r="M22" i="12"/>
  <c r="M78" i="12" s="1"/>
  <c r="I22" i="12"/>
  <c r="I78" i="12" s="1"/>
  <c r="E22" i="12"/>
  <c r="E78" i="12" s="1"/>
  <c r="T22" i="12"/>
  <c r="T78" i="12" s="1"/>
  <c r="P22" i="12"/>
  <c r="P78" i="12" s="1"/>
  <c r="L22" i="12"/>
  <c r="L78" i="12" s="1"/>
  <c r="H22" i="12"/>
  <c r="H78" i="12" s="1"/>
  <c r="S22" i="12"/>
  <c r="S78" i="12" s="1"/>
  <c r="O22" i="12"/>
  <c r="O78" i="12" s="1"/>
  <c r="K22" i="12"/>
  <c r="K78" i="12" s="1"/>
  <c r="G22" i="12"/>
  <c r="G78" i="12" s="1"/>
  <c r="R22" i="12"/>
  <c r="R78" i="12" s="1"/>
  <c r="N22" i="12"/>
  <c r="N78" i="12" s="1"/>
  <c r="J22" i="12"/>
  <c r="J78" i="12" s="1"/>
  <c r="F22" i="12"/>
  <c r="F78" i="12" s="1"/>
  <c r="B26" i="11"/>
  <c r="C23" i="11"/>
  <c r="C79" i="11" s="1"/>
  <c r="A24" i="11"/>
  <c r="C79" i="12"/>
  <c r="S23" i="12"/>
  <c r="S79" i="12" s="1"/>
  <c r="O23" i="12"/>
  <c r="O79" i="12" s="1"/>
  <c r="K23" i="12"/>
  <c r="K79" i="12" s="1"/>
  <c r="G23" i="12"/>
  <c r="G79" i="12" s="1"/>
  <c r="R23" i="12"/>
  <c r="R79" i="12" s="1"/>
  <c r="N23" i="12"/>
  <c r="N79" i="12" s="1"/>
  <c r="J23" i="12"/>
  <c r="J79" i="12" s="1"/>
  <c r="F23" i="12"/>
  <c r="F79" i="12" s="1"/>
  <c r="Q23" i="12"/>
  <c r="Q79" i="12" s="1"/>
  <c r="M23" i="12"/>
  <c r="M79" i="12" s="1"/>
  <c r="I23" i="12"/>
  <c r="I79" i="12" s="1"/>
  <c r="E23" i="12"/>
  <c r="E79" i="12" s="1"/>
  <c r="T23" i="12"/>
  <c r="T79" i="12" s="1"/>
  <c r="P23" i="12"/>
  <c r="P79" i="12" s="1"/>
  <c r="L23" i="12"/>
  <c r="L79" i="12" s="1"/>
  <c r="H23" i="12"/>
  <c r="H79" i="12" s="1"/>
  <c r="B24" i="12"/>
  <c r="A24" i="12"/>
  <c r="C24" i="12" s="1"/>
  <c r="C80" i="15" l="1"/>
  <c r="R24" i="15"/>
  <c r="R80" i="15" s="1"/>
  <c r="N24" i="15"/>
  <c r="N80" i="15" s="1"/>
  <c r="J24" i="15"/>
  <c r="J80" i="15" s="1"/>
  <c r="F24" i="15"/>
  <c r="F80" i="15" s="1"/>
  <c r="T24" i="15"/>
  <c r="T80" i="15" s="1"/>
  <c r="P24" i="15"/>
  <c r="P80" i="15" s="1"/>
  <c r="L24" i="15"/>
  <c r="L80" i="15" s="1"/>
  <c r="H24" i="15"/>
  <c r="H80" i="15" s="1"/>
  <c r="Q24" i="15"/>
  <c r="Q80" i="15" s="1"/>
  <c r="I24" i="15"/>
  <c r="I80" i="15" s="1"/>
  <c r="M24" i="15"/>
  <c r="M80" i="15" s="1"/>
  <c r="E24" i="15"/>
  <c r="E80" i="15" s="1"/>
  <c r="O24" i="15"/>
  <c r="O80" i="15" s="1"/>
  <c r="G24" i="15"/>
  <c r="G80" i="15" s="1"/>
  <c r="S24" i="15"/>
  <c r="S80" i="15" s="1"/>
  <c r="K24" i="15"/>
  <c r="K80" i="15" s="1"/>
  <c r="C25" i="15"/>
  <c r="A26" i="15"/>
  <c r="C26" i="15" s="1"/>
  <c r="B26" i="15"/>
  <c r="C80" i="12"/>
  <c r="B25" i="12"/>
  <c r="A25" i="12"/>
  <c r="C25" i="12" s="1"/>
  <c r="B27" i="11"/>
  <c r="C24" i="11"/>
  <c r="C80" i="11" s="1"/>
  <c r="A25" i="11"/>
  <c r="C82" i="15" l="1"/>
  <c r="R26" i="15"/>
  <c r="R82" i="15" s="1"/>
  <c r="N26" i="15"/>
  <c r="N82" i="15" s="1"/>
  <c r="J26" i="15"/>
  <c r="J82" i="15" s="1"/>
  <c r="F26" i="15"/>
  <c r="F82" i="15" s="1"/>
  <c r="T26" i="15"/>
  <c r="T82" i="15" s="1"/>
  <c r="P26" i="15"/>
  <c r="P82" i="15" s="1"/>
  <c r="L26" i="15"/>
  <c r="L82" i="15" s="1"/>
  <c r="H26" i="15"/>
  <c r="H82" i="15" s="1"/>
  <c r="Q26" i="15"/>
  <c r="Q82" i="15" s="1"/>
  <c r="I26" i="15"/>
  <c r="I82" i="15" s="1"/>
  <c r="M26" i="15"/>
  <c r="M82" i="15" s="1"/>
  <c r="E26" i="15"/>
  <c r="E82" i="15" s="1"/>
  <c r="O26" i="15"/>
  <c r="O82" i="15" s="1"/>
  <c r="G26" i="15"/>
  <c r="G82" i="15" s="1"/>
  <c r="S26" i="15"/>
  <c r="S82" i="15" s="1"/>
  <c r="K26" i="15"/>
  <c r="K82" i="15" s="1"/>
  <c r="T25" i="15"/>
  <c r="T81" i="15" s="1"/>
  <c r="P25" i="15"/>
  <c r="P81" i="15" s="1"/>
  <c r="L25" i="15"/>
  <c r="L81" i="15" s="1"/>
  <c r="H25" i="15"/>
  <c r="H81" i="15" s="1"/>
  <c r="R25" i="15"/>
  <c r="R81" i="15" s="1"/>
  <c r="N25" i="15"/>
  <c r="N81" i="15" s="1"/>
  <c r="J25" i="15"/>
  <c r="J81" i="15" s="1"/>
  <c r="F25" i="15"/>
  <c r="F81" i="15" s="1"/>
  <c r="C81" i="15"/>
  <c r="Q25" i="15"/>
  <c r="Q81" i="15" s="1"/>
  <c r="I25" i="15"/>
  <c r="I81" i="15" s="1"/>
  <c r="O25" i="15"/>
  <c r="O81" i="15" s="1"/>
  <c r="G25" i="15"/>
  <c r="G81" i="15" s="1"/>
  <c r="M25" i="15"/>
  <c r="M81" i="15" s="1"/>
  <c r="E25" i="15"/>
  <c r="E81" i="15" s="1"/>
  <c r="S25" i="15"/>
  <c r="S81" i="15" s="1"/>
  <c r="K25" i="15"/>
  <c r="K81" i="15" s="1"/>
  <c r="A27" i="15"/>
  <c r="C27" i="15" s="1"/>
  <c r="B27" i="15"/>
  <c r="C25" i="11"/>
  <c r="C81" i="11" s="1"/>
  <c r="A26" i="11"/>
  <c r="B28" i="11"/>
  <c r="J24" i="12"/>
  <c r="J80" i="12" s="1"/>
  <c r="K24" i="12"/>
  <c r="K80" i="12" s="1"/>
  <c r="L24" i="12"/>
  <c r="L80" i="12" s="1"/>
  <c r="I24" i="12"/>
  <c r="I80" i="12" s="1"/>
  <c r="C81" i="12"/>
  <c r="S25" i="12"/>
  <c r="S81" i="12" s="1"/>
  <c r="O25" i="12"/>
  <c r="O81" i="12" s="1"/>
  <c r="K25" i="12"/>
  <c r="K81" i="12" s="1"/>
  <c r="G25" i="12"/>
  <c r="G81" i="12" s="1"/>
  <c r="R25" i="12"/>
  <c r="R81" i="12" s="1"/>
  <c r="N25" i="12"/>
  <c r="N81" i="12" s="1"/>
  <c r="J25" i="12"/>
  <c r="J81" i="12" s="1"/>
  <c r="F25" i="12"/>
  <c r="F81" i="12" s="1"/>
  <c r="Q25" i="12"/>
  <c r="Q81" i="12" s="1"/>
  <c r="M25" i="12"/>
  <c r="M81" i="12" s="1"/>
  <c r="I25" i="12"/>
  <c r="I81" i="12" s="1"/>
  <c r="E25" i="12"/>
  <c r="E81" i="12" s="1"/>
  <c r="T25" i="12"/>
  <c r="T81" i="12" s="1"/>
  <c r="P25" i="12"/>
  <c r="P81" i="12" s="1"/>
  <c r="L25" i="12"/>
  <c r="L81" i="12" s="1"/>
  <c r="H25" i="12"/>
  <c r="H81" i="12" s="1"/>
  <c r="N24" i="12"/>
  <c r="N80" i="12" s="1"/>
  <c r="O24" i="12"/>
  <c r="O80" i="12" s="1"/>
  <c r="P24" i="12"/>
  <c r="P80" i="12" s="1"/>
  <c r="M24" i="12"/>
  <c r="M80" i="12" s="1"/>
  <c r="B26" i="12"/>
  <c r="A26" i="12"/>
  <c r="C26" i="12" s="1"/>
  <c r="R24" i="12"/>
  <c r="R80" i="12" s="1"/>
  <c r="S24" i="12"/>
  <c r="S80" i="12" s="1"/>
  <c r="T24" i="12"/>
  <c r="T80" i="12" s="1"/>
  <c r="Q24" i="12"/>
  <c r="Q80" i="12" s="1"/>
  <c r="F24" i="12"/>
  <c r="F80" i="12" s="1"/>
  <c r="G24" i="12"/>
  <c r="G80" i="12" s="1"/>
  <c r="H24" i="12"/>
  <c r="H80" i="12" s="1"/>
  <c r="E24" i="12"/>
  <c r="E80" i="12" s="1"/>
  <c r="A28" i="15" l="1"/>
  <c r="B28" i="15"/>
  <c r="C83" i="15"/>
  <c r="T27" i="15"/>
  <c r="T83" i="15" s="1"/>
  <c r="P27" i="15"/>
  <c r="P83" i="15" s="1"/>
  <c r="L27" i="15"/>
  <c r="L83" i="15" s="1"/>
  <c r="H27" i="15"/>
  <c r="H83" i="15" s="1"/>
  <c r="R27" i="15"/>
  <c r="R83" i="15" s="1"/>
  <c r="N27" i="15"/>
  <c r="N83" i="15" s="1"/>
  <c r="J27" i="15"/>
  <c r="J83" i="15" s="1"/>
  <c r="F27" i="15"/>
  <c r="F83" i="15" s="1"/>
  <c r="S27" i="15"/>
  <c r="S83" i="15" s="1"/>
  <c r="K27" i="15"/>
  <c r="K83" i="15" s="1"/>
  <c r="G27" i="15"/>
  <c r="G83" i="15" s="1"/>
  <c r="Q27" i="15"/>
  <c r="Q83" i="15" s="1"/>
  <c r="I27" i="15"/>
  <c r="I83" i="15" s="1"/>
  <c r="O27" i="15"/>
  <c r="O83" i="15" s="1"/>
  <c r="M27" i="15"/>
  <c r="M83" i="15" s="1"/>
  <c r="E27" i="15"/>
  <c r="E83" i="15" s="1"/>
  <c r="C82" i="12"/>
  <c r="B29" i="11"/>
  <c r="A27" i="12"/>
  <c r="C27" i="12" s="1"/>
  <c r="B27" i="12"/>
  <c r="C26" i="11"/>
  <c r="C82" i="11" s="1"/>
  <c r="A27" i="11"/>
  <c r="A29" i="15" l="1"/>
  <c r="B29" i="15"/>
  <c r="C28" i="15"/>
  <c r="C83" i="12"/>
  <c r="J26" i="12"/>
  <c r="J82" i="12" s="1"/>
  <c r="K26" i="12"/>
  <c r="K82" i="12" s="1"/>
  <c r="L26" i="12"/>
  <c r="L82" i="12" s="1"/>
  <c r="M26" i="12"/>
  <c r="M82" i="12" s="1"/>
  <c r="N26" i="12"/>
  <c r="N82" i="12" s="1"/>
  <c r="O26" i="12"/>
  <c r="O82" i="12" s="1"/>
  <c r="P26" i="12"/>
  <c r="P82" i="12" s="1"/>
  <c r="Q26" i="12"/>
  <c r="Q82" i="12" s="1"/>
  <c r="B30" i="11"/>
  <c r="R26" i="12"/>
  <c r="R82" i="12" s="1"/>
  <c r="S26" i="12"/>
  <c r="S82" i="12" s="1"/>
  <c r="E26" i="12"/>
  <c r="E82" i="12" s="1"/>
  <c r="T26" i="12"/>
  <c r="T82" i="12" s="1"/>
  <c r="C27" i="11"/>
  <c r="C83" i="11" s="1"/>
  <c r="A28" i="11"/>
  <c r="A28" i="12"/>
  <c r="C28" i="12" s="1"/>
  <c r="B28" i="12"/>
  <c r="F26" i="12"/>
  <c r="F82" i="12" s="1"/>
  <c r="G26" i="12"/>
  <c r="G82" i="12" s="1"/>
  <c r="H26" i="12"/>
  <c r="H82" i="12" s="1"/>
  <c r="I26" i="12"/>
  <c r="I82" i="12" s="1"/>
  <c r="C84" i="15" l="1"/>
  <c r="R28" i="15"/>
  <c r="R84" i="15" s="1"/>
  <c r="N28" i="15"/>
  <c r="N84" i="15" s="1"/>
  <c r="J28" i="15"/>
  <c r="J84" i="15" s="1"/>
  <c r="F28" i="15"/>
  <c r="F84" i="15" s="1"/>
  <c r="T28" i="15"/>
  <c r="T84" i="15" s="1"/>
  <c r="P28" i="15"/>
  <c r="P84" i="15" s="1"/>
  <c r="L28" i="15"/>
  <c r="L84" i="15" s="1"/>
  <c r="H28" i="15"/>
  <c r="H84" i="15" s="1"/>
  <c r="S28" i="15"/>
  <c r="S84" i="15" s="1"/>
  <c r="K28" i="15"/>
  <c r="K84" i="15" s="1"/>
  <c r="G28" i="15"/>
  <c r="G84" i="15" s="1"/>
  <c r="Q28" i="15"/>
  <c r="Q84" i="15" s="1"/>
  <c r="I28" i="15"/>
  <c r="I84" i="15" s="1"/>
  <c r="O28" i="15"/>
  <c r="O84" i="15" s="1"/>
  <c r="M28" i="15"/>
  <c r="M84" i="15" s="1"/>
  <c r="E28" i="15"/>
  <c r="E84" i="15" s="1"/>
  <c r="A30" i="15"/>
  <c r="B30" i="15"/>
  <c r="C29" i="15"/>
  <c r="L27" i="12"/>
  <c r="L83" i="12" s="1"/>
  <c r="I27" i="12"/>
  <c r="I83" i="12" s="1"/>
  <c r="Q27" i="12"/>
  <c r="Q83" i="12" s="1"/>
  <c r="R27" i="12"/>
  <c r="R83" i="12" s="1"/>
  <c r="A29" i="12"/>
  <c r="C29" i="12" s="1"/>
  <c r="B29" i="12"/>
  <c r="S27" i="12"/>
  <c r="S83" i="12" s="1"/>
  <c r="O27" i="12"/>
  <c r="O83" i="12" s="1"/>
  <c r="F27" i="12"/>
  <c r="F83" i="12" s="1"/>
  <c r="P27" i="12"/>
  <c r="P83" i="12" s="1"/>
  <c r="C84" i="12"/>
  <c r="B31" i="11"/>
  <c r="H27" i="12"/>
  <c r="H83" i="12" s="1"/>
  <c r="E27" i="12"/>
  <c r="E83" i="12" s="1"/>
  <c r="J27" i="12"/>
  <c r="J83" i="12" s="1"/>
  <c r="T27" i="12"/>
  <c r="T83" i="12" s="1"/>
  <c r="C28" i="11"/>
  <c r="C84" i="11" s="1"/>
  <c r="A29" i="11"/>
  <c r="G27" i="12"/>
  <c r="G83" i="12" s="1"/>
  <c r="M27" i="12"/>
  <c r="M83" i="12" s="1"/>
  <c r="K27" i="12"/>
  <c r="K83" i="12" s="1"/>
  <c r="N27" i="12"/>
  <c r="N83" i="12" s="1"/>
  <c r="C85" i="15" l="1"/>
  <c r="T29" i="15"/>
  <c r="T85" i="15" s="1"/>
  <c r="P29" i="15"/>
  <c r="P85" i="15" s="1"/>
  <c r="L29" i="15"/>
  <c r="L85" i="15" s="1"/>
  <c r="H29" i="15"/>
  <c r="H85" i="15" s="1"/>
  <c r="R29" i="15"/>
  <c r="R85" i="15" s="1"/>
  <c r="N29" i="15"/>
  <c r="N85" i="15" s="1"/>
  <c r="J29" i="15"/>
  <c r="J85" i="15" s="1"/>
  <c r="F29" i="15"/>
  <c r="F85" i="15" s="1"/>
  <c r="S29" i="15"/>
  <c r="S85" i="15" s="1"/>
  <c r="K29" i="15"/>
  <c r="K85" i="15" s="1"/>
  <c r="G29" i="15"/>
  <c r="G85" i="15" s="1"/>
  <c r="Q29" i="15"/>
  <c r="Q85" i="15" s="1"/>
  <c r="I29" i="15"/>
  <c r="I85" i="15" s="1"/>
  <c r="O29" i="15"/>
  <c r="O85" i="15" s="1"/>
  <c r="E29" i="15"/>
  <c r="E85" i="15" s="1"/>
  <c r="M29" i="15"/>
  <c r="M85" i="15" s="1"/>
  <c r="A31" i="15"/>
  <c r="B31" i="15"/>
  <c r="C30" i="15"/>
  <c r="B32" i="11"/>
  <c r="M28" i="12"/>
  <c r="M84" i="12" s="1"/>
  <c r="Q28" i="12"/>
  <c r="Q84" i="12" s="1"/>
  <c r="T28" i="12"/>
  <c r="T84" i="12" s="1"/>
  <c r="R28" i="12"/>
  <c r="R84" i="12" s="1"/>
  <c r="C29" i="11"/>
  <c r="C85" i="11" s="1"/>
  <c r="A30" i="11"/>
  <c r="K28" i="12"/>
  <c r="K84" i="12" s="1"/>
  <c r="G28" i="12"/>
  <c r="G84" i="12" s="1"/>
  <c r="H28" i="12"/>
  <c r="H84" i="12" s="1"/>
  <c r="F28" i="12"/>
  <c r="F84" i="12" s="1"/>
  <c r="S28" i="12"/>
  <c r="S84" i="12" s="1"/>
  <c r="O28" i="12"/>
  <c r="O84" i="12" s="1"/>
  <c r="L28" i="12"/>
  <c r="L84" i="12" s="1"/>
  <c r="J28" i="12"/>
  <c r="J84" i="12" s="1"/>
  <c r="A30" i="12"/>
  <c r="B30" i="12"/>
  <c r="E28" i="12"/>
  <c r="E84" i="12" s="1"/>
  <c r="I28" i="12"/>
  <c r="I84" i="12" s="1"/>
  <c r="P28" i="12"/>
  <c r="P84" i="12" s="1"/>
  <c r="N28" i="12"/>
  <c r="N84" i="12" s="1"/>
  <c r="C85" i="12"/>
  <c r="T29" i="12"/>
  <c r="T85" i="12" s="1"/>
  <c r="P29" i="12"/>
  <c r="P85" i="12" s="1"/>
  <c r="L29" i="12"/>
  <c r="L85" i="12" s="1"/>
  <c r="H29" i="12"/>
  <c r="H85" i="12" s="1"/>
  <c r="R29" i="12"/>
  <c r="R85" i="12" s="1"/>
  <c r="N29" i="12"/>
  <c r="N85" i="12" s="1"/>
  <c r="J29" i="12"/>
  <c r="J85" i="12" s="1"/>
  <c r="F29" i="12"/>
  <c r="F85" i="12" s="1"/>
  <c r="Q29" i="12"/>
  <c r="Q85" i="12" s="1"/>
  <c r="M29" i="12"/>
  <c r="M85" i="12" s="1"/>
  <c r="I29" i="12"/>
  <c r="I85" i="12" s="1"/>
  <c r="K29" i="12"/>
  <c r="K85" i="12" s="1"/>
  <c r="G29" i="12"/>
  <c r="G85" i="12" s="1"/>
  <c r="S29" i="12"/>
  <c r="S85" i="12" s="1"/>
  <c r="E29" i="12"/>
  <c r="E85" i="12" s="1"/>
  <c r="O29" i="12"/>
  <c r="O85" i="12" s="1"/>
  <c r="A32" i="15" l="1"/>
  <c r="B32" i="15"/>
  <c r="C31" i="15"/>
  <c r="C86" i="15"/>
  <c r="R30" i="15"/>
  <c r="R86" i="15" s="1"/>
  <c r="N30" i="15"/>
  <c r="N86" i="15" s="1"/>
  <c r="J30" i="15"/>
  <c r="J86" i="15" s="1"/>
  <c r="F30" i="15"/>
  <c r="F86" i="15" s="1"/>
  <c r="T30" i="15"/>
  <c r="T86" i="15" s="1"/>
  <c r="P30" i="15"/>
  <c r="P86" i="15" s="1"/>
  <c r="L30" i="15"/>
  <c r="L86" i="15" s="1"/>
  <c r="H30" i="15"/>
  <c r="H86" i="15" s="1"/>
  <c r="M30" i="15"/>
  <c r="M86" i="15" s="1"/>
  <c r="E30" i="15"/>
  <c r="E86" i="15" s="1"/>
  <c r="I30" i="15"/>
  <c r="I86" i="15" s="1"/>
  <c r="S30" i="15"/>
  <c r="S86" i="15" s="1"/>
  <c r="K30" i="15"/>
  <c r="K86" i="15" s="1"/>
  <c r="Q30" i="15"/>
  <c r="Q86" i="15" s="1"/>
  <c r="G30" i="15"/>
  <c r="G86" i="15" s="1"/>
  <c r="O30" i="15"/>
  <c r="O86" i="15" s="1"/>
  <c r="C30" i="11"/>
  <c r="C86" i="11" s="1"/>
  <c r="A31" i="11"/>
  <c r="A31" i="12"/>
  <c r="C31" i="12" s="1"/>
  <c r="B31" i="12"/>
  <c r="C30" i="12"/>
  <c r="B33" i="11"/>
  <c r="C87" i="15" l="1"/>
  <c r="T31" i="15"/>
  <c r="T87" i="15" s="1"/>
  <c r="P31" i="15"/>
  <c r="P87" i="15" s="1"/>
  <c r="L31" i="15"/>
  <c r="L87" i="15" s="1"/>
  <c r="H31" i="15"/>
  <c r="H87" i="15" s="1"/>
  <c r="R31" i="15"/>
  <c r="R87" i="15" s="1"/>
  <c r="N31" i="15"/>
  <c r="N87" i="15" s="1"/>
  <c r="J31" i="15"/>
  <c r="J87" i="15" s="1"/>
  <c r="F31" i="15"/>
  <c r="F87" i="15" s="1"/>
  <c r="M31" i="15"/>
  <c r="M87" i="15" s="1"/>
  <c r="E31" i="15"/>
  <c r="E87" i="15" s="1"/>
  <c r="S31" i="15"/>
  <c r="S87" i="15" s="1"/>
  <c r="K31" i="15"/>
  <c r="K87" i="15" s="1"/>
  <c r="Q31" i="15"/>
  <c r="Q87" i="15" s="1"/>
  <c r="I31" i="15"/>
  <c r="I87" i="15" s="1"/>
  <c r="O31" i="15"/>
  <c r="O87" i="15" s="1"/>
  <c r="G31" i="15"/>
  <c r="G87" i="15" s="1"/>
  <c r="A33" i="15"/>
  <c r="B33" i="15"/>
  <c r="C32" i="15"/>
  <c r="C86" i="12"/>
  <c r="R30" i="12"/>
  <c r="R86" i="12" s="1"/>
  <c r="N30" i="12"/>
  <c r="N86" i="12" s="1"/>
  <c r="J30" i="12"/>
  <c r="J86" i="12" s="1"/>
  <c r="F30" i="12"/>
  <c r="F86" i="12" s="1"/>
  <c r="T30" i="12"/>
  <c r="T86" i="12" s="1"/>
  <c r="P30" i="12"/>
  <c r="P86" i="12" s="1"/>
  <c r="L30" i="12"/>
  <c r="L86" i="12" s="1"/>
  <c r="H30" i="12"/>
  <c r="H86" i="12" s="1"/>
  <c r="S30" i="12"/>
  <c r="S86" i="12" s="1"/>
  <c r="O30" i="12"/>
  <c r="O86" i="12" s="1"/>
  <c r="K30" i="12"/>
  <c r="K86" i="12" s="1"/>
  <c r="G30" i="12"/>
  <c r="G86" i="12" s="1"/>
  <c r="Q30" i="12"/>
  <c r="Q86" i="12" s="1"/>
  <c r="M30" i="12"/>
  <c r="M86" i="12" s="1"/>
  <c r="I30" i="12"/>
  <c r="I86" i="12" s="1"/>
  <c r="E30" i="12"/>
  <c r="E86" i="12" s="1"/>
  <c r="A32" i="12"/>
  <c r="B32" i="12"/>
  <c r="C87" i="12"/>
  <c r="B34" i="11"/>
  <c r="C31" i="11"/>
  <c r="C87" i="11" s="1"/>
  <c r="A32" i="11"/>
  <c r="A34" i="15" l="1"/>
  <c r="C34" i="15" s="1"/>
  <c r="B34" i="15"/>
  <c r="C33" i="15"/>
  <c r="C88" i="15"/>
  <c r="R32" i="15"/>
  <c r="R88" i="15" s="1"/>
  <c r="N32" i="15"/>
  <c r="N88" i="15" s="1"/>
  <c r="J32" i="15"/>
  <c r="J88" i="15" s="1"/>
  <c r="F32" i="15"/>
  <c r="F88" i="15" s="1"/>
  <c r="T32" i="15"/>
  <c r="T88" i="15" s="1"/>
  <c r="P32" i="15"/>
  <c r="P88" i="15" s="1"/>
  <c r="L32" i="15"/>
  <c r="L88" i="15" s="1"/>
  <c r="H32" i="15"/>
  <c r="H88" i="15" s="1"/>
  <c r="M32" i="15"/>
  <c r="M88" i="15" s="1"/>
  <c r="E32" i="15"/>
  <c r="E88" i="15" s="1"/>
  <c r="Q32" i="15"/>
  <c r="Q88" i="15" s="1"/>
  <c r="S32" i="15"/>
  <c r="S88" i="15" s="1"/>
  <c r="K32" i="15"/>
  <c r="K88" i="15" s="1"/>
  <c r="I32" i="15"/>
  <c r="I88" i="15" s="1"/>
  <c r="O32" i="15"/>
  <c r="O88" i="15" s="1"/>
  <c r="G32" i="15"/>
  <c r="G88" i="15" s="1"/>
  <c r="C32" i="11"/>
  <c r="C88" i="11" s="1"/>
  <c r="A33" i="11"/>
  <c r="G31" i="12"/>
  <c r="G87" i="12" s="1"/>
  <c r="E31" i="12"/>
  <c r="E87" i="12" s="1"/>
  <c r="F31" i="12"/>
  <c r="F87" i="12" s="1"/>
  <c r="H31" i="12"/>
  <c r="H87" i="12" s="1"/>
  <c r="K31" i="12"/>
  <c r="K87" i="12" s="1"/>
  <c r="I31" i="12"/>
  <c r="I87" i="12" s="1"/>
  <c r="J31" i="12"/>
  <c r="J87" i="12" s="1"/>
  <c r="L31" i="12"/>
  <c r="L87" i="12" s="1"/>
  <c r="B33" i="12"/>
  <c r="A33" i="12"/>
  <c r="C33" i="12" s="1"/>
  <c r="O31" i="12"/>
  <c r="O87" i="12" s="1"/>
  <c r="M31" i="12"/>
  <c r="M87" i="12" s="1"/>
  <c r="N31" i="12"/>
  <c r="N87" i="12" s="1"/>
  <c r="P31" i="12"/>
  <c r="P87" i="12" s="1"/>
  <c r="C32" i="12"/>
  <c r="B35" i="11"/>
  <c r="S31" i="12"/>
  <c r="S87" i="12" s="1"/>
  <c r="Q31" i="12"/>
  <c r="Q87" i="12" s="1"/>
  <c r="R31" i="12"/>
  <c r="R87" i="12" s="1"/>
  <c r="T31" i="12"/>
  <c r="T87" i="12" s="1"/>
  <c r="T33" i="15" l="1"/>
  <c r="T89" i="15" s="1"/>
  <c r="P33" i="15"/>
  <c r="P89" i="15" s="1"/>
  <c r="L33" i="15"/>
  <c r="L89" i="15" s="1"/>
  <c r="H33" i="15"/>
  <c r="H89" i="15" s="1"/>
  <c r="C89" i="15"/>
  <c r="R33" i="15"/>
  <c r="R89" i="15" s="1"/>
  <c r="N33" i="15"/>
  <c r="N89" i="15" s="1"/>
  <c r="J33" i="15"/>
  <c r="J89" i="15" s="1"/>
  <c r="F33" i="15"/>
  <c r="F89" i="15" s="1"/>
  <c r="O33" i="15"/>
  <c r="O89" i="15" s="1"/>
  <c r="G33" i="15"/>
  <c r="G89" i="15" s="1"/>
  <c r="K33" i="15"/>
  <c r="K89" i="15" s="1"/>
  <c r="M33" i="15"/>
  <c r="M89" i="15" s="1"/>
  <c r="E33" i="15"/>
  <c r="E89" i="15" s="1"/>
  <c r="S33" i="15"/>
  <c r="S89" i="15" s="1"/>
  <c r="Q33" i="15"/>
  <c r="Q89" i="15" s="1"/>
  <c r="I33" i="15"/>
  <c r="I89" i="15" s="1"/>
  <c r="A35" i="15"/>
  <c r="B35" i="15"/>
  <c r="C90" i="15"/>
  <c r="R34" i="15"/>
  <c r="R90" i="15" s="1"/>
  <c r="N34" i="15"/>
  <c r="N90" i="15" s="1"/>
  <c r="J34" i="15"/>
  <c r="J90" i="15" s="1"/>
  <c r="F34" i="15"/>
  <c r="F90" i="15" s="1"/>
  <c r="T34" i="15"/>
  <c r="T90" i="15" s="1"/>
  <c r="P34" i="15"/>
  <c r="P90" i="15" s="1"/>
  <c r="L34" i="15"/>
  <c r="L90" i="15" s="1"/>
  <c r="H34" i="15"/>
  <c r="H90" i="15" s="1"/>
  <c r="O34" i="15"/>
  <c r="O90" i="15" s="1"/>
  <c r="G34" i="15"/>
  <c r="G90" i="15" s="1"/>
  <c r="S34" i="15"/>
  <c r="S90" i="15" s="1"/>
  <c r="M34" i="15"/>
  <c r="M90" i="15" s="1"/>
  <c r="E34" i="15"/>
  <c r="E90" i="15" s="1"/>
  <c r="K34" i="15"/>
  <c r="K90" i="15" s="1"/>
  <c r="Q34" i="15"/>
  <c r="Q90" i="15" s="1"/>
  <c r="I34" i="15"/>
  <c r="I90" i="15" s="1"/>
  <c r="C89" i="12"/>
  <c r="A34" i="12"/>
  <c r="C34" i="12" s="1"/>
  <c r="B34" i="12"/>
  <c r="B36" i="11"/>
  <c r="C33" i="11"/>
  <c r="C89" i="11" s="1"/>
  <c r="A34" i="11"/>
  <c r="C88" i="12"/>
  <c r="R32" i="12"/>
  <c r="R88" i="12" s="1"/>
  <c r="N32" i="12"/>
  <c r="N88" i="12" s="1"/>
  <c r="J32" i="12"/>
  <c r="J88" i="12" s="1"/>
  <c r="F32" i="12"/>
  <c r="F88" i="12" s="1"/>
  <c r="Q32" i="12"/>
  <c r="Q88" i="12" s="1"/>
  <c r="T32" i="12"/>
  <c r="T88" i="12" s="1"/>
  <c r="P32" i="12"/>
  <c r="P88" i="12" s="1"/>
  <c r="L32" i="12"/>
  <c r="L88" i="12" s="1"/>
  <c r="H32" i="12"/>
  <c r="H88" i="12" s="1"/>
  <c r="S32" i="12"/>
  <c r="S88" i="12" s="1"/>
  <c r="O32" i="12"/>
  <c r="O88" i="12" s="1"/>
  <c r="K32" i="12"/>
  <c r="K88" i="12" s="1"/>
  <c r="G32" i="12"/>
  <c r="G88" i="12" s="1"/>
  <c r="E32" i="12"/>
  <c r="E88" i="12" s="1"/>
  <c r="M32" i="12"/>
  <c r="M88" i="12" s="1"/>
  <c r="I32" i="12"/>
  <c r="I88" i="12" s="1"/>
  <c r="A36" i="15" l="1"/>
  <c r="C36" i="15" s="1"/>
  <c r="B36" i="15"/>
  <c r="C35" i="15"/>
  <c r="B37" i="11"/>
  <c r="I33" i="12"/>
  <c r="I89" i="12" s="1"/>
  <c r="J33" i="12"/>
  <c r="J89" i="12" s="1"/>
  <c r="K33" i="12"/>
  <c r="K89" i="12" s="1"/>
  <c r="L33" i="12"/>
  <c r="L89" i="12" s="1"/>
  <c r="C34" i="11"/>
  <c r="C90" i="11" s="1"/>
  <c r="A35" i="11"/>
  <c r="B35" i="12"/>
  <c r="A35" i="12"/>
  <c r="M33" i="12"/>
  <c r="M89" i="12" s="1"/>
  <c r="N33" i="12"/>
  <c r="N89" i="12" s="1"/>
  <c r="O33" i="12"/>
  <c r="O89" i="12" s="1"/>
  <c r="P33" i="12"/>
  <c r="P89" i="12" s="1"/>
  <c r="C90" i="12"/>
  <c r="R34" i="12"/>
  <c r="R90" i="12" s="1"/>
  <c r="N34" i="12"/>
  <c r="N90" i="12" s="1"/>
  <c r="J34" i="12"/>
  <c r="J90" i="12" s="1"/>
  <c r="F34" i="12"/>
  <c r="F90" i="12" s="1"/>
  <c r="Q34" i="12"/>
  <c r="Q90" i="12" s="1"/>
  <c r="M34" i="12"/>
  <c r="M90" i="12" s="1"/>
  <c r="I34" i="12"/>
  <c r="I90" i="12" s="1"/>
  <c r="E34" i="12"/>
  <c r="E90" i="12" s="1"/>
  <c r="T34" i="12"/>
  <c r="T90" i="12" s="1"/>
  <c r="P34" i="12"/>
  <c r="P90" i="12" s="1"/>
  <c r="L34" i="12"/>
  <c r="L90" i="12" s="1"/>
  <c r="H34" i="12"/>
  <c r="H90" i="12" s="1"/>
  <c r="S34" i="12"/>
  <c r="S90" i="12" s="1"/>
  <c r="O34" i="12"/>
  <c r="O90" i="12" s="1"/>
  <c r="K34" i="12"/>
  <c r="K90" i="12" s="1"/>
  <c r="G34" i="12"/>
  <c r="G90" i="12" s="1"/>
  <c r="Q33" i="12"/>
  <c r="Q89" i="12" s="1"/>
  <c r="R33" i="12"/>
  <c r="R89" i="12" s="1"/>
  <c r="S33" i="12"/>
  <c r="S89" i="12" s="1"/>
  <c r="T33" i="12"/>
  <c r="T89" i="12" s="1"/>
  <c r="E33" i="12"/>
  <c r="E89" i="12" s="1"/>
  <c r="F33" i="12"/>
  <c r="F89" i="12" s="1"/>
  <c r="G33" i="12"/>
  <c r="G89" i="12" s="1"/>
  <c r="H33" i="12"/>
  <c r="H89" i="12" s="1"/>
  <c r="C91" i="15" l="1"/>
  <c r="T35" i="15"/>
  <c r="T91" i="15" s="1"/>
  <c r="P35" i="15"/>
  <c r="P91" i="15" s="1"/>
  <c r="L35" i="15"/>
  <c r="L91" i="15" s="1"/>
  <c r="H35" i="15"/>
  <c r="H91" i="15" s="1"/>
  <c r="R35" i="15"/>
  <c r="R91" i="15" s="1"/>
  <c r="N35" i="15"/>
  <c r="N91" i="15" s="1"/>
  <c r="J35" i="15"/>
  <c r="J91" i="15" s="1"/>
  <c r="F35" i="15"/>
  <c r="F91" i="15" s="1"/>
  <c r="O35" i="15"/>
  <c r="O91" i="15" s="1"/>
  <c r="G35" i="15"/>
  <c r="G91" i="15" s="1"/>
  <c r="S35" i="15"/>
  <c r="S91" i="15" s="1"/>
  <c r="K35" i="15"/>
  <c r="K91" i="15" s="1"/>
  <c r="Q35" i="15"/>
  <c r="Q91" i="15" s="1"/>
  <c r="M35" i="15"/>
  <c r="M91" i="15" s="1"/>
  <c r="E35" i="15"/>
  <c r="E91" i="15" s="1"/>
  <c r="I35" i="15"/>
  <c r="I91" i="15" s="1"/>
  <c r="A37" i="15"/>
  <c r="B37" i="15"/>
  <c r="C92" i="15"/>
  <c r="R36" i="15"/>
  <c r="R92" i="15" s="1"/>
  <c r="N36" i="15"/>
  <c r="N92" i="15" s="1"/>
  <c r="J36" i="15"/>
  <c r="J92" i="15" s="1"/>
  <c r="F36" i="15"/>
  <c r="F92" i="15" s="1"/>
  <c r="T36" i="15"/>
  <c r="T92" i="15" s="1"/>
  <c r="P36" i="15"/>
  <c r="P92" i="15" s="1"/>
  <c r="L36" i="15"/>
  <c r="L92" i="15" s="1"/>
  <c r="H36" i="15"/>
  <c r="H92" i="15" s="1"/>
  <c r="Q36" i="15"/>
  <c r="Q92" i="15" s="1"/>
  <c r="I36" i="15"/>
  <c r="I92" i="15" s="1"/>
  <c r="M36" i="15"/>
  <c r="M92" i="15" s="1"/>
  <c r="E36" i="15"/>
  <c r="E92" i="15" s="1"/>
  <c r="K36" i="15"/>
  <c r="K92" i="15" s="1"/>
  <c r="O36" i="15"/>
  <c r="O92" i="15" s="1"/>
  <c r="G36" i="15"/>
  <c r="G92" i="15" s="1"/>
  <c r="S36" i="15"/>
  <c r="S92" i="15" s="1"/>
  <c r="C35" i="11"/>
  <c r="C91" i="11" s="1"/>
  <c r="A36" i="11"/>
  <c r="C35" i="12"/>
  <c r="A36" i="12"/>
  <c r="B36" i="12"/>
  <c r="B38" i="11"/>
  <c r="C37" i="15" l="1"/>
  <c r="A38" i="15"/>
  <c r="B38" i="15"/>
  <c r="B37" i="12"/>
  <c r="A37" i="12"/>
  <c r="C37" i="12" s="1"/>
  <c r="C36" i="12"/>
  <c r="C91" i="12"/>
  <c r="T35" i="12"/>
  <c r="T91" i="12" s="1"/>
  <c r="P35" i="12"/>
  <c r="P91" i="12" s="1"/>
  <c r="L35" i="12"/>
  <c r="L91" i="12" s="1"/>
  <c r="H35" i="12"/>
  <c r="H91" i="12" s="1"/>
  <c r="S35" i="12"/>
  <c r="S91" i="12" s="1"/>
  <c r="O35" i="12"/>
  <c r="O91" i="12" s="1"/>
  <c r="K35" i="12"/>
  <c r="K91" i="12" s="1"/>
  <c r="G35" i="12"/>
  <c r="G91" i="12" s="1"/>
  <c r="R35" i="12"/>
  <c r="R91" i="12" s="1"/>
  <c r="N35" i="12"/>
  <c r="N91" i="12" s="1"/>
  <c r="J35" i="12"/>
  <c r="J91" i="12" s="1"/>
  <c r="F35" i="12"/>
  <c r="F91" i="12" s="1"/>
  <c r="Q35" i="12"/>
  <c r="Q91" i="12" s="1"/>
  <c r="M35" i="12"/>
  <c r="M91" i="12" s="1"/>
  <c r="I35" i="12"/>
  <c r="I91" i="12" s="1"/>
  <c r="E35" i="12"/>
  <c r="E91" i="12" s="1"/>
  <c r="B39" i="11"/>
  <c r="C36" i="11"/>
  <c r="C92" i="11" s="1"/>
  <c r="A37" i="11"/>
  <c r="A39" i="15" l="1"/>
  <c r="B39" i="15"/>
  <c r="C38" i="15"/>
  <c r="C93" i="15"/>
  <c r="T37" i="15"/>
  <c r="T93" i="15" s="1"/>
  <c r="P37" i="15"/>
  <c r="P93" i="15" s="1"/>
  <c r="L37" i="15"/>
  <c r="L93" i="15" s="1"/>
  <c r="H37" i="15"/>
  <c r="H93" i="15" s="1"/>
  <c r="R37" i="15"/>
  <c r="R93" i="15" s="1"/>
  <c r="N37" i="15"/>
  <c r="N93" i="15" s="1"/>
  <c r="J37" i="15"/>
  <c r="J93" i="15" s="1"/>
  <c r="F37" i="15"/>
  <c r="F93" i="15" s="1"/>
  <c r="Q37" i="15"/>
  <c r="Q93" i="15" s="1"/>
  <c r="I37" i="15"/>
  <c r="I93" i="15" s="1"/>
  <c r="O37" i="15"/>
  <c r="O93" i="15" s="1"/>
  <c r="G37" i="15"/>
  <c r="G93" i="15" s="1"/>
  <c r="M37" i="15"/>
  <c r="M93" i="15" s="1"/>
  <c r="E37" i="15"/>
  <c r="E93" i="15" s="1"/>
  <c r="S37" i="15"/>
  <c r="S93" i="15" s="1"/>
  <c r="K37" i="15"/>
  <c r="K93" i="15" s="1"/>
  <c r="C92" i="12"/>
  <c r="R36" i="12"/>
  <c r="R92" i="12" s="1"/>
  <c r="N36" i="12"/>
  <c r="N92" i="12" s="1"/>
  <c r="J36" i="12"/>
  <c r="J92" i="12" s="1"/>
  <c r="F36" i="12"/>
  <c r="F92" i="12" s="1"/>
  <c r="Q36" i="12"/>
  <c r="Q92" i="12" s="1"/>
  <c r="M36" i="12"/>
  <c r="M92" i="12" s="1"/>
  <c r="I36" i="12"/>
  <c r="I92" i="12" s="1"/>
  <c r="E36" i="12"/>
  <c r="E92" i="12" s="1"/>
  <c r="T36" i="12"/>
  <c r="T92" i="12" s="1"/>
  <c r="P36" i="12"/>
  <c r="P92" i="12" s="1"/>
  <c r="L36" i="12"/>
  <c r="L92" i="12" s="1"/>
  <c r="H36" i="12"/>
  <c r="H92" i="12" s="1"/>
  <c r="S36" i="12"/>
  <c r="S92" i="12" s="1"/>
  <c r="O36" i="12"/>
  <c r="O92" i="12" s="1"/>
  <c r="K36" i="12"/>
  <c r="K92" i="12" s="1"/>
  <c r="G36" i="12"/>
  <c r="G92" i="12" s="1"/>
  <c r="C93" i="12"/>
  <c r="C37" i="11"/>
  <c r="C93" i="11" s="1"/>
  <c r="A38" i="11"/>
  <c r="B40" i="11"/>
  <c r="A38" i="12"/>
  <c r="C38" i="12" s="1"/>
  <c r="B38" i="12"/>
  <c r="A40" i="15" l="1"/>
  <c r="B40" i="15"/>
  <c r="C94" i="15"/>
  <c r="R38" i="15"/>
  <c r="R94" i="15" s="1"/>
  <c r="N38" i="15"/>
  <c r="N94" i="15" s="1"/>
  <c r="J38" i="15"/>
  <c r="J94" i="15" s="1"/>
  <c r="F38" i="15"/>
  <c r="F94" i="15" s="1"/>
  <c r="T38" i="15"/>
  <c r="T94" i="15" s="1"/>
  <c r="P38" i="15"/>
  <c r="P94" i="15" s="1"/>
  <c r="L38" i="15"/>
  <c r="L94" i="15" s="1"/>
  <c r="H38" i="15"/>
  <c r="H94" i="15" s="1"/>
  <c r="Q38" i="15"/>
  <c r="Q94" i="15" s="1"/>
  <c r="I38" i="15"/>
  <c r="I94" i="15" s="1"/>
  <c r="M38" i="15"/>
  <c r="M94" i="15" s="1"/>
  <c r="E38" i="15"/>
  <c r="E94" i="15" s="1"/>
  <c r="O38" i="15"/>
  <c r="O94" i="15" s="1"/>
  <c r="G38" i="15"/>
  <c r="G94" i="15" s="1"/>
  <c r="S38" i="15"/>
  <c r="S94" i="15" s="1"/>
  <c r="K38" i="15"/>
  <c r="K94" i="15" s="1"/>
  <c r="C39" i="15"/>
  <c r="B39" i="12"/>
  <c r="A39" i="12"/>
  <c r="C39" i="12" s="1"/>
  <c r="C38" i="11"/>
  <c r="C94" i="11" s="1"/>
  <c r="A39" i="11"/>
  <c r="M37" i="12"/>
  <c r="M93" i="12" s="1"/>
  <c r="N37" i="12"/>
  <c r="N93" i="12" s="1"/>
  <c r="O37" i="12"/>
  <c r="O93" i="12" s="1"/>
  <c r="P37" i="12"/>
  <c r="P93" i="12" s="1"/>
  <c r="Q37" i="12"/>
  <c r="Q93" i="12" s="1"/>
  <c r="R37" i="12"/>
  <c r="R93" i="12" s="1"/>
  <c r="S37" i="12"/>
  <c r="S93" i="12" s="1"/>
  <c r="T37" i="12"/>
  <c r="T93" i="12" s="1"/>
  <c r="C94" i="12"/>
  <c r="R38" i="12"/>
  <c r="R94" i="12" s="1"/>
  <c r="N38" i="12"/>
  <c r="N94" i="12" s="1"/>
  <c r="J38" i="12"/>
  <c r="J94" i="12" s="1"/>
  <c r="F38" i="12"/>
  <c r="F94" i="12" s="1"/>
  <c r="Q38" i="12"/>
  <c r="Q94" i="12" s="1"/>
  <c r="M38" i="12"/>
  <c r="M94" i="12" s="1"/>
  <c r="I38" i="12"/>
  <c r="I94" i="12" s="1"/>
  <c r="E38" i="12"/>
  <c r="E94" i="12" s="1"/>
  <c r="T38" i="12"/>
  <c r="T94" i="12" s="1"/>
  <c r="P38" i="12"/>
  <c r="P94" i="12" s="1"/>
  <c r="L38" i="12"/>
  <c r="L94" i="12" s="1"/>
  <c r="H38" i="12"/>
  <c r="H94" i="12" s="1"/>
  <c r="S38" i="12"/>
  <c r="S94" i="12" s="1"/>
  <c r="O38" i="12"/>
  <c r="O94" i="12" s="1"/>
  <c r="K38" i="12"/>
  <c r="K94" i="12" s="1"/>
  <c r="G38" i="12"/>
  <c r="G94" i="12" s="1"/>
  <c r="E37" i="12"/>
  <c r="E93" i="12" s="1"/>
  <c r="F37" i="12"/>
  <c r="F93" i="12" s="1"/>
  <c r="G37" i="12"/>
  <c r="G93" i="12" s="1"/>
  <c r="H37" i="12"/>
  <c r="H93" i="12" s="1"/>
  <c r="B41" i="11"/>
  <c r="I37" i="12"/>
  <c r="I93" i="12" s="1"/>
  <c r="J37" i="12"/>
  <c r="J93" i="12" s="1"/>
  <c r="K37" i="12"/>
  <c r="K93" i="12" s="1"/>
  <c r="L37" i="12"/>
  <c r="L93" i="12" s="1"/>
  <c r="C95" i="15" l="1"/>
  <c r="T39" i="15"/>
  <c r="T95" i="15" s="1"/>
  <c r="P39" i="15"/>
  <c r="P95" i="15" s="1"/>
  <c r="L39" i="15"/>
  <c r="L95" i="15" s="1"/>
  <c r="H39" i="15"/>
  <c r="H95" i="15" s="1"/>
  <c r="R39" i="15"/>
  <c r="R95" i="15" s="1"/>
  <c r="N39" i="15"/>
  <c r="N95" i="15" s="1"/>
  <c r="J39" i="15"/>
  <c r="J95" i="15" s="1"/>
  <c r="F39" i="15"/>
  <c r="F95" i="15" s="1"/>
  <c r="S39" i="15"/>
  <c r="S95" i="15" s="1"/>
  <c r="K39" i="15"/>
  <c r="K95" i="15" s="1"/>
  <c r="G39" i="15"/>
  <c r="G95" i="15" s="1"/>
  <c r="Q39" i="15"/>
  <c r="Q95" i="15" s="1"/>
  <c r="I39" i="15"/>
  <c r="I95" i="15" s="1"/>
  <c r="O39" i="15"/>
  <c r="O95" i="15" s="1"/>
  <c r="M39" i="15"/>
  <c r="M95" i="15" s="1"/>
  <c r="E39" i="15"/>
  <c r="E95" i="15" s="1"/>
  <c r="A41" i="15"/>
  <c r="B41" i="15"/>
  <c r="C40" i="15"/>
  <c r="C39" i="11"/>
  <c r="C95" i="11" s="1"/>
  <c r="A40" i="11"/>
  <c r="B42" i="11"/>
  <c r="C95" i="12"/>
  <c r="T39" i="12"/>
  <c r="T95" i="12" s="1"/>
  <c r="P39" i="12"/>
  <c r="P95" i="12" s="1"/>
  <c r="L39" i="12"/>
  <c r="L95" i="12" s="1"/>
  <c r="H39" i="12"/>
  <c r="H95" i="12" s="1"/>
  <c r="S39" i="12"/>
  <c r="S95" i="12" s="1"/>
  <c r="O39" i="12"/>
  <c r="O95" i="12" s="1"/>
  <c r="K39" i="12"/>
  <c r="K95" i="12" s="1"/>
  <c r="G39" i="12"/>
  <c r="G95" i="12" s="1"/>
  <c r="R39" i="12"/>
  <c r="R95" i="12" s="1"/>
  <c r="N39" i="12"/>
  <c r="N95" i="12" s="1"/>
  <c r="J39" i="12"/>
  <c r="J95" i="12" s="1"/>
  <c r="F39" i="12"/>
  <c r="F95" i="12" s="1"/>
  <c r="Q39" i="12"/>
  <c r="Q95" i="12" s="1"/>
  <c r="M39" i="12"/>
  <c r="M95" i="12" s="1"/>
  <c r="I39" i="12"/>
  <c r="I95" i="12" s="1"/>
  <c r="E39" i="12"/>
  <c r="E95" i="12" s="1"/>
  <c r="A40" i="12"/>
  <c r="C40" i="12" s="1"/>
  <c r="B40" i="12"/>
  <c r="C96" i="15" l="1"/>
  <c r="R40" i="15"/>
  <c r="R96" i="15" s="1"/>
  <c r="N40" i="15"/>
  <c r="N96" i="15" s="1"/>
  <c r="J40" i="15"/>
  <c r="J96" i="15" s="1"/>
  <c r="F40" i="15"/>
  <c r="F96" i="15" s="1"/>
  <c r="T40" i="15"/>
  <c r="T96" i="15" s="1"/>
  <c r="P40" i="15"/>
  <c r="P96" i="15" s="1"/>
  <c r="L40" i="15"/>
  <c r="L96" i="15" s="1"/>
  <c r="H40" i="15"/>
  <c r="H96" i="15" s="1"/>
  <c r="S40" i="15"/>
  <c r="S96" i="15" s="1"/>
  <c r="K40" i="15"/>
  <c r="K96" i="15" s="1"/>
  <c r="G40" i="15"/>
  <c r="G96" i="15" s="1"/>
  <c r="M40" i="15"/>
  <c r="M96" i="15" s="1"/>
  <c r="E40" i="15"/>
  <c r="E96" i="15" s="1"/>
  <c r="Q40" i="15"/>
  <c r="Q96" i="15" s="1"/>
  <c r="I40" i="15"/>
  <c r="I96" i="15" s="1"/>
  <c r="O40" i="15"/>
  <c r="O96" i="15" s="1"/>
  <c r="A42" i="15"/>
  <c r="B42" i="15"/>
  <c r="C41" i="15"/>
  <c r="B41" i="12"/>
  <c r="A41" i="12"/>
  <c r="C41" i="12" s="1"/>
  <c r="B43" i="11"/>
  <c r="C40" i="11"/>
  <c r="C96" i="11" s="1"/>
  <c r="A41" i="11"/>
  <c r="C96" i="12"/>
  <c r="R40" i="12"/>
  <c r="R96" i="12" s="1"/>
  <c r="N40" i="12"/>
  <c r="N96" i="12" s="1"/>
  <c r="J40" i="12"/>
  <c r="J96" i="12" s="1"/>
  <c r="F40" i="12"/>
  <c r="F96" i="12" s="1"/>
  <c r="Q40" i="12"/>
  <c r="Q96" i="12" s="1"/>
  <c r="M40" i="12"/>
  <c r="M96" i="12" s="1"/>
  <c r="I40" i="12"/>
  <c r="I96" i="12" s="1"/>
  <c r="E40" i="12"/>
  <c r="E96" i="12" s="1"/>
  <c r="T40" i="12"/>
  <c r="T96" i="12" s="1"/>
  <c r="P40" i="12"/>
  <c r="P96" i="12" s="1"/>
  <c r="L40" i="12"/>
  <c r="L96" i="12" s="1"/>
  <c r="H40" i="12"/>
  <c r="H96" i="12" s="1"/>
  <c r="S40" i="12"/>
  <c r="S96" i="12" s="1"/>
  <c r="O40" i="12"/>
  <c r="O96" i="12" s="1"/>
  <c r="K40" i="12"/>
  <c r="K96" i="12" s="1"/>
  <c r="G40" i="12"/>
  <c r="G96" i="12" s="1"/>
  <c r="C42" i="15" l="1"/>
  <c r="R41" i="15"/>
  <c r="R97" i="15" s="1"/>
  <c r="T41" i="15"/>
  <c r="T97" i="15" s="1"/>
  <c r="P41" i="15"/>
  <c r="P97" i="15" s="1"/>
  <c r="L41" i="15"/>
  <c r="L97" i="15" s="1"/>
  <c r="H41" i="15"/>
  <c r="H97" i="15" s="1"/>
  <c r="N41" i="15"/>
  <c r="N97" i="15" s="1"/>
  <c r="I41" i="15"/>
  <c r="I97" i="15" s="1"/>
  <c r="C97" i="15"/>
  <c r="Q41" i="15"/>
  <c r="Q97" i="15" s="1"/>
  <c r="K41" i="15"/>
  <c r="K97" i="15" s="1"/>
  <c r="F41" i="15"/>
  <c r="F97" i="15" s="1"/>
  <c r="M41" i="15"/>
  <c r="M97" i="15" s="1"/>
  <c r="J41" i="15"/>
  <c r="J97" i="15" s="1"/>
  <c r="S41" i="15"/>
  <c r="S97" i="15" s="1"/>
  <c r="G41" i="15"/>
  <c r="G97" i="15" s="1"/>
  <c r="O41" i="15"/>
  <c r="O97" i="15" s="1"/>
  <c r="E41" i="15"/>
  <c r="E97" i="15" s="1"/>
  <c r="A43" i="15"/>
  <c r="C43" i="15" s="1"/>
  <c r="B43" i="15"/>
  <c r="B44" i="11"/>
  <c r="C41" i="11"/>
  <c r="C97" i="11" s="1"/>
  <c r="A42" i="11"/>
  <c r="C97" i="12"/>
  <c r="T41" i="12"/>
  <c r="T97" i="12" s="1"/>
  <c r="P41" i="12"/>
  <c r="P97" i="12" s="1"/>
  <c r="L41" i="12"/>
  <c r="L97" i="12" s="1"/>
  <c r="H41" i="12"/>
  <c r="H97" i="12" s="1"/>
  <c r="S41" i="12"/>
  <c r="S97" i="12" s="1"/>
  <c r="O41" i="12"/>
  <c r="O97" i="12" s="1"/>
  <c r="K41" i="12"/>
  <c r="K97" i="12" s="1"/>
  <c r="G41" i="12"/>
  <c r="G97" i="12" s="1"/>
  <c r="R41" i="12"/>
  <c r="R97" i="12" s="1"/>
  <c r="N41" i="12"/>
  <c r="N97" i="12" s="1"/>
  <c r="J41" i="12"/>
  <c r="J97" i="12" s="1"/>
  <c r="F41" i="12"/>
  <c r="F97" i="12" s="1"/>
  <c r="Q41" i="12"/>
  <c r="Q97" i="12" s="1"/>
  <c r="M41" i="12"/>
  <c r="M97" i="12" s="1"/>
  <c r="I41" i="12"/>
  <c r="I97" i="12" s="1"/>
  <c r="E41" i="12"/>
  <c r="E97" i="12" s="1"/>
  <c r="A42" i="12"/>
  <c r="B42" i="12"/>
  <c r="A44" i="15" l="1"/>
  <c r="B44" i="15"/>
  <c r="C99" i="15"/>
  <c r="R43" i="15"/>
  <c r="R99" i="15" s="1"/>
  <c r="N43" i="15"/>
  <c r="N99" i="15" s="1"/>
  <c r="J43" i="15"/>
  <c r="J99" i="15" s="1"/>
  <c r="F43" i="15"/>
  <c r="F99" i="15" s="1"/>
  <c r="T43" i="15"/>
  <c r="T99" i="15" s="1"/>
  <c r="P43" i="15"/>
  <c r="P99" i="15" s="1"/>
  <c r="L43" i="15"/>
  <c r="L99" i="15" s="1"/>
  <c r="H43" i="15"/>
  <c r="H99" i="15" s="1"/>
  <c r="O43" i="15"/>
  <c r="O99" i="15" s="1"/>
  <c r="G43" i="15"/>
  <c r="G99" i="15" s="1"/>
  <c r="S43" i="15"/>
  <c r="S99" i="15" s="1"/>
  <c r="K43" i="15"/>
  <c r="K99" i="15" s="1"/>
  <c r="E43" i="15"/>
  <c r="E99" i="15" s="1"/>
  <c r="Q43" i="15"/>
  <c r="Q99" i="15" s="1"/>
  <c r="M43" i="15"/>
  <c r="M99" i="15" s="1"/>
  <c r="I43" i="15"/>
  <c r="I99" i="15" s="1"/>
  <c r="C98" i="15"/>
  <c r="T42" i="15"/>
  <c r="T98" i="15" s="1"/>
  <c r="P42" i="15"/>
  <c r="P98" i="15" s="1"/>
  <c r="L42" i="15"/>
  <c r="L98" i="15" s="1"/>
  <c r="H42" i="15"/>
  <c r="H98" i="15" s="1"/>
  <c r="R42" i="15"/>
  <c r="R98" i="15" s="1"/>
  <c r="N42" i="15"/>
  <c r="N98" i="15" s="1"/>
  <c r="J42" i="15"/>
  <c r="J98" i="15" s="1"/>
  <c r="F42" i="15"/>
  <c r="F98" i="15" s="1"/>
  <c r="O42" i="15"/>
  <c r="O98" i="15" s="1"/>
  <c r="G42" i="15"/>
  <c r="G98" i="15" s="1"/>
  <c r="S42" i="15"/>
  <c r="S98" i="15" s="1"/>
  <c r="K42" i="15"/>
  <c r="K98" i="15" s="1"/>
  <c r="Q42" i="15"/>
  <c r="Q98" i="15" s="1"/>
  <c r="M42" i="15"/>
  <c r="M98" i="15" s="1"/>
  <c r="I42" i="15"/>
  <c r="I98" i="15" s="1"/>
  <c r="E42" i="15"/>
  <c r="E98" i="15" s="1"/>
  <c r="C42" i="11"/>
  <c r="C98" i="11" s="1"/>
  <c r="A43" i="11"/>
  <c r="B43" i="12"/>
  <c r="A43" i="12"/>
  <c r="C42" i="12"/>
  <c r="B45" i="11"/>
  <c r="A45" i="15" l="1"/>
  <c r="B45" i="15"/>
  <c r="C44" i="15"/>
  <c r="C98" i="12"/>
  <c r="R42" i="12"/>
  <c r="R98" i="12" s="1"/>
  <c r="N42" i="12"/>
  <c r="N98" i="12" s="1"/>
  <c r="J42" i="12"/>
  <c r="J98" i="12" s="1"/>
  <c r="F42" i="12"/>
  <c r="F98" i="12" s="1"/>
  <c r="Q42" i="12"/>
  <c r="Q98" i="12" s="1"/>
  <c r="M42" i="12"/>
  <c r="M98" i="12" s="1"/>
  <c r="I42" i="12"/>
  <c r="I98" i="12" s="1"/>
  <c r="E42" i="12"/>
  <c r="E98" i="12" s="1"/>
  <c r="T42" i="12"/>
  <c r="T98" i="12" s="1"/>
  <c r="P42" i="12"/>
  <c r="P98" i="12" s="1"/>
  <c r="L42" i="12"/>
  <c r="L98" i="12" s="1"/>
  <c r="H42" i="12"/>
  <c r="H98" i="12" s="1"/>
  <c r="S42" i="12"/>
  <c r="S98" i="12" s="1"/>
  <c r="O42" i="12"/>
  <c r="O98" i="12" s="1"/>
  <c r="K42" i="12"/>
  <c r="K98" i="12" s="1"/>
  <c r="G42" i="12"/>
  <c r="G98" i="12" s="1"/>
  <c r="C43" i="12"/>
  <c r="A44" i="12"/>
  <c r="B44" i="12"/>
  <c r="B46" i="11"/>
  <c r="C43" i="11"/>
  <c r="C99" i="11" s="1"/>
  <c r="A44" i="11"/>
  <c r="C100" i="15" l="1"/>
  <c r="T44" i="15"/>
  <c r="T100" i="15" s="1"/>
  <c r="P44" i="15"/>
  <c r="P100" i="15" s="1"/>
  <c r="L44" i="15"/>
  <c r="L100" i="15" s="1"/>
  <c r="H44" i="15"/>
  <c r="H100" i="15" s="1"/>
  <c r="R44" i="15"/>
  <c r="R100" i="15" s="1"/>
  <c r="N44" i="15"/>
  <c r="N100" i="15" s="1"/>
  <c r="J44" i="15"/>
  <c r="J100" i="15" s="1"/>
  <c r="F44" i="15"/>
  <c r="F100" i="15" s="1"/>
  <c r="O44" i="15"/>
  <c r="O100" i="15" s="1"/>
  <c r="G44" i="15"/>
  <c r="G100" i="15" s="1"/>
  <c r="S44" i="15"/>
  <c r="S100" i="15" s="1"/>
  <c r="K44" i="15"/>
  <c r="K100" i="15" s="1"/>
  <c r="I44" i="15"/>
  <c r="I100" i="15" s="1"/>
  <c r="M44" i="15"/>
  <c r="M100" i="15" s="1"/>
  <c r="E44" i="15"/>
  <c r="E100" i="15" s="1"/>
  <c r="Q44" i="15"/>
  <c r="Q100" i="15" s="1"/>
  <c r="A46" i="15"/>
  <c r="B46" i="15"/>
  <c r="C45" i="15"/>
  <c r="C44" i="12"/>
  <c r="C99" i="12"/>
  <c r="T43" i="12"/>
  <c r="T99" i="12" s="1"/>
  <c r="P43" i="12"/>
  <c r="P99" i="12" s="1"/>
  <c r="L43" i="12"/>
  <c r="L99" i="12" s="1"/>
  <c r="H43" i="12"/>
  <c r="H99" i="12" s="1"/>
  <c r="S43" i="12"/>
  <c r="S99" i="12" s="1"/>
  <c r="O43" i="12"/>
  <c r="O99" i="12" s="1"/>
  <c r="K43" i="12"/>
  <c r="K99" i="12" s="1"/>
  <c r="G43" i="12"/>
  <c r="G99" i="12" s="1"/>
  <c r="R43" i="12"/>
  <c r="R99" i="12" s="1"/>
  <c r="N43" i="12"/>
  <c r="N99" i="12" s="1"/>
  <c r="J43" i="12"/>
  <c r="J99" i="12" s="1"/>
  <c r="F43" i="12"/>
  <c r="F99" i="12" s="1"/>
  <c r="Q43" i="12"/>
  <c r="Q99" i="12" s="1"/>
  <c r="M43" i="12"/>
  <c r="M99" i="12" s="1"/>
  <c r="I43" i="12"/>
  <c r="I99" i="12" s="1"/>
  <c r="E43" i="12"/>
  <c r="E99" i="12" s="1"/>
  <c r="C44" i="11"/>
  <c r="C100" i="11" s="1"/>
  <c r="A45" i="11"/>
  <c r="B45" i="12"/>
  <c r="A45" i="12"/>
  <c r="C45" i="12" s="1"/>
  <c r="B47" i="11"/>
  <c r="A47" i="15" l="1"/>
  <c r="C47" i="15" s="1"/>
  <c r="B47" i="15"/>
  <c r="C101" i="15"/>
  <c r="R45" i="15"/>
  <c r="R101" i="15" s="1"/>
  <c r="N45" i="15"/>
  <c r="N101" i="15" s="1"/>
  <c r="J45" i="15"/>
  <c r="J101" i="15" s="1"/>
  <c r="F45" i="15"/>
  <c r="F101" i="15" s="1"/>
  <c r="T45" i="15"/>
  <c r="T101" i="15" s="1"/>
  <c r="P45" i="15"/>
  <c r="P101" i="15" s="1"/>
  <c r="L45" i="15"/>
  <c r="L101" i="15" s="1"/>
  <c r="H45" i="15"/>
  <c r="H101" i="15" s="1"/>
  <c r="Q45" i="15"/>
  <c r="Q101" i="15" s="1"/>
  <c r="I45" i="15"/>
  <c r="I101" i="15" s="1"/>
  <c r="M45" i="15"/>
  <c r="M101" i="15" s="1"/>
  <c r="E45" i="15"/>
  <c r="E101" i="15" s="1"/>
  <c r="O45" i="15"/>
  <c r="O101" i="15" s="1"/>
  <c r="G45" i="15"/>
  <c r="G101" i="15" s="1"/>
  <c r="K45" i="15"/>
  <c r="K101" i="15" s="1"/>
  <c r="S45" i="15"/>
  <c r="S101" i="15" s="1"/>
  <c r="C46" i="15"/>
  <c r="B48" i="11"/>
  <c r="C45" i="11"/>
  <c r="C101" i="11" s="1"/>
  <c r="A46" i="11"/>
  <c r="C101" i="12"/>
  <c r="T45" i="12"/>
  <c r="T101" i="12" s="1"/>
  <c r="P45" i="12"/>
  <c r="P101" i="12" s="1"/>
  <c r="L45" i="12"/>
  <c r="L101" i="12" s="1"/>
  <c r="H45" i="12"/>
  <c r="H101" i="12" s="1"/>
  <c r="S45" i="12"/>
  <c r="S101" i="12" s="1"/>
  <c r="O45" i="12"/>
  <c r="O101" i="12" s="1"/>
  <c r="K45" i="12"/>
  <c r="K101" i="12" s="1"/>
  <c r="G45" i="12"/>
  <c r="G101" i="12" s="1"/>
  <c r="R45" i="12"/>
  <c r="R101" i="12" s="1"/>
  <c r="N45" i="12"/>
  <c r="N101" i="12" s="1"/>
  <c r="J45" i="12"/>
  <c r="J101" i="12" s="1"/>
  <c r="F45" i="12"/>
  <c r="F101" i="12" s="1"/>
  <c r="Q45" i="12"/>
  <c r="Q101" i="12" s="1"/>
  <c r="M45" i="12"/>
  <c r="M101" i="12" s="1"/>
  <c r="I45" i="12"/>
  <c r="I101" i="12" s="1"/>
  <c r="E45" i="12"/>
  <c r="E101" i="12" s="1"/>
  <c r="A46" i="12"/>
  <c r="C46" i="12" s="1"/>
  <c r="B46" i="12"/>
  <c r="C100" i="12"/>
  <c r="R44" i="12"/>
  <c r="R100" i="12" s="1"/>
  <c r="N44" i="12"/>
  <c r="N100" i="12" s="1"/>
  <c r="J44" i="12"/>
  <c r="J100" i="12" s="1"/>
  <c r="F44" i="12"/>
  <c r="F100" i="12" s="1"/>
  <c r="Q44" i="12"/>
  <c r="Q100" i="12" s="1"/>
  <c r="M44" i="12"/>
  <c r="M100" i="12" s="1"/>
  <c r="I44" i="12"/>
  <c r="I100" i="12" s="1"/>
  <c r="E44" i="12"/>
  <c r="E100" i="12" s="1"/>
  <c r="T44" i="12"/>
  <c r="T100" i="12" s="1"/>
  <c r="P44" i="12"/>
  <c r="P100" i="12" s="1"/>
  <c r="L44" i="12"/>
  <c r="L100" i="12" s="1"/>
  <c r="H44" i="12"/>
  <c r="H100" i="12" s="1"/>
  <c r="S44" i="12"/>
  <c r="S100" i="12" s="1"/>
  <c r="O44" i="12"/>
  <c r="O100" i="12" s="1"/>
  <c r="K44" i="12"/>
  <c r="K100" i="12" s="1"/>
  <c r="G44" i="12"/>
  <c r="G100" i="12" s="1"/>
  <c r="C102" i="15" l="1"/>
  <c r="T46" i="15"/>
  <c r="T102" i="15" s="1"/>
  <c r="P46" i="15"/>
  <c r="P102" i="15" s="1"/>
  <c r="L46" i="15"/>
  <c r="L102" i="15" s="1"/>
  <c r="H46" i="15"/>
  <c r="H102" i="15" s="1"/>
  <c r="R46" i="15"/>
  <c r="R102" i="15" s="1"/>
  <c r="N46" i="15"/>
  <c r="N102" i="15" s="1"/>
  <c r="J46" i="15"/>
  <c r="J102" i="15" s="1"/>
  <c r="F46" i="15"/>
  <c r="F102" i="15" s="1"/>
  <c r="Q46" i="15"/>
  <c r="Q102" i="15" s="1"/>
  <c r="I46" i="15"/>
  <c r="I102" i="15" s="1"/>
  <c r="M46" i="15"/>
  <c r="M102" i="15" s="1"/>
  <c r="E46" i="15"/>
  <c r="E102" i="15" s="1"/>
  <c r="O46" i="15"/>
  <c r="O102" i="15" s="1"/>
  <c r="S46" i="15"/>
  <c r="S102" i="15" s="1"/>
  <c r="K46" i="15"/>
  <c r="K102" i="15" s="1"/>
  <c r="G46" i="15"/>
  <c r="G102" i="15" s="1"/>
  <c r="A48" i="15"/>
  <c r="B48" i="15"/>
  <c r="C103" i="15"/>
  <c r="R47" i="15"/>
  <c r="R103" i="15" s="1"/>
  <c r="N47" i="15"/>
  <c r="N103" i="15" s="1"/>
  <c r="J47" i="15"/>
  <c r="J103" i="15" s="1"/>
  <c r="F47" i="15"/>
  <c r="F103" i="15" s="1"/>
  <c r="T47" i="15"/>
  <c r="T103" i="15" s="1"/>
  <c r="P47" i="15"/>
  <c r="P103" i="15" s="1"/>
  <c r="L47" i="15"/>
  <c r="L103" i="15" s="1"/>
  <c r="H47" i="15"/>
  <c r="H103" i="15" s="1"/>
  <c r="Q47" i="15"/>
  <c r="Q103" i="15" s="1"/>
  <c r="I47" i="15"/>
  <c r="I103" i="15" s="1"/>
  <c r="M47" i="15"/>
  <c r="M103" i="15" s="1"/>
  <c r="E47" i="15"/>
  <c r="E103" i="15" s="1"/>
  <c r="O47" i="15"/>
  <c r="O103" i="15" s="1"/>
  <c r="G47" i="15"/>
  <c r="G103" i="15" s="1"/>
  <c r="S47" i="15"/>
  <c r="S103" i="15" s="1"/>
  <c r="K47" i="15"/>
  <c r="K103" i="15" s="1"/>
  <c r="C46" i="11"/>
  <c r="C102" i="11" s="1"/>
  <c r="A47" i="11"/>
  <c r="B47" i="12"/>
  <c r="A47" i="12"/>
  <c r="C47" i="12" s="1"/>
  <c r="B49" i="11"/>
  <c r="C102" i="12"/>
  <c r="R46" i="12"/>
  <c r="R102" i="12" s="1"/>
  <c r="N46" i="12"/>
  <c r="N102" i="12" s="1"/>
  <c r="J46" i="12"/>
  <c r="J102" i="12" s="1"/>
  <c r="F46" i="12"/>
  <c r="F102" i="12" s="1"/>
  <c r="Q46" i="12"/>
  <c r="Q102" i="12" s="1"/>
  <c r="M46" i="12"/>
  <c r="M102" i="12" s="1"/>
  <c r="I46" i="12"/>
  <c r="I102" i="12" s="1"/>
  <c r="E46" i="12"/>
  <c r="E102" i="12" s="1"/>
  <c r="T46" i="12"/>
  <c r="T102" i="12" s="1"/>
  <c r="P46" i="12"/>
  <c r="P102" i="12" s="1"/>
  <c r="L46" i="12"/>
  <c r="L102" i="12" s="1"/>
  <c r="H46" i="12"/>
  <c r="H102" i="12" s="1"/>
  <c r="S46" i="12"/>
  <c r="S102" i="12" s="1"/>
  <c r="O46" i="12"/>
  <c r="O102" i="12" s="1"/>
  <c r="K46" i="12"/>
  <c r="K102" i="12" s="1"/>
  <c r="G46" i="12"/>
  <c r="G102" i="12" s="1"/>
  <c r="A49" i="15" l="1"/>
  <c r="B49" i="15"/>
  <c r="C48" i="15"/>
  <c r="C103" i="12"/>
  <c r="P47" i="12"/>
  <c r="P103" i="12" s="1"/>
  <c r="O47" i="12"/>
  <c r="O103" i="12" s="1"/>
  <c r="N47" i="12"/>
  <c r="N103" i="12" s="1"/>
  <c r="M47" i="12"/>
  <c r="M103" i="12" s="1"/>
  <c r="E47" i="12"/>
  <c r="E103" i="12" s="1"/>
  <c r="A48" i="12"/>
  <c r="B48" i="12"/>
  <c r="C47" i="11"/>
  <c r="C103" i="11" s="1"/>
  <c r="A48" i="11"/>
  <c r="B50" i="11"/>
  <c r="C104" i="15" l="1"/>
  <c r="T48" i="15"/>
  <c r="T104" i="15" s="1"/>
  <c r="P48" i="15"/>
  <c r="P104" i="15" s="1"/>
  <c r="L48" i="15"/>
  <c r="L104" i="15" s="1"/>
  <c r="H48" i="15"/>
  <c r="H104" i="15" s="1"/>
  <c r="R48" i="15"/>
  <c r="R104" i="15" s="1"/>
  <c r="N48" i="15"/>
  <c r="N104" i="15" s="1"/>
  <c r="J48" i="15"/>
  <c r="J104" i="15" s="1"/>
  <c r="F48" i="15"/>
  <c r="F104" i="15" s="1"/>
  <c r="S48" i="15"/>
  <c r="S104" i="15" s="1"/>
  <c r="K48" i="15"/>
  <c r="K104" i="15" s="1"/>
  <c r="O48" i="15"/>
  <c r="O104" i="15" s="1"/>
  <c r="G48" i="15"/>
  <c r="G104" i="15" s="1"/>
  <c r="E48" i="15"/>
  <c r="E104" i="15" s="1"/>
  <c r="Q48" i="15"/>
  <c r="Q104" i="15" s="1"/>
  <c r="M48" i="15"/>
  <c r="M104" i="15" s="1"/>
  <c r="I48" i="15"/>
  <c r="I104" i="15" s="1"/>
  <c r="A50" i="15"/>
  <c r="B50" i="15"/>
  <c r="C49" i="15"/>
  <c r="B49" i="12"/>
  <c r="A49" i="12"/>
  <c r="C49" i="12" s="1"/>
  <c r="C48" i="11"/>
  <c r="C104" i="11" s="1"/>
  <c r="A49" i="11"/>
  <c r="I47" i="12"/>
  <c r="I103" i="12" s="1"/>
  <c r="J47" i="12"/>
  <c r="J103" i="12" s="1"/>
  <c r="K47" i="12"/>
  <c r="K103" i="12" s="1"/>
  <c r="L47" i="12"/>
  <c r="L103" i="12" s="1"/>
  <c r="B51" i="11"/>
  <c r="C48" i="12"/>
  <c r="Q47" i="12"/>
  <c r="Q103" i="12" s="1"/>
  <c r="R47" i="12"/>
  <c r="R103" i="12" s="1"/>
  <c r="S47" i="12"/>
  <c r="S103" i="12" s="1"/>
  <c r="T47" i="12"/>
  <c r="T103" i="12" s="1"/>
  <c r="F47" i="12"/>
  <c r="F103" i="12" s="1"/>
  <c r="G47" i="12"/>
  <c r="G103" i="12" s="1"/>
  <c r="H47" i="12"/>
  <c r="H103" i="12" s="1"/>
  <c r="A51" i="15" l="1"/>
  <c r="B51" i="15"/>
  <c r="C50" i="15"/>
  <c r="C105" i="15"/>
  <c r="R49" i="15"/>
  <c r="R105" i="15" s="1"/>
  <c r="N49" i="15"/>
  <c r="N105" i="15" s="1"/>
  <c r="J49" i="15"/>
  <c r="J105" i="15" s="1"/>
  <c r="F49" i="15"/>
  <c r="F105" i="15" s="1"/>
  <c r="T49" i="15"/>
  <c r="T105" i="15" s="1"/>
  <c r="P49" i="15"/>
  <c r="P105" i="15" s="1"/>
  <c r="L49" i="15"/>
  <c r="L105" i="15" s="1"/>
  <c r="H49" i="15"/>
  <c r="H105" i="15" s="1"/>
  <c r="S49" i="15"/>
  <c r="S105" i="15" s="1"/>
  <c r="K49" i="15"/>
  <c r="K105" i="15" s="1"/>
  <c r="O49" i="15"/>
  <c r="O105" i="15" s="1"/>
  <c r="G49" i="15"/>
  <c r="G105" i="15" s="1"/>
  <c r="I49" i="15"/>
  <c r="I105" i="15" s="1"/>
  <c r="M49" i="15"/>
  <c r="M105" i="15" s="1"/>
  <c r="E49" i="15"/>
  <c r="E105" i="15" s="1"/>
  <c r="Q49" i="15"/>
  <c r="Q105" i="15" s="1"/>
  <c r="C105" i="12"/>
  <c r="L49" i="12"/>
  <c r="L105" i="12" s="1"/>
  <c r="K49" i="12"/>
  <c r="K105" i="12" s="1"/>
  <c r="J49" i="12"/>
  <c r="J105" i="12" s="1"/>
  <c r="M49" i="12"/>
  <c r="M105" i="12" s="1"/>
  <c r="I49" i="12"/>
  <c r="I105" i="12" s="1"/>
  <c r="C49" i="11"/>
  <c r="C105" i="11" s="1"/>
  <c r="A50" i="11"/>
  <c r="C104" i="12"/>
  <c r="R48" i="12"/>
  <c r="R104" i="12" s="1"/>
  <c r="N48" i="12"/>
  <c r="N104" i="12" s="1"/>
  <c r="J48" i="12"/>
  <c r="J104" i="12" s="1"/>
  <c r="F48" i="12"/>
  <c r="F104" i="12" s="1"/>
  <c r="Q48" i="12"/>
  <c r="Q104" i="12" s="1"/>
  <c r="M48" i="12"/>
  <c r="M104" i="12" s="1"/>
  <c r="I48" i="12"/>
  <c r="I104" i="12" s="1"/>
  <c r="E48" i="12"/>
  <c r="E104" i="12" s="1"/>
  <c r="T48" i="12"/>
  <c r="T104" i="12" s="1"/>
  <c r="P48" i="12"/>
  <c r="P104" i="12" s="1"/>
  <c r="L48" i="12"/>
  <c r="L104" i="12" s="1"/>
  <c r="H48" i="12"/>
  <c r="H104" i="12" s="1"/>
  <c r="S48" i="12"/>
  <c r="S104" i="12" s="1"/>
  <c r="O48" i="12"/>
  <c r="O104" i="12" s="1"/>
  <c r="K48" i="12"/>
  <c r="K104" i="12" s="1"/>
  <c r="G48" i="12"/>
  <c r="G104" i="12" s="1"/>
  <c r="B52" i="11"/>
  <c r="A50" i="12"/>
  <c r="B50" i="12"/>
  <c r="C106" i="15" l="1"/>
  <c r="T50" i="15"/>
  <c r="T106" i="15" s="1"/>
  <c r="P50" i="15"/>
  <c r="P106" i="15" s="1"/>
  <c r="L50" i="15"/>
  <c r="L106" i="15" s="1"/>
  <c r="H50" i="15"/>
  <c r="H106" i="15" s="1"/>
  <c r="R50" i="15"/>
  <c r="R106" i="15" s="1"/>
  <c r="N50" i="15"/>
  <c r="N106" i="15" s="1"/>
  <c r="J50" i="15"/>
  <c r="J106" i="15" s="1"/>
  <c r="F50" i="15"/>
  <c r="F106" i="15" s="1"/>
  <c r="S50" i="15"/>
  <c r="S106" i="15" s="1"/>
  <c r="K50" i="15"/>
  <c r="K106" i="15" s="1"/>
  <c r="Q50" i="15"/>
  <c r="Q106" i="15" s="1"/>
  <c r="O50" i="15"/>
  <c r="O106" i="15" s="1"/>
  <c r="G50" i="15"/>
  <c r="G106" i="15" s="1"/>
  <c r="M50" i="15"/>
  <c r="M106" i="15" s="1"/>
  <c r="E50" i="15"/>
  <c r="E106" i="15" s="1"/>
  <c r="I50" i="15"/>
  <c r="I106" i="15" s="1"/>
  <c r="A52" i="15"/>
  <c r="B52" i="15"/>
  <c r="C51" i="15"/>
  <c r="C50" i="11"/>
  <c r="C106" i="11" s="1"/>
  <c r="A51" i="11"/>
  <c r="N49" i="12"/>
  <c r="N105" i="12" s="1"/>
  <c r="O49" i="12"/>
  <c r="O105" i="12" s="1"/>
  <c r="P49" i="12"/>
  <c r="P105" i="12" s="1"/>
  <c r="C50" i="12"/>
  <c r="Q49" i="12"/>
  <c r="Q105" i="12" s="1"/>
  <c r="R49" i="12"/>
  <c r="R105" i="12" s="1"/>
  <c r="S49" i="12"/>
  <c r="S105" i="12" s="1"/>
  <c r="T49" i="12"/>
  <c r="T105" i="12" s="1"/>
  <c r="B51" i="12"/>
  <c r="A51" i="12"/>
  <c r="C51" i="12" s="1"/>
  <c r="B53" i="11"/>
  <c r="E49" i="12"/>
  <c r="E105" i="12" s="1"/>
  <c r="F49" i="12"/>
  <c r="F105" i="12" s="1"/>
  <c r="G49" i="12"/>
  <c r="G105" i="12" s="1"/>
  <c r="H49" i="12"/>
  <c r="H105" i="12" s="1"/>
  <c r="A53" i="15" l="1"/>
  <c r="B53" i="15"/>
  <c r="C52" i="15"/>
  <c r="C107" i="15"/>
  <c r="R51" i="15"/>
  <c r="R107" i="15" s="1"/>
  <c r="N51" i="15"/>
  <c r="N107" i="15" s="1"/>
  <c r="J51" i="15"/>
  <c r="J107" i="15" s="1"/>
  <c r="F51" i="15"/>
  <c r="F107" i="15" s="1"/>
  <c r="T51" i="15"/>
  <c r="T107" i="15" s="1"/>
  <c r="P51" i="15"/>
  <c r="P107" i="15" s="1"/>
  <c r="L51" i="15"/>
  <c r="L107" i="15" s="1"/>
  <c r="H51" i="15"/>
  <c r="H107" i="15" s="1"/>
  <c r="M51" i="15"/>
  <c r="M107" i="15" s="1"/>
  <c r="E51" i="15"/>
  <c r="E107" i="15" s="1"/>
  <c r="S51" i="15"/>
  <c r="S107" i="15" s="1"/>
  <c r="K51" i="15"/>
  <c r="K107" i="15" s="1"/>
  <c r="Q51" i="15"/>
  <c r="Q107" i="15" s="1"/>
  <c r="I51" i="15"/>
  <c r="I107" i="15" s="1"/>
  <c r="O51" i="15"/>
  <c r="O107" i="15" s="1"/>
  <c r="G51" i="15"/>
  <c r="G107" i="15" s="1"/>
  <c r="C107" i="12"/>
  <c r="H51" i="12"/>
  <c r="H107" i="12" s="1"/>
  <c r="G51" i="12"/>
  <c r="G107" i="12" s="1"/>
  <c r="F51" i="12"/>
  <c r="F107" i="12" s="1"/>
  <c r="E51" i="12"/>
  <c r="E107" i="12" s="1"/>
  <c r="B54" i="11"/>
  <c r="A52" i="12"/>
  <c r="B52" i="12"/>
  <c r="C106" i="12"/>
  <c r="R50" i="12"/>
  <c r="R106" i="12" s="1"/>
  <c r="N50" i="12"/>
  <c r="N106" i="12" s="1"/>
  <c r="J50" i="12"/>
  <c r="J106" i="12" s="1"/>
  <c r="F50" i="12"/>
  <c r="F106" i="12" s="1"/>
  <c r="Q50" i="12"/>
  <c r="Q106" i="12" s="1"/>
  <c r="M50" i="12"/>
  <c r="M106" i="12" s="1"/>
  <c r="I50" i="12"/>
  <c r="I106" i="12" s="1"/>
  <c r="E50" i="12"/>
  <c r="E106" i="12" s="1"/>
  <c r="T50" i="12"/>
  <c r="T106" i="12" s="1"/>
  <c r="P50" i="12"/>
  <c r="P106" i="12" s="1"/>
  <c r="L50" i="12"/>
  <c r="L106" i="12" s="1"/>
  <c r="H50" i="12"/>
  <c r="H106" i="12" s="1"/>
  <c r="S50" i="12"/>
  <c r="S106" i="12" s="1"/>
  <c r="O50" i="12"/>
  <c r="O106" i="12" s="1"/>
  <c r="K50" i="12"/>
  <c r="K106" i="12" s="1"/>
  <c r="G50" i="12"/>
  <c r="G106" i="12" s="1"/>
  <c r="C51" i="11"/>
  <c r="C107" i="11" s="1"/>
  <c r="A52" i="11"/>
  <c r="T52" i="15" l="1"/>
  <c r="T108" i="15" s="1"/>
  <c r="P52" i="15"/>
  <c r="P108" i="15" s="1"/>
  <c r="L52" i="15"/>
  <c r="L108" i="15" s="1"/>
  <c r="H52" i="15"/>
  <c r="H108" i="15" s="1"/>
  <c r="R52" i="15"/>
  <c r="R108" i="15" s="1"/>
  <c r="N52" i="15"/>
  <c r="N108" i="15" s="1"/>
  <c r="J52" i="15"/>
  <c r="J108" i="15" s="1"/>
  <c r="F52" i="15"/>
  <c r="F108" i="15" s="1"/>
  <c r="M52" i="15"/>
  <c r="M108" i="15" s="1"/>
  <c r="E52" i="15"/>
  <c r="E108" i="15" s="1"/>
  <c r="S52" i="15"/>
  <c r="S108" i="15" s="1"/>
  <c r="K52" i="15"/>
  <c r="K108" i="15" s="1"/>
  <c r="Q52" i="15"/>
  <c r="Q108" i="15" s="1"/>
  <c r="I52" i="15"/>
  <c r="I108" i="15" s="1"/>
  <c r="C108" i="15"/>
  <c r="G52" i="15"/>
  <c r="G108" i="15" s="1"/>
  <c r="O52" i="15"/>
  <c r="O108" i="15" s="1"/>
  <c r="A54" i="15"/>
  <c r="B54" i="15"/>
  <c r="C53" i="15"/>
  <c r="C52" i="11"/>
  <c r="C108" i="11" s="1"/>
  <c r="A53" i="11"/>
  <c r="C52" i="12"/>
  <c r="I51" i="12"/>
  <c r="I107" i="12" s="1"/>
  <c r="J51" i="12"/>
  <c r="J107" i="12" s="1"/>
  <c r="K51" i="12"/>
  <c r="K107" i="12" s="1"/>
  <c r="L51" i="12"/>
  <c r="L107" i="12" s="1"/>
  <c r="M51" i="12"/>
  <c r="M107" i="12" s="1"/>
  <c r="N51" i="12"/>
  <c r="N107" i="12" s="1"/>
  <c r="O51" i="12"/>
  <c r="O107" i="12" s="1"/>
  <c r="P51" i="12"/>
  <c r="P107" i="12" s="1"/>
  <c r="B53" i="12"/>
  <c r="A53" i="12"/>
  <c r="C53" i="12" s="1"/>
  <c r="B55" i="11"/>
  <c r="Q51" i="12"/>
  <c r="Q107" i="12" s="1"/>
  <c r="R51" i="12"/>
  <c r="R107" i="12" s="1"/>
  <c r="S51" i="12"/>
  <c r="S107" i="12" s="1"/>
  <c r="T51" i="12"/>
  <c r="T107" i="12" s="1"/>
  <c r="C109" i="15" l="1"/>
  <c r="R53" i="15"/>
  <c r="R109" i="15" s="1"/>
  <c r="N53" i="15"/>
  <c r="N109" i="15" s="1"/>
  <c r="J53" i="15"/>
  <c r="J109" i="15" s="1"/>
  <c r="F53" i="15"/>
  <c r="F109" i="15" s="1"/>
  <c r="T53" i="15"/>
  <c r="T109" i="15" s="1"/>
  <c r="P53" i="15"/>
  <c r="P109" i="15" s="1"/>
  <c r="L53" i="15"/>
  <c r="L109" i="15" s="1"/>
  <c r="H53" i="15"/>
  <c r="H109" i="15" s="1"/>
  <c r="M53" i="15"/>
  <c r="M109" i="15" s="1"/>
  <c r="E53" i="15"/>
  <c r="E109" i="15" s="1"/>
  <c r="S53" i="15"/>
  <c r="S109" i="15" s="1"/>
  <c r="K53" i="15"/>
  <c r="K109" i="15" s="1"/>
  <c r="Q53" i="15"/>
  <c r="Q109" i="15" s="1"/>
  <c r="I53" i="15"/>
  <c r="I109" i="15" s="1"/>
  <c r="O53" i="15"/>
  <c r="O109" i="15" s="1"/>
  <c r="G53" i="15"/>
  <c r="G109" i="15" s="1"/>
  <c r="A55" i="15"/>
  <c r="B55" i="15"/>
  <c r="C54" i="15"/>
  <c r="A54" i="12"/>
  <c r="C54" i="12" s="1"/>
  <c r="B54" i="12"/>
  <c r="C108" i="12"/>
  <c r="R52" i="12"/>
  <c r="R108" i="12" s="1"/>
  <c r="N52" i="12"/>
  <c r="N108" i="12" s="1"/>
  <c r="J52" i="12"/>
  <c r="J108" i="12" s="1"/>
  <c r="F52" i="12"/>
  <c r="F108" i="12" s="1"/>
  <c r="Q52" i="12"/>
  <c r="Q108" i="12" s="1"/>
  <c r="M52" i="12"/>
  <c r="M108" i="12" s="1"/>
  <c r="I52" i="12"/>
  <c r="I108" i="12" s="1"/>
  <c r="E52" i="12"/>
  <c r="E108" i="12" s="1"/>
  <c r="T52" i="12"/>
  <c r="T108" i="12" s="1"/>
  <c r="P52" i="12"/>
  <c r="P108" i="12" s="1"/>
  <c r="L52" i="12"/>
  <c r="L108" i="12" s="1"/>
  <c r="H52" i="12"/>
  <c r="H108" i="12" s="1"/>
  <c r="S52" i="12"/>
  <c r="S108" i="12" s="1"/>
  <c r="O52" i="12"/>
  <c r="O108" i="12" s="1"/>
  <c r="K52" i="12"/>
  <c r="K108" i="12" s="1"/>
  <c r="G52" i="12"/>
  <c r="G108" i="12" s="1"/>
  <c r="C109" i="12"/>
  <c r="C53" i="11"/>
  <c r="C109" i="11" s="1"/>
  <c r="A54" i="11"/>
  <c r="C110" i="15" l="1"/>
  <c r="T54" i="15"/>
  <c r="T110" i="15" s="1"/>
  <c r="P54" i="15"/>
  <c r="P110" i="15" s="1"/>
  <c r="L54" i="15"/>
  <c r="L110" i="15" s="1"/>
  <c r="H54" i="15"/>
  <c r="H110" i="15" s="1"/>
  <c r="R54" i="15"/>
  <c r="R110" i="15" s="1"/>
  <c r="N54" i="15"/>
  <c r="N110" i="15" s="1"/>
  <c r="J54" i="15"/>
  <c r="J110" i="15" s="1"/>
  <c r="F54" i="15"/>
  <c r="F110" i="15" s="1"/>
  <c r="O54" i="15"/>
  <c r="O110" i="15" s="1"/>
  <c r="G54" i="15"/>
  <c r="G110" i="15" s="1"/>
  <c r="M54" i="15"/>
  <c r="M110" i="15" s="1"/>
  <c r="E54" i="15"/>
  <c r="E110" i="15" s="1"/>
  <c r="S54" i="15"/>
  <c r="S110" i="15" s="1"/>
  <c r="K54" i="15"/>
  <c r="K110" i="15" s="1"/>
  <c r="Q54" i="15"/>
  <c r="Q110" i="15" s="1"/>
  <c r="I54" i="15"/>
  <c r="I110" i="15" s="1"/>
  <c r="C55" i="15"/>
  <c r="Q53" i="12"/>
  <c r="Q109" i="12" s="1"/>
  <c r="S53" i="12"/>
  <c r="S109" i="12" s="1"/>
  <c r="E53" i="12"/>
  <c r="E109" i="12" s="1"/>
  <c r="F53" i="12"/>
  <c r="F109" i="12" s="1"/>
  <c r="I53" i="12"/>
  <c r="I109" i="12" s="1"/>
  <c r="J53" i="12"/>
  <c r="J109" i="12" s="1"/>
  <c r="K53" i="12"/>
  <c r="K109" i="12" s="1"/>
  <c r="L53" i="12"/>
  <c r="L109" i="12" s="1"/>
  <c r="R53" i="12"/>
  <c r="R109" i="12" s="1"/>
  <c r="T53" i="12"/>
  <c r="T109" i="12" s="1"/>
  <c r="C110" i="12"/>
  <c r="R54" i="12"/>
  <c r="R110" i="12" s="1"/>
  <c r="F54" i="12"/>
  <c r="F110" i="12" s="1"/>
  <c r="Q54" i="12"/>
  <c r="Q110" i="12" s="1"/>
  <c r="E54" i="12"/>
  <c r="E110" i="12" s="1"/>
  <c r="T54" i="12"/>
  <c r="T110" i="12" s="1"/>
  <c r="H54" i="12"/>
  <c r="H110" i="12" s="1"/>
  <c r="S54" i="12"/>
  <c r="S110" i="12" s="1"/>
  <c r="G54" i="12"/>
  <c r="G110" i="12" s="1"/>
  <c r="G53" i="12"/>
  <c r="G109" i="12" s="1"/>
  <c r="H53" i="12"/>
  <c r="H109" i="12" s="1"/>
  <c r="C54" i="11"/>
  <c r="C110" i="11" s="1"/>
  <c r="A55" i="11"/>
  <c r="C55" i="11" s="1"/>
  <c r="C111" i="11" s="1"/>
  <c r="M53" i="12"/>
  <c r="M109" i="12" s="1"/>
  <c r="N53" i="12"/>
  <c r="N109" i="12" s="1"/>
  <c r="O53" i="12"/>
  <c r="O109" i="12" s="1"/>
  <c r="P53" i="12"/>
  <c r="P109" i="12" s="1"/>
  <c r="B55" i="12"/>
  <c r="A55" i="12"/>
  <c r="R55" i="15" l="1"/>
  <c r="N55" i="15"/>
  <c r="J55" i="15"/>
  <c r="F55" i="15"/>
  <c r="C111" i="15"/>
  <c r="T55" i="15"/>
  <c r="P55" i="15"/>
  <c r="L55" i="15"/>
  <c r="H55" i="15"/>
  <c r="O55" i="15"/>
  <c r="G55" i="15"/>
  <c r="M55" i="15"/>
  <c r="E55" i="15"/>
  <c r="S55" i="15"/>
  <c r="K55" i="15"/>
  <c r="I55" i="15"/>
  <c r="Q55" i="15"/>
  <c r="K54" i="12"/>
  <c r="K110" i="12" s="1"/>
  <c r="L54" i="12"/>
  <c r="L110" i="12" s="1"/>
  <c r="I54" i="12"/>
  <c r="I110" i="12" s="1"/>
  <c r="J54" i="12"/>
  <c r="J110" i="12" s="1"/>
  <c r="C55" i="12"/>
  <c r="O54" i="12"/>
  <c r="O110" i="12" s="1"/>
  <c r="P54" i="12"/>
  <c r="P110" i="12" s="1"/>
  <c r="M54" i="12"/>
  <c r="M110" i="12" s="1"/>
  <c r="N54" i="12"/>
  <c r="N110" i="12" s="1"/>
  <c r="K111" i="15" l="1"/>
  <c r="K56" i="15"/>
  <c r="P111" i="15"/>
  <c r="P56" i="15"/>
  <c r="O111" i="15"/>
  <c r="O56" i="15"/>
  <c r="Q111" i="15"/>
  <c r="Q56" i="15"/>
  <c r="I111" i="15"/>
  <c r="I56" i="15"/>
  <c r="M111" i="15"/>
  <c r="M56" i="15"/>
  <c r="L111" i="15"/>
  <c r="L56" i="15"/>
  <c r="F111" i="15"/>
  <c r="F56" i="15"/>
  <c r="G111" i="15"/>
  <c r="G56" i="15"/>
  <c r="S111" i="15"/>
  <c r="S56" i="15"/>
  <c r="T111" i="15"/>
  <c r="E114" i="15" s="1" a="1"/>
  <c r="T56" i="15"/>
  <c r="N111" i="15"/>
  <c r="N56" i="15"/>
  <c r="J111" i="15"/>
  <c r="J56" i="15"/>
  <c r="E111" i="15"/>
  <c r="E56" i="15"/>
  <c r="H111" i="15"/>
  <c r="H56" i="15"/>
  <c r="R111" i="15"/>
  <c r="R56" i="15"/>
  <c r="C111" i="12"/>
  <c r="T55" i="12"/>
  <c r="P55" i="12"/>
  <c r="L55" i="12"/>
  <c r="H55" i="12"/>
  <c r="S55" i="12"/>
  <c r="O55" i="12"/>
  <c r="K55" i="12"/>
  <c r="G55" i="12"/>
  <c r="R55" i="12"/>
  <c r="N55" i="12"/>
  <c r="J55" i="12"/>
  <c r="F55" i="12"/>
  <c r="Q55" i="12"/>
  <c r="M55" i="12"/>
  <c r="I55" i="12"/>
  <c r="E55" i="12"/>
  <c r="R129" i="15" l="1"/>
  <c r="N129" i="15"/>
  <c r="J129" i="15"/>
  <c r="F129" i="15"/>
  <c r="R128" i="15"/>
  <c r="N128" i="15"/>
  <c r="J128" i="15"/>
  <c r="F128" i="15"/>
  <c r="R127" i="15"/>
  <c r="N127" i="15"/>
  <c r="J127" i="15"/>
  <c r="F127" i="15"/>
  <c r="R126" i="15"/>
  <c r="N126" i="15"/>
  <c r="J126" i="15"/>
  <c r="F126" i="15"/>
  <c r="R125" i="15"/>
  <c r="N125" i="15"/>
  <c r="J125" i="15"/>
  <c r="F125" i="15"/>
  <c r="R124" i="15"/>
  <c r="N124" i="15"/>
  <c r="J124" i="15"/>
  <c r="F124" i="15"/>
  <c r="R123" i="15"/>
  <c r="N123" i="15"/>
  <c r="J123" i="15"/>
  <c r="F123" i="15"/>
  <c r="R122" i="15"/>
  <c r="N122" i="15"/>
  <c r="J122" i="15"/>
  <c r="F122" i="15"/>
  <c r="R121" i="15"/>
  <c r="N121" i="15"/>
  <c r="J121" i="15"/>
  <c r="F121" i="15"/>
  <c r="R120" i="15"/>
  <c r="N120" i="15"/>
  <c r="J120" i="15"/>
  <c r="F120" i="15"/>
  <c r="R119" i="15"/>
  <c r="N119" i="15"/>
  <c r="J119" i="15"/>
  <c r="F119" i="15"/>
  <c r="R118" i="15"/>
  <c r="N118" i="15"/>
  <c r="J118" i="15"/>
  <c r="F118" i="15"/>
  <c r="R117" i="15"/>
  <c r="N117" i="15"/>
  <c r="J117" i="15"/>
  <c r="F117" i="15"/>
  <c r="R116" i="15"/>
  <c r="N116" i="15"/>
  <c r="J116" i="15"/>
  <c r="F116" i="15"/>
  <c r="R115" i="15"/>
  <c r="N115" i="15"/>
  <c r="J115" i="15"/>
  <c r="F115" i="15"/>
  <c r="R114" i="15"/>
  <c r="N114" i="15"/>
  <c r="J114" i="15"/>
  <c r="F114" i="15"/>
  <c r="T129" i="15"/>
  <c r="P129" i="15"/>
  <c r="L129" i="15"/>
  <c r="H129" i="15"/>
  <c r="T128" i="15"/>
  <c r="P128" i="15"/>
  <c r="L128" i="15"/>
  <c r="H128" i="15"/>
  <c r="T127" i="15"/>
  <c r="P127" i="15"/>
  <c r="L127" i="15"/>
  <c r="H127" i="15"/>
  <c r="T126" i="15"/>
  <c r="P126" i="15"/>
  <c r="L126" i="15"/>
  <c r="H126" i="15"/>
  <c r="T125" i="15"/>
  <c r="P125" i="15"/>
  <c r="L125" i="15"/>
  <c r="H125" i="15"/>
  <c r="T124" i="15"/>
  <c r="P124" i="15"/>
  <c r="L124" i="15"/>
  <c r="H124" i="15"/>
  <c r="T123" i="15"/>
  <c r="P123" i="15"/>
  <c r="L123" i="15"/>
  <c r="H123" i="15"/>
  <c r="T122" i="15"/>
  <c r="P122" i="15"/>
  <c r="L122" i="15"/>
  <c r="H122" i="15"/>
  <c r="T121" i="15"/>
  <c r="P121" i="15"/>
  <c r="L121" i="15"/>
  <c r="H121" i="15"/>
  <c r="T120" i="15"/>
  <c r="P120" i="15"/>
  <c r="L120" i="15"/>
  <c r="H120" i="15"/>
  <c r="T119" i="15"/>
  <c r="P119" i="15"/>
  <c r="L119" i="15"/>
  <c r="H119" i="15"/>
  <c r="T118" i="15"/>
  <c r="P118" i="15"/>
  <c r="L118" i="15"/>
  <c r="H118" i="15"/>
  <c r="T117" i="15"/>
  <c r="P117" i="15"/>
  <c r="L117" i="15"/>
  <c r="H117" i="15"/>
  <c r="T116" i="15"/>
  <c r="P116" i="15"/>
  <c r="L116" i="15"/>
  <c r="H116" i="15"/>
  <c r="T115" i="15"/>
  <c r="P115" i="15"/>
  <c r="L115" i="15"/>
  <c r="H115" i="15"/>
  <c r="T114" i="15"/>
  <c r="P114" i="15"/>
  <c r="L114" i="15"/>
  <c r="H114" i="15"/>
  <c r="Q129" i="15"/>
  <c r="I129" i="15"/>
  <c r="Q128" i="15"/>
  <c r="I128" i="15"/>
  <c r="Q127" i="15"/>
  <c r="I127" i="15"/>
  <c r="Q126" i="15"/>
  <c r="I126" i="15"/>
  <c r="Q125" i="15"/>
  <c r="I125" i="15"/>
  <c r="Q124" i="15"/>
  <c r="I124" i="15"/>
  <c r="Q123" i="15"/>
  <c r="I123" i="15"/>
  <c r="Q122" i="15"/>
  <c r="I122" i="15"/>
  <c r="Q121" i="15"/>
  <c r="I121" i="15"/>
  <c r="Q120" i="15"/>
  <c r="I120" i="15"/>
  <c r="Q119" i="15"/>
  <c r="I119" i="15"/>
  <c r="Q118" i="15"/>
  <c r="I118" i="15"/>
  <c r="Q117" i="15"/>
  <c r="I117" i="15"/>
  <c r="Q116" i="15"/>
  <c r="I116" i="15"/>
  <c r="Q115" i="15"/>
  <c r="I115" i="15"/>
  <c r="Q114" i="15"/>
  <c r="I114" i="15"/>
  <c r="O129" i="15"/>
  <c r="G129" i="15"/>
  <c r="O128" i="15"/>
  <c r="G128" i="15"/>
  <c r="O127" i="15"/>
  <c r="G127" i="15"/>
  <c r="O126" i="15"/>
  <c r="G126" i="15"/>
  <c r="O125" i="15"/>
  <c r="G125" i="15"/>
  <c r="O124" i="15"/>
  <c r="G124" i="15"/>
  <c r="O123" i="15"/>
  <c r="G123" i="15"/>
  <c r="O122" i="15"/>
  <c r="G122" i="15"/>
  <c r="O121" i="15"/>
  <c r="G121" i="15"/>
  <c r="O120" i="15"/>
  <c r="G120" i="15"/>
  <c r="O119" i="15"/>
  <c r="G119" i="15"/>
  <c r="O118" i="15"/>
  <c r="G118" i="15"/>
  <c r="O117" i="15"/>
  <c r="G117" i="15"/>
  <c r="O116" i="15"/>
  <c r="G116" i="15"/>
  <c r="O115" i="15"/>
  <c r="G115" i="15"/>
  <c r="O114" i="15"/>
  <c r="G114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S129" i="15"/>
  <c r="S128" i="15"/>
  <c r="S127" i="15"/>
  <c r="S126" i="15"/>
  <c r="S125" i="15"/>
  <c r="S124" i="15"/>
  <c r="S123" i="15"/>
  <c r="S122" i="15"/>
  <c r="S121" i="15"/>
  <c r="S120" i="15"/>
  <c r="S119" i="15"/>
  <c r="S118" i="15"/>
  <c r="S117" i="15"/>
  <c r="S116" i="15"/>
  <c r="S115" i="15"/>
  <c r="S114" i="15"/>
  <c r="M128" i="15"/>
  <c r="M126" i="15"/>
  <c r="M124" i="15"/>
  <c r="M122" i="15"/>
  <c r="M120" i="15"/>
  <c r="M118" i="15"/>
  <c r="M116" i="15"/>
  <c r="M114" i="15"/>
  <c r="M129" i="15"/>
  <c r="M127" i="15"/>
  <c r="M125" i="15"/>
  <c r="M123" i="15"/>
  <c r="M121" i="15"/>
  <c r="M119" i="15"/>
  <c r="M117" i="15"/>
  <c r="M115" i="15"/>
  <c r="K126" i="15"/>
  <c r="K122" i="15"/>
  <c r="K118" i="15"/>
  <c r="K114" i="15"/>
  <c r="K128" i="15"/>
  <c r="K124" i="15"/>
  <c r="K120" i="15"/>
  <c r="K116" i="15"/>
  <c r="K129" i="15"/>
  <c r="K121" i="15"/>
  <c r="K127" i="15"/>
  <c r="K119" i="15"/>
  <c r="K125" i="15"/>
  <c r="K117" i="15"/>
  <c r="K123" i="15"/>
  <c r="K115" i="15"/>
  <c r="N111" i="12"/>
  <c r="N56" i="12"/>
  <c r="P111" i="12"/>
  <c r="P56" i="12"/>
  <c r="I111" i="12"/>
  <c r="I56" i="12"/>
  <c r="J111" i="12"/>
  <c r="J56" i="12"/>
  <c r="K111" i="12"/>
  <c r="K56" i="12"/>
  <c r="L111" i="12"/>
  <c r="L56" i="12"/>
  <c r="O111" i="12"/>
  <c r="O56" i="12"/>
  <c r="Q111" i="12"/>
  <c r="Q56" i="12"/>
  <c r="R111" i="12"/>
  <c r="R56" i="12"/>
  <c r="S111" i="12"/>
  <c r="S56" i="12"/>
  <c r="T111" i="12"/>
  <c r="E114" i="12" s="1" a="1"/>
  <c r="T56" i="12"/>
  <c r="M111" i="12"/>
  <c r="M56" i="12"/>
  <c r="E111" i="12"/>
  <c r="E56" i="12"/>
  <c r="F111" i="12"/>
  <c r="F56" i="12"/>
  <c r="G111" i="12"/>
  <c r="G56" i="12"/>
  <c r="H111" i="12"/>
  <c r="H56" i="12"/>
  <c r="W114" i="15" l="1" a="1"/>
  <c r="T129" i="12"/>
  <c r="P129" i="12"/>
  <c r="L129" i="12"/>
  <c r="H129" i="12"/>
  <c r="T128" i="12"/>
  <c r="P128" i="12"/>
  <c r="L128" i="12"/>
  <c r="H128" i="12"/>
  <c r="T127" i="12"/>
  <c r="P127" i="12"/>
  <c r="L127" i="12"/>
  <c r="H127" i="12"/>
  <c r="T126" i="12"/>
  <c r="P126" i="12"/>
  <c r="L126" i="12"/>
  <c r="H126" i="12"/>
  <c r="T125" i="12"/>
  <c r="P125" i="12"/>
  <c r="L125" i="12"/>
  <c r="H125" i="12"/>
  <c r="T124" i="12"/>
  <c r="P124" i="12"/>
  <c r="L124" i="12"/>
  <c r="H124" i="12"/>
  <c r="T123" i="12"/>
  <c r="P123" i="12"/>
  <c r="L123" i="12"/>
  <c r="H123" i="12"/>
  <c r="T122" i="12"/>
  <c r="P122" i="12"/>
  <c r="L122" i="12"/>
  <c r="H122" i="12"/>
  <c r="T121" i="12"/>
  <c r="P121" i="12"/>
  <c r="L121" i="12"/>
  <c r="H121" i="12"/>
  <c r="T120" i="12"/>
  <c r="P120" i="12"/>
  <c r="L120" i="12"/>
  <c r="H120" i="12"/>
  <c r="T119" i="12"/>
  <c r="P119" i="12"/>
  <c r="L119" i="12"/>
  <c r="H119" i="12"/>
  <c r="T118" i="12"/>
  <c r="P118" i="12"/>
  <c r="L118" i="12"/>
  <c r="H118" i="12"/>
  <c r="T117" i="12"/>
  <c r="P117" i="12"/>
  <c r="L117" i="12"/>
  <c r="H117" i="12"/>
  <c r="T116" i="12"/>
  <c r="P116" i="12"/>
  <c r="L116" i="12"/>
  <c r="H116" i="12"/>
  <c r="T115" i="12"/>
  <c r="P115" i="12"/>
  <c r="L115" i="12"/>
  <c r="H115" i="12"/>
  <c r="T114" i="12"/>
  <c r="P114" i="12"/>
  <c r="L114" i="12"/>
  <c r="H114" i="12"/>
  <c r="S129" i="12"/>
  <c r="O129" i="12"/>
  <c r="K129" i="12"/>
  <c r="G129" i="12"/>
  <c r="S128" i="12"/>
  <c r="O128" i="12"/>
  <c r="K128" i="12"/>
  <c r="G128" i="12"/>
  <c r="S127" i="12"/>
  <c r="O127" i="12"/>
  <c r="K127" i="12"/>
  <c r="G127" i="12"/>
  <c r="S126" i="12"/>
  <c r="O126" i="12"/>
  <c r="K126" i="12"/>
  <c r="G126" i="12"/>
  <c r="S125" i="12"/>
  <c r="O125" i="12"/>
  <c r="K125" i="12"/>
  <c r="G125" i="12"/>
  <c r="S124" i="12"/>
  <c r="O124" i="12"/>
  <c r="K124" i="12"/>
  <c r="G124" i="12"/>
  <c r="S123" i="12"/>
  <c r="O123" i="12"/>
  <c r="K123" i="12"/>
  <c r="G123" i="12"/>
  <c r="S122" i="12"/>
  <c r="O122" i="12"/>
  <c r="K122" i="12"/>
  <c r="G122" i="12"/>
  <c r="S121" i="12"/>
  <c r="O121" i="12"/>
  <c r="K121" i="12"/>
  <c r="G121" i="12"/>
  <c r="S120" i="12"/>
  <c r="O120" i="12"/>
  <c r="K120" i="12"/>
  <c r="G120" i="12"/>
  <c r="S119" i="12"/>
  <c r="O119" i="12"/>
  <c r="K119" i="12"/>
  <c r="G119" i="12"/>
  <c r="S118" i="12"/>
  <c r="O118" i="12"/>
  <c r="K118" i="12"/>
  <c r="G118" i="12"/>
  <c r="S117" i="12"/>
  <c r="O117" i="12"/>
  <c r="K117" i="12"/>
  <c r="G117" i="12"/>
  <c r="S116" i="12"/>
  <c r="O116" i="12"/>
  <c r="K116" i="12"/>
  <c r="G116" i="12"/>
  <c r="S115" i="12"/>
  <c r="O115" i="12"/>
  <c r="K115" i="12"/>
  <c r="G115" i="12"/>
  <c r="S114" i="12"/>
  <c r="O114" i="12"/>
  <c r="K114" i="12"/>
  <c r="G114" i="12"/>
  <c r="M129" i="12"/>
  <c r="E129" i="12"/>
  <c r="M128" i="12"/>
  <c r="E128" i="12"/>
  <c r="M127" i="12"/>
  <c r="E127" i="12"/>
  <c r="M126" i="12"/>
  <c r="E126" i="12"/>
  <c r="M125" i="12"/>
  <c r="E125" i="12"/>
  <c r="M124" i="12"/>
  <c r="E124" i="12"/>
  <c r="M123" i="12"/>
  <c r="E123" i="12"/>
  <c r="M122" i="12"/>
  <c r="E122" i="12"/>
  <c r="M121" i="12"/>
  <c r="E121" i="12"/>
  <c r="M120" i="12"/>
  <c r="E120" i="12"/>
  <c r="M119" i="12"/>
  <c r="E119" i="12"/>
  <c r="M118" i="12"/>
  <c r="E118" i="12"/>
  <c r="M117" i="12"/>
  <c r="E117" i="12"/>
  <c r="M116" i="12"/>
  <c r="E116" i="12"/>
  <c r="M115" i="12"/>
  <c r="E115" i="12"/>
  <c r="M114" i="12"/>
  <c r="E114" i="12"/>
  <c r="R129" i="12"/>
  <c r="J129" i="12"/>
  <c r="R128" i="12"/>
  <c r="J128" i="12"/>
  <c r="R127" i="12"/>
  <c r="J127" i="12"/>
  <c r="R126" i="12"/>
  <c r="J126" i="12"/>
  <c r="R125" i="12"/>
  <c r="J125" i="12"/>
  <c r="R124" i="12"/>
  <c r="J124" i="12"/>
  <c r="R123" i="12"/>
  <c r="J123" i="12"/>
  <c r="R122" i="12"/>
  <c r="J122" i="12"/>
  <c r="R121" i="12"/>
  <c r="J121" i="12"/>
  <c r="R120" i="12"/>
  <c r="J120" i="12"/>
  <c r="R119" i="12"/>
  <c r="J119" i="12"/>
  <c r="R118" i="12"/>
  <c r="J118" i="12"/>
  <c r="R117" i="12"/>
  <c r="J117" i="12"/>
  <c r="R116" i="12"/>
  <c r="J116" i="12"/>
  <c r="R115" i="12"/>
  <c r="J115" i="12"/>
  <c r="R114" i="12"/>
  <c r="J114" i="12"/>
  <c r="Q129" i="12"/>
  <c r="I129" i="12"/>
  <c r="Q128" i="12"/>
  <c r="I128" i="12"/>
  <c r="Q127" i="12"/>
  <c r="I127" i="12"/>
  <c r="Q126" i="12"/>
  <c r="I126" i="12"/>
  <c r="Q125" i="12"/>
  <c r="I125" i="12"/>
  <c r="Q124" i="12"/>
  <c r="I124" i="12"/>
  <c r="Q123" i="12"/>
  <c r="I123" i="12"/>
  <c r="Q122" i="12"/>
  <c r="I122" i="12"/>
  <c r="Q121" i="12"/>
  <c r="I121" i="12"/>
  <c r="Q120" i="12"/>
  <c r="I120" i="12"/>
  <c r="Q119" i="12"/>
  <c r="I119" i="12"/>
  <c r="Q118" i="12"/>
  <c r="I118" i="12"/>
  <c r="Q117" i="12"/>
  <c r="I117" i="12"/>
  <c r="Q116" i="12"/>
  <c r="I116" i="12"/>
  <c r="Q115" i="12"/>
  <c r="I115" i="12"/>
  <c r="Q114" i="12"/>
  <c r="I114" i="12"/>
  <c r="N129" i="12"/>
  <c r="F129" i="12"/>
  <c r="N128" i="12"/>
  <c r="F128" i="12"/>
  <c r="N127" i="12"/>
  <c r="F127" i="12"/>
  <c r="N126" i="12"/>
  <c r="F126" i="12"/>
  <c r="N125" i="12"/>
  <c r="F125" i="12"/>
  <c r="N124" i="12"/>
  <c r="F124" i="12"/>
  <c r="N123" i="12"/>
  <c r="F123" i="12"/>
  <c r="N122" i="12"/>
  <c r="F122" i="12"/>
  <c r="N121" i="12"/>
  <c r="F121" i="12"/>
  <c r="N120" i="12"/>
  <c r="F120" i="12"/>
  <c r="N119" i="12"/>
  <c r="F119" i="12"/>
  <c r="N118" i="12"/>
  <c r="F118" i="12"/>
  <c r="N117" i="12"/>
  <c r="F117" i="12"/>
  <c r="N116" i="12"/>
  <c r="F116" i="12"/>
  <c r="N115" i="12"/>
  <c r="F115" i="12"/>
  <c r="N114" i="12"/>
  <c r="F114" i="12"/>
  <c r="W114" i="15" l="1"/>
  <c r="W116" i="15"/>
  <c r="W117" i="15"/>
  <c r="W115" i="15"/>
  <c r="W114" i="12" a="1"/>
  <c r="Y114" i="15" l="1" a="1"/>
  <c r="Y121" i="15" s="1"/>
  <c r="W117" i="12"/>
  <c r="W116" i="12"/>
  <c r="W115" i="12"/>
  <c r="W114" i="12"/>
  <c r="Y114" i="12" s="1" a="1"/>
  <c r="Y114" i="15" l="1"/>
  <c r="Y120" i="15"/>
  <c r="Y127" i="15"/>
  <c r="Y122" i="15"/>
  <c r="Y128" i="15"/>
  <c r="Y117" i="15"/>
  <c r="Y124" i="15"/>
  <c r="Y115" i="15"/>
  <c r="Y125" i="15"/>
  <c r="Y118" i="15"/>
  <c r="Y123" i="15"/>
  <c r="Y129" i="15"/>
  <c r="Y116" i="15"/>
  <c r="Y126" i="15"/>
  <c r="Y119" i="15"/>
  <c r="Y129" i="12"/>
  <c r="Y125" i="12"/>
  <c r="Y121" i="12"/>
  <c r="Y117" i="12"/>
  <c r="Y128" i="12"/>
  <c r="Y124" i="12"/>
  <c r="Y120" i="12"/>
  <c r="Y116" i="12"/>
  <c r="Y127" i="12"/>
  <c r="Y123" i="12"/>
  <c r="Y119" i="12"/>
  <c r="Y115" i="12"/>
  <c r="Y126" i="12"/>
  <c r="Y122" i="12"/>
  <c r="Y118" i="12"/>
  <c r="Y114" i="12"/>
</calcChain>
</file>

<file path=xl/sharedStrings.xml><?xml version="1.0" encoding="utf-8"?>
<sst xmlns="http://schemas.openxmlformats.org/spreadsheetml/2006/main" count="1350" uniqueCount="220">
  <si>
    <t>T1</t>
  </si>
  <si>
    <t>T2</t>
  </si>
  <si>
    <t>T3</t>
  </si>
  <si>
    <t>T4</t>
  </si>
  <si>
    <t>T5</t>
  </si>
  <si>
    <t>T6</t>
  </si>
  <si>
    <t>T7</t>
  </si>
  <si>
    <t>T8</t>
  </si>
  <si>
    <t>T9</t>
  </si>
  <si>
    <t>T1_1</t>
  </si>
  <si>
    <t>T1_2</t>
  </si>
  <si>
    <t>T1_3</t>
  </si>
  <si>
    <t>T2_1</t>
  </si>
  <si>
    <t>T2_2</t>
  </si>
  <si>
    <t>T2_3</t>
  </si>
  <si>
    <t>T3_1</t>
  </si>
  <si>
    <t>T3_2</t>
  </si>
  <si>
    <t>T3_3</t>
  </si>
  <si>
    <t>T4_1</t>
  </si>
  <si>
    <t>T4_2</t>
  </si>
  <si>
    <t>T4_3</t>
  </si>
  <si>
    <t>T5_1</t>
  </si>
  <si>
    <t>T5_2</t>
  </si>
  <si>
    <t>T5_3</t>
  </si>
  <si>
    <t>T6_1</t>
  </si>
  <si>
    <t>T6_2</t>
  </si>
  <si>
    <t>T6_3</t>
  </si>
  <si>
    <t>C</t>
  </si>
  <si>
    <t>x</t>
  </si>
  <si>
    <t>y</t>
  </si>
  <si>
    <t>S</t>
  </si>
  <si>
    <t>Matriz de Conexão Global -&gt; Local</t>
  </si>
  <si>
    <t>Matrizes de Solução - Elemento (Bloco-Diagonais)</t>
  </si>
  <si>
    <t>Matrizes de Solução - Globais</t>
  </si>
  <si>
    <t>Matriz de Solução - Ainda não é o sistema de equações</t>
  </si>
  <si>
    <t>T1_L</t>
  </si>
  <si>
    <t>T2_L</t>
  </si>
  <si>
    <t>T3_L</t>
  </si>
  <si>
    <t>T4_L</t>
  </si>
  <si>
    <t>T5_L</t>
  </si>
  <si>
    <t>T5_R</t>
  </si>
  <si>
    <t>T1_R</t>
  </si>
  <si>
    <t>T2_R</t>
  </si>
  <si>
    <t>T3_R</t>
  </si>
  <si>
    <t>T4_R</t>
  </si>
  <si>
    <t>Ct.S.C</t>
  </si>
  <si>
    <t>M=S/LR+T.Lg/6</t>
  </si>
  <si>
    <r>
      <t>W=-V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.M.V</t>
    </r>
  </si>
  <si>
    <t>&lt;- Significado Físico: Potência na Linha</t>
  </si>
  <si>
    <r>
      <t xml:space="preserve">O sistema de equações final é obtido fazendo 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W/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v</t>
    </r>
    <r>
      <rPr>
        <b/>
        <vertAlign val="subscript"/>
        <sz val="11"/>
        <color theme="1"/>
        <rFont val="Calibri"/>
        <family val="2"/>
        <scheme val="minor"/>
      </rPr>
      <t>k</t>
    </r>
    <r>
      <rPr>
        <b/>
        <sz val="11"/>
        <color theme="1"/>
        <rFont val="Calibri"/>
        <family val="2"/>
        <scheme val="minor"/>
      </rPr>
      <t xml:space="preserve"> = 0 para k = 1 até 5</t>
    </r>
  </si>
  <si>
    <r>
      <t>(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W/</t>
    </r>
    <r>
      <rPr>
        <b/>
        <sz val="11"/>
        <color theme="1"/>
        <rFont val="Symbol"/>
        <family val="1"/>
        <charset val="2"/>
      </rPr>
      <t>d</t>
    </r>
    <r>
      <rPr>
        <b/>
        <sz val="11"/>
        <color theme="1"/>
        <rFont val="Calibri"/>
        <family val="2"/>
        <scheme val="minor"/>
      </rPr>
      <t>v)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= (M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+M).V </t>
    </r>
    <r>
      <rPr>
        <sz val="11"/>
        <color theme="1"/>
        <rFont val="Calibri"/>
        <family val="2"/>
        <scheme val="minor"/>
      </rPr>
      <t>&lt;- Este resultado é INCRÍVEL!</t>
    </r>
  </si>
  <si>
    <t>Sistema final resolvido via Solver</t>
  </si>
  <si>
    <t>T</t>
  </si>
  <si>
    <t>Ct.T.C</t>
  </si>
  <si>
    <t>Sistema de equações final (Obs: 5x5, pois V6 é cond.de contorno)</t>
  </si>
  <si>
    <t>Vconn</t>
  </si>
  <si>
    <t>Operação</t>
  </si>
  <si>
    <t>Restrição</t>
  </si>
  <si>
    <t>dW/dv1</t>
  </si>
  <si>
    <t>V1</t>
  </si>
  <si>
    <t>=</t>
  </si>
  <si>
    <t>dW/dv2</t>
  </si>
  <si>
    <t>V2</t>
  </si>
  <si>
    <t>dW/dv3</t>
  </si>
  <si>
    <t>V3</t>
  </si>
  <si>
    <t>dW/dv4</t>
  </si>
  <si>
    <t>V4</t>
  </si>
  <si>
    <t>dW/dv5</t>
  </si>
  <si>
    <t>V5</t>
  </si>
  <si>
    <t>T6_R</t>
  </si>
  <si>
    <t>dW/dv6</t>
  </si>
  <si>
    <t>V6 (cond.inicial)</t>
  </si>
  <si>
    <t>T7_R</t>
  </si>
  <si>
    <t>T8_R</t>
  </si>
  <si>
    <t>Elem.</t>
  </si>
  <si>
    <t>Vexato</t>
  </si>
  <si>
    <t>V</t>
  </si>
  <si>
    <t>Parâmetros</t>
  </si>
  <si>
    <t>T9_R</t>
  </si>
  <si>
    <t>R=</t>
  </si>
  <si>
    <t>T10_R</t>
  </si>
  <si>
    <t>g=</t>
  </si>
  <si>
    <t>Le=</t>
  </si>
  <si>
    <t>Sistema de Equações Final - Resolução via Cálculo Matricial</t>
  </si>
  <si>
    <t>Solução via Mult.de Matrizes</t>
  </si>
  <si>
    <t>Local</t>
  </si>
  <si>
    <r>
      <t xml:space="preserve">Matriz de Conexão </t>
    </r>
    <r>
      <rPr>
        <b/>
        <sz val="11"/>
        <color theme="1"/>
        <rFont val="Calibri"/>
        <family val="2"/>
        <scheme val="minor"/>
      </rPr>
      <t>C</t>
    </r>
  </si>
  <si>
    <t>Global</t>
  </si>
  <si>
    <t>Matriz S</t>
  </si>
  <si>
    <t xml:space="preserve"> +T1_1'</t>
  </si>
  <si>
    <t xml:space="preserve"> +T1'</t>
  </si>
  <si>
    <t xml:space="preserve"> -T1_2'</t>
  </si>
  <si>
    <t xml:space="preserve"> -T2'</t>
  </si>
  <si>
    <t xml:space="preserve"> +T2_1'</t>
  </si>
  <si>
    <t xml:space="preserve"> +T2'</t>
  </si>
  <si>
    <t xml:space="preserve"> -T2_2'</t>
  </si>
  <si>
    <t xml:space="preserve"> -T3'</t>
  </si>
  <si>
    <t xml:space="preserve"> +T3_1'</t>
  </si>
  <si>
    <t xml:space="preserve"> +T3'</t>
  </si>
  <si>
    <t xml:space="preserve"> -T3_2'</t>
  </si>
  <si>
    <t xml:space="preserve"> -T4'</t>
  </si>
  <si>
    <t xml:space="preserve"> +T4_1'</t>
  </si>
  <si>
    <t xml:space="preserve"> +T4'</t>
  </si>
  <si>
    <t xml:space="preserve"> -T4_2'</t>
  </si>
  <si>
    <t xml:space="preserve"> -T5'</t>
  </si>
  <si>
    <r>
      <t xml:space="preserve">Matriz do Sistema 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</si>
  <si>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t>R</t>
  </si>
  <si>
    <t>Sistema Ajustado</t>
  </si>
  <si>
    <t>Soluções</t>
  </si>
  <si>
    <t>T1’</t>
  </si>
  <si>
    <t xml:space="preserve"> =T1’</t>
  </si>
  <si>
    <t xml:space="preserve"> =T2</t>
  </si>
  <si>
    <t>.</t>
  </si>
  <si>
    <t xml:space="preserve"> =T3</t>
  </si>
  <si>
    <t xml:space="preserve"> =T4</t>
  </si>
  <si>
    <t>T5’</t>
  </si>
  <si>
    <t xml:space="preserve"> =T5’</t>
  </si>
  <si>
    <t>Matriz de Conexão</t>
  </si>
  <si>
    <t>Matriz Bloco-Diagonal</t>
  </si>
  <si>
    <t>Resolvido via Solver</t>
  </si>
  <si>
    <r>
      <t>M=C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.S.C</t>
    </r>
  </si>
  <si>
    <t>M.T</t>
  </si>
  <si>
    <t>T'</t>
  </si>
  <si>
    <t>M.T-T'</t>
  </si>
  <si>
    <t>Fronteira</t>
  </si>
  <si>
    <t>Solução</t>
  </si>
  <si>
    <t>T(exato)</t>
  </si>
  <si>
    <t>S2</t>
  </si>
  <si>
    <r>
      <rPr>
        <b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T</t>
    </r>
  </si>
  <si>
    <r>
      <rPr>
        <b/>
        <sz val="11"/>
        <color theme="1"/>
        <rFont val="Calibri"/>
        <family val="2"/>
        <scheme val="minor"/>
      </rP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+</t>
    </r>
    <r>
      <rPr>
        <b/>
        <sz val="11"/>
        <color theme="1"/>
        <rFont val="Calibri"/>
        <family val="2"/>
        <scheme val="minor"/>
      </rPr>
      <t>M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'</t>
    </r>
  </si>
  <si>
    <r>
      <rPr>
        <b/>
        <sz val="11"/>
        <color theme="1"/>
        <rFont val="Calibri"/>
        <family val="2"/>
        <scheme val="minor"/>
      </rPr>
      <t>M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</si>
  <si>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t>V de 1s para Compatibilidade</t>
  </si>
  <si>
    <t>S3</t>
  </si>
  <si>
    <r>
      <rPr>
        <b/>
        <sz val="11"/>
        <color theme="1"/>
        <rFont val="Calibri"/>
        <family val="2"/>
        <scheme val="minor"/>
      </rPr>
      <t>M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=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S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</si>
  <si>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r>
      <rPr>
        <b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'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</si>
  <si>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1</t>
    </r>
  </si>
  <si>
    <r>
      <t>S=C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>.S</t>
    </r>
    <r>
      <rPr>
        <b/>
        <vertAlign val="sub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.C</t>
    </r>
  </si>
  <si>
    <r>
      <rPr>
        <b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>=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</si>
  <si>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r>
      <rPr>
        <b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>=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S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</si>
  <si>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t>1f</t>
  </si>
  <si>
    <t>Tf</t>
  </si>
  <si>
    <t>Up</t>
  </si>
  <si>
    <t>1p</t>
  </si>
  <si>
    <t>Tp</t>
  </si>
  <si>
    <t>Sff</t>
  </si>
  <si>
    <t>-Rfp</t>
  </si>
  <si>
    <t>Kff</t>
  </si>
  <si>
    <t>Kfp</t>
  </si>
  <si>
    <t>Rff</t>
  </si>
  <si>
    <t>-Sfp</t>
  </si>
  <si>
    <t>Spf</t>
  </si>
  <si>
    <t>-Rpp</t>
  </si>
  <si>
    <t>Solução via Cálculo Matricial</t>
  </si>
  <si>
    <t>Kpf</t>
  </si>
  <si>
    <t>Kpp</t>
  </si>
  <si>
    <t>Rpf</t>
  </si>
  <si>
    <t>-Spp</t>
  </si>
  <si>
    <t>Uf</t>
  </si>
  <si>
    <t>gV1.gT</t>
  </si>
  <si>
    <t>gV2.gT</t>
  </si>
  <si>
    <t>gV3.gT</t>
  </si>
  <si>
    <t>Elem</t>
  </si>
  <si>
    <t>Nó</t>
  </si>
  <si>
    <t>Descon.</t>
  </si>
  <si>
    <t>T10</t>
  </si>
  <si>
    <t>T11</t>
  </si>
  <si>
    <t>T12</t>
  </si>
  <si>
    <t>T13</t>
  </si>
  <si>
    <t>T14</t>
  </si>
  <si>
    <t>T15</t>
  </si>
  <si>
    <t>T16</t>
  </si>
  <si>
    <t>T7_1</t>
  </si>
  <si>
    <t>T7_2</t>
  </si>
  <si>
    <t>T7_3</t>
  </si>
  <si>
    <t>T8_1</t>
  </si>
  <si>
    <t>T8_2</t>
  </si>
  <si>
    <t>T8_3</t>
  </si>
  <si>
    <t>T9_1</t>
  </si>
  <si>
    <t>T9_2</t>
  </si>
  <si>
    <t>T9_3</t>
  </si>
  <si>
    <t>T10_1</t>
  </si>
  <si>
    <t>T10_2</t>
  </si>
  <si>
    <t>T10_3</t>
  </si>
  <si>
    <t>T11_1</t>
  </si>
  <si>
    <t>T11_2</t>
  </si>
  <si>
    <t>T11_3</t>
  </si>
  <si>
    <t>T12_1</t>
  </si>
  <si>
    <t>T12_2</t>
  </si>
  <si>
    <t>T12_3</t>
  </si>
  <si>
    <t>T13_1</t>
  </si>
  <si>
    <t>T13_2</t>
  </si>
  <si>
    <t>T13_3</t>
  </si>
  <si>
    <t>T14_1</t>
  </si>
  <si>
    <t>T14_2</t>
  </si>
  <si>
    <t>T14_3</t>
  </si>
  <si>
    <t>T15_1</t>
  </si>
  <si>
    <t>T15_2</t>
  </si>
  <si>
    <t>T15_3</t>
  </si>
  <si>
    <t>T16_1</t>
  </si>
  <si>
    <t>T16_2</t>
  </si>
  <si>
    <t>T16_3</t>
  </si>
  <si>
    <t>T17_1</t>
  </si>
  <si>
    <t>T17_2</t>
  </si>
  <si>
    <t>T17_3</t>
  </si>
  <si>
    <t>T18_1</t>
  </si>
  <si>
    <t>T18_2</t>
  </si>
  <si>
    <t>T18_3</t>
  </si>
  <si>
    <r>
      <t xml:space="preserve">MATRIZ OCULTA - GERA OS ZEROS NOS VAZIOS PARA PERMITIR A OPERAÇÃO MATRICIAL </t>
    </r>
    <r>
      <rPr>
        <b/>
        <sz val="11"/>
        <color theme="1"/>
        <rFont val="Calibri"/>
        <family val="2"/>
        <scheme val="minor"/>
      </rPr>
      <t>C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.</t>
    </r>
    <r>
      <rPr>
        <b/>
        <sz val="11"/>
        <color theme="1"/>
        <rFont val="Calibri"/>
        <family val="2"/>
        <scheme val="minor"/>
      </rPr>
      <t>C</t>
    </r>
  </si>
  <si>
    <t>Obtido via Solver</t>
  </si>
  <si>
    <t>Variáveis</t>
  </si>
  <si>
    <t>Resultado</t>
  </si>
  <si>
    <t>A</t>
  </si>
  <si>
    <t>B</t>
  </si>
  <si>
    <t>D</t>
  </si>
  <si>
    <t>Solução Direta - Via Inversão</t>
  </si>
  <si>
    <t>Matrizes Silvester</t>
  </si>
  <si>
    <t>Numeração Nova</t>
  </si>
  <si>
    <t>Numeração Anterior</t>
  </si>
  <si>
    <t>VBA</t>
  </si>
  <si>
    <t>VIA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</si>
</sst>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6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2" fillId="0" borderId="0" xfId="0" applyFont="1"/>
    <xf numFmtId="0" fontId="2" fillId="0" borderId="0" xfId="0" applyFont="1" applyAlignment="1">
      <alignment horizontal="center"/>
    </xf>
    <xf numFmtId="0" fontId="0" fillId="4" borderId="2" xfId="0" applyFill="1" applyBorder="1"/>
    <xf numFmtId="0" fontId="0" fillId="4" borderId="0" xfId="0" applyFill="1" applyBorder="1"/>
    <xf numFmtId="0" fontId="0" fillId="5" borderId="2" xfId="0" applyFill="1" applyBorder="1"/>
    <xf numFmtId="0" fontId="0" fillId="5" borderId="0" xfId="0" applyFill="1" applyBorder="1"/>
    <xf numFmtId="0" fontId="0" fillId="5" borderId="3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Fill="1" applyBorder="1"/>
    <xf numFmtId="0" fontId="0" fillId="0" borderId="3" xfId="0" applyFill="1" applyBorder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0" fillId="0" borderId="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0" fontId="0" fillId="6" borderId="0" xfId="0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Fill="1" applyBorder="1" applyAlignment="1">
      <alignment horizontal="left"/>
    </xf>
    <xf numFmtId="164" fontId="0" fillId="0" borderId="4" xfId="0" applyNumberFormat="1" applyBorder="1"/>
    <xf numFmtId="1" fontId="0" fillId="0" borderId="4" xfId="0" applyNumberFormat="1" applyBorder="1"/>
    <xf numFmtId="164" fontId="0" fillId="2" borderId="4" xfId="0" applyNumberFormat="1" applyFill="1" applyBorder="1"/>
    <xf numFmtId="164" fontId="0" fillId="5" borderId="4" xfId="0" applyNumberFormat="1" applyFill="1" applyBorder="1"/>
    <xf numFmtId="0" fontId="0" fillId="0" borderId="0" xfId="0" applyFill="1" applyBorder="1" applyAlignment="1">
      <alignment horizontal="center"/>
    </xf>
    <xf numFmtId="0" fontId="0" fillId="0" borderId="4" xfId="0" applyBorder="1"/>
    <xf numFmtId="2" fontId="0" fillId="0" borderId="4" xfId="0" applyNumberFormat="1" applyBorder="1"/>
    <xf numFmtId="0" fontId="0" fillId="0" borderId="4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" xfId="0" applyBorder="1"/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right"/>
    </xf>
    <xf numFmtId="2" fontId="0" fillId="3" borderId="20" xfId="0" applyNumberFormat="1" applyFill="1" applyBorder="1"/>
    <xf numFmtId="0" fontId="0" fillId="5" borderId="4" xfId="0" applyFill="1" applyBorder="1"/>
    <xf numFmtId="2" fontId="0" fillId="3" borderId="4" xfId="0" applyNumberFormat="1" applyFill="1" applyBorder="1"/>
    <xf numFmtId="165" fontId="0" fillId="5" borderId="4" xfId="0" applyNumberFormat="1" applyFill="1" applyBorder="1"/>
    <xf numFmtId="0" fontId="0" fillId="4" borderId="4" xfId="0" applyFill="1" applyBorder="1"/>
    <xf numFmtId="0" fontId="0" fillId="3" borderId="4" xfId="0" applyFill="1" applyBorder="1"/>
    <xf numFmtId="0" fontId="0" fillId="0" borderId="4" xfId="0" applyFill="1" applyBorder="1"/>
    <xf numFmtId="0" fontId="0" fillId="7" borderId="4" xfId="0" applyFill="1" applyBorder="1"/>
    <xf numFmtId="0" fontId="0" fillId="8" borderId="4" xfId="0" applyFill="1" applyBorder="1"/>
    <xf numFmtId="2" fontId="0" fillId="0" borderId="4" xfId="0" applyNumberFormat="1" applyFill="1" applyBorder="1"/>
    <xf numFmtId="0" fontId="0" fillId="2" borderId="4" xfId="0" applyFill="1" applyBorder="1"/>
    <xf numFmtId="0" fontId="0" fillId="0" borderId="0" xfId="0" quotePrefix="1"/>
    <xf numFmtId="2" fontId="0" fillId="3" borderId="22" xfId="0" applyNumberFormat="1" applyFill="1" applyBorder="1"/>
    <xf numFmtId="2" fontId="0" fillId="3" borderId="23" xfId="0" applyNumberFormat="1" applyFill="1" applyBorder="1"/>
    <xf numFmtId="2" fontId="0" fillId="3" borderId="24" xfId="0" applyNumberFormat="1" applyFill="1" applyBorder="1"/>
    <xf numFmtId="2" fontId="0" fillId="2" borderId="22" xfId="0" applyNumberFormat="1" applyFill="1" applyBorder="1"/>
    <xf numFmtId="2" fontId="0" fillId="2" borderId="24" xfId="0" applyNumberFormat="1" applyFill="1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25" xfId="0" applyFill="1" applyBorder="1"/>
    <xf numFmtId="0" fontId="0" fillId="5" borderId="6" xfId="0" applyFill="1" applyBorder="1"/>
    <xf numFmtId="0" fontId="0" fillId="5" borderId="7" xfId="0" applyFill="1" applyBorder="1"/>
    <xf numFmtId="0" fontId="0" fillId="0" borderId="2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5" borderId="9" xfId="0" applyFill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5" borderId="27" xfId="0" applyFill="1" applyBorder="1"/>
    <xf numFmtId="0" fontId="0" fillId="5" borderId="11" xfId="0" applyFill="1" applyBorder="1"/>
    <xf numFmtId="0" fontId="0" fillId="5" borderId="12" xfId="0" applyFill="1" applyBorder="1"/>
    <xf numFmtId="0" fontId="0" fillId="0" borderId="28" xfId="0" applyBorder="1"/>
    <xf numFmtId="0" fontId="0" fillId="0" borderId="25" xfId="0" applyBorder="1"/>
    <xf numFmtId="0" fontId="0" fillId="5" borderId="5" xfId="0" applyFill="1" applyBorder="1"/>
    <xf numFmtId="0" fontId="0" fillId="5" borderId="8" xfId="0" applyFill="1" applyBorder="1"/>
    <xf numFmtId="0" fontId="0" fillId="0" borderId="27" xfId="0" applyBorder="1"/>
    <xf numFmtId="0" fontId="0" fillId="5" borderId="10" xfId="0" applyFill="1" applyBorder="1"/>
    <xf numFmtId="0" fontId="0" fillId="5" borderId="26" xfId="0" applyFill="1" applyBorder="1"/>
    <xf numFmtId="0" fontId="0" fillId="5" borderId="28" xfId="0" applyFill="1" applyBorder="1"/>
    <xf numFmtId="0" fontId="9" fillId="0" borderId="0" xfId="0" applyFont="1" applyAlignment="1">
      <alignment horizontal="center"/>
    </xf>
    <xf numFmtId="0" fontId="0" fillId="4" borderId="3" xfId="0" applyFill="1" applyBorder="1"/>
    <xf numFmtId="0" fontId="0" fillId="0" borderId="1" xfId="0" applyFill="1" applyBorder="1"/>
    <xf numFmtId="1" fontId="0" fillId="0" borderId="0" xfId="0" applyNumberFormat="1" applyFill="1"/>
    <xf numFmtId="1" fontId="0" fillId="4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2" borderId="1" xfId="0" applyFill="1" applyBorder="1"/>
    <xf numFmtId="0" fontId="0" fillId="2" borderId="0" xfId="0" applyFill="1" applyAlignment="1">
      <alignment horizontal="center"/>
    </xf>
    <xf numFmtId="0" fontId="0" fillId="2" borderId="2" xfId="0" applyFill="1" applyBorder="1"/>
    <xf numFmtId="0" fontId="0" fillId="2" borderId="0" xfId="0" applyFill="1" applyBorder="1"/>
    <xf numFmtId="0" fontId="0" fillId="8" borderId="0" xfId="0" applyFill="1" applyBorder="1"/>
    <xf numFmtId="0" fontId="0" fillId="8" borderId="3" xfId="0" applyFill="1" applyBorder="1"/>
    <xf numFmtId="0" fontId="0" fillId="8" borderId="2" xfId="0" applyFill="1" applyBorder="1"/>
    <xf numFmtId="0" fontId="0" fillId="9" borderId="0" xfId="0" applyFill="1" applyBorder="1"/>
    <xf numFmtId="0" fontId="0" fillId="9" borderId="3" xfId="0" applyFill="1" applyBorder="1"/>
    <xf numFmtId="0" fontId="2" fillId="2" borderId="2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0" fillId="0" borderId="30" xfId="0" applyFill="1" applyBorder="1"/>
    <xf numFmtId="2" fontId="0" fillId="0" borderId="0" xfId="0" applyNumberFormat="1"/>
    <xf numFmtId="2" fontId="0" fillId="4" borderId="0" xfId="0" applyNumberFormat="1" applyFill="1"/>
    <xf numFmtId="1" fontId="0" fillId="3" borderId="0" xfId="0" applyNumberFormat="1" applyFill="1"/>
    <xf numFmtId="0" fontId="0" fillId="10" borderId="0" xfId="0" applyFill="1"/>
    <xf numFmtId="0" fontId="2" fillId="5" borderId="25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0" xfId="0" applyFont="1" applyFill="1" applyBorder="1"/>
    <xf numFmtId="0" fontId="2" fillId="5" borderId="9" xfId="0" applyFont="1" applyFill="1" applyBorder="1"/>
    <xf numFmtId="0" fontId="2" fillId="5" borderId="27" xfId="0" applyFont="1" applyFill="1" applyBorder="1"/>
    <xf numFmtId="0" fontId="2" fillId="5" borderId="11" xfId="0" applyFont="1" applyFill="1" applyBorder="1"/>
    <xf numFmtId="0" fontId="2" fillId="5" borderId="1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'1D-Sylvester'!$AH$22</c:f>
              <c:strCache>
                <c:ptCount val="1"/>
                <c:pt idx="0">
                  <c:v>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'1D-Sylvester'!$AF$23:$AF$28</c:f>
              <c:numCache>
                <c:formatCode>0.00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</c:numCache>
            </c:numRef>
          </c:xVal>
          <c:yVal>
            <c:numRef>
              <c:f>'1D-Sylvester'!$AH$23:$AH$28</c:f>
              <c:numCache>
                <c:formatCode>0.000</c:formatCode>
                <c:ptCount val="6"/>
                <c:pt idx="0">
                  <c:v>0.65769529060849441</c:v>
                </c:pt>
                <c:pt idx="1">
                  <c:v>0.69967584107286651</c:v>
                </c:pt>
                <c:pt idx="2">
                  <c:v>0.83097671167420073</c:v>
                </c:pt>
                <c:pt idx="3">
                  <c:v>1.0683597156807525</c:v>
                </c:pt>
                <c:pt idx="4">
                  <c:v>1.4421290663699542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92-475B-B707-01F2E9143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656144"/>
        <c:axId val="817656560"/>
      </c:scatterChart>
      <c:scatterChart>
        <c:scatterStyle val="smoothMarker"/>
        <c:varyColors val="0"/>
        <c:ser>
          <c:idx val="1"/>
          <c:order val="1"/>
          <c:tx>
            <c:v>Vexato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'1D-Sylvester'!$AF$23:$AF$28</c:f>
              <c:numCache>
                <c:formatCode>0.00</c:formatCode>
                <c:ptCount val="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</c:numCache>
            </c:numRef>
          </c:xVal>
          <c:yVal>
            <c:numRef>
              <c:f>'1D-Sylvester'!$AG$23:$AG$28</c:f>
              <c:numCache>
                <c:formatCode>0.000</c:formatCode>
                <c:ptCount val="6"/>
                <c:pt idx="0">
                  <c:v>0.66351806645555955</c:v>
                </c:pt>
                <c:pt idx="1">
                  <c:v>0.70542172744806708</c:v>
                </c:pt>
                <c:pt idx="2">
                  <c:v>0.83642545795831302</c:v>
                </c:pt>
                <c:pt idx="3">
                  <c:v>1.0730760144035858</c:v>
                </c:pt>
                <c:pt idx="4">
                  <c:v>1.4452641418662129</c:v>
                </c:pt>
                <c:pt idx="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92-475B-B707-01F2E9143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656144"/>
        <c:axId val="817656560"/>
      </c:scatterChart>
      <c:valAx>
        <c:axId val="81765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7656560"/>
        <c:crosses val="autoZero"/>
        <c:crossBetween val="midCat"/>
      </c:valAx>
      <c:valAx>
        <c:axId val="81765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7656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'1D-Chapra v.2'!$L$21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'1D-Chapra v.2'!$J$22:$J$26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v.2'!$L$22:$L$26</c:f>
              <c:numCache>
                <c:formatCode>0.00</c:formatCode>
                <c:ptCount val="5"/>
                <c:pt idx="0">
                  <c:v>40</c:v>
                </c:pt>
                <c:pt idx="1">
                  <c:v>173.74999999999901</c:v>
                </c:pt>
                <c:pt idx="2">
                  <c:v>244.99999999999807</c:v>
                </c:pt>
                <c:pt idx="3">
                  <c:v>253.74999999999716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14-495C-996D-489294B43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scatterChart>
        <c:scatterStyle val="smoothMarker"/>
        <c:varyColors val="0"/>
        <c:ser>
          <c:idx val="0"/>
          <c:order val="0"/>
          <c:tx>
            <c:strRef>
              <c:f>'1D-Chapra v.2'!$K$21</c:f>
              <c:strCache>
                <c:ptCount val="1"/>
                <c:pt idx="0">
                  <c:v>T(exato)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'1D-Chapra v.2'!$J$22:$J$26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v.2'!$K$22:$K$26</c:f>
              <c:numCache>
                <c:formatCode>0.00</c:formatCode>
                <c:ptCount val="5"/>
                <c:pt idx="0">
                  <c:v>40</c:v>
                </c:pt>
                <c:pt idx="1">
                  <c:v>173.75</c:v>
                </c:pt>
                <c:pt idx="2">
                  <c:v>245</c:v>
                </c:pt>
                <c:pt idx="3">
                  <c:v>253.75</c:v>
                </c:pt>
                <c:pt idx="4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14-495C-996D-489294B43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valAx>
        <c:axId val="81434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736"/>
        <c:crosses val="autoZero"/>
        <c:crossBetween val="midCat"/>
      </c:valAx>
      <c:valAx>
        <c:axId val="8143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'1D-Chapra v.3'!$L$21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'1D-Chapra v.3'!$J$22:$J$26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v.3'!$L$22:$L$26</c:f>
              <c:numCache>
                <c:formatCode>0.00</c:formatCode>
                <c:ptCount val="5"/>
                <c:pt idx="0">
                  <c:v>40</c:v>
                </c:pt>
                <c:pt idx="1">
                  <c:v>173.75</c:v>
                </c:pt>
                <c:pt idx="2">
                  <c:v>245</c:v>
                </c:pt>
                <c:pt idx="3">
                  <c:v>253.75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A6-4970-9149-3E1D341C6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scatterChart>
        <c:scatterStyle val="smoothMarker"/>
        <c:varyColors val="0"/>
        <c:ser>
          <c:idx val="0"/>
          <c:order val="0"/>
          <c:tx>
            <c:strRef>
              <c:f>'1D-Chapra v.3'!$K$21</c:f>
              <c:strCache>
                <c:ptCount val="1"/>
                <c:pt idx="0">
                  <c:v>T(exato)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'1D-Chapra v.3'!$J$22:$J$26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v.3'!$K$22:$K$26</c:f>
              <c:numCache>
                <c:formatCode>0.00</c:formatCode>
                <c:ptCount val="5"/>
                <c:pt idx="0">
                  <c:v>40</c:v>
                </c:pt>
                <c:pt idx="1">
                  <c:v>173.75</c:v>
                </c:pt>
                <c:pt idx="2">
                  <c:v>245</c:v>
                </c:pt>
                <c:pt idx="3">
                  <c:v>253.75</c:v>
                </c:pt>
                <c:pt idx="4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A6-4970-9149-3E1D341C6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valAx>
        <c:axId val="81434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736"/>
        <c:crosses val="autoZero"/>
        <c:crossBetween val="midCat"/>
      </c:valAx>
      <c:valAx>
        <c:axId val="8143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'1D-Chapra v.4'!$L$21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'1D-Chapra v.4'!$J$22:$J$26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v.4'!$L$22:$L$26</c:f>
              <c:numCache>
                <c:formatCode>0.00</c:formatCode>
                <c:ptCount val="5"/>
                <c:pt idx="0">
                  <c:v>40</c:v>
                </c:pt>
                <c:pt idx="1">
                  <c:v>173.74999999999943</c:v>
                </c:pt>
                <c:pt idx="2">
                  <c:v>244.99999999999849</c:v>
                </c:pt>
                <c:pt idx="3">
                  <c:v>253.74999999999739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0-49A0-A448-1AB6AD282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scatterChart>
        <c:scatterStyle val="smoothMarker"/>
        <c:varyColors val="0"/>
        <c:ser>
          <c:idx val="0"/>
          <c:order val="0"/>
          <c:tx>
            <c:strRef>
              <c:f>'1D-Chapra v.4'!$K$21</c:f>
              <c:strCache>
                <c:ptCount val="1"/>
                <c:pt idx="0">
                  <c:v>T(exato)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'1D-Chapra v.4'!$J$22:$J$26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v.4'!$K$22:$K$26</c:f>
              <c:numCache>
                <c:formatCode>0.00</c:formatCode>
                <c:ptCount val="5"/>
                <c:pt idx="0">
                  <c:v>40</c:v>
                </c:pt>
                <c:pt idx="1">
                  <c:v>173.75</c:v>
                </c:pt>
                <c:pt idx="2">
                  <c:v>245</c:v>
                </c:pt>
                <c:pt idx="3">
                  <c:v>253.75</c:v>
                </c:pt>
                <c:pt idx="4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00-49A0-A448-1AB6AD282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valAx>
        <c:axId val="81434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736"/>
        <c:crosses val="autoZero"/>
        <c:crossBetween val="midCat"/>
      </c:valAx>
      <c:valAx>
        <c:axId val="8143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'1D-Chapra v.5'!$L$21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'1D-Chapra v.5'!$J$22:$J$26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v.5'!$L$22:$L$26</c:f>
              <c:numCache>
                <c:formatCode>0.00</c:formatCode>
                <c:ptCount val="5"/>
                <c:pt idx="0">
                  <c:v>40</c:v>
                </c:pt>
                <c:pt idx="1">
                  <c:v>173.74999999999943</c:v>
                </c:pt>
                <c:pt idx="2">
                  <c:v>244.99999999999852</c:v>
                </c:pt>
                <c:pt idx="3">
                  <c:v>253.74999999999739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6-430A-99AF-202EB0E03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scatterChart>
        <c:scatterStyle val="smoothMarker"/>
        <c:varyColors val="0"/>
        <c:ser>
          <c:idx val="0"/>
          <c:order val="0"/>
          <c:tx>
            <c:strRef>
              <c:f>'1D-Chapra v.5'!$K$21</c:f>
              <c:strCache>
                <c:ptCount val="1"/>
                <c:pt idx="0">
                  <c:v>T(exato)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'1D-Chapra v.5'!$J$22:$J$26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v.5'!$K$22:$K$26</c:f>
              <c:numCache>
                <c:formatCode>0.00</c:formatCode>
                <c:ptCount val="5"/>
                <c:pt idx="0">
                  <c:v>40</c:v>
                </c:pt>
                <c:pt idx="1">
                  <c:v>173.75</c:v>
                </c:pt>
                <c:pt idx="2">
                  <c:v>245</c:v>
                </c:pt>
                <c:pt idx="3">
                  <c:v>253.75</c:v>
                </c:pt>
                <c:pt idx="4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76-430A-99AF-202EB0E038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valAx>
        <c:axId val="81434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736"/>
        <c:crosses val="autoZero"/>
        <c:crossBetween val="midCat"/>
      </c:valAx>
      <c:valAx>
        <c:axId val="8143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'1D-Chapra v.6'!$F$29</c:f>
              <c:strCache>
                <c:ptCount val="1"/>
                <c:pt idx="0">
                  <c:v>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'1D-Chapra v.6'!$D$30:$D$34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v.6'!$F$30:$F$34</c:f>
              <c:numCache>
                <c:formatCode>0.00</c:formatCode>
                <c:ptCount val="5"/>
                <c:pt idx="0">
                  <c:v>40</c:v>
                </c:pt>
                <c:pt idx="1">
                  <c:v>173.74999999999997</c:v>
                </c:pt>
                <c:pt idx="2">
                  <c:v>244.99999999999991</c:v>
                </c:pt>
                <c:pt idx="3">
                  <c:v>253.74999999999994</c:v>
                </c:pt>
                <c:pt idx="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D-44E7-BAD9-A3FFF90BE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scatterChart>
        <c:scatterStyle val="smoothMarker"/>
        <c:varyColors val="0"/>
        <c:ser>
          <c:idx val="0"/>
          <c:order val="0"/>
          <c:tx>
            <c:strRef>
              <c:f>'1D-Chapra v.6'!$E$29</c:f>
              <c:strCache>
                <c:ptCount val="1"/>
                <c:pt idx="0">
                  <c:v>T(exato)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'1D-Chapra v.6'!$D$30:$D$34</c:f>
              <c:numCache>
                <c:formatCode>0.00</c:formatCode>
                <c:ptCount val="5"/>
                <c:pt idx="0">
                  <c:v>0</c:v>
                </c:pt>
                <c:pt idx="1">
                  <c:v>2.5</c:v>
                </c:pt>
                <c:pt idx="2">
                  <c:v>5</c:v>
                </c:pt>
                <c:pt idx="3">
                  <c:v>7.5</c:v>
                </c:pt>
                <c:pt idx="4">
                  <c:v>10</c:v>
                </c:pt>
              </c:numCache>
            </c:numRef>
          </c:xVal>
          <c:yVal>
            <c:numRef>
              <c:f>'1D-Chapra v.6'!$E$30:$E$34</c:f>
              <c:numCache>
                <c:formatCode>0.00</c:formatCode>
                <c:ptCount val="5"/>
                <c:pt idx="0">
                  <c:v>40</c:v>
                </c:pt>
                <c:pt idx="1">
                  <c:v>173.75</c:v>
                </c:pt>
                <c:pt idx="2">
                  <c:v>245</c:v>
                </c:pt>
                <c:pt idx="3">
                  <c:v>253.75</c:v>
                </c:pt>
                <c:pt idx="4">
                  <c:v>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DD-44E7-BAD9-A3FFF90BE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346320"/>
        <c:axId val="814346736"/>
      </c:scatterChart>
      <c:valAx>
        <c:axId val="81434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736"/>
        <c:crosses val="autoZero"/>
        <c:crossBetween val="midCat"/>
      </c:valAx>
      <c:valAx>
        <c:axId val="81434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434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47625</xdr:colOff>
      <xdr:row>21</xdr:row>
      <xdr:rowOff>19050</xdr:rowOff>
    </xdr:from>
    <xdr:to>
      <xdr:col>28</xdr:col>
      <xdr:colOff>352425</xdr:colOff>
      <xdr:row>35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295274</xdr:colOff>
      <xdr:row>10</xdr:row>
      <xdr:rowOff>190499</xdr:rowOff>
    </xdr:from>
    <xdr:to>
      <xdr:col>8</xdr:col>
      <xdr:colOff>342899</xdr:colOff>
      <xdr:row>27</xdr:row>
      <xdr:rowOff>171449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295274</xdr:colOff>
      <xdr:row>10</xdr:row>
      <xdr:rowOff>190499</xdr:rowOff>
    </xdr:from>
    <xdr:to>
      <xdr:col>8</xdr:col>
      <xdr:colOff>342899</xdr:colOff>
      <xdr:row>27</xdr:row>
      <xdr:rowOff>171449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295274</xdr:colOff>
      <xdr:row>10</xdr:row>
      <xdr:rowOff>190499</xdr:rowOff>
    </xdr:from>
    <xdr:to>
      <xdr:col>8</xdr:col>
      <xdr:colOff>342899</xdr:colOff>
      <xdr:row>27</xdr:row>
      <xdr:rowOff>171449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11</xdr:row>
      <xdr:rowOff>19050</xdr:rowOff>
    </xdr:from>
    <xdr:to>
      <xdr:col>7</xdr:col>
      <xdr:colOff>600075</xdr:colOff>
      <xdr:row>25</xdr:row>
      <xdr:rowOff>9525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11</xdr:row>
      <xdr:rowOff>19050</xdr:rowOff>
    </xdr:from>
    <xdr:to>
      <xdr:col>7</xdr:col>
      <xdr:colOff>600075</xdr:colOff>
      <xdr:row>25</xdr:row>
      <xdr:rowOff>9525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13</xdr:row>
      <xdr:rowOff>152400</xdr:rowOff>
    </xdr:from>
    <xdr:ext cx="7377407" cy="692906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628900"/>
          <a:ext cx="7377407" cy="69290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495300</xdr:colOff>
      <xdr:row>13</xdr:row>
      <xdr:rowOff>68973</xdr:rowOff>
    </xdr:from>
    <xdr:ext cx="7377407" cy="692906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2545473"/>
          <a:ext cx="7377407" cy="69290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1421</xdr:colOff>
      <xdr:row>111</xdr:row>
      <xdr:rowOff>38099</xdr:rowOff>
    </xdr:from>
    <xdr:ext cx="3837153" cy="3260619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79171" y="11306174"/>
          <a:ext cx="3837153" cy="326061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315746</xdr:colOff>
      <xdr:row>111</xdr:row>
      <xdr:rowOff>85724</xdr:rowOff>
    </xdr:from>
    <xdr:ext cx="3837153" cy="3260619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3496" y="11353799"/>
          <a:ext cx="3837153" cy="3260619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315746</xdr:colOff>
      <xdr:row>111</xdr:row>
      <xdr:rowOff>85724</xdr:rowOff>
    </xdr:from>
    <xdr:ext cx="3837153" cy="3260619"/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3496" y="11353799"/>
          <a:ext cx="3837153" cy="326061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AP36"/>
  <sheetViews>
    <sheetView topLeftCell="W12" workbookViewId="0">
      <selection activeCell="AA2" sqref="AA2"/>
    </sheetView>
  </sheetViews>
  <sheetFormatPr defaultRowHeight="15" x14ac:dyDescent="0.25"/>
  <cols>
    <col min="38" max="38" width="9.5703125" bestFit="1" customWidth="1"/>
    <col min="40" max="40" width="9.42578125" bestFit="1" customWidth="1"/>
    <col min="41" max="41" width="3" style="23" customWidth="1"/>
  </cols>
  <sheetData>
    <row r="1" spans="2:42" x14ac:dyDescent="0.25">
      <c r="C1" s="6" t="s">
        <v>31</v>
      </c>
      <c r="K1" s="6" t="s">
        <v>32</v>
      </c>
      <c r="W1" s="6" t="s">
        <v>33</v>
      </c>
      <c r="AE1" s="6" t="s">
        <v>34</v>
      </c>
    </row>
    <row r="2" spans="2:42" x14ac:dyDescent="0.25">
      <c r="B2" s="7" t="s">
        <v>27</v>
      </c>
      <c r="C2" s="23" t="s">
        <v>0</v>
      </c>
      <c r="D2" s="23" t="s">
        <v>1</v>
      </c>
      <c r="E2" s="23" t="s">
        <v>2</v>
      </c>
      <c r="F2" s="23" t="s">
        <v>3</v>
      </c>
      <c r="G2" s="23" t="s">
        <v>4</v>
      </c>
      <c r="H2" s="23" t="s">
        <v>5</v>
      </c>
      <c r="J2" s="7" t="s">
        <v>30</v>
      </c>
      <c r="K2" s="23" t="s">
        <v>35</v>
      </c>
      <c r="L2" s="23" t="s">
        <v>36</v>
      </c>
      <c r="M2" s="23" t="s">
        <v>37</v>
      </c>
      <c r="N2" s="23" t="s">
        <v>38</v>
      </c>
      <c r="O2" s="23" t="s">
        <v>39</v>
      </c>
      <c r="P2" s="23" t="s">
        <v>40</v>
      </c>
      <c r="Q2" s="23" t="s">
        <v>41</v>
      </c>
      <c r="R2" s="23" t="s">
        <v>42</v>
      </c>
      <c r="S2" s="23" t="s">
        <v>43</v>
      </c>
      <c r="T2" s="23" t="s">
        <v>44</v>
      </c>
      <c r="V2" s="6" t="s">
        <v>45</v>
      </c>
      <c r="W2" s="23" t="s">
        <v>0</v>
      </c>
      <c r="X2" s="23" t="s">
        <v>1</v>
      </c>
      <c r="Y2" s="23" t="s">
        <v>2</v>
      </c>
      <c r="Z2" s="23" t="s">
        <v>3</v>
      </c>
      <c r="AA2" s="23" t="s">
        <v>4</v>
      </c>
      <c r="AB2" s="23" t="s">
        <v>5</v>
      </c>
      <c r="AD2" s="24" t="s">
        <v>46</v>
      </c>
      <c r="AE2" s="23" t="s">
        <v>0</v>
      </c>
      <c r="AF2" s="23" t="s">
        <v>1</v>
      </c>
      <c r="AG2" s="23" t="s">
        <v>2</v>
      </c>
      <c r="AH2" s="23" t="s">
        <v>3</v>
      </c>
      <c r="AI2" s="23" t="s">
        <v>4</v>
      </c>
      <c r="AJ2" s="23" t="s">
        <v>5</v>
      </c>
    </row>
    <row r="3" spans="2:42" x14ac:dyDescent="0.25">
      <c r="B3" s="23" t="s">
        <v>35</v>
      </c>
      <c r="C3" s="25">
        <v>1</v>
      </c>
      <c r="D3" s="25">
        <v>0</v>
      </c>
      <c r="E3" s="25">
        <v>0</v>
      </c>
      <c r="F3" s="25">
        <v>0</v>
      </c>
      <c r="G3" s="25">
        <v>0</v>
      </c>
      <c r="H3" s="25">
        <v>0</v>
      </c>
      <c r="J3" s="23" t="s">
        <v>35</v>
      </c>
      <c r="K3" s="25">
        <v>1</v>
      </c>
      <c r="L3" s="25">
        <v>-1</v>
      </c>
      <c r="M3" s="25">
        <v>0</v>
      </c>
      <c r="N3" s="25">
        <v>0</v>
      </c>
      <c r="O3" s="25">
        <v>0</v>
      </c>
      <c r="P3" s="25">
        <v>0</v>
      </c>
      <c r="Q3" s="25">
        <v>0</v>
      </c>
      <c r="R3" s="25">
        <v>0</v>
      </c>
      <c r="S3" s="25">
        <v>0</v>
      </c>
      <c r="T3" s="25">
        <v>0</v>
      </c>
      <c r="V3" s="23" t="s">
        <v>0</v>
      </c>
      <c r="W3" s="25">
        <f t="array" ref="W3:AB8">MMULT(MMULT(TRANSPOSE(C_),S_),C_)</f>
        <v>1</v>
      </c>
      <c r="X3" s="25">
        <v>-1</v>
      </c>
      <c r="Y3" s="25">
        <v>0</v>
      </c>
      <c r="Z3" s="25">
        <v>0</v>
      </c>
      <c r="AA3" s="25">
        <v>0</v>
      </c>
      <c r="AB3" s="25">
        <v>0</v>
      </c>
      <c r="AD3" s="23" t="s">
        <v>0</v>
      </c>
      <c r="AE3" s="26">
        <f t="array" ref="AE3:AJ8">-(((CtSC_)/(Le_*R_))+((CtTC_)*(Le_*g_)/6))</f>
        <v>-2.0833333333333335</v>
      </c>
      <c r="AF3" s="26">
        <v>1.9583333333333333</v>
      </c>
      <c r="AG3" s="27">
        <v>0</v>
      </c>
      <c r="AH3" s="27">
        <v>0</v>
      </c>
      <c r="AI3" s="27">
        <v>0</v>
      </c>
      <c r="AJ3" s="27">
        <v>0</v>
      </c>
    </row>
    <row r="4" spans="2:42" x14ac:dyDescent="0.25">
      <c r="B4" s="23" t="s">
        <v>36</v>
      </c>
      <c r="C4" s="25">
        <v>0</v>
      </c>
      <c r="D4" s="25">
        <v>1</v>
      </c>
      <c r="E4" s="25">
        <v>0</v>
      </c>
      <c r="F4" s="25">
        <v>0</v>
      </c>
      <c r="G4" s="25">
        <v>0</v>
      </c>
      <c r="H4" s="25">
        <v>0</v>
      </c>
      <c r="J4" s="23" t="s">
        <v>36</v>
      </c>
      <c r="K4" s="25">
        <v>-1</v>
      </c>
      <c r="L4" s="25">
        <v>1</v>
      </c>
      <c r="M4" s="25">
        <v>0</v>
      </c>
      <c r="N4" s="25">
        <v>0</v>
      </c>
      <c r="O4" s="25">
        <v>0</v>
      </c>
      <c r="P4" s="25">
        <v>0</v>
      </c>
      <c r="Q4" s="25">
        <v>0</v>
      </c>
      <c r="R4" s="25">
        <v>0</v>
      </c>
      <c r="S4" s="25">
        <v>0</v>
      </c>
      <c r="T4" s="25">
        <v>0</v>
      </c>
      <c r="V4" s="23" t="s">
        <v>1</v>
      </c>
      <c r="W4" s="25">
        <v>-1</v>
      </c>
      <c r="X4" s="25">
        <v>2</v>
      </c>
      <c r="Y4" s="25">
        <v>-1</v>
      </c>
      <c r="Z4" s="25">
        <v>0</v>
      </c>
      <c r="AA4" s="25">
        <v>0</v>
      </c>
      <c r="AB4" s="25">
        <v>0</v>
      </c>
      <c r="AD4" s="23" t="s">
        <v>1</v>
      </c>
      <c r="AE4" s="26">
        <v>1.9583333333333333</v>
      </c>
      <c r="AF4" s="26">
        <v>-4.166666666666667</v>
      </c>
      <c r="AG4" s="26">
        <v>1.9583333333333333</v>
      </c>
      <c r="AH4" s="27">
        <v>0</v>
      </c>
      <c r="AI4" s="27">
        <v>0</v>
      </c>
      <c r="AJ4" s="27">
        <v>0</v>
      </c>
    </row>
    <row r="5" spans="2:42" x14ac:dyDescent="0.25">
      <c r="B5" s="23" t="s">
        <v>37</v>
      </c>
      <c r="C5" s="25">
        <v>0</v>
      </c>
      <c r="D5" s="25">
        <v>0</v>
      </c>
      <c r="E5" s="25">
        <v>1</v>
      </c>
      <c r="F5" s="25">
        <v>0</v>
      </c>
      <c r="G5" s="25">
        <v>0</v>
      </c>
      <c r="H5" s="25">
        <v>0</v>
      </c>
      <c r="J5" s="23" t="s">
        <v>37</v>
      </c>
      <c r="K5" s="25">
        <v>0</v>
      </c>
      <c r="L5" s="25">
        <v>0</v>
      </c>
      <c r="M5" s="25">
        <v>1</v>
      </c>
      <c r="N5" s="25">
        <v>-1</v>
      </c>
      <c r="O5" s="25">
        <v>0</v>
      </c>
      <c r="P5" s="25">
        <v>0</v>
      </c>
      <c r="Q5" s="25">
        <v>0</v>
      </c>
      <c r="R5" s="25">
        <v>0</v>
      </c>
      <c r="S5" s="25">
        <v>0</v>
      </c>
      <c r="T5" s="25">
        <v>0</v>
      </c>
      <c r="V5" s="23" t="s">
        <v>2</v>
      </c>
      <c r="W5" s="25">
        <v>0</v>
      </c>
      <c r="X5" s="25">
        <v>-1</v>
      </c>
      <c r="Y5" s="25">
        <v>2</v>
      </c>
      <c r="Z5" s="25">
        <v>-1</v>
      </c>
      <c r="AA5" s="25">
        <v>0</v>
      </c>
      <c r="AB5" s="25">
        <v>0</v>
      </c>
      <c r="AD5" s="23" t="s">
        <v>2</v>
      </c>
      <c r="AE5" s="27">
        <v>0</v>
      </c>
      <c r="AF5" s="26">
        <v>1.9583333333333333</v>
      </c>
      <c r="AG5" s="26">
        <v>-4.166666666666667</v>
      </c>
      <c r="AH5" s="26">
        <v>1.9583333333333333</v>
      </c>
      <c r="AI5" s="27">
        <v>0</v>
      </c>
      <c r="AJ5" s="27">
        <v>0</v>
      </c>
    </row>
    <row r="6" spans="2:42" x14ac:dyDescent="0.25">
      <c r="B6" s="23" t="s">
        <v>38</v>
      </c>
      <c r="C6" s="25">
        <v>0</v>
      </c>
      <c r="D6" s="25">
        <v>0</v>
      </c>
      <c r="E6" s="25">
        <v>0</v>
      </c>
      <c r="F6" s="25">
        <v>1</v>
      </c>
      <c r="G6" s="25">
        <v>0</v>
      </c>
      <c r="H6" s="25">
        <v>0</v>
      </c>
      <c r="J6" s="23" t="s">
        <v>38</v>
      </c>
      <c r="K6" s="25">
        <v>0</v>
      </c>
      <c r="L6" s="25">
        <v>0</v>
      </c>
      <c r="M6" s="25">
        <v>-1</v>
      </c>
      <c r="N6" s="25">
        <v>1</v>
      </c>
      <c r="O6" s="25">
        <v>0</v>
      </c>
      <c r="P6" s="25">
        <v>0</v>
      </c>
      <c r="Q6" s="25">
        <v>0</v>
      </c>
      <c r="R6" s="25">
        <v>0</v>
      </c>
      <c r="S6" s="25">
        <v>0</v>
      </c>
      <c r="T6" s="25">
        <v>0</v>
      </c>
      <c r="V6" s="23" t="s">
        <v>3</v>
      </c>
      <c r="W6" s="25">
        <v>0</v>
      </c>
      <c r="X6" s="25">
        <v>0</v>
      </c>
      <c r="Y6" s="25">
        <v>-1</v>
      </c>
      <c r="Z6" s="25">
        <v>2</v>
      </c>
      <c r="AA6" s="25">
        <v>-1</v>
      </c>
      <c r="AB6" s="25">
        <v>0</v>
      </c>
      <c r="AD6" s="23" t="s">
        <v>3</v>
      </c>
      <c r="AE6" s="27">
        <v>0</v>
      </c>
      <c r="AF6" s="27">
        <v>0</v>
      </c>
      <c r="AG6" s="26">
        <v>1.9583333333333333</v>
      </c>
      <c r="AH6" s="26">
        <v>-4.166666666666667</v>
      </c>
      <c r="AI6" s="26">
        <v>1.9583333333333333</v>
      </c>
      <c r="AJ6" s="27">
        <v>0</v>
      </c>
    </row>
    <row r="7" spans="2:42" x14ac:dyDescent="0.25">
      <c r="B7" s="23" t="s">
        <v>39</v>
      </c>
      <c r="C7" s="25">
        <v>0</v>
      </c>
      <c r="D7" s="25">
        <v>0</v>
      </c>
      <c r="E7" s="25">
        <v>0</v>
      </c>
      <c r="F7" s="25">
        <v>0</v>
      </c>
      <c r="G7" s="25">
        <v>1</v>
      </c>
      <c r="H7" s="25">
        <v>0</v>
      </c>
      <c r="J7" s="23" t="s">
        <v>39</v>
      </c>
      <c r="K7" s="25">
        <v>0</v>
      </c>
      <c r="L7" s="25">
        <v>0</v>
      </c>
      <c r="M7" s="25">
        <v>0</v>
      </c>
      <c r="N7" s="25">
        <v>0</v>
      </c>
      <c r="O7" s="25">
        <v>1</v>
      </c>
      <c r="P7" s="25">
        <v>-1</v>
      </c>
      <c r="Q7" s="25">
        <v>0</v>
      </c>
      <c r="R7" s="25">
        <v>0</v>
      </c>
      <c r="S7" s="25">
        <v>0</v>
      </c>
      <c r="T7" s="25">
        <v>0</v>
      </c>
      <c r="V7" s="23" t="s">
        <v>4</v>
      </c>
      <c r="W7" s="25">
        <v>0</v>
      </c>
      <c r="X7" s="25">
        <v>0</v>
      </c>
      <c r="Y7" s="25">
        <v>0</v>
      </c>
      <c r="Z7" s="25">
        <v>-1</v>
      </c>
      <c r="AA7" s="25">
        <v>2</v>
      </c>
      <c r="AB7" s="25">
        <v>-1</v>
      </c>
      <c r="AD7" s="23" t="s">
        <v>4</v>
      </c>
      <c r="AE7" s="27">
        <v>0</v>
      </c>
      <c r="AF7" s="27">
        <v>0</v>
      </c>
      <c r="AG7" s="27">
        <v>0</v>
      </c>
      <c r="AH7" s="26">
        <v>1.9583333333333333</v>
      </c>
      <c r="AI7" s="26">
        <v>-4.166666666666667</v>
      </c>
      <c r="AJ7" s="26">
        <v>1.9583333333333333</v>
      </c>
    </row>
    <row r="8" spans="2:42" x14ac:dyDescent="0.25">
      <c r="B8" s="23" t="s">
        <v>40</v>
      </c>
      <c r="C8" s="25">
        <v>0</v>
      </c>
      <c r="D8" s="25">
        <v>0</v>
      </c>
      <c r="E8" s="25">
        <v>0</v>
      </c>
      <c r="F8" s="25">
        <v>0</v>
      </c>
      <c r="G8" s="25">
        <v>0</v>
      </c>
      <c r="H8" s="25">
        <v>1</v>
      </c>
      <c r="J8" s="23" t="s">
        <v>40</v>
      </c>
      <c r="K8" s="25">
        <v>0</v>
      </c>
      <c r="L8" s="25">
        <v>0</v>
      </c>
      <c r="M8" s="25">
        <v>0</v>
      </c>
      <c r="N8" s="25">
        <v>0</v>
      </c>
      <c r="O8" s="25">
        <v>-1</v>
      </c>
      <c r="P8" s="25">
        <v>1</v>
      </c>
      <c r="Q8" s="25">
        <v>0</v>
      </c>
      <c r="R8" s="25">
        <v>0</v>
      </c>
      <c r="S8" s="25">
        <v>0</v>
      </c>
      <c r="T8" s="25">
        <v>0</v>
      </c>
      <c r="V8" s="23" t="s">
        <v>5</v>
      </c>
      <c r="W8" s="25">
        <v>0</v>
      </c>
      <c r="X8" s="25">
        <v>0</v>
      </c>
      <c r="Y8" s="25">
        <v>0</v>
      </c>
      <c r="Z8" s="25">
        <v>0</v>
      </c>
      <c r="AA8" s="25">
        <v>-1</v>
      </c>
      <c r="AB8" s="25">
        <v>1</v>
      </c>
      <c r="AD8" s="23" t="s">
        <v>5</v>
      </c>
      <c r="AE8" s="27">
        <v>0</v>
      </c>
      <c r="AF8" s="27">
        <v>0</v>
      </c>
      <c r="AG8" s="27">
        <v>0</v>
      </c>
      <c r="AH8" s="27">
        <v>0</v>
      </c>
      <c r="AI8" s="26">
        <v>1.9583333333333333</v>
      </c>
      <c r="AJ8" s="26">
        <v>-2.0833333333333335</v>
      </c>
    </row>
    <row r="9" spans="2:42" x14ac:dyDescent="0.25">
      <c r="B9" s="23" t="s">
        <v>41</v>
      </c>
      <c r="C9" s="25">
        <v>0</v>
      </c>
      <c r="D9" s="25">
        <v>1</v>
      </c>
      <c r="E9" s="25">
        <v>0</v>
      </c>
      <c r="F9" s="25">
        <v>0</v>
      </c>
      <c r="G9" s="25">
        <v>0</v>
      </c>
      <c r="H9" s="25">
        <v>0</v>
      </c>
      <c r="J9" s="23" t="s">
        <v>41</v>
      </c>
      <c r="K9" s="25">
        <v>0</v>
      </c>
      <c r="L9" s="25">
        <v>0</v>
      </c>
      <c r="M9" s="25">
        <v>0</v>
      </c>
      <c r="N9" s="25">
        <v>0</v>
      </c>
      <c r="O9" s="25">
        <v>0</v>
      </c>
      <c r="P9" s="25">
        <v>0</v>
      </c>
      <c r="Q9" s="25">
        <v>1</v>
      </c>
      <c r="R9" s="25">
        <v>-1</v>
      </c>
      <c r="S9" s="25">
        <v>0</v>
      </c>
      <c r="T9" s="25">
        <v>0</v>
      </c>
    </row>
    <row r="10" spans="2:42" ht="17.25" x14ac:dyDescent="0.25">
      <c r="B10" s="23" t="s">
        <v>42</v>
      </c>
      <c r="C10" s="25">
        <v>0</v>
      </c>
      <c r="D10" s="25">
        <v>0</v>
      </c>
      <c r="E10" s="25">
        <v>1</v>
      </c>
      <c r="F10" s="25">
        <v>0</v>
      </c>
      <c r="G10" s="25">
        <v>0</v>
      </c>
      <c r="H10" s="25">
        <v>0</v>
      </c>
      <c r="J10" s="23" t="s">
        <v>42</v>
      </c>
      <c r="K10" s="25">
        <v>0</v>
      </c>
      <c r="L10" s="25">
        <v>0</v>
      </c>
      <c r="M10" s="25">
        <v>0</v>
      </c>
      <c r="N10" s="25">
        <v>0</v>
      </c>
      <c r="O10" s="25">
        <v>0</v>
      </c>
      <c r="P10" s="25">
        <v>0</v>
      </c>
      <c r="Q10" s="25">
        <v>-1</v>
      </c>
      <c r="R10" s="25">
        <v>1</v>
      </c>
      <c r="S10" s="25">
        <v>0</v>
      </c>
      <c r="T10" s="25">
        <v>0</v>
      </c>
      <c r="AD10" s="24" t="s">
        <v>47</v>
      </c>
      <c r="AE10" s="28">
        <f t="array" ref="AE10">MMULT(MMULT(TRANSPOSE(AL15:AL20),AE3:AJ8),AL15:AL20)</f>
        <v>-2.6849944900510168</v>
      </c>
      <c r="AF10" s="29" t="s">
        <v>48</v>
      </c>
      <c r="AG10" s="23"/>
      <c r="AH10" s="23"/>
      <c r="AI10" s="23"/>
      <c r="AJ10" s="23"/>
    </row>
    <row r="11" spans="2:42" ht="18" x14ac:dyDescent="0.35">
      <c r="B11" s="23" t="s">
        <v>43</v>
      </c>
      <c r="C11" s="25">
        <v>0</v>
      </c>
      <c r="D11" s="25">
        <v>0</v>
      </c>
      <c r="E11" s="25">
        <v>0</v>
      </c>
      <c r="F11" s="25">
        <v>1</v>
      </c>
      <c r="G11" s="25">
        <v>0</v>
      </c>
      <c r="H11" s="25">
        <v>0</v>
      </c>
      <c r="J11" s="23" t="s">
        <v>43</v>
      </c>
      <c r="K11" s="25">
        <v>0</v>
      </c>
      <c r="L11" s="25">
        <v>0</v>
      </c>
      <c r="M11" s="25">
        <v>0</v>
      </c>
      <c r="N11" s="25">
        <v>0</v>
      </c>
      <c r="O11" s="25">
        <v>0</v>
      </c>
      <c r="P11" s="25">
        <v>0</v>
      </c>
      <c r="Q11" s="25">
        <v>0</v>
      </c>
      <c r="R11" s="25">
        <v>0</v>
      </c>
      <c r="S11" s="25">
        <v>1</v>
      </c>
      <c r="T11" s="25">
        <v>-1</v>
      </c>
      <c r="AD11" s="30" t="s">
        <v>49</v>
      </c>
    </row>
    <row r="12" spans="2:42" ht="17.25" x14ac:dyDescent="0.25">
      <c r="B12" s="23" t="s">
        <v>44</v>
      </c>
      <c r="C12" s="25">
        <v>0</v>
      </c>
      <c r="D12" s="25">
        <v>0</v>
      </c>
      <c r="E12" s="25">
        <v>0</v>
      </c>
      <c r="F12" s="25">
        <v>0</v>
      </c>
      <c r="G12" s="25">
        <v>1</v>
      </c>
      <c r="H12" s="25">
        <v>0</v>
      </c>
      <c r="J12" s="23" t="s">
        <v>44</v>
      </c>
      <c r="K12" s="25">
        <v>0</v>
      </c>
      <c r="L12" s="25">
        <v>0</v>
      </c>
      <c r="M12" s="25">
        <v>0</v>
      </c>
      <c r="N12" s="25">
        <v>0</v>
      </c>
      <c r="O12" s="25">
        <v>0</v>
      </c>
      <c r="P12" s="25">
        <v>0</v>
      </c>
      <c r="Q12" s="25">
        <v>0</v>
      </c>
      <c r="R12" s="25">
        <v>0</v>
      </c>
      <c r="S12" s="25">
        <v>-1</v>
      </c>
      <c r="T12" s="25">
        <v>1</v>
      </c>
      <c r="AD12" s="29" t="s">
        <v>50</v>
      </c>
    </row>
    <row r="13" spans="2:42" x14ac:dyDescent="0.25">
      <c r="AM13" t="s">
        <v>51</v>
      </c>
    </row>
    <row r="14" spans="2:42" x14ac:dyDescent="0.25">
      <c r="J14" s="7" t="s">
        <v>52</v>
      </c>
      <c r="K14" s="23" t="s">
        <v>35</v>
      </c>
      <c r="L14" s="23" t="s">
        <v>36</v>
      </c>
      <c r="M14" s="23" t="s">
        <v>37</v>
      </c>
      <c r="N14" s="23" t="s">
        <v>38</v>
      </c>
      <c r="O14" s="23" t="s">
        <v>39</v>
      </c>
      <c r="P14" s="23" t="s">
        <v>40</v>
      </c>
      <c r="Q14" s="23" t="s">
        <v>41</v>
      </c>
      <c r="R14" s="23" t="s">
        <v>42</v>
      </c>
      <c r="S14" s="23" t="s">
        <v>43</v>
      </c>
      <c r="T14" s="23" t="s">
        <v>44</v>
      </c>
      <c r="V14" s="6" t="s">
        <v>53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D14" s="23"/>
      <c r="AE14" s="29" t="s">
        <v>54</v>
      </c>
      <c r="AL14" s="23" t="s">
        <v>55</v>
      </c>
      <c r="AN14" t="s">
        <v>56</v>
      </c>
      <c r="AP14" t="s">
        <v>57</v>
      </c>
    </row>
    <row r="15" spans="2:42" x14ac:dyDescent="0.25">
      <c r="J15" s="23" t="s">
        <v>35</v>
      </c>
      <c r="K15" s="25">
        <v>2</v>
      </c>
      <c r="L15" s="25">
        <v>1</v>
      </c>
      <c r="M15" s="25">
        <v>0</v>
      </c>
      <c r="N15" s="25">
        <v>0</v>
      </c>
      <c r="O15" s="25">
        <v>0</v>
      </c>
      <c r="P15" s="25">
        <v>0</v>
      </c>
      <c r="Q15" s="25">
        <v>0</v>
      </c>
      <c r="R15" s="25">
        <v>0</v>
      </c>
      <c r="S15" s="25">
        <v>0</v>
      </c>
      <c r="T15" s="25">
        <v>0</v>
      </c>
      <c r="V15" s="23" t="s">
        <v>0</v>
      </c>
      <c r="W15" s="25">
        <f t="array" ref="W15:AB20">MMULT(MMULT(TRANSPOSE(C_),T_),C_)</f>
        <v>2</v>
      </c>
      <c r="X15" s="25">
        <v>1</v>
      </c>
      <c r="Y15" s="25">
        <v>0</v>
      </c>
      <c r="Z15" s="25">
        <v>0</v>
      </c>
      <c r="AA15" s="25">
        <v>0</v>
      </c>
      <c r="AB15" s="25">
        <v>0</v>
      </c>
      <c r="AD15" s="23" t="s">
        <v>58</v>
      </c>
      <c r="AE15" s="31">
        <f t="array" ref="AE15:AJ20">TRANSPOSE(M_)+(M_)</f>
        <v>-4.166666666666667</v>
      </c>
      <c r="AF15" s="31">
        <v>3.9166666666666665</v>
      </c>
      <c r="AG15" s="32">
        <v>0</v>
      </c>
      <c r="AH15" s="32">
        <v>0</v>
      </c>
      <c r="AI15" s="32">
        <v>0</v>
      </c>
      <c r="AJ15" s="32">
        <v>0</v>
      </c>
      <c r="AL15" s="33">
        <v>0.65769529060849441</v>
      </c>
      <c r="AM15" t="s">
        <v>59</v>
      </c>
      <c r="AN15" s="34">
        <f t="array" ref="AN15:AN20">MMULT(AE15:AJ20,AL15:AL20)</f>
        <v>0</v>
      </c>
      <c r="AO15" s="23" t="s">
        <v>60</v>
      </c>
      <c r="AP15" s="34">
        <v>0</v>
      </c>
    </row>
    <row r="16" spans="2:42" x14ac:dyDescent="0.25">
      <c r="J16" s="23" t="s">
        <v>36</v>
      </c>
      <c r="K16" s="25">
        <v>1</v>
      </c>
      <c r="L16" s="25">
        <v>2</v>
      </c>
      <c r="M16" s="25">
        <v>0</v>
      </c>
      <c r="N16" s="25">
        <v>0</v>
      </c>
      <c r="O16" s="25">
        <v>0</v>
      </c>
      <c r="P16" s="25">
        <v>0</v>
      </c>
      <c r="Q16" s="25">
        <v>0</v>
      </c>
      <c r="R16" s="25">
        <v>0</v>
      </c>
      <c r="S16" s="25">
        <v>0</v>
      </c>
      <c r="T16" s="25">
        <v>0</v>
      </c>
      <c r="V16" s="23" t="s">
        <v>1</v>
      </c>
      <c r="W16" s="25">
        <v>1</v>
      </c>
      <c r="X16" s="25">
        <v>4</v>
      </c>
      <c r="Y16" s="25">
        <v>1</v>
      </c>
      <c r="Z16" s="25">
        <v>0</v>
      </c>
      <c r="AA16" s="25">
        <v>0</v>
      </c>
      <c r="AB16" s="25">
        <v>0</v>
      </c>
      <c r="AD16" s="23" t="s">
        <v>61</v>
      </c>
      <c r="AE16" s="31">
        <v>3.9166666666666665</v>
      </c>
      <c r="AF16" s="31">
        <v>-8.3333333333333339</v>
      </c>
      <c r="AG16" s="31">
        <v>3.9166666666666665</v>
      </c>
      <c r="AH16" s="32">
        <v>0</v>
      </c>
      <c r="AI16" s="32">
        <v>0</v>
      </c>
      <c r="AJ16" s="32">
        <v>0</v>
      </c>
      <c r="AL16" s="33">
        <v>0.69967584107286651</v>
      </c>
      <c r="AM16" t="s">
        <v>62</v>
      </c>
      <c r="AN16" s="34">
        <v>1.3322676295501878E-15</v>
      </c>
      <c r="AO16" s="23" t="s">
        <v>60</v>
      </c>
      <c r="AP16" s="34">
        <v>0</v>
      </c>
    </row>
    <row r="17" spans="10:42" x14ac:dyDescent="0.25">
      <c r="J17" s="23" t="s">
        <v>37</v>
      </c>
      <c r="K17" s="25">
        <v>0</v>
      </c>
      <c r="L17" s="25">
        <v>0</v>
      </c>
      <c r="M17" s="25">
        <v>2</v>
      </c>
      <c r="N17" s="25">
        <v>1</v>
      </c>
      <c r="O17" s="25">
        <v>0</v>
      </c>
      <c r="P17" s="25">
        <v>0</v>
      </c>
      <c r="Q17" s="25">
        <v>0</v>
      </c>
      <c r="R17" s="25">
        <v>0</v>
      </c>
      <c r="S17" s="25">
        <v>0</v>
      </c>
      <c r="T17" s="25">
        <v>0</v>
      </c>
      <c r="V17" s="23" t="s">
        <v>2</v>
      </c>
      <c r="W17" s="25">
        <v>0</v>
      </c>
      <c r="X17" s="25">
        <v>1</v>
      </c>
      <c r="Y17" s="25">
        <v>4</v>
      </c>
      <c r="Z17" s="25">
        <v>1</v>
      </c>
      <c r="AA17" s="25">
        <v>0</v>
      </c>
      <c r="AB17" s="25">
        <v>0</v>
      </c>
      <c r="AD17" s="23" t="s">
        <v>63</v>
      </c>
      <c r="AE17" s="32">
        <v>0</v>
      </c>
      <c r="AF17" s="31">
        <v>3.9166666666666665</v>
      </c>
      <c r="AG17" s="31">
        <v>-8.3333333333333339</v>
      </c>
      <c r="AH17" s="31">
        <v>3.9166666666666665</v>
      </c>
      <c r="AI17" s="32">
        <v>0</v>
      </c>
      <c r="AJ17" s="32">
        <v>0</v>
      </c>
      <c r="AL17" s="33">
        <v>0.83097671167420073</v>
      </c>
      <c r="AM17" t="s">
        <v>64</v>
      </c>
      <c r="AN17" s="34">
        <v>8.8817841970012523E-16</v>
      </c>
      <c r="AO17" s="23" t="s">
        <v>60</v>
      </c>
      <c r="AP17" s="34">
        <v>0</v>
      </c>
    </row>
    <row r="18" spans="10:42" x14ac:dyDescent="0.25">
      <c r="J18" s="23" t="s">
        <v>38</v>
      </c>
      <c r="K18" s="25">
        <v>0</v>
      </c>
      <c r="L18" s="25">
        <v>0</v>
      </c>
      <c r="M18" s="25">
        <v>1</v>
      </c>
      <c r="N18" s="25">
        <v>2</v>
      </c>
      <c r="O18" s="25">
        <v>0</v>
      </c>
      <c r="P18" s="25">
        <v>0</v>
      </c>
      <c r="Q18" s="25">
        <v>0</v>
      </c>
      <c r="R18" s="25">
        <v>0</v>
      </c>
      <c r="S18" s="25">
        <v>0</v>
      </c>
      <c r="T18" s="25">
        <v>0</v>
      </c>
      <c r="V18" s="23" t="s">
        <v>3</v>
      </c>
      <c r="W18" s="25">
        <v>0</v>
      </c>
      <c r="X18" s="25">
        <v>0</v>
      </c>
      <c r="Y18" s="25">
        <v>1</v>
      </c>
      <c r="Z18" s="25">
        <v>4</v>
      </c>
      <c r="AA18" s="25">
        <v>1</v>
      </c>
      <c r="AB18" s="25">
        <v>0</v>
      </c>
      <c r="AD18" s="23" t="s">
        <v>65</v>
      </c>
      <c r="AE18" s="32">
        <v>0</v>
      </c>
      <c r="AF18" s="32">
        <v>0</v>
      </c>
      <c r="AG18" s="31">
        <v>3.9166666666666665</v>
      </c>
      <c r="AH18" s="31">
        <v>-8.3333333333333339</v>
      </c>
      <c r="AI18" s="31">
        <v>3.9166666666666665</v>
      </c>
      <c r="AJ18" s="32">
        <v>0</v>
      </c>
      <c r="AL18" s="33">
        <v>1.0683597156807525</v>
      </c>
      <c r="AM18" t="s">
        <v>66</v>
      </c>
      <c r="AN18" s="34">
        <v>8.8817841970012523E-16</v>
      </c>
      <c r="AO18" s="23" t="s">
        <v>60</v>
      </c>
      <c r="AP18" s="34">
        <v>0</v>
      </c>
    </row>
    <row r="19" spans="10:42" x14ac:dyDescent="0.25">
      <c r="J19" s="23" t="s">
        <v>39</v>
      </c>
      <c r="K19" s="25">
        <v>0</v>
      </c>
      <c r="L19" s="25">
        <v>0</v>
      </c>
      <c r="M19" s="25">
        <v>0</v>
      </c>
      <c r="N19" s="25">
        <v>0</v>
      </c>
      <c r="O19" s="25">
        <v>2</v>
      </c>
      <c r="P19" s="25">
        <v>1</v>
      </c>
      <c r="Q19" s="25">
        <v>0</v>
      </c>
      <c r="R19" s="25">
        <v>0</v>
      </c>
      <c r="S19" s="25">
        <v>0</v>
      </c>
      <c r="T19" s="25">
        <v>0</v>
      </c>
      <c r="V19" s="23" t="s">
        <v>4</v>
      </c>
      <c r="W19" s="25">
        <v>0</v>
      </c>
      <c r="X19" s="25">
        <v>0</v>
      </c>
      <c r="Y19" s="25">
        <v>0</v>
      </c>
      <c r="Z19" s="25">
        <v>1</v>
      </c>
      <c r="AA19" s="25">
        <v>4</v>
      </c>
      <c r="AB19" s="25">
        <v>1</v>
      </c>
      <c r="AD19" s="35" t="s">
        <v>67</v>
      </c>
      <c r="AE19" s="32">
        <v>0</v>
      </c>
      <c r="AF19" s="32">
        <v>0</v>
      </c>
      <c r="AG19" s="32">
        <v>0</v>
      </c>
      <c r="AH19" s="31">
        <v>3.9166666666666665</v>
      </c>
      <c r="AI19" s="31">
        <v>-8.3333333333333339</v>
      </c>
      <c r="AJ19" s="31">
        <v>3.9166666666666665</v>
      </c>
      <c r="AL19" s="33">
        <v>1.4421290663699542</v>
      </c>
      <c r="AM19" t="s">
        <v>68</v>
      </c>
      <c r="AN19" s="34">
        <v>-6.2172489379008766E-15</v>
      </c>
      <c r="AO19" s="23" t="s">
        <v>60</v>
      </c>
      <c r="AP19" s="34">
        <v>0</v>
      </c>
    </row>
    <row r="20" spans="10:42" x14ac:dyDescent="0.25">
      <c r="J20" s="23" t="s">
        <v>69</v>
      </c>
      <c r="K20" s="25">
        <v>0</v>
      </c>
      <c r="L20" s="25">
        <v>0</v>
      </c>
      <c r="M20" s="25">
        <v>0</v>
      </c>
      <c r="N20" s="25">
        <v>0</v>
      </c>
      <c r="O20" s="25">
        <v>1</v>
      </c>
      <c r="P20" s="25">
        <v>2</v>
      </c>
      <c r="Q20" s="25">
        <v>0</v>
      </c>
      <c r="R20" s="25">
        <v>0</v>
      </c>
      <c r="S20" s="25">
        <v>0</v>
      </c>
      <c r="T20" s="25">
        <v>0</v>
      </c>
      <c r="V20" s="23" t="s">
        <v>5</v>
      </c>
      <c r="W20" s="25">
        <v>0</v>
      </c>
      <c r="X20" s="25">
        <v>0</v>
      </c>
      <c r="Y20" s="25">
        <v>0</v>
      </c>
      <c r="Z20" s="25">
        <v>0</v>
      </c>
      <c r="AA20" s="25">
        <v>1</v>
      </c>
      <c r="AB20" s="25">
        <v>2</v>
      </c>
      <c r="AD20" s="35" t="s">
        <v>70</v>
      </c>
      <c r="AE20" s="32">
        <v>0</v>
      </c>
      <c r="AF20" s="32">
        <v>0</v>
      </c>
      <c r="AG20" s="32">
        <v>0</v>
      </c>
      <c r="AH20" s="32">
        <v>0</v>
      </c>
      <c r="AI20" s="31">
        <v>3.9166666666666665</v>
      </c>
      <c r="AJ20" s="31">
        <v>-4.166666666666667</v>
      </c>
      <c r="AL20" s="31">
        <v>2</v>
      </c>
      <c r="AM20" t="s">
        <v>71</v>
      </c>
      <c r="AN20" s="31">
        <v>-2.6849944900510136</v>
      </c>
    </row>
    <row r="21" spans="10:42" x14ac:dyDescent="0.25">
      <c r="J21" s="23" t="s">
        <v>72</v>
      </c>
      <c r="K21" s="25">
        <v>0</v>
      </c>
      <c r="L21" s="25">
        <v>0</v>
      </c>
      <c r="M21" s="25">
        <v>0</v>
      </c>
      <c r="N21" s="25">
        <v>0</v>
      </c>
      <c r="O21" s="25">
        <v>0</v>
      </c>
      <c r="P21" s="25">
        <v>0</v>
      </c>
      <c r="Q21" s="25">
        <v>2</v>
      </c>
      <c r="R21" s="25">
        <v>1</v>
      </c>
      <c r="S21" s="25">
        <v>0</v>
      </c>
      <c r="T21" s="25">
        <v>0</v>
      </c>
    </row>
    <row r="22" spans="10:42" x14ac:dyDescent="0.25">
      <c r="J22" s="23" t="s">
        <v>73</v>
      </c>
      <c r="K22" s="25">
        <v>0</v>
      </c>
      <c r="L22" s="25">
        <v>0</v>
      </c>
      <c r="M22" s="25">
        <v>0</v>
      </c>
      <c r="N22" s="25">
        <v>0</v>
      </c>
      <c r="O22" s="25">
        <v>0</v>
      </c>
      <c r="P22" s="25">
        <v>0</v>
      </c>
      <c r="Q22" s="25">
        <v>1</v>
      </c>
      <c r="R22" s="25">
        <v>2</v>
      </c>
      <c r="S22" s="25">
        <v>0</v>
      </c>
      <c r="T22" s="25">
        <v>0</v>
      </c>
      <c r="AE22" s="36" t="s">
        <v>74</v>
      </c>
      <c r="AF22" s="36" t="s">
        <v>28</v>
      </c>
      <c r="AG22" s="36" t="s">
        <v>75</v>
      </c>
      <c r="AH22" s="36" t="s">
        <v>76</v>
      </c>
      <c r="AJ22" t="s">
        <v>77</v>
      </c>
    </row>
    <row r="23" spans="10:42" x14ac:dyDescent="0.25">
      <c r="J23" s="23" t="s">
        <v>78</v>
      </c>
      <c r="K23" s="25">
        <v>0</v>
      </c>
      <c r="L23" s="25">
        <v>0</v>
      </c>
      <c r="M23" s="25">
        <v>0</v>
      </c>
      <c r="N23" s="25">
        <v>0</v>
      </c>
      <c r="O23" s="25">
        <v>0</v>
      </c>
      <c r="P23" s="25">
        <v>0</v>
      </c>
      <c r="Q23" s="25">
        <v>0</v>
      </c>
      <c r="R23" s="25">
        <v>0</v>
      </c>
      <c r="S23" s="25">
        <v>2</v>
      </c>
      <c r="T23" s="25">
        <v>1</v>
      </c>
      <c r="AE23" s="36">
        <v>1</v>
      </c>
      <c r="AF23" s="37">
        <v>0</v>
      </c>
      <c r="AG23" s="31">
        <f t="shared" ref="AG23:AG28" si="0">V0_*(EXP(SQRT(R_*g_)*AF23)+EXP(-SQRT(R_*g_)*AF23))/(EXP(SQRT(R_*g_)*L_)+EXP(-SQRT(R_*g_)*L_))</f>
        <v>0.66351806645555955</v>
      </c>
      <c r="AH23" s="31">
        <f t="shared" ref="AH23:AH28" si="1">AL15</f>
        <v>0.65769529060849441</v>
      </c>
      <c r="AJ23" s="38" t="s">
        <v>79</v>
      </c>
      <c r="AK23" s="39">
        <v>1</v>
      </c>
    </row>
    <row r="24" spans="10:42" x14ac:dyDescent="0.25">
      <c r="J24" s="23" t="s">
        <v>80</v>
      </c>
      <c r="K24" s="25">
        <v>0</v>
      </c>
      <c r="L24" s="25">
        <v>0</v>
      </c>
      <c r="M24" s="25">
        <v>0</v>
      </c>
      <c r="N24" s="25">
        <v>0</v>
      </c>
      <c r="O24" s="25">
        <v>0</v>
      </c>
      <c r="P24" s="25">
        <v>0</v>
      </c>
      <c r="Q24" s="25">
        <v>0</v>
      </c>
      <c r="R24" s="25">
        <v>0</v>
      </c>
      <c r="S24" s="25">
        <v>1</v>
      </c>
      <c r="T24" s="25">
        <v>2</v>
      </c>
      <c r="AE24" s="36">
        <v>2</v>
      </c>
      <c r="AF24" s="37">
        <f>AF23+Le_</f>
        <v>0.5</v>
      </c>
      <c r="AG24" s="31">
        <f t="shared" si="0"/>
        <v>0.70542172744806708</v>
      </c>
      <c r="AH24" s="31">
        <f t="shared" si="1"/>
        <v>0.69967584107286651</v>
      </c>
      <c r="AJ24" s="38" t="s">
        <v>81</v>
      </c>
      <c r="AK24" s="39">
        <v>0.5</v>
      </c>
    </row>
    <row r="25" spans="10:42" x14ac:dyDescent="0.25">
      <c r="AE25" s="36">
        <v>3</v>
      </c>
      <c r="AF25" s="37">
        <f>AF24+Le_</f>
        <v>1</v>
      </c>
      <c r="AG25" s="31">
        <f t="shared" si="0"/>
        <v>0.83642545795831302</v>
      </c>
      <c r="AH25" s="31">
        <f t="shared" si="1"/>
        <v>0.83097671167420073</v>
      </c>
      <c r="AJ25" s="38" t="s">
        <v>82</v>
      </c>
      <c r="AK25" s="39">
        <v>0.5</v>
      </c>
    </row>
    <row r="26" spans="10:42" x14ac:dyDescent="0.25">
      <c r="AE26" s="36">
        <v>4</v>
      </c>
      <c r="AF26" s="37">
        <f>AF25+Le_</f>
        <v>1.5</v>
      </c>
      <c r="AG26" s="31">
        <f t="shared" si="0"/>
        <v>1.0730760144035858</v>
      </c>
      <c r="AH26" s="31">
        <f t="shared" si="1"/>
        <v>1.0683597156807525</v>
      </c>
    </row>
    <row r="27" spans="10:42" x14ac:dyDescent="0.25">
      <c r="AE27" s="36">
        <v>5</v>
      </c>
      <c r="AF27" s="37">
        <f>AF26+Le_</f>
        <v>2</v>
      </c>
      <c r="AG27" s="31">
        <f t="shared" si="0"/>
        <v>1.4452641418662129</v>
      </c>
      <c r="AH27" s="31">
        <f t="shared" si="1"/>
        <v>1.4421290663699542</v>
      </c>
    </row>
    <row r="28" spans="10:42" x14ac:dyDescent="0.25">
      <c r="AE28" s="36">
        <v>6</v>
      </c>
      <c r="AF28" s="37">
        <f>AF27+Le_</f>
        <v>2.5</v>
      </c>
      <c r="AG28" s="31">
        <f t="shared" si="0"/>
        <v>2</v>
      </c>
      <c r="AH28" s="31">
        <f t="shared" si="1"/>
        <v>2</v>
      </c>
    </row>
    <row r="31" spans="10:42" x14ac:dyDescent="0.25">
      <c r="AE31" t="s">
        <v>83</v>
      </c>
      <c r="AM31" t="s">
        <v>84</v>
      </c>
    </row>
    <row r="32" spans="10:42" x14ac:dyDescent="0.25">
      <c r="AE32" s="31">
        <f>AE15</f>
        <v>-4.166666666666667</v>
      </c>
      <c r="AF32" s="31">
        <f t="shared" ref="AF32:AI32" si="2">AF15</f>
        <v>3.9166666666666665</v>
      </c>
      <c r="AG32" s="31">
        <f t="shared" si="2"/>
        <v>0</v>
      </c>
      <c r="AH32" s="31">
        <f t="shared" si="2"/>
        <v>0</v>
      </c>
      <c r="AI32" s="31">
        <f t="shared" si="2"/>
        <v>0</v>
      </c>
      <c r="AK32" s="36">
        <v>0</v>
      </c>
      <c r="AM32" s="31">
        <f t="array" ref="AM32:AM36">MMULT(MINVERSE(AE32:AI36),AK32:AK36)</f>
        <v>0.6576952906084953</v>
      </c>
    </row>
    <row r="33" spans="31:39" x14ac:dyDescent="0.25">
      <c r="AE33" s="31">
        <f t="shared" ref="AE33:AI36" si="3">AE16</f>
        <v>3.9166666666666665</v>
      </c>
      <c r="AF33" s="31">
        <f t="shared" si="3"/>
        <v>-8.3333333333333339</v>
      </c>
      <c r="AG33" s="31">
        <f t="shared" si="3"/>
        <v>3.9166666666666665</v>
      </c>
      <c r="AH33" s="31">
        <f t="shared" si="3"/>
        <v>0</v>
      </c>
      <c r="AI33" s="31">
        <f t="shared" si="3"/>
        <v>0</v>
      </c>
      <c r="AK33" s="36">
        <v>0</v>
      </c>
      <c r="AM33" s="31">
        <v>0.6996758410728674</v>
      </c>
    </row>
    <row r="34" spans="31:39" x14ac:dyDescent="0.25">
      <c r="AE34" s="31">
        <f t="shared" si="3"/>
        <v>0</v>
      </c>
      <c r="AF34" s="31">
        <f t="shared" si="3"/>
        <v>3.9166666666666665</v>
      </c>
      <c r="AG34" s="31">
        <f t="shared" si="3"/>
        <v>-8.3333333333333339</v>
      </c>
      <c r="AH34" s="31">
        <f t="shared" si="3"/>
        <v>3.9166666666666665</v>
      </c>
      <c r="AI34" s="31">
        <f t="shared" si="3"/>
        <v>0</v>
      </c>
      <c r="AK34" s="36">
        <v>0</v>
      </c>
      <c r="AM34" s="31">
        <v>0.8309767116742014</v>
      </c>
    </row>
    <row r="35" spans="31:39" x14ac:dyDescent="0.25">
      <c r="AE35" s="31">
        <f t="shared" si="3"/>
        <v>0</v>
      </c>
      <c r="AF35" s="31">
        <f t="shared" si="3"/>
        <v>0</v>
      </c>
      <c r="AG35" s="31">
        <f t="shared" si="3"/>
        <v>3.9166666666666665</v>
      </c>
      <c r="AH35" s="31">
        <f t="shared" si="3"/>
        <v>-8.3333333333333339</v>
      </c>
      <c r="AI35" s="31">
        <f t="shared" si="3"/>
        <v>3.9166666666666665</v>
      </c>
      <c r="AK35" s="36">
        <v>0</v>
      </c>
      <c r="AM35" s="31">
        <v>1.0683597156807527</v>
      </c>
    </row>
    <row r="36" spans="31:39" x14ac:dyDescent="0.25">
      <c r="AE36" s="31">
        <f t="shared" si="3"/>
        <v>0</v>
      </c>
      <c r="AF36" s="31">
        <f t="shared" si="3"/>
        <v>0</v>
      </c>
      <c r="AG36" s="31">
        <f t="shared" si="3"/>
        <v>0</v>
      </c>
      <c r="AH36" s="31">
        <f t="shared" si="3"/>
        <v>3.9166666666666665</v>
      </c>
      <c r="AI36" s="31">
        <f t="shared" si="3"/>
        <v>-8.3333333333333339</v>
      </c>
      <c r="AK36" s="31">
        <f>-AJ19*V0_</f>
        <v>-7.833333333333333</v>
      </c>
      <c r="AM36" s="31">
        <v>1.4421290663699535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R34"/>
  <sheetViews>
    <sheetView topLeftCell="A16" workbookViewId="0">
      <selection activeCell="AA2" sqref="AA2"/>
    </sheetView>
  </sheetViews>
  <sheetFormatPr defaultRowHeight="15" x14ac:dyDescent="0.25"/>
  <sheetData>
    <row r="1" spans="2:15" x14ac:dyDescent="0.25">
      <c r="B1" s="23" t="s">
        <v>85</v>
      </c>
      <c r="F1" t="s">
        <v>86</v>
      </c>
    </row>
    <row r="2" spans="2:15" x14ac:dyDescent="0.25">
      <c r="B2" s="40" t="s">
        <v>9</v>
      </c>
      <c r="D2" s="41">
        <v>1</v>
      </c>
      <c r="E2" s="42">
        <v>0</v>
      </c>
      <c r="F2" s="42">
        <v>0</v>
      </c>
      <c r="G2" s="43">
        <v>0</v>
      </c>
      <c r="H2" s="44">
        <v>0</v>
      </c>
    </row>
    <row r="3" spans="2:15" x14ac:dyDescent="0.25">
      <c r="B3" s="40" t="s">
        <v>10</v>
      </c>
      <c r="D3" s="45">
        <v>0</v>
      </c>
      <c r="E3" s="46">
        <v>1</v>
      </c>
      <c r="F3" s="46">
        <v>0</v>
      </c>
      <c r="G3" s="47">
        <v>0</v>
      </c>
      <c r="H3" s="48">
        <v>0</v>
      </c>
      <c r="J3" s="23" t="s">
        <v>87</v>
      </c>
    </row>
    <row r="4" spans="2:15" x14ac:dyDescent="0.25">
      <c r="B4" s="40" t="s">
        <v>12</v>
      </c>
      <c r="D4" s="45">
        <v>0</v>
      </c>
      <c r="E4" s="46">
        <v>1</v>
      </c>
      <c r="F4" s="46">
        <v>0</v>
      </c>
      <c r="G4" s="47">
        <v>0</v>
      </c>
      <c r="H4" s="48">
        <v>0</v>
      </c>
      <c r="J4" s="40" t="s">
        <v>0</v>
      </c>
    </row>
    <row r="5" spans="2:15" x14ac:dyDescent="0.25">
      <c r="B5" s="40" t="s">
        <v>13</v>
      </c>
      <c r="D5" s="45">
        <v>0</v>
      </c>
      <c r="E5" s="47">
        <v>0</v>
      </c>
      <c r="F5" s="47">
        <v>1</v>
      </c>
      <c r="G5" s="47">
        <v>0</v>
      </c>
      <c r="H5" s="48">
        <v>0</v>
      </c>
      <c r="J5" s="40" t="s">
        <v>1</v>
      </c>
    </row>
    <row r="6" spans="2:15" x14ac:dyDescent="0.25">
      <c r="B6" s="40" t="s">
        <v>15</v>
      </c>
      <c r="D6" s="45">
        <v>0</v>
      </c>
      <c r="E6" s="47">
        <v>0</v>
      </c>
      <c r="F6" s="47">
        <v>1</v>
      </c>
      <c r="G6" s="47">
        <v>0</v>
      </c>
      <c r="H6" s="48">
        <v>0</v>
      </c>
      <c r="J6" s="40" t="s">
        <v>2</v>
      </c>
    </row>
    <row r="7" spans="2:15" x14ac:dyDescent="0.25">
      <c r="B7" s="40" t="s">
        <v>16</v>
      </c>
      <c r="D7" s="45">
        <v>0</v>
      </c>
      <c r="E7" s="47">
        <v>0</v>
      </c>
      <c r="F7" s="47">
        <v>0</v>
      </c>
      <c r="G7" s="47">
        <v>1</v>
      </c>
      <c r="H7" s="48">
        <v>0</v>
      </c>
      <c r="J7" s="40" t="s">
        <v>3</v>
      </c>
    </row>
    <row r="8" spans="2:15" x14ac:dyDescent="0.25">
      <c r="B8" s="40" t="s">
        <v>18</v>
      </c>
      <c r="D8" s="45">
        <v>0</v>
      </c>
      <c r="E8" s="47">
        <v>0</v>
      </c>
      <c r="F8" s="47">
        <v>0</v>
      </c>
      <c r="G8" s="47">
        <v>1</v>
      </c>
      <c r="H8" s="48">
        <v>0</v>
      </c>
      <c r="J8" s="40" t="s">
        <v>4</v>
      </c>
    </row>
    <row r="9" spans="2:15" x14ac:dyDescent="0.25">
      <c r="B9" s="40" t="s">
        <v>19</v>
      </c>
      <c r="D9" s="45">
        <v>0</v>
      </c>
      <c r="E9" s="47">
        <v>0</v>
      </c>
      <c r="F9" s="47">
        <v>0</v>
      </c>
      <c r="G9" s="47">
        <v>0</v>
      </c>
      <c r="H9" s="48">
        <v>1</v>
      </c>
    </row>
    <row r="11" spans="2:15" x14ac:dyDescent="0.25">
      <c r="D11" s="7" t="s">
        <v>88</v>
      </c>
    </row>
    <row r="12" spans="2:15" x14ac:dyDescent="0.25">
      <c r="D12" s="49" t="s">
        <v>9</v>
      </c>
      <c r="E12" s="49" t="s">
        <v>10</v>
      </c>
      <c r="F12" s="49" t="s">
        <v>12</v>
      </c>
      <c r="G12" s="49" t="s">
        <v>13</v>
      </c>
      <c r="H12" s="49" t="s">
        <v>15</v>
      </c>
      <c r="I12" s="49" t="s">
        <v>16</v>
      </c>
      <c r="J12" s="49" t="s">
        <v>18</v>
      </c>
      <c r="K12" s="49" t="s">
        <v>19</v>
      </c>
      <c r="N12" s="35" t="s">
        <v>85</v>
      </c>
      <c r="O12" s="35" t="s">
        <v>87</v>
      </c>
    </row>
    <row r="13" spans="2:15" x14ac:dyDescent="0.25">
      <c r="C13" s="40" t="s">
        <v>9</v>
      </c>
      <c r="D13" s="50">
        <v>-0.4</v>
      </c>
      <c r="E13" s="51">
        <v>0.4</v>
      </c>
      <c r="F13" s="51">
        <v>0</v>
      </c>
      <c r="G13" s="51">
        <v>0</v>
      </c>
      <c r="H13" s="51">
        <v>0</v>
      </c>
      <c r="I13" s="51">
        <v>0</v>
      </c>
      <c r="J13" s="51">
        <v>0</v>
      </c>
      <c r="K13" s="52">
        <v>0</v>
      </c>
      <c r="M13" s="53">
        <v>-12.5</v>
      </c>
      <c r="N13" s="54" t="s">
        <v>89</v>
      </c>
      <c r="O13" s="55" t="s">
        <v>90</v>
      </c>
    </row>
    <row r="14" spans="2:15" x14ac:dyDescent="0.25">
      <c r="C14" s="40" t="s">
        <v>10</v>
      </c>
      <c r="D14" s="56">
        <v>0.4</v>
      </c>
      <c r="E14" s="57">
        <v>-0.4</v>
      </c>
      <c r="F14" s="57">
        <v>0</v>
      </c>
      <c r="G14" s="57">
        <v>0</v>
      </c>
      <c r="H14" s="57">
        <v>0</v>
      </c>
      <c r="I14" s="57">
        <v>0</v>
      </c>
      <c r="J14" s="57">
        <v>0</v>
      </c>
      <c r="K14" s="58">
        <v>0</v>
      </c>
      <c r="M14" s="13">
        <v>-12.5</v>
      </c>
      <c r="N14" s="14" t="s">
        <v>91</v>
      </c>
      <c r="O14" s="15" t="s">
        <v>92</v>
      </c>
    </row>
    <row r="15" spans="2:15" x14ac:dyDescent="0.25">
      <c r="C15" s="40" t="s">
        <v>12</v>
      </c>
      <c r="D15" s="56">
        <v>0</v>
      </c>
      <c r="E15" s="57">
        <v>0</v>
      </c>
      <c r="F15" s="57">
        <v>-0.4</v>
      </c>
      <c r="G15" s="57">
        <v>0.4</v>
      </c>
      <c r="H15" s="57">
        <v>0</v>
      </c>
      <c r="I15" s="57">
        <v>0</v>
      </c>
      <c r="J15" s="57">
        <v>0</v>
      </c>
      <c r="K15" s="58">
        <v>0</v>
      </c>
      <c r="M15" s="18">
        <v>-12.5</v>
      </c>
      <c r="N15" s="19" t="s">
        <v>93</v>
      </c>
      <c r="O15" s="20" t="s">
        <v>94</v>
      </c>
    </row>
    <row r="16" spans="2:15" x14ac:dyDescent="0.25">
      <c r="C16" s="40" t="s">
        <v>13</v>
      </c>
      <c r="D16" s="56">
        <v>0</v>
      </c>
      <c r="E16" s="57">
        <v>0</v>
      </c>
      <c r="F16" s="57">
        <v>0.4</v>
      </c>
      <c r="G16" s="57">
        <v>-0.4</v>
      </c>
      <c r="H16" s="57">
        <v>0</v>
      </c>
      <c r="I16" s="57">
        <v>0</v>
      </c>
      <c r="J16" s="57">
        <v>0</v>
      </c>
      <c r="K16" s="58">
        <v>0</v>
      </c>
      <c r="M16" s="13">
        <v>-12.5</v>
      </c>
      <c r="N16" s="14" t="s">
        <v>95</v>
      </c>
      <c r="O16" s="15" t="s">
        <v>96</v>
      </c>
    </row>
    <row r="17" spans="3:18" x14ac:dyDescent="0.25">
      <c r="C17" s="40" t="s">
        <v>15</v>
      </c>
      <c r="D17" s="56">
        <v>0</v>
      </c>
      <c r="E17" s="57">
        <v>0</v>
      </c>
      <c r="F17" s="57">
        <v>0</v>
      </c>
      <c r="G17" s="57">
        <v>0</v>
      </c>
      <c r="H17" s="57">
        <v>-0.4</v>
      </c>
      <c r="I17" s="57">
        <v>0.4</v>
      </c>
      <c r="J17" s="57">
        <v>0</v>
      </c>
      <c r="K17" s="58">
        <v>0</v>
      </c>
      <c r="M17" s="18">
        <v>-12.5</v>
      </c>
      <c r="N17" s="19" t="s">
        <v>97</v>
      </c>
      <c r="O17" s="20" t="s">
        <v>98</v>
      </c>
    </row>
    <row r="18" spans="3:18" x14ac:dyDescent="0.25">
      <c r="C18" s="40" t="s">
        <v>16</v>
      </c>
      <c r="D18" s="56">
        <v>0</v>
      </c>
      <c r="E18" s="57">
        <v>0</v>
      </c>
      <c r="F18" s="57">
        <v>0</v>
      </c>
      <c r="G18" s="57">
        <v>0</v>
      </c>
      <c r="H18" s="57">
        <v>0.4</v>
      </c>
      <c r="I18" s="57">
        <v>-0.4</v>
      </c>
      <c r="J18" s="57">
        <v>0</v>
      </c>
      <c r="K18" s="58">
        <v>0</v>
      </c>
      <c r="M18" s="13">
        <v>-12.5</v>
      </c>
      <c r="N18" s="14" t="s">
        <v>99</v>
      </c>
      <c r="O18" s="15" t="s">
        <v>100</v>
      </c>
    </row>
    <row r="19" spans="3:18" x14ac:dyDescent="0.25">
      <c r="C19" s="40" t="s">
        <v>18</v>
      </c>
      <c r="D19" s="56">
        <v>0</v>
      </c>
      <c r="E19" s="57">
        <v>0</v>
      </c>
      <c r="F19" s="57">
        <v>0</v>
      </c>
      <c r="G19" s="57">
        <v>0</v>
      </c>
      <c r="H19" s="57">
        <v>0</v>
      </c>
      <c r="I19" s="57">
        <v>0</v>
      </c>
      <c r="J19" s="57">
        <v>-0.4</v>
      </c>
      <c r="K19" s="58">
        <v>0.4</v>
      </c>
      <c r="M19" s="18">
        <v>-12.5</v>
      </c>
      <c r="N19" s="19" t="s">
        <v>101</v>
      </c>
      <c r="O19" s="20" t="s">
        <v>102</v>
      </c>
    </row>
    <row r="20" spans="3:18" x14ac:dyDescent="0.25">
      <c r="C20" s="40" t="s">
        <v>19</v>
      </c>
      <c r="D20" s="56">
        <v>0</v>
      </c>
      <c r="E20" s="57">
        <v>0</v>
      </c>
      <c r="F20" s="57">
        <v>0</v>
      </c>
      <c r="G20" s="57">
        <v>0</v>
      </c>
      <c r="H20" s="57">
        <v>0</v>
      </c>
      <c r="I20" s="57">
        <v>0</v>
      </c>
      <c r="J20" s="57">
        <v>0.4</v>
      </c>
      <c r="K20" s="58">
        <v>-0.4</v>
      </c>
      <c r="M20" s="53">
        <v>-12.5</v>
      </c>
      <c r="N20" s="54" t="s">
        <v>103</v>
      </c>
      <c r="O20" s="55" t="s">
        <v>104</v>
      </c>
    </row>
    <row r="21" spans="3:18" x14ac:dyDescent="0.25">
      <c r="G21" s="7" t="s">
        <v>30</v>
      </c>
    </row>
    <row r="22" spans="3:18" ht="17.25" x14ac:dyDescent="0.25">
      <c r="I22" s="23" t="s">
        <v>105</v>
      </c>
      <c r="M22" s="7" t="s">
        <v>106</v>
      </c>
    </row>
    <row r="23" spans="3:18" x14ac:dyDescent="0.25">
      <c r="G23" s="3">
        <f t="array" ref="G23:K27">MMULT(MMULT(TRANSPOSE(D2:H9),D13:K20),D2:H9)</f>
        <v>-0.4</v>
      </c>
      <c r="H23" s="4">
        <v>0.4</v>
      </c>
      <c r="I23" s="4">
        <v>0</v>
      </c>
      <c r="J23" s="4">
        <v>0</v>
      </c>
      <c r="K23" s="5">
        <v>0</v>
      </c>
      <c r="M23" s="40" t="str">
        <f>M13&amp;O13</f>
        <v>-12,5 +T1'</v>
      </c>
    </row>
    <row r="24" spans="3:18" x14ac:dyDescent="0.25">
      <c r="G24" s="3">
        <v>0.4</v>
      </c>
      <c r="H24" s="4">
        <v>-0.8</v>
      </c>
      <c r="I24" s="4">
        <v>0.4</v>
      </c>
      <c r="J24" s="4">
        <v>0</v>
      </c>
      <c r="K24" s="5">
        <v>0</v>
      </c>
      <c r="M24" s="40">
        <f>(M14+M15)</f>
        <v>-25</v>
      </c>
    </row>
    <row r="25" spans="3:18" x14ac:dyDescent="0.25">
      <c r="G25" s="3">
        <v>0</v>
      </c>
      <c r="H25" s="4">
        <v>0.4</v>
      </c>
      <c r="I25" s="4">
        <v>-0.8</v>
      </c>
      <c r="J25" s="4">
        <v>0.4</v>
      </c>
      <c r="K25" s="5">
        <v>0</v>
      </c>
      <c r="M25" s="40">
        <f>(M16+M17)</f>
        <v>-25</v>
      </c>
    </row>
    <row r="26" spans="3:18" x14ac:dyDescent="0.25">
      <c r="G26" s="3">
        <v>0</v>
      </c>
      <c r="H26" s="4">
        <v>0</v>
      </c>
      <c r="I26" s="4">
        <v>0.4</v>
      </c>
      <c r="J26" s="4">
        <v>-0.8</v>
      </c>
      <c r="K26" s="5">
        <v>0.4</v>
      </c>
      <c r="M26" s="40">
        <f>(M18+M19)</f>
        <v>-25</v>
      </c>
    </row>
    <row r="27" spans="3:18" x14ac:dyDescent="0.25">
      <c r="G27" s="3">
        <v>0</v>
      </c>
      <c r="H27" s="4">
        <v>0</v>
      </c>
      <c r="I27" s="4">
        <v>0</v>
      </c>
      <c r="J27" s="4">
        <v>0.4</v>
      </c>
      <c r="K27" s="5">
        <v>-0.4</v>
      </c>
      <c r="M27" s="40" t="str">
        <f>M20&amp;O20</f>
        <v>-12,5 -T5'</v>
      </c>
    </row>
    <row r="29" spans="3:18" x14ac:dyDescent="0.25">
      <c r="I29" s="7" t="s">
        <v>107</v>
      </c>
      <c r="Q29" t="s">
        <v>108</v>
      </c>
    </row>
    <row r="30" spans="3:18" x14ac:dyDescent="0.25">
      <c r="G30" s="3">
        <v>-1</v>
      </c>
      <c r="H30" s="4">
        <v>0.4</v>
      </c>
      <c r="I30" s="4">
        <v>0</v>
      </c>
      <c r="J30" s="21">
        <v>0</v>
      </c>
      <c r="K30" s="5">
        <v>0</v>
      </c>
      <c r="M30" s="40" t="s">
        <v>109</v>
      </c>
      <c r="O30" s="59">
        <v>3.5</v>
      </c>
      <c r="Q30">
        <f t="array" ref="Q30:Q34">MMULT(MINVERSE(G30:K34),O30:O34)</f>
        <v>66</v>
      </c>
      <c r="R30" s="60" t="s">
        <v>110</v>
      </c>
    </row>
    <row r="31" spans="3:18" x14ac:dyDescent="0.25">
      <c r="G31" s="3">
        <v>0</v>
      </c>
      <c r="H31" s="4">
        <v>-0.8</v>
      </c>
      <c r="I31" s="4">
        <v>0.4</v>
      </c>
      <c r="J31" s="4">
        <v>0</v>
      </c>
      <c r="K31" s="5">
        <v>0</v>
      </c>
      <c r="M31" s="40" t="s">
        <v>1</v>
      </c>
      <c r="O31" s="59">
        <v>-41</v>
      </c>
      <c r="Q31">
        <v>173.74999999999997</v>
      </c>
      <c r="R31" s="60" t="s">
        <v>111</v>
      </c>
    </row>
    <row r="32" spans="3:18" x14ac:dyDescent="0.25">
      <c r="G32" s="3">
        <v>0</v>
      </c>
      <c r="H32" s="4">
        <v>0.4</v>
      </c>
      <c r="I32" s="4">
        <v>-0.8</v>
      </c>
      <c r="J32" s="4">
        <v>0.4</v>
      </c>
      <c r="K32" s="5">
        <v>0</v>
      </c>
      <c r="L32" s="23" t="s">
        <v>112</v>
      </c>
      <c r="M32" s="40" t="s">
        <v>2</v>
      </c>
      <c r="N32" s="23" t="s">
        <v>60</v>
      </c>
      <c r="O32" s="59">
        <v>-25</v>
      </c>
      <c r="Q32">
        <v>244.99999999999991</v>
      </c>
      <c r="R32" s="60" t="s">
        <v>113</v>
      </c>
    </row>
    <row r="33" spans="7:18" x14ac:dyDescent="0.25">
      <c r="G33" s="3">
        <v>0</v>
      </c>
      <c r="H33" s="21">
        <v>0</v>
      </c>
      <c r="I33" s="4">
        <v>0.4</v>
      </c>
      <c r="J33" s="4">
        <v>-0.8</v>
      </c>
      <c r="K33" s="5">
        <v>0</v>
      </c>
      <c r="M33" s="40" t="s">
        <v>3</v>
      </c>
      <c r="O33" s="59">
        <v>-105</v>
      </c>
      <c r="Q33">
        <v>253.74999999999994</v>
      </c>
      <c r="R33" s="60" t="s">
        <v>114</v>
      </c>
    </row>
    <row r="34" spans="7:18" x14ac:dyDescent="0.25">
      <c r="G34" s="3">
        <v>0</v>
      </c>
      <c r="H34" s="21">
        <v>0</v>
      </c>
      <c r="I34" s="21">
        <v>0</v>
      </c>
      <c r="J34" s="4">
        <v>0.4</v>
      </c>
      <c r="K34" s="5">
        <v>1</v>
      </c>
      <c r="M34" s="40" t="s">
        <v>115</v>
      </c>
      <c r="O34" s="59">
        <v>67.5</v>
      </c>
      <c r="Q34">
        <v>-33.999999999999972</v>
      </c>
      <c r="R34" s="60" t="s">
        <v>116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1:V26"/>
  <sheetViews>
    <sheetView topLeftCell="C1" workbookViewId="0">
      <selection activeCell="AA2" sqref="AA2"/>
    </sheetView>
  </sheetViews>
  <sheetFormatPr defaultRowHeight="15" x14ac:dyDescent="0.25"/>
  <cols>
    <col min="19" max="19" width="9.140625" customWidth="1"/>
    <col min="21" max="21" width="4.7109375" style="23" customWidth="1"/>
  </cols>
  <sheetData>
    <row r="1" spans="2:22" x14ac:dyDescent="0.25">
      <c r="C1" t="s">
        <v>117</v>
      </c>
      <c r="J1" t="s">
        <v>118</v>
      </c>
    </row>
    <row r="2" spans="2:22" x14ac:dyDescent="0.25">
      <c r="B2" s="7" t="s">
        <v>27</v>
      </c>
      <c r="C2" t="s">
        <v>0</v>
      </c>
      <c r="D2" t="s">
        <v>1</v>
      </c>
      <c r="E2" t="s">
        <v>2</v>
      </c>
      <c r="F2" t="s">
        <v>3</v>
      </c>
      <c r="G2" t="s">
        <v>4</v>
      </c>
      <c r="I2" s="7" t="s">
        <v>30</v>
      </c>
      <c r="J2" t="s">
        <v>9</v>
      </c>
      <c r="K2" t="s">
        <v>10</v>
      </c>
      <c r="L2" t="s">
        <v>12</v>
      </c>
      <c r="M2" t="s">
        <v>13</v>
      </c>
      <c r="N2" t="s">
        <v>15</v>
      </c>
      <c r="O2" t="s">
        <v>16</v>
      </c>
      <c r="P2" t="s">
        <v>18</v>
      </c>
      <c r="Q2" t="s">
        <v>19</v>
      </c>
    </row>
    <row r="3" spans="2:22" x14ac:dyDescent="0.25">
      <c r="B3" t="s">
        <v>9</v>
      </c>
      <c r="C3" s="25">
        <v>1</v>
      </c>
      <c r="D3" s="25">
        <v>0</v>
      </c>
      <c r="E3" s="25">
        <v>0</v>
      </c>
      <c r="F3" s="25">
        <v>0</v>
      </c>
      <c r="G3" s="25">
        <v>0</v>
      </c>
      <c r="I3" t="s">
        <v>9</v>
      </c>
      <c r="J3" s="36">
        <v>-0.4</v>
      </c>
      <c r="K3" s="36">
        <v>0.4</v>
      </c>
      <c r="L3" s="36">
        <v>0</v>
      </c>
      <c r="M3" s="36">
        <v>0</v>
      </c>
      <c r="N3" s="36">
        <v>0</v>
      </c>
      <c r="O3" s="36">
        <v>0</v>
      </c>
      <c r="P3" s="36">
        <v>0</v>
      </c>
      <c r="Q3" s="36">
        <v>0</v>
      </c>
    </row>
    <row r="4" spans="2:22" x14ac:dyDescent="0.25">
      <c r="B4" t="s">
        <v>10</v>
      </c>
      <c r="C4" s="25">
        <v>0</v>
      </c>
      <c r="D4" s="25">
        <v>1</v>
      </c>
      <c r="E4" s="25">
        <v>0</v>
      </c>
      <c r="F4" s="25">
        <v>0</v>
      </c>
      <c r="G4" s="25">
        <v>0</v>
      </c>
      <c r="I4" t="s">
        <v>10</v>
      </c>
      <c r="J4" s="36">
        <v>0.4</v>
      </c>
      <c r="K4" s="36">
        <v>-0.4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</row>
    <row r="5" spans="2:22" x14ac:dyDescent="0.25">
      <c r="B5" t="s">
        <v>12</v>
      </c>
      <c r="C5" s="25">
        <v>0</v>
      </c>
      <c r="D5" s="25">
        <v>1</v>
      </c>
      <c r="E5" s="25">
        <v>0</v>
      </c>
      <c r="F5" s="25">
        <v>0</v>
      </c>
      <c r="G5" s="25">
        <v>0</v>
      </c>
      <c r="I5" t="s">
        <v>12</v>
      </c>
      <c r="J5" s="36">
        <v>0</v>
      </c>
      <c r="K5" s="36">
        <v>0</v>
      </c>
      <c r="L5" s="36">
        <v>-0.4</v>
      </c>
      <c r="M5" s="36">
        <v>0.4</v>
      </c>
      <c r="N5" s="36">
        <v>0</v>
      </c>
      <c r="O5" s="36">
        <v>0</v>
      </c>
      <c r="P5" s="36">
        <v>0</v>
      </c>
      <c r="Q5" s="36">
        <v>0</v>
      </c>
    </row>
    <row r="6" spans="2:22" x14ac:dyDescent="0.25">
      <c r="B6" t="s">
        <v>13</v>
      </c>
      <c r="C6" s="25">
        <v>0</v>
      </c>
      <c r="D6" s="25">
        <v>0</v>
      </c>
      <c r="E6" s="25">
        <v>1</v>
      </c>
      <c r="F6" s="25">
        <v>0</v>
      </c>
      <c r="G6" s="25">
        <v>0</v>
      </c>
      <c r="I6" t="s">
        <v>13</v>
      </c>
      <c r="J6" s="36">
        <v>0</v>
      </c>
      <c r="K6" s="36">
        <v>0</v>
      </c>
      <c r="L6" s="36">
        <v>0.4</v>
      </c>
      <c r="M6" s="36">
        <v>-0.4</v>
      </c>
      <c r="N6" s="36">
        <v>0</v>
      </c>
      <c r="O6" s="36">
        <v>0</v>
      </c>
      <c r="P6" s="36">
        <v>0</v>
      </c>
      <c r="Q6" s="36">
        <v>0</v>
      </c>
    </row>
    <row r="7" spans="2:22" x14ac:dyDescent="0.25">
      <c r="B7" t="s">
        <v>15</v>
      </c>
      <c r="C7" s="25">
        <v>0</v>
      </c>
      <c r="D7" s="25">
        <v>0</v>
      </c>
      <c r="E7" s="25">
        <v>1</v>
      </c>
      <c r="F7" s="25">
        <v>0</v>
      </c>
      <c r="G7" s="25">
        <v>0</v>
      </c>
      <c r="I7" t="s">
        <v>15</v>
      </c>
      <c r="J7" s="36">
        <v>0</v>
      </c>
      <c r="K7" s="36">
        <v>0</v>
      </c>
      <c r="L7" s="36">
        <v>0</v>
      </c>
      <c r="M7" s="36">
        <v>0</v>
      </c>
      <c r="N7" s="36">
        <v>-0.4</v>
      </c>
      <c r="O7" s="36">
        <v>0.4</v>
      </c>
      <c r="P7" s="36">
        <v>0</v>
      </c>
      <c r="Q7" s="36">
        <v>0</v>
      </c>
    </row>
    <row r="8" spans="2:22" x14ac:dyDescent="0.25">
      <c r="B8" t="s">
        <v>16</v>
      </c>
      <c r="C8" s="25">
        <v>0</v>
      </c>
      <c r="D8" s="25">
        <v>0</v>
      </c>
      <c r="E8" s="25">
        <v>0</v>
      </c>
      <c r="F8" s="25">
        <v>1</v>
      </c>
      <c r="G8" s="25">
        <v>0</v>
      </c>
      <c r="I8" t="s">
        <v>16</v>
      </c>
      <c r="J8" s="36">
        <v>0</v>
      </c>
      <c r="K8" s="36">
        <v>0</v>
      </c>
      <c r="L8" s="36">
        <v>0</v>
      </c>
      <c r="M8" s="36">
        <v>0</v>
      </c>
      <c r="N8" s="36">
        <v>0.4</v>
      </c>
      <c r="O8" s="36">
        <v>-0.4</v>
      </c>
      <c r="P8" s="36">
        <v>0</v>
      </c>
      <c r="Q8" s="36">
        <v>0</v>
      </c>
    </row>
    <row r="9" spans="2:22" x14ac:dyDescent="0.25">
      <c r="B9" t="s">
        <v>18</v>
      </c>
      <c r="C9" s="25">
        <v>0</v>
      </c>
      <c r="D9" s="25">
        <v>0</v>
      </c>
      <c r="E9" s="25">
        <v>0</v>
      </c>
      <c r="F9" s="25">
        <v>1</v>
      </c>
      <c r="G9" s="25">
        <v>0</v>
      </c>
      <c r="I9" t="s">
        <v>18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-0.4</v>
      </c>
      <c r="Q9" s="36">
        <v>0.4</v>
      </c>
    </row>
    <row r="10" spans="2:22" x14ac:dyDescent="0.25">
      <c r="B10" t="s">
        <v>19</v>
      </c>
      <c r="C10" s="25">
        <v>0</v>
      </c>
      <c r="D10" s="25">
        <v>0</v>
      </c>
      <c r="E10" s="25">
        <v>0</v>
      </c>
      <c r="F10" s="25">
        <v>0</v>
      </c>
      <c r="G10" s="25">
        <v>1</v>
      </c>
      <c r="I10" t="s">
        <v>19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0.4</v>
      </c>
      <c r="Q10" s="36">
        <v>-0.4</v>
      </c>
    </row>
    <row r="12" spans="2:22" x14ac:dyDescent="0.25">
      <c r="R12" t="s">
        <v>119</v>
      </c>
    </row>
    <row r="13" spans="2:22" ht="17.25" x14ac:dyDescent="0.25">
      <c r="J13" s="6" t="s">
        <v>120</v>
      </c>
      <c r="P13" s="6" t="s">
        <v>52</v>
      </c>
      <c r="R13" s="7" t="s">
        <v>121</v>
      </c>
      <c r="S13" s="7" t="s">
        <v>122</v>
      </c>
      <c r="T13" s="7" t="s">
        <v>123</v>
      </c>
      <c r="V13" s="7" t="s">
        <v>124</v>
      </c>
    </row>
    <row r="14" spans="2:22" x14ac:dyDescent="0.25">
      <c r="J14" s="36">
        <f t="array" ref="J14:N18">MMULT(MMULT(TRANSPOSE(C3:G10),J3:Q10),C3:G10)</f>
        <v>-0.4</v>
      </c>
      <c r="K14" s="36">
        <v>0.4</v>
      </c>
      <c r="L14" s="36">
        <v>0</v>
      </c>
      <c r="M14" s="36">
        <v>0</v>
      </c>
      <c r="N14" s="36">
        <v>0</v>
      </c>
      <c r="P14" s="37">
        <v>40</v>
      </c>
      <c r="R14" s="61">
        <f t="array" ref="R14:R18">MMULT(J14:N18,P14:P18)</f>
        <v>53.499999999999602</v>
      </c>
      <c r="S14" s="62">
        <v>65.999999999999346</v>
      </c>
      <c r="T14" s="63">
        <f>R14-S14</f>
        <v>-12.499999999999744</v>
      </c>
      <c r="U14" s="23" t="s">
        <v>60</v>
      </c>
      <c r="V14" s="63">
        <v>-12.5</v>
      </c>
    </row>
    <row r="15" spans="2:22" x14ac:dyDescent="0.25">
      <c r="J15" s="36">
        <v>0.4</v>
      </c>
      <c r="K15" s="36">
        <v>-0.8</v>
      </c>
      <c r="L15" s="36">
        <v>0.4</v>
      </c>
      <c r="M15" s="36">
        <v>0</v>
      </c>
      <c r="N15" s="36">
        <v>0</v>
      </c>
      <c r="P15" s="64">
        <v>173.74999999999901</v>
      </c>
      <c r="R15" s="61">
        <v>-24.999999999999972</v>
      </c>
      <c r="T15" s="65">
        <f t="shared" ref="T15:T18" si="0">R15-S15</f>
        <v>-24.999999999999972</v>
      </c>
      <c r="U15" s="23" t="s">
        <v>60</v>
      </c>
      <c r="V15" s="65">
        <v>-25</v>
      </c>
    </row>
    <row r="16" spans="2:22" x14ac:dyDescent="0.25">
      <c r="J16" s="36">
        <v>0</v>
      </c>
      <c r="K16" s="36">
        <v>0.4</v>
      </c>
      <c r="L16" s="36">
        <v>-0.8</v>
      </c>
      <c r="M16" s="36">
        <v>0.4</v>
      </c>
      <c r="N16" s="36">
        <v>0</v>
      </c>
      <c r="P16" s="64">
        <v>244.99999999999807</v>
      </c>
      <c r="R16" s="61">
        <v>-25</v>
      </c>
      <c r="T16" s="65">
        <f t="shared" si="0"/>
        <v>-25</v>
      </c>
      <c r="U16" s="23" t="s">
        <v>60</v>
      </c>
      <c r="V16" s="65">
        <v>-25</v>
      </c>
    </row>
    <row r="17" spans="10:22" x14ac:dyDescent="0.25">
      <c r="J17" s="36">
        <v>0</v>
      </c>
      <c r="K17" s="36">
        <v>0</v>
      </c>
      <c r="L17" s="36">
        <v>0.4</v>
      </c>
      <c r="M17" s="36">
        <v>-0.8</v>
      </c>
      <c r="N17" s="36">
        <v>0.4</v>
      </c>
      <c r="P17" s="64">
        <v>253.74999999999716</v>
      </c>
      <c r="R17" s="61">
        <v>-24.999999999998494</v>
      </c>
      <c r="T17" s="65">
        <f t="shared" si="0"/>
        <v>-24.999999999998494</v>
      </c>
      <c r="U17" s="23" t="s">
        <v>60</v>
      </c>
      <c r="V17" s="65">
        <v>-25</v>
      </c>
    </row>
    <row r="18" spans="10:22" x14ac:dyDescent="0.25">
      <c r="J18" s="36">
        <v>0</v>
      </c>
      <c r="K18" s="36">
        <v>0</v>
      </c>
      <c r="L18" s="36">
        <v>0</v>
      </c>
      <c r="M18" s="36">
        <v>0.4</v>
      </c>
      <c r="N18" s="36">
        <v>-0.4</v>
      </c>
      <c r="P18" s="37">
        <v>200</v>
      </c>
      <c r="R18" s="61">
        <v>21.499999999998863</v>
      </c>
      <c r="S18" s="62">
        <v>34.000000000000298</v>
      </c>
      <c r="T18" s="63">
        <f t="shared" si="0"/>
        <v>-12.500000000001435</v>
      </c>
      <c r="U18" s="23" t="s">
        <v>60</v>
      </c>
      <c r="V18" s="63">
        <v>-12.5</v>
      </c>
    </row>
    <row r="20" spans="10:22" x14ac:dyDescent="0.25">
      <c r="J20" t="s">
        <v>125</v>
      </c>
    </row>
    <row r="21" spans="10:22" x14ac:dyDescent="0.25">
      <c r="J21" s="37" t="s">
        <v>28</v>
      </c>
      <c r="K21" s="36" t="s">
        <v>126</v>
      </c>
      <c r="L21" s="36" t="s">
        <v>52</v>
      </c>
    </row>
    <row r="22" spans="10:22" x14ac:dyDescent="0.25">
      <c r="J22" s="37">
        <v>0</v>
      </c>
      <c r="K22" s="37">
        <f>-5*(J22^2)+66*J22+40</f>
        <v>40</v>
      </c>
      <c r="L22" s="37">
        <f>P14</f>
        <v>40</v>
      </c>
    </row>
    <row r="23" spans="10:22" x14ac:dyDescent="0.25">
      <c r="J23" s="37">
        <v>2.5</v>
      </c>
      <c r="K23" s="37">
        <f t="shared" ref="K23:K26" si="1">-5*(J23^2)+66*J23+40</f>
        <v>173.75</v>
      </c>
      <c r="L23" s="37">
        <f t="shared" ref="L23:L26" si="2">P15</f>
        <v>173.74999999999901</v>
      </c>
    </row>
    <row r="24" spans="10:22" x14ac:dyDescent="0.25">
      <c r="J24" s="37">
        <v>5</v>
      </c>
      <c r="K24" s="37">
        <f t="shared" si="1"/>
        <v>245</v>
      </c>
      <c r="L24" s="37">
        <f t="shared" si="2"/>
        <v>244.99999999999807</v>
      </c>
    </row>
    <row r="25" spans="10:22" x14ac:dyDescent="0.25">
      <c r="J25" s="37">
        <v>7.5</v>
      </c>
      <c r="K25" s="37">
        <f t="shared" si="1"/>
        <v>253.75</v>
      </c>
      <c r="L25" s="37">
        <f t="shared" si="2"/>
        <v>253.74999999999716</v>
      </c>
    </row>
    <row r="26" spans="10:22" x14ac:dyDescent="0.25">
      <c r="J26" s="37">
        <v>10</v>
      </c>
      <c r="K26" s="37">
        <f t="shared" si="1"/>
        <v>200</v>
      </c>
      <c r="L26" s="37">
        <f t="shared" si="2"/>
        <v>200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1:AD38"/>
  <sheetViews>
    <sheetView topLeftCell="O1" workbookViewId="0">
      <selection activeCell="AA2" sqref="AA2"/>
    </sheetView>
  </sheetViews>
  <sheetFormatPr defaultRowHeight="15" x14ac:dyDescent="0.25"/>
  <cols>
    <col min="19" max="19" width="9.140625" customWidth="1"/>
    <col min="21" max="21" width="9" style="23" customWidth="1"/>
  </cols>
  <sheetData>
    <row r="1" spans="2:30" x14ac:dyDescent="0.25">
      <c r="C1" t="s">
        <v>117</v>
      </c>
      <c r="J1" t="s">
        <v>118</v>
      </c>
      <c r="W1" t="s">
        <v>118</v>
      </c>
    </row>
    <row r="2" spans="2:30" x14ac:dyDescent="0.25">
      <c r="B2" s="7" t="s">
        <v>27</v>
      </c>
      <c r="C2" t="s">
        <v>0</v>
      </c>
      <c r="D2" t="s">
        <v>1</v>
      </c>
      <c r="E2" t="s">
        <v>2</v>
      </c>
      <c r="F2" t="s">
        <v>3</v>
      </c>
      <c r="G2" t="s">
        <v>4</v>
      </c>
      <c r="I2" s="7" t="s">
        <v>30</v>
      </c>
      <c r="J2" t="s">
        <v>9</v>
      </c>
      <c r="K2" t="s">
        <v>10</v>
      </c>
      <c r="L2" t="s">
        <v>12</v>
      </c>
      <c r="M2" t="s">
        <v>13</v>
      </c>
      <c r="N2" t="s">
        <v>15</v>
      </c>
      <c r="O2" t="s">
        <v>16</v>
      </c>
      <c r="P2" t="s">
        <v>18</v>
      </c>
      <c r="Q2" t="s">
        <v>19</v>
      </c>
      <c r="V2" s="7" t="s">
        <v>127</v>
      </c>
      <c r="W2" t="s">
        <v>9</v>
      </c>
      <c r="X2" t="s">
        <v>10</v>
      </c>
      <c r="Y2" t="s">
        <v>12</v>
      </c>
      <c r="Z2" t="s">
        <v>13</v>
      </c>
      <c r="AA2" t="s">
        <v>15</v>
      </c>
      <c r="AB2" t="s">
        <v>16</v>
      </c>
      <c r="AC2" t="s">
        <v>18</v>
      </c>
      <c r="AD2" t="s">
        <v>19</v>
      </c>
    </row>
    <row r="3" spans="2:30" x14ac:dyDescent="0.25">
      <c r="B3" t="s">
        <v>9</v>
      </c>
      <c r="C3" s="25">
        <v>1</v>
      </c>
      <c r="D3" s="25">
        <v>0</v>
      </c>
      <c r="E3" s="25">
        <v>0</v>
      </c>
      <c r="F3" s="25">
        <v>0</v>
      </c>
      <c r="G3" s="25">
        <v>0</v>
      </c>
      <c r="I3" t="s">
        <v>9</v>
      </c>
      <c r="J3" s="36">
        <v>-0.4</v>
      </c>
      <c r="K3" s="36">
        <v>0.4</v>
      </c>
      <c r="L3" s="36">
        <v>0</v>
      </c>
      <c r="M3" s="36">
        <v>0</v>
      </c>
      <c r="N3" s="36">
        <v>0</v>
      </c>
      <c r="O3" s="36">
        <v>0</v>
      </c>
      <c r="P3" s="36">
        <v>0</v>
      </c>
      <c r="Q3" s="36">
        <v>0</v>
      </c>
      <c r="V3" t="s">
        <v>9</v>
      </c>
      <c r="W3" s="36">
        <v>-12.5</v>
      </c>
      <c r="X3" s="36">
        <v>0</v>
      </c>
      <c r="Y3" s="36">
        <v>0</v>
      </c>
      <c r="Z3" s="36">
        <v>0</v>
      </c>
      <c r="AA3" s="36">
        <v>0</v>
      </c>
      <c r="AB3" s="36">
        <v>0</v>
      </c>
      <c r="AC3" s="36">
        <v>0</v>
      </c>
      <c r="AD3" s="36">
        <v>0</v>
      </c>
    </row>
    <row r="4" spans="2:30" x14ac:dyDescent="0.25">
      <c r="B4" t="s">
        <v>10</v>
      </c>
      <c r="C4" s="25">
        <v>0</v>
      </c>
      <c r="D4" s="25">
        <v>1</v>
      </c>
      <c r="E4" s="25">
        <v>0</v>
      </c>
      <c r="F4" s="25">
        <v>0</v>
      </c>
      <c r="G4" s="25">
        <v>0</v>
      </c>
      <c r="I4" t="s">
        <v>10</v>
      </c>
      <c r="J4" s="36">
        <v>0.4</v>
      </c>
      <c r="K4" s="36">
        <v>-0.4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  <c r="V4" t="s">
        <v>10</v>
      </c>
      <c r="W4" s="36">
        <v>0</v>
      </c>
      <c r="X4" s="36">
        <v>-12.5</v>
      </c>
      <c r="Y4" s="36">
        <v>0</v>
      </c>
      <c r="Z4" s="36">
        <v>0</v>
      </c>
      <c r="AA4" s="36">
        <v>0</v>
      </c>
      <c r="AB4" s="36">
        <v>0</v>
      </c>
      <c r="AC4" s="36">
        <v>0</v>
      </c>
      <c r="AD4" s="36">
        <v>0</v>
      </c>
    </row>
    <row r="5" spans="2:30" x14ac:dyDescent="0.25">
      <c r="B5" t="s">
        <v>12</v>
      </c>
      <c r="C5" s="25">
        <v>0</v>
      </c>
      <c r="D5" s="25">
        <v>1</v>
      </c>
      <c r="E5" s="25">
        <v>0</v>
      </c>
      <c r="F5" s="25">
        <v>0</v>
      </c>
      <c r="G5" s="25">
        <v>0</v>
      </c>
      <c r="I5" t="s">
        <v>12</v>
      </c>
      <c r="J5" s="36">
        <v>0</v>
      </c>
      <c r="K5" s="36">
        <v>0</v>
      </c>
      <c r="L5" s="36">
        <v>-0.4</v>
      </c>
      <c r="M5" s="36">
        <v>0.4</v>
      </c>
      <c r="N5" s="36">
        <v>0</v>
      </c>
      <c r="O5" s="36">
        <v>0</v>
      </c>
      <c r="P5" s="36">
        <v>0</v>
      </c>
      <c r="Q5" s="36">
        <v>0</v>
      </c>
      <c r="V5" t="s">
        <v>12</v>
      </c>
      <c r="W5" s="36">
        <v>0</v>
      </c>
      <c r="X5" s="36">
        <v>0</v>
      </c>
      <c r="Y5" s="36">
        <v>-12.5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</row>
    <row r="6" spans="2:30" x14ac:dyDescent="0.25">
      <c r="B6" t="s">
        <v>13</v>
      </c>
      <c r="C6" s="25">
        <v>0</v>
      </c>
      <c r="D6" s="25">
        <v>0</v>
      </c>
      <c r="E6" s="25">
        <v>1</v>
      </c>
      <c r="F6" s="25">
        <v>0</v>
      </c>
      <c r="G6" s="25">
        <v>0</v>
      </c>
      <c r="I6" t="s">
        <v>13</v>
      </c>
      <c r="J6" s="36">
        <v>0</v>
      </c>
      <c r="K6" s="36">
        <v>0</v>
      </c>
      <c r="L6" s="36">
        <v>0.4</v>
      </c>
      <c r="M6" s="36">
        <v>-0.4</v>
      </c>
      <c r="N6" s="36">
        <v>0</v>
      </c>
      <c r="O6" s="36">
        <v>0</v>
      </c>
      <c r="P6" s="36">
        <v>0</v>
      </c>
      <c r="Q6" s="36">
        <v>0</v>
      </c>
      <c r="V6" t="s">
        <v>13</v>
      </c>
      <c r="W6" s="36">
        <v>0</v>
      </c>
      <c r="X6" s="36">
        <v>0</v>
      </c>
      <c r="Y6" s="36">
        <v>0</v>
      </c>
      <c r="Z6" s="36">
        <v>-12.5</v>
      </c>
      <c r="AA6" s="36">
        <v>0</v>
      </c>
      <c r="AB6" s="36">
        <v>0</v>
      </c>
      <c r="AC6" s="36">
        <v>0</v>
      </c>
      <c r="AD6" s="36">
        <v>0</v>
      </c>
    </row>
    <row r="7" spans="2:30" x14ac:dyDescent="0.25">
      <c r="B7" t="s">
        <v>15</v>
      </c>
      <c r="C7" s="25">
        <v>0</v>
      </c>
      <c r="D7" s="25">
        <v>0</v>
      </c>
      <c r="E7" s="25">
        <v>1</v>
      </c>
      <c r="F7" s="25">
        <v>0</v>
      </c>
      <c r="G7" s="25">
        <v>0</v>
      </c>
      <c r="I7" t="s">
        <v>15</v>
      </c>
      <c r="J7" s="36">
        <v>0</v>
      </c>
      <c r="K7" s="36">
        <v>0</v>
      </c>
      <c r="L7" s="36">
        <v>0</v>
      </c>
      <c r="M7" s="36">
        <v>0</v>
      </c>
      <c r="N7" s="36">
        <v>-0.4</v>
      </c>
      <c r="O7" s="36">
        <v>0.4</v>
      </c>
      <c r="P7" s="36">
        <v>0</v>
      </c>
      <c r="Q7" s="36">
        <v>0</v>
      </c>
      <c r="V7" t="s">
        <v>15</v>
      </c>
      <c r="W7" s="36">
        <v>0</v>
      </c>
      <c r="X7" s="36">
        <v>0</v>
      </c>
      <c r="Y7" s="36">
        <v>0</v>
      </c>
      <c r="Z7" s="36">
        <v>0</v>
      </c>
      <c r="AA7" s="36">
        <v>-12.5</v>
      </c>
      <c r="AB7" s="36">
        <v>0</v>
      </c>
      <c r="AC7" s="36">
        <v>0</v>
      </c>
      <c r="AD7" s="36">
        <v>0</v>
      </c>
    </row>
    <row r="8" spans="2:30" x14ac:dyDescent="0.25">
      <c r="B8" t="s">
        <v>16</v>
      </c>
      <c r="C8" s="25">
        <v>0</v>
      </c>
      <c r="D8" s="25">
        <v>0</v>
      </c>
      <c r="E8" s="25">
        <v>0</v>
      </c>
      <c r="F8" s="25">
        <v>1</v>
      </c>
      <c r="G8" s="25">
        <v>0</v>
      </c>
      <c r="I8" t="s">
        <v>16</v>
      </c>
      <c r="J8" s="36">
        <v>0</v>
      </c>
      <c r="K8" s="36">
        <v>0</v>
      </c>
      <c r="L8" s="36">
        <v>0</v>
      </c>
      <c r="M8" s="36">
        <v>0</v>
      </c>
      <c r="N8" s="36">
        <v>0.4</v>
      </c>
      <c r="O8" s="36">
        <v>-0.4</v>
      </c>
      <c r="P8" s="36">
        <v>0</v>
      </c>
      <c r="Q8" s="36">
        <v>0</v>
      </c>
      <c r="V8" t="s">
        <v>16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-12.5</v>
      </c>
      <c r="AC8" s="36">
        <v>0</v>
      </c>
      <c r="AD8" s="36">
        <v>0</v>
      </c>
    </row>
    <row r="9" spans="2:30" x14ac:dyDescent="0.25">
      <c r="B9" t="s">
        <v>18</v>
      </c>
      <c r="C9" s="25">
        <v>0</v>
      </c>
      <c r="D9" s="25">
        <v>0</v>
      </c>
      <c r="E9" s="25">
        <v>0</v>
      </c>
      <c r="F9" s="25">
        <v>1</v>
      </c>
      <c r="G9" s="25">
        <v>0</v>
      </c>
      <c r="I9" t="s">
        <v>18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-0.4</v>
      </c>
      <c r="Q9" s="36">
        <v>0.4</v>
      </c>
      <c r="V9" t="s">
        <v>18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-12.5</v>
      </c>
      <c r="AD9" s="36">
        <v>0</v>
      </c>
    </row>
    <row r="10" spans="2:30" x14ac:dyDescent="0.25">
      <c r="B10" t="s">
        <v>19</v>
      </c>
      <c r="C10" s="25">
        <v>0</v>
      </c>
      <c r="D10" s="25">
        <v>0</v>
      </c>
      <c r="E10" s="25">
        <v>0</v>
      </c>
      <c r="F10" s="25">
        <v>0</v>
      </c>
      <c r="G10" s="25">
        <v>1</v>
      </c>
      <c r="I10" t="s">
        <v>19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0.4</v>
      </c>
      <c r="Q10" s="36">
        <v>-0.4</v>
      </c>
      <c r="V10" t="s">
        <v>19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-12.5</v>
      </c>
    </row>
    <row r="13" spans="2:30" ht="18.75" x14ac:dyDescent="0.35">
      <c r="J13" s="6" t="s">
        <v>120</v>
      </c>
      <c r="P13" s="6" t="s">
        <v>52</v>
      </c>
      <c r="R13" t="s">
        <v>128</v>
      </c>
      <c r="T13" t="s">
        <v>129</v>
      </c>
      <c r="V13" t="s">
        <v>130</v>
      </c>
      <c r="AB13" s="6" t="s">
        <v>131</v>
      </c>
    </row>
    <row r="14" spans="2:30" x14ac:dyDescent="0.25">
      <c r="J14" s="36">
        <f t="array" ref="J14:N18">MMULT(MMULT(TRANSPOSE(C3:G10),J3:Q10),C3:G10)</f>
        <v>-0.4</v>
      </c>
      <c r="K14" s="36">
        <v>0.4</v>
      </c>
      <c r="L14" s="36">
        <v>0</v>
      </c>
      <c r="M14" s="36">
        <v>0</v>
      </c>
      <c r="N14" s="36">
        <v>0</v>
      </c>
      <c r="P14" s="37">
        <v>40</v>
      </c>
      <c r="R14" s="66">
        <f t="array" ref="R14:R18">MMULT(J14:N18,P14:P18)</f>
        <v>53.5</v>
      </c>
      <c r="S14" s="23" t="s">
        <v>60</v>
      </c>
      <c r="T14" s="66">
        <f t="array" ref="T14:T18">MMULT(V14:Z18,AB14:AB18)+MMULT(V34:Z38,AB34:AB38)</f>
        <v>53.5</v>
      </c>
      <c r="V14" s="36">
        <f t="array" ref="V14:Z18">MMULT(MMULT(TRANSPOSE($C$3:$G$10),W3:AD10),$C$3:$G$10)</f>
        <v>-12.5</v>
      </c>
      <c r="W14" s="36">
        <v>0</v>
      </c>
      <c r="X14" s="36">
        <v>0</v>
      </c>
      <c r="Y14" s="36">
        <v>0</v>
      </c>
      <c r="Z14" s="36">
        <v>0</v>
      </c>
      <c r="AB14" s="36">
        <v>1</v>
      </c>
    </row>
    <row r="15" spans="2:30" x14ac:dyDescent="0.25">
      <c r="J15" s="36">
        <v>0.4</v>
      </c>
      <c r="K15" s="36">
        <v>-0.8</v>
      </c>
      <c r="L15" s="36">
        <v>0.4</v>
      </c>
      <c r="M15" s="36">
        <v>0</v>
      </c>
      <c r="N15" s="36">
        <v>0</v>
      </c>
      <c r="P15" s="64">
        <v>173.75</v>
      </c>
      <c r="R15" s="66">
        <v>-25</v>
      </c>
      <c r="S15" s="23" t="s">
        <v>60</v>
      </c>
      <c r="T15" s="66">
        <v>-25</v>
      </c>
      <c r="V15" s="36">
        <v>0</v>
      </c>
      <c r="W15" s="36">
        <v>-25</v>
      </c>
      <c r="X15" s="36">
        <v>0</v>
      </c>
      <c r="Y15" s="36">
        <v>0</v>
      </c>
      <c r="Z15" s="36">
        <v>0</v>
      </c>
      <c r="AB15" s="36">
        <v>1</v>
      </c>
    </row>
    <row r="16" spans="2:30" x14ac:dyDescent="0.25">
      <c r="J16" s="36">
        <v>0</v>
      </c>
      <c r="K16" s="36">
        <v>0.4</v>
      </c>
      <c r="L16" s="36">
        <v>-0.8</v>
      </c>
      <c r="M16" s="36">
        <v>0.4</v>
      </c>
      <c r="N16" s="36">
        <v>0</v>
      </c>
      <c r="P16" s="64">
        <v>245</v>
      </c>
      <c r="R16" s="66">
        <v>-25</v>
      </c>
      <c r="S16" s="23" t="s">
        <v>60</v>
      </c>
      <c r="T16" s="66">
        <v>-25</v>
      </c>
      <c r="V16" s="36">
        <v>0</v>
      </c>
      <c r="W16" s="36">
        <v>0</v>
      </c>
      <c r="X16" s="36">
        <v>-25</v>
      </c>
      <c r="Y16" s="36">
        <v>0</v>
      </c>
      <c r="Z16" s="36">
        <v>0</v>
      </c>
      <c r="AB16" s="36">
        <v>1</v>
      </c>
    </row>
    <row r="17" spans="10:30" x14ac:dyDescent="0.25">
      <c r="J17" s="36">
        <v>0</v>
      </c>
      <c r="K17" s="36">
        <v>0</v>
      </c>
      <c r="L17" s="36">
        <v>0.4</v>
      </c>
      <c r="M17" s="36">
        <v>-0.8</v>
      </c>
      <c r="N17" s="36">
        <v>0.4</v>
      </c>
      <c r="P17" s="64">
        <v>253.75</v>
      </c>
      <c r="R17" s="66">
        <v>-25</v>
      </c>
      <c r="S17" s="23" t="s">
        <v>60</v>
      </c>
      <c r="T17" s="66">
        <v>-25</v>
      </c>
      <c r="V17" s="36">
        <v>0</v>
      </c>
      <c r="W17" s="36">
        <v>0</v>
      </c>
      <c r="X17" s="36">
        <v>0</v>
      </c>
      <c r="Y17" s="36">
        <v>-25</v>
      </c>
      <c r="Z17" s="36">
        <v>0</v>
      </c>
      <c r="AB17" s="36">
        <v>1</v>
      </c>
    </row>
    <row r="18" spans="10:30" x14ac:dyDescent="0.25">
      <c r="J18" s="36">
        <v>0</v>
      </c>
      <c r="K18" s="36">
        <v>0</v>
      </c>
      <c r="L18" s="36">
        <v>0</v>
      </c>
      <c r="M18" s="36">
        <v>0.4</v>
      </c>
      <c r="N18" s="36">
        <v>-0.4</v>
      </c>
      <c r="P18" s="37">
        <v>200</v>
      </c>
      <c r="R18" s="66">
        <v>21.5</v>
      </c>
      <c r="S18" s="23" t="s">
        <v>60</v>
      </c>
      <c r="T18" s="66">
        <v>21.5</v>
      </c>
      <c r="V18" s="36">
        <v>0</v>
      </c>
      <c r="W18" s="36">
        <v>0</v>
      </c>
      <c r="X18" s="36">
        <v>0</v>
      </c>
      <c r="Y18" s="36">
        <v>0</v>
      </c>
      <c r="Z18" s="36">
        <v>-12.5</v>
      </c>
      <c r="AB18" s="36">
        <v>1</v>
      </c>
    </row>
    <row r="20" spans="10:30" x14ac:dyDescent="0.25">
      <c r="J20" t="s">
        <v>125</v>
      </c>
    </row>
    <row r="21" spans="10:30" x14ac:dyDescent="0.25">
      <c r="J21" s="37" t="s">
        <v>28</v>
      </c>
      <c r="K21" s="36" t="s">
        <v>126</v>
      </c>
      <c r="L21" s="36" t="s">
        <v>52</v>
      </c>
      <c r="W21" t="s">
        <v>118</v>
      </c>
    </row>
    <row r="22" spans="10:30" x14ac:dyDescent="0.25">
      <c r="J22" s="37">
        <v>0</v>
      </c>
      <c r="K22" s="37">
        <f>-5*(J22^2)+66*J22+40</f>
        <v>40</v>
      </c>
      <c r="L22" s="37">
        <f>P14</f>
        <v>40</v>
      </c>
      <c r="V22" s="7" t="s">
        <v>132</v>
      </c>
      <c r="W22" t="s">
        <v>9</v>
      </c>
      <c r="X22" t="s">
        <v>10</v>
      </c>
      <c r="Y22" t="s">
        <v>12</v>
      </c>
      <c r="Z22" t="s">
        <v>13</v>
      </c>
      <c r="AA22" t="s">
        <v>15</v>
      </c>
      <c r="AB22" t="s">
        <v>16</v>
      </c>
      <c r="AC22" t="s">
        <v>18</v>
      </c>
      <c r="AD22" t="s">
        <v>19</v>
      </c>
    </row>
    <row r="23" spans="10:30" x14ac:dyDescent="0.25">
      <c r="J23" s="37">
        <v>2.5</v>
      </c>
      <c r="K23" s="37">
        <f t="shared" ref="K23:K26" si="0">-5*(J23^2)+66*J23+40</f>
        <v>173.75</v>
      </c>
      <c r="L23" s="37">
        <f t="shared" ref="L23:L26" si="1">P15</f>
        <v>173.75</v>
      </c>
      <c r="V23" t="s">
        <v>9</v>
      </c>
      <c r="W23" s="36">
        <v>1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</row>
    <row r="24" spans="10:30" x14ac:dyDescent="0.25">
      <c r="J24" s="37">
        <v>5</v>
      </c>
      <c r="K24" s="37">
        <f t="shared" si="0"/>
        <v>245</v>
      </c>
      <c r="L24" s="37">
        <f t="shared" si="1"/>
        <v>245</v>
      </c>
      <c r="V24" t="s">
        <v>10</v>
      </c>
      <c r="W24" s="36">
        <v>0</v>
      </c>
      <c r="X24" s="36">
        <v>-1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</row>
    <row r="25" spans="10:30" x14ac:dyDescent="0.25">
      <c r="J25" s="37">
        <v>7.5</v>
      </c>
      <c r="K25" s="37">
        <f t="shared" si="0"/>
        <v>253.75</v>
      </c>
      <c r="L25" s="37">
        <f t="shared" si="1"/>
        <v>253.75</v>
      </c>
      <c r="V25" t="s">
        <v>12</v>
      </c>
      <c r="W25" s="36">
        <v>0</v>
      </c>
      <c r="X25" s="36">
        <v>0</v>
      </c>
      <c r="Y25" s="36">
        <v>1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</row>
    <row r="26" spans="10:30" x14ac:dyDescent="0.25">
      <c r="J26" s="37">
        <v>10</v>
      </c>
      <c r="K26" s="37">
        <f t="shared" si="0"/>
        <v>200</v>
      </c>
      <c r="L26" s="37">
        <f t="shared" si="1"/>
        <v>200</v>
      </c>
      <c r="V26" t="s">
        <v>13</v>
      </c>
      <c r="W26" s="36">
        <v>0</v>
      </c>
      <c r="X26" s="36">
        <v>0</v>
      </c>
      <c r="Y26" s="36">
        <v>0</v>
      </c>
      <c r="Z26" s="36">
        <v>-1</v>
      </c>
      <c r="AA26" s="36">
        <v>0</v>
      </c>
      <c r="AB26" s="36">
        <v>0</v>
      </c>
      <c r="AC26" s="36">
        <v>0</v>
      </c>
      <c r="AD26" s="36">
        <v>0</v>
      </c>
    </row>
    <row r="27" spans="10:30" x14ac:dyDescent="0.25">
      <c r="V27" t="s">
        <v>15</v>
      </c>
      <c r="W27" s="36">
        <v>0</v>
      </c>
      <c r="X27" s="36">
        <v>0</v>
      </c>
      <c r="Y27" s="36">
        <v>0</v>
      </c>
      <c r="Z27" s="36">
        <v>0</v>
      </c>
      <c r="AA27" s="36">
        <v>1</v>
      </c>
      <c r="AB27" s="36">
        <v>0</v>
      </c>
      <c r="AC27" s="36">
        <v>0</v>
      </c>
      <c r="AD27" s="36">
        <v>0</v>
      </c>
    </row>
    <row r="28" spans="10:30" x14ac:dyDescent="0.25">
      <c r="V28" t="s">
        <v>16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-1</v>
      </c>
      <c r="AC28" s="36">
        <v>0</v>
      </c>
      <c r="AD28" s="36">
        <v>0</v>
      </c>
    </row>
    <row r="29" spans="10:30" x14ac:dyDescent="0.25">
      <c r="V29" t="s">
        <v>18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1</v>
      </c>
      <c r="AD29" s="36">
        <v>0</v>
      </c>
    </row>
    <row r="30" spans="10:30" x14ac:dyDescent="0.25">
      <c r="V30" t="s">
        <v>19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-1</v>
      </c>
    </row>
    <row r="33" spans="22:28" ht="18.75" x14ac:dyDescent="0.35">
      <c r="V33" t="s">
        <v>133</v>
      </c>
      <c r="AB33" t="s">
        <v>134</v>
      </c>
    </row>
    <row r="34" spans="22:28" x14ac:dyDescent="0.25">
      <c r="V34" s="36">
        <f t="array" ref="V34:Z38">MMULT(MMULT(TRANSPOSE($C$3:$G$10),W23:AD30),$C$3:$G$10)</f>
        <v>1</v>
      </c>
      <c r="W34" s="36">
        <v>0</v>
      </c>
      <c r="X34" s="36">
        <v>0</v>
      </c>
      <c r="Y34" s="36">
        <v>0</v>
      </c>
      <c r="Z34" s="36">
        <v>0</v>
      </c>
      <c r="AB34" s="67">
        <v>66</v>
      </c>
    </row>
    <row r="35" spans="22:28" x14ac:dyDescent="0.25"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B35" s="68">
        <v>0</v>
      </c>
    </row>
    <row r="36" spans="22:28" x14ac:dyDescent="0.25"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B36" s="68">
        <v>0</v>
      </c>
    </row>
    <row r="37" spans="22:28" x14ac:dyDescent="0.25"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B37" s="68">
        <v>0</v>
      </c>
    </row>
    <row r="38" spans="22:28" x14ac:dyDescent="0.25">
      <c r="V38" s="36">
        <v>0</v>
      </c>
      <c r="W38" s="36">
        <v>0</v>
      </c>
      <c r="X38" s="36">
        <v>0</v>
      </c>
      <c r="Y38" s="36">
        <v>0</v>
      </c>
      <c r="Z38" s="36">
        <v>-1</v>
      </c>
      <c r="AB38" s="67">
        <v>-34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1:AD38"/>
  <sheetViews>
    <sheetView topLeftCell="K1" workbookViewId="0">
      <selection activeCell="AA2" sqref="AA2"/>
    </sheetView>
  </sheetViews>
  <sheetFormatPr defaultRowHeight="15" x14ac:dyDescent="0.25"/>
  <cols>
    <col min="19" max="19" width="9.140625" customWidth="1"/>
    <col min="21" max="21" width="9" style="23" customWidth="1"/>
  </cols>
  <sheetData>
    <row r="1" spans="2:30" x14ac:dyDescent="0.25">
      <c r="C1" t="s">
        <v>117</v>
      </c>
      <c r="J1" t="s">
        <v>118</v>
      </c>
      <c r="W1" t="s">
        <v>118</v>
      </c>
    </row>
    <row r="2" spans="2:30" x14ac:dyDescent="0.25">
      <c r="B2" s="7" t="s">
        <v>27</v>
      </c>
      <c r="C2" t="s">
        <v>0</v>
      </c>
      <c r="D2" t="s">
        <v>1</v>
      </c>
      <c r="E2" t="s">
        <v>2</v>
      </c>
      <c r="F2" t="s">
        <v>3</v>
      </c>
      <c r="G2" t="s">
        <v>4</v>
      </c>
      <c r="I2" s="7" t="s">
        <v>30</v>
      </c>
      <c r="J2" t="s">
        <v>9</v>
      </c>
      <c r="K2" t="s">
        <v>10</v>
      </c>
      <c r="L2" t="s">
        <v>12</v>
      </c>
      <c r="M2" t="s">
        <v>13</v>
      </c>
      <c r="N2" t="s">
        <v>15</v>
      </c>
      <c r="O2" t="s">
        <v>16</v>
      </c>
      <c r="P2" t="s">
        <v>18</v>
      </c>
      <c r="Q2" t="s">
        <v>19</v>
      </c>
      <c r="V2" s="7" t="s">
        <v>127</v>
      </c>
      <c r="W2" t="s">
        <v>9</v>
      </c>
      <c r="X2" t="s">
        <v>10</v>
      </c>
      <c r="Y2" t="s">
        <v>12</v>
      </c>
      <c r="Z2" t="s">
        <v>13</v>
      </c>
      <c r="AA2" t="s">
        <v>15</v>
      </c>
      <c r="AB2" t="s">
        <v>16</v>
      </c>
      <c r="AC2" t="s">
        <v>18</v>
      </c>
      <c r="AD2" t="s">
        <v>19</v>
      </c>
    </row>
    <row r="3" spans="2:30" x14ac:dyDescent="0.25">
      <c r="B3" t="s">
        <v>9</v>
      </c>
      <c r="C3" s="25">
        <v>1</v>
      </c>
      <c r="D3" s="25">
        <v>0</v>
      </c>
      <c r="E3" s="25">
        <v>0</v>
      </c>
      <c r="F3" s="25">
        <v>0</v>
      </c>
      <c r="G3" s="25">
        <v>0</v>
      </c>
      <c r="I3" t="s">
        <v>9</v>
      </c>
      <c r="J3" s="36">
        <v>-0.4</v>
      </c>
      <c r="K3" s="36">
        <v>0.4</v>
      </c>
      <c r="L3" s="36">
        <v>0</v>
      </c>
      <c r="M3" s="36">
        <v>0</v>
      </c>
      <c r="N3" s="36">
        <v>0</v>
      </c>
      <c r="O3" s="36">
        <v>0</v>
      </c>
      <c r="P3" s="36">
        <v>0</v>
      </c>
      <c r="Q3" s="36">
        <v>0</v>
      </c>
      <c r="V3" t="s">
        <v>9</v>
      </c>
      <c r="W3" s="36">
        <v>-12.5</v>
      </c>
      <c r="X3" s="36">
        <v>0</v>
      </c>
      <c r="Y3" s="36">
        <v>0</v>
      </c>
      <c r="Z3" s="36">
        <v>0</v>
      </c>
      <c r="AA3" s="36">
        <v>0</v>
      </c>
      <c r="AB3" s="36">
        <v>0</v>
      </c>
      <c r="AC3" s="36">
        <v>0</v>
      </c>
      <c r="AD3" s="36">
        <v>0</v>
      </c>
    </row>
    <row r="4" spans="2:30" x14ac:dyDescent="0.25">
      <c r="B4" t="s">
        <v>10</v>
      </c>
      <c r="C4" s="25">
        <v>0</v>
      </c>
      <c r="D4" s="25">
        <v>1</v>
      </c>
      <c r="E4" s="25">
        <v>0</v>
      </c>
      <c r="F4" s="25">
        <v>0</v>
      </c>
      <c r="G4" s="25">
        <v>0</v>
      </c>
      <c r="I4" t="s">
        <v>10</v>
      </c>
      <c r="J4" s="36">
        <v>0.4</v>
      </c>
      <c r="K4" s="36">
        <v>-0.4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  <c r="V4" t="s">
        <v>10</v>
      </c>
      <c r="W4" s="36">
        <v>0</v>
      </c>
      <c r="X4" s="36">
        <v>-12.5</v>
      </c>
      <c r="Y4" s="36">
        <v>0</v>
      </c>
      <c r="Z4" s="36">
        <v>0</v>
      </c>
      <c r="AA4" s="36">
        <v>0</v>
      </c>
      <c r="AB4" s="36">
        <v>0</v>
      </c>
      <c r="AC4" s="36">
        <v>0</v>
      </c>
      <c r="AD4" s="36">
        <v>0</v>
      </c>
    </row>
    <row r="5" spans="2:30" x14ac:dyDescent="0.25">
      <c r="B5" t="s">
        <v>12</v>
      </c>
      <c r="C5" s="25">
        <v>0</v>
      </c>
      <c r="D5" s="25">
        <v>1</v>
      </c>
      <c r="E5" s="25">
        <v>0</v>
      </c>
      <c r="F5" s="25">
        <v>0</v>
      </c>
      <c r="G5" s="25">
        <v>0</v>
      </c>
      <c r="I5" t="s">
        <v>12</v>
      </c>
      <c r="J5" s="36">
        <v>0</v>
      </c>
      <c r="K5" s="36">
        <v>0</v>
      </c>
      <c r="L5" s="36">
        <v>-0.4</v>
      </c>
      <c r="M5" s="36">
        <v>0.4</v>
      </c>
      <c r="N5" s="36">
        <v>0</v>
      </c>
      <c r="O5" s="36">
        <v>0</v>
      </c>
      <c r="P5" s="36">
        <v>0</v>
      </c>
      <c r="Q5" s="36">
        <v>0</v>
      </c>
      <c r="V5" t="s">
        <v>12</v>
      </c>
      <c r="W5" s="36">
        <v>0</v>
      </c>
      <c r="X5" s="36">
        <v>0</v>
      </c>
      <c r="Y5" s="36">
        <v>-12.5</v>
      </c>
      <c r="Z5" s="36">
        <v>0</v>
      </c>
      <c r="AA5" s="36">
        <v>0</v>
      </c>
      <c r="AB5" s="36">
        <v>0</v>
      </c>
      <c r="AC5" s="36">
        <v>0</v>
      </c>
      <c r="AD5" s="36">
        <v>0</v>
      </c>
    </row>
    <row r="6" spans="2:30" x14ac:dyDescent="0.25">
      <c r="B6" t="s">
        <v>13</v>
      </c>
      <c r="C6" s="25">
        <v>0</v>
      </c>
      <c r="D6" s="25">
        <v>0</v>
      </c>
      <c r="E6" s="25">
        <v>1</v>
      </c>
      <c r="F6" s="25">
        <v>0</v>
      </c>
      <c r="G6" s="25">
        <v>0</v>
      </c>
      <c r="I6" t="s">
        <v>13</v>
      </c>
      <c r="J6" s="36">
        <v>0</v>
      </c>
      <c r="K6" s="36">
        <v>0</v>
      </c>
      <c r="L6" s="36">
        <v>0.4</v>
      </c>
      <c r="M6" s="36">
        <v>-0.4</v>
      </c>
      <c r="N6" s="36">
        <v>0</v>
      </c>
      <c r="O6" s="36">
        <v>0</v>
      </c>
      <c r="P6" s="36">
        <v>0</v>
      </c>
      <c r="Q6" s="36">
        <v>0</v>
      </c>
      <c r="V6" t="s">
        <v>13</v>
      </c>
      <c r="W6" s="36">
        <v>0</v>
      </c>
      <c r="X6" s="36">
        <v>0</v>
      </c>
      <c r="Y6" s="36">
        <v>0</v>
      </c>
      <c r="Z6" s="36">
        <v>-12.5</v>
      </c>
      <c r="AA6" s="36">
        <v>0</v>
      </c>
      <c r="AB6" s="36">
        <v>0</v>
      </c>
      <c r="AC6" s="36">
        <v>0</v>
      </c>
      <c r="AD6" s="36">
        <v>0</v>
      </c>
    </row>
    <row r="7" spans="2:30" x14ac:dyDescent="0.25">
      <c r="B7" t="s">
        <v>15</v>
      </c>
      <c r="C7" s="25">
        <v>0</v>
      </c>
      <c r="D7" s="25">
        <v>0</v>
      </c>
      <c r="E7" s="25">
        <v>1</v>
      </c>
      <c r="F7" s="25">
        <v>0</v>
      </c>
      <c r="G7" s="25">
        <v>0</v>
      </c>
      <c r="I7" t="s">
        <v>15</v>
      </c>
      <c r="J7" s="36">
        <v>0</v>
      </c>
      <c r="K7" s="36">
        <v>0</v>
      </c>
      <c r="L7" s="36">
        <v>0</v>
      </c>
      <c r="M7" s="36">
        <v>0</v>
      </c>
      <c r="N7" s="36">
        <v>-0.4</v>
      </c>
      <c r="O7" s="36">
        <v>0.4</v>
      </c>
      <c r="P7" s="36">
        <v>0</v>
      </c>
      <c r="Q7" s="36">
        <v>0</v>
      </c>
      <c r="V7" t="s">
        <v>15</v>
      </c>
      <c r="W7" s="36">
        <v>0</v>
      </c>
      <c r="X7" s="36">
        <v>0</v>
      </c>
      <c r="Y7" s="36">
        <v>0</v>
      </c>
      <c r="Z7" s="36">
        <v>0</v>
      </c>
      <c r="AA7" s="36">
        <v>-12.5</v>
      </c>
      <c r="AB7" s="36">
        <v>0</v>
      </c>
      <c r="AC7" s="36">
        <v>0</v>
      </c>
      <c r="AD7" s="36">
        <v>0</v>
      </c>
    </row>
    <row r="8" spans="2:30" x14ac:dyDescent="0.25">
      <c r="B8" t="s">
        <v>16</v>
      </c>
      <c r="C8" s="25">
        <v>0</v>
      </c>
      <c r="D8" s="25">
        <v>0</v>
      </c>
      <c r="E8" s="25">
        <v>0</v>
      </c>
      <c r="F8" s="25">
        <v>1</v>
      </c>
      <c r="G8" s="25">
        <v>0</v>
      </c>
      <c r="I8" t="s">
        <v>16</v>
      </c>
      <c r="J8" s="36">
        <v>0</v>
      </c>
      <c r="K8" s="36">
        <v>0</v>
      </c>
      <c r="L8" s="36">
        <v>0</v>
      </c>
      <c r="M8" s="36">
        <v>0</v>
      </c>
      <c r="N8" s="36">
        <v>0.4</v>
      </c>
      <c r="O8" s="36">
        <v>-0.4</v>
      </c>
      <c r="P8" s="36">
        <v>0</v>
      </c>
      <c r="Q8" s="36">
        <v>0</v>
      </c>
      <c r="V8" t="s">
        <v>16</v>
      </c>
      <c r="W8" s="36">
        <v>0</v>
      </c>
      <c r="X8" s="36">
        <v>0</v>
      </c>
      <c r="Y8" s="36">
        <v>0</v>
      </c>
      <c r="Z8" s="36">
        <v>0</v>
      </c>
      <c r="AA8" s="36">
        <v>0</v>
      </c>
      <c r="AB8" s="36">
        <v>-12.5</v>
      </c>
      <c r="AC8" s="36">
        <v>0</v>
      </c>
      <c r="AD8" s="36">
        <v>0</v>
      </c>
    </row>
    <row r="9" spans="2:30" x14ac:dyDescent="0.25">
      <c r="B9" t="s">
        <v>18</v>
      </c>
      <c r="C9" s="25">
        <v>0</v>
      </c>
      <c r="D9" s="25">
        <v>0</v>
      </c>
      <c r="E9" s="25">
        <v>0</v>
      </c>
      <c r="F9" s="25">
        <v>1</v>
      </c>
      <c r="G9" s="25">
        <v>0</v>
      </c>
      <c r="I9" t="s">
        <v>18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-0.4</v>
      </c>
      <c r="Q9" s="36">
        <v>0.4</v>
      </c>
      <c r="V9" t="s">
        <v>18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6">
        <v>0</v>
      </c>
      <c r="AC9" s="36">
        <v>-12.5</v>
      </c>
      <c r="AD9" s="36">
        <v>0</v>
      </c>
    </row>
    <row r="10" spans="2:30" x14ac:dyDescent="0.25">
      <c r="B10" t="s">
        <v>19</v>
      </c>
      <c r="C10" s="25">
        <v>0</v>
      </c>
      <c r="D10" s="25">
        <v>0</v>
      </c>
      <c r="E10" s="25">
        <v>0</v>
      </c>
      <c r="F10" s="25">
        <v>0</v>
      </c>
      <c r="G10" s="25">
        <v>1</v>
      </c>
      <c r="I10" t="s">
        <v>19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0.4</v>
      </c>
      <c r="Q10" s="36">
        <v>-0.4</v>
      </c>
      <c r="V10" t="s">
        <v>19</v>
      </c>
      <c r="W10" s="36">
        <v>0</v>
      </c>
      <c r="X10" s="36">
        <v>0</v>
      </c>
      <c r="Y10" s="36">
        <v>0</v>
      </c>
      <c r="Z10" s="36">
        <v>0</v>
      </c>
      <c r="AA10" s="36">
        <v>0</v>
      </c>
      <c r="AB10" s="36">
        <v>0</v>
      </c>
      <c r="AC10" s="36">
        <v>0</v>
      </c>
      <c r="AD10" s="36">
        <v>-12.5</v>
      </c>
    </row>
    <row r="13" spans="2:30" ht="18.75" x14ac:dyDescent="0.35">
      <c r="J13" s="6" t="s">
        <v>120</v>
      </c>
      <c r="P13" s="6" t="s">
        <v>52</v>
      </c>
      <c r="R13" t="s">
        <v>128</v>
      </c>
      <c r="T13" t="s">
        <v>129</v>
      </c>
      <c r="V13" t="s">
        <v>130</v>
      </c>
      <c r="AB13" s="6" t="s">
        <v>131</v>
      </c>
    </row>
    <row r="14" spans="2:30" x14ac:dyDescent="0.25">
      <c r="J14" s="36">
        <f t="array" ref="J14:N18">MMULT(MMULT(TRANSPOSE(C3:G10),J3:Q10),C3:G10)</f>
        <v>-0.4</v>
      </c>
      <c r="K14" s="36">
        <v>0.4</v>
      </c>
      <c r="L14" s="36">
        <v>0</v>
      </c>
      <c r="M14" s="36">
        <v>0</v>
      </c>
      <c r="N14" s="36">
        <v>0</v>
      </c>
      <c r="P14" s="37">
        <v>40</v>
      </c>
      <c r="R14" s="66">
        <f t="array" ref="R14:R18">MMULT(J14:N18,P14:P18)</f>
        <v>53.499999999999773</v>
      </c>
      <c r="S14" s="23" t="s">
        <v>60</v>
      </c>
      <c r="T14" s="66">
        <f t="array" ref="T14:T18">MMULT(V14:Z18,AB14:AB18)+MMULT(V34:Z38,AB34:AB38)</f>
        <v>53.499999999999829</v>
      </c>
      <c r="V14" s="36">
        <f t="array" ref="V14:Z18">MMULT(MMULT(TRANSPOSE($C$3:$G$10),W3:AD10),$C$3:$G$10)</f>
        <v>-12.5</v>
      </c>
      <c r="W14" s="36">
        <v>0</v>
      </c>
      <c r="X14" s="36">
        <v>0</v>
      </c>
      <c r="Y14" s="36">
        <v>0</v>
      </c>
      <c r="Z14" s="36">
        <v>0</v>
      </c>
      <c r="AB14" s="36">
        <v>1</v>
      </c>
    </row>
    <row r="15" spans="2:30" x14ac:dyDescent="0.25">
      <c r="J15" s="36">
        <v>0.4</v>
      </c>
      <c r="K15" s="36">
        <v>-0.8</v>
      </c>
      <c r="L15" s="36">
        <v>0.4</v>
      </c>
      <c r="M15" s="36">
        <v>0</v>
      </c>
      <c r="N15" s="36">
        <v>0</v>
      </c>
      <c r="P15" s="64">
        <v>173.74999999999943</v>
      </c>
      <c r="R15" s="66">
        <v>-25.000000000000142</v>
      </c>
      <c r="S15" s="23" t="s">
        <v>60</v>
      </c>
      <c r="T15" s="66">
        <v>-25</v>
      </c>
      <c r="V15" s="36">
        <v>0</v>
      </c>
      <c r="W15" s="36">
        <v>-25</v>
      </c>
      <c r="X15" s="36">
        <v>0</v>
      </c>
      <c r="Y15" s="36">
        <v>0</v>
      </c>
      <c r="Z15" s="36">
        <v>0</v>
      </c>
      <c r="AB15" s="36">
        <v>1</v>
      </c>
    </row>
    <row r="16" spans="2:30" x14ac:dyDescent="0.25">
      <c r="J16" s="36">
        <v>0</v>
      </c>
      <c r="K16" s="36">
        <v>0.4</v>
      </c>
      <c r="L16" s="36">
        <v>-0.8</v>
      </c>
      <c r="M16" s="36">
        <v>0.4</v>
      </c>
      <c r="N16" s="36">
        <v>0</v>
      </c>
      <c r="P16" s="64">
        <v>244.99999999999849</v>
      </c>
      <c r="R16" s="66">
        <v>-25.000000000000071</v>
      </c>
      <c r="S16" s="23" t="s">
        <v>60</v>
      </c>
      <c r="T16" s="66">
        <v>-25</v>
      </c>
      <c r="V16" s="36">
        <v>0</v>
      </c>
      <c r="W16" s="36">
        <v>0</v>
      </c>
      <c r="X16" s="36">
        <v>-25</v>
      </c>
      <c r="Y16" s="36">
        <v>0</v>
      </c>
      <c r="Z16" s="36">
        <v>0</v>
      </c>
      <c r="AB16" s="36">
        <v>1</v>
      </c>
    </row>
    <row r="17" spans="10:30" x14ac:dyDescent="0.25">
      <c r="J17" s="36">
        <v>0</v>
      </c>
      <c r="K17" s="36">
        <v>0</v>
      </c>
      <c r="L17" s="36">
        <v>0.4</v>
      </c>
      <c r="M17" s="36">
        <v>-0.8</v>
      </c>
      <c r="N17" s="36">
        <v>0.4</v>
      </c>
      <c r="P17" s="64">
        <v>253.74999999999739</v>
      </c>
      <c r="R17" s="66">
        <v>-24.999999999998522</v>
      </c>
      <c r="S17" s="23" t="s">
        <v>60</v>
      </c>
      <c r="T17" s="66">
        <v>-25</v>
      </c>
      <c r="V17" s="36">
        <v>0</v>
      </c>
      <c r="W17" s="36">
        <v>0</v>
      </c>
      <c r="X17" s="36">
        <v>0</v>
      </c>
      <c r="Y17" s="36">
        <v>-25</v>
      </c>
      <c r="Z17" s="36">
        <v>0</v>
      </c>
      <c r="AB17" s="36">
        <v>1</v>
      </c>
    </row>
    <row r="18" spans="10:30" x14ac:dyDescent="0.25">
      <c r="J18" s="36">
        <v>0</v>
      </c>
      <c r="K18" s="36">
        <v>0</v>
      </c>
      <c r="L18" s="36">
        <v>0</v>
      </c>
      <c r="M18" s="36">
        <v>0.4</v>
      </c>
      <c r="N18" s="36">
        <v>-0.4</v>
      </c>
      <c r="P18" s="37">
        <v>200</v>
      </c>
      <c r="R18" s="66">
        <v>21.499999999998963</v>
      </c>
      <c r="S18" s="23" t="s">
        <v>60</v>
      </c>
      <c r="T18" s="66">
        <v>21.500000000000391</v>
      </c>
      <c r="V18" s="36">
        <v>0</v>
      </c>
      <c r="W18" s="36">
        <v>0</v>
      </c>
      <c r="X18" s="36">
        <v>0</v>
      </c>
      <c r="Y18" s="36">
        <v>0</v>
      </c>
      <c r="Z18" s="36">
        <v>-12.5</v>
      </c>
      <c r="AB18" s="36">
        <v>1</v>
      </c>
    </row>
    <row r="20" spans="10:30" x14ac:dyDescent="0.25">
      <c r="J20" t="s">
        <v>125</v>
      </c>
    </row>
    <row r="21" spans="10:30" x14ac:dyDescent="0.25">
      <c r="J21" s="37" t="s">
        <v>28</v>
      </c>
      <c r="K21" s="36" t="s">
        <v>126</v>
      </c>
      <c r="L21" s="36" t="s">
        <v>52</v>
      </c>
      <c r="W21" t="s">
        <v>118</v>
      </c>
    </row>
    <row r="22" spans="10:30" x14ac:dyDescent="0.25">
      <c r="J22" s="37">
        <v>0</v>
      </c>
      <c r="K22" s="37">
        <f>-5*(J22^2)+66*J22+40</f>
        <v>40</v>
      </c>
      <c r="L22" s="37">
        <f>P14</f>
        <v>40</v>
      </c>
      <c r="V22" s="7" t="s">
        <v>132</v>
      </c>
      <c r="W22" t="s">
        <v>9</v>
      </c>
      <c r="X22" t="s">
        <v>10</v>
      </c>
      <c r="Y22" t="s">
        <v>12</v>
      </c>
      <c r="Z22" t="s">
        <v>13</v>
      </c>
      <c r="AA22" t="s">
        <v>15</v>
      </c>
      <c r="AB22" t="s">
        <v>16</v>
      </c>
      <c r="AC22" t="s">
        <v>18</v>
      </c>
      <c r="AD22" t="s">
        <v>19</v>
      </c>
    </row>
    <row r="23" spans="10:30" x14ac:dyDescent="0.25">
      <c r="J23" s="37">
        <v>2.5</v>
      </c>
      <c r="K23" s="37">
        <f t="shared" ref="K23:K26" si="0">-5*(J23^2)+66*J23+40</f>
        <v>173.75</v>
      </c>
      <c r="L23" s="37">
        <f t="shared" ref="L23:L26" si="1">P15</f>
        <v>173.74999999999943</v>
      </c>
      <c r="V23" t="s">
        <v>9</v>
      </c>
      <c r="W23" s="36">
        <v>1</v>
      </c>
      <c r="X23" s="36">
        <v>0</v>
      </c>
      <c r="Y23" s="36">
        <v>0</v>
      </c>
      <c r="Z23" s="36">
        <v>0</v>
      </c>
      <c r="AA23" s="36">
        <v>0</v>
      </c>
      <c r="AB23" s="36">
        <v>0</v>
      </c>
      <c r="AC23" s="36">
        <v>0</v>
      </c>
      <c r="AD23" s="36">
        <v>0</v>
      </c>
    </row>
    <row r="24" spans="10:30" x14ac:dyDescent="0.25">
      <c r="J24" s="37">
        <v>5</v>
      </c>
      <c r="K24" s="37">
        <f t="shared" si="0"/>
        <v>245</v>
      </c>
      <c r="L24" s="37">
        <f t="shared" si="1"/>
        <v>244.99999999999849</v>
      </c>
      <c r="V24" t="s">
        <v>10</v>
      </c>
      <c r="W24" s="36">
        <v>0</v>
      </c>
      <c r="X24" s="36">
        <v>-1</v>
      </c>
      <c r="Y24" s="36">
        <v>0</v>
      </c>
      <c r="Z24" s="36">
        <v>0</v>
      </c>
      <c r="AA24" s="36">
        <v>0</v>
      </c>
      <c r="AB24" s="36">
        <v>0</v>
      </c>
      <c r="AC24" s="36">
        <v>0</v>
      </c>
      <c r="AD24" s="36">
        <v>0</v>
      </c>
    </row>
    <row r="25" spans="10:30" x14ac:dyDescent="0.25">
      <c r="J25" s="37">
        <v>7.5</v>
      </c>
      <c r="K25" s="37">
        <f t="shared" si="0"/>
        <v>253.75</v>
      </c>
      <c r="L25" s="37">
        <f t="shared" si="1"/>
        <v>253.74999999999739</v>
      </c>
      <c r="V25" t="s">
        <v>12</v>
      </c>
      <c r="W25" s="36">
        <v>0</v>
      </c>
      <c r="X25" s="36">
        <v>0</v>
      </c>
      <c r="Y25" s="36">
        <v>1</v>
      </c>
      <c r="Z25" s="36">
        <v>0</v>
      </c>
      <c r="AA25" s="36">
        <v>0</v>
      </c>
      <c r="AB25" s="36">
        <v>0</v>
      </c>
      <c r="AC25" s="36">
        <v>0</v>
      </c>
      <c r="AD25" s="36">
        <v>0</v>
      </c>
    </row>
    <row r="26" spans="10:30" x14ac:dyDescent="0.25">
      <c r="J26" s="37">
        <v>10</v>
      </c>
      <c r="K26" s="37">
        <f t="shared" si="0"/>
        <v>200</v>
      </c>
      <c r="L26" s="37">
        <f t="shared" si="1"/>
        <v>200</v>
      </c>
      <c r="V26" t="s">
        <v>13</v>
      </c>
      <c r="W26" s="36">
        <v>0</v>
      </c>
      <c r="X26" s="36">
        <v>0</v>
      </c>
      <c r="Y26" s="36">
        <v>0</v>
      </c>
      <c r="Z26" s="36">
        <v>-1</v>
      </c>
      <c r="AA26" s="36">
        <v>0</v>
      </c>
      <c r="AB26" s="36">
        <v>0</v>
      </c>
      <c r="AC26" s="36">
        <v>0</v>
      </c>
      <c r="AD26" s="36">
        <v>0</v>
      </c>
    </row>
    <row r="27" spans="10:30" x14ac:dyDescent="0.25">
      <c r="V27" t="s">
        <v>15</v>
      </c>
      <c r="W27" s="36">
        <v>0</v>
      </c>
      <c r="X27" s="36">
        <v>0</v>
      </c>
      <c r="Y27" s="36">
        <v>0</v>
      </c>
      <c r="Z27" s="36">
        <v>0</v>
      </c>
      <c r="AA27" s="36">
        <v>1</v>
      </c>
      <c r="AB27" s="36">
        <v>0</v>
      </c>
      <c r="AC27" s="36">
        <v>0</v>
      </c>
      <c r="AD27" s="36">
        <v>0</v>
      </c>
    </row>
    <row r="28" spans="10:30" x14ac:dyDescent="0.25">
      <c r="V28" t="s">
        <v>16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-1</v>
      </c>
      <c r="AC28" s="36">
        <v>0</v>
      </c>
      <c r="AD28" s="36">
        <v>0</v>
      </c>
    </row>
    <row r="29" spans="10:30" x14ac:dyDescent="0.25">
      <c r="V29" t="s">
        <v>18</v>
      </c>
      <c r="W29" s="36">
        <v>0</v>
      </c>
      <c r="X29" s="36">
        <v>0</v>
      </c>
      <c r="Y29" s="36">
        <v>0</v>
      </c>
      <c r="Z29" s="36">
        <v>0</v>
      </c>
      <c r="AA29" s="36">
        <v>0</v>
      </c>
      <c r="AB29" s="36">
        <v>0</v>
      </c>
      <c r="AC29" s="36">
        <v>1</v>
      </c>
      <c r="AD29" s="36">
        <v>0</v>
      </c>
    </row>
    <row r="30" spans="10:30" x14ac:dyDescent="0.25">
      <c r="V30" t="s">
        <v>19</v>
      </c>
      <c r="W30" s="36">
        <v>0</v>
      </c>
      <c r="X30" s="36">
        <v>0</v>
      </c>
      <c r="Y30" s="36">
        <v>0</v>
      </c>
      <c r="Z30" s="36">
        <v>0</v>
      </c>
      <c r="AA30" s="36">
        <v>0</v>
      </c>
      <c r="AB30" s="36">
        <v>0</v>
      </c>
      <c r="AC30" s="36">
        <v>0</v>
      </c>
      <c r="AD30" s="36">
        <v>-1</v>
      </c>
    </row>
    <row r="33" spans="22:28" ht="18.75" x14ac:dyDescent="0.35">
      <c r="V33" t="s">
        <v>133</v>
      </c>
      <c r="AB33" t="s">
        <v>134</v>
      </c>
    </row>
    <row r="34" spans="22:28" x14ac:dyDescent="0.25">
      <c r="V34" s="36">
        <f t="array" ref="V34:Z38">MMULT(MMULT(TRANSPOSE($C$3:$G$10),W23:AD30),$C$3:$G$10)</f>
        <v>1</v>
      </c>
      <c r="W34" s="36">
        <v>0</v>
      </c>
      <c r="X34" s="36">
        <v>0</v>
      </c>
      <c r="Y34" s="36">
        <v>0</v>
      </c>
      <c r="Z34" s="36">
        <v>0</v>
      </c>
      <c r="AB34" s="67">
        <v>65.999999999999829</v>
      </c>
    </row>
    <row r="35" spans="22:28" x14ac:dyDescent="0.25">
      <c r="V35" s="36">
        <v>0</v>
      </c>
      <c r="W35" s="36">
        <v>0</v>
      </c>
      <c r="X35" s="36">
        <v>0</v>
      </c>
      <c r="Y35" s="36">
        <v>0</v>
      </c>
      <c r="Z35" s="36">
        <v>0</v>
      </c>
      <c r="AB35" s="68">
        <v>0</v>
      </c>
    </row>
    <row r="36" spans="22:28" x14ac:dyDescent="0.25">
      <c r="V36" s="36">
        <v>0</v>
      </c>
      <c r="W36" s="36">
        <v>0</v>
      </c>
      <c r="X36" s="36">
        <v>0</v>
      </c>
      <c r="Y36" s="36">
        <v>0</v>
      </c>
      <c r="Z36" s="36">
        <v>0</v>
      </c>
      <c r="AB36" s="68">
        <v>0</v>
      </c>
    </row>
    <row r="37" spans="22:28" x14ac:dyDescent="0.25">
      <c r="V37" s="36">
        <v>0</v>
      </c>
      <c r="W37" s="36">
        <v>0</v>
      </c>
      <c r="X37" s="36">
        <v>0</v>
      </c>
      <c r="Y37" s="36">
        <v>0</v>
      </c>
      <c r="Z37" s="36">
        <v>0</v>
      </c>
      <c r="AB37" s="68">
        <v>0</v>
      </c>
    </row>
    <row r="38" spans="22:28" x14ac:dyDescent="0.25">
      <c r="V38" s="36">
        <v>0</v>
      </c>
      <c r="W38" s="36">
        <v>0</v>
      </c>
      <c r="X38" s="36">
        <v>0</v>
      </c>
      <c r="Y38" s="36">
        <v>0</v>
      </c>
      <c r="Z38" s="36">
        <v>-1</v>
      </c>
      <c r="AB38" s="67">
        <v>-34.000000000000391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B1:AK26"/>
  <sheetViews>
    <sheetView topLeftCell="H1" workbookViewId="0">
      <selection activeCell="AA2" sqref="AA2"/>
    </sheetView>
  </sheetViews>
  <sheetFormatPr defaultRowHeight="15" x14ac:dyDescent="0.25"/>
  <sheetData>
    <row r="1" spans="2:37" x14ac:dyDescent="0.25">
      <c r="C1" t="s">
        <v>117</v>
      </c>
      <c r="J1" t="s">
        <v>118</v>
      </c>
      <c r="T1" t="s">
        <v>118</v>
      </c>
      <c r="AD1" t="s">
        <v>118</v>
      </c>
    </row>
    <row r="2" spans="2:37" x14ac:dyDescent="0.25">
      <c r="B2" s="7" t="s">
        <v>27</v>
      </c>
      <c r="C2" t="s">
        <v>1</v>
      </c>
      <c r="D2" t="s">
        <v>2</v>
      </c>
      <c r="E2" t="s">
        <v>3</v>
      </c>
      <c r="F2" t="s">
        <v>0</v>
      </c>
      <c r="G2" t="s">
        <v>4</v>
      </c>
      <c r="I2" s="7" t="s">
        <v>30</v>
      </c>
      <c r="J2" t="s">
        <v>9</v>
      </c>
      <c r="K2" t="s">
        <v>10</v>
      </c>
      <c r="L2" t="s">
        <v>12</v>
      </c>
      <c r="M2" t="s">
        <v>13</v>
      </c>
      <c r="N2" t="s">
        <v>15</v>
      </c>
      <c r="O2" t="s">
        <v>16</v>
      </c>
      <c r="P2" t="s">
        <v>18</v>
      </c>
      <c r="Q2" t="s">
        <v>19</v>
      </c>
      <c r="S2" s="7" t="s">
        <v>127</v>
      </c>
      <c r="T2" t="s">
        <v>9</v>
      </c>
      <c r="U2" t="s">
        <v>10</v>
      </c>
      <c r="V2" t="s">
        <v>12</v>
      </c>
      <c r="W2" t="s">
        <v>13</v>
      </c>
      <c r="X2" t="s">
        <v>15</v>
      </c>
      <c r="Y2" t="s">
        <v>16</v>
      </c>
      <c r="Z2" t="s">
        <v>18</v>
      </c>
      <c r="AA2" t="s">
        <v>19</v>
      </c>
      <c r="AC2" s="7" t="s">
        <v>132</v>
      </c>
      <c r="AD2" t="s">
        <v>9</v>
      </c>
      <c r="AE2" t="s">
        <v>10</v>
      </c>
      <c r="AF2" t="s">
        <v>12</v>
      </c>
      <c r="AG2" t="s">
        <v>13</v>
      </c>
      <c r="AH2" t="s">
        <v>15</v>
      </c>
      <c r="AI2" t="s">
        <v>16</v>
      </c>
      <c r="AJ2" t="s">
        <v>18</v>
      </c>
      <c r="AK2" t="s">
        <v>19</v>
      </c>
    </row>
    <row r="3" spans="2:37" x14ac:dyDescent="0.25">
      <c r="B3" t="s">
        <v>9</v>
      </c>
      <c r="C3" s="25">
        <v>0</v>
      </c>
      <c r="D3" s="25">
        <v>0</v>
      </c>
      <c r="E3" s="25">
        <v>0</v>
      </c>
      <c r="F3" s="25">
        <v>1</v>
      </c>
      <c r="G3" s="25">
        <v>0</v>
      </c>
      <c r="I3" t="s">
        <v>9</v>
      </c>
      <c r="J3" s="36">
        <v>-0.4</v>
      </c>
      <c r="K3" s="36">
        <v>0.4</v>
      </c>
      <c r="L3" s="36">
        <v>0</v>
      </c>
      <c r="M3" s="36">
        <v>0</v>
      </c>
      <c r="N3" s="36">
        <v>0</v>
      </c>
      <c r="O3" s="36">
        <v>0</v>
      </c>
      <c r="P3" s="36">
        <v>0</v>
      </c>
      <c r="Q3" s="36">
        <v>0</v>
      </c>
      <c r="S3" t="s">
        <v>9</v>
      </c>
      <c r="T3" s="36">
        <v>-12.5</v>
      </c>
      <c r="U3" s="36">
        <v>0</v>
      </c>
      <c r="V3" s="36">
        <v>0</v>
      </c>
      <c r="W3" s="36">
        <v>0</v>
      </c>
      <c r="X3" s="36">
        <v>0</v>
      </c>
      <c r="Y3" s="36">
        <v>0</v>
      </c>
      <c r="Z3" s="36">
        <v>0</v>
      </c>
      <c r="AA3" s="36">
        <v>0</v>
      </c>
      <c r="AC3" t="s">
        <v>9</v>
      </c>
      <c r="AD3" s="36">
        <v>1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</row>
    <row r="4" spans="2:37" x14ac:dyDescent="0.25">
      <c r="B4" t="s">
        <v>10</v>
      </c>
      <c r="C4" s="25">
        <v>1</v>
      </c>
      <c r="D4" s="25">
        <v>0</v>
      </c>
      <c r="E4" s="25">
        <v>0</v>
      </c>
      <c r="F4" s="25">
        <v>0</v>
      </c>
      <c r="G4" s="25">
        <v>0</v>
      </c>
      <c r="I4" t="s">
        <v>10</v>
      </c>
      <c r="J4" s="36">
        <v>0.4</v>
      </c>
      <c r="K4" s="36">
        <v>-0.4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  <c r="S4" t="s">
        <v>10</v>
      </c>
      <c r="T4" s="36">
        <v>0</v>
      </c>
      <c r="U4" s="36">
        <v>-12.5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  <c r="AC4" t="s">
        <v>10</v>
      </c>
      <c r="AD4" s="36">
        <v>0</v>
      </c>
      <c r="AE4" s="36">
        <v>-1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</row>
    <row r="5" spans="2:37" x14ac:dyDescent="0.25">
      <c r="B5" t="s">
        <v>12</v>
      </c>
      <c r="C5" s="25">
        <v>1</v>
      </c>
      <c r="D5" s="25">
        <v>0</v>
      </c>
      <c r="E5" s="25">
        <v>0</v>
      </c>
      <c r="F5" s="25">
        <v>0</v>
      </c>
      <c r="G5" s="25">
        <v>0</v>
      </c>
      <c r="I5" t="s">
        <v>12</v>
      </c>
      <c r="J5" s="36">
        <v>0</v>
      </c>
      <c r="K5" s="36">
        <v>0</v>
      </c>
      <c r="L5" s="36">
        <v>-0.4</v>
      </c>
      <c r="M5" s="36">
        <v>0.4</v>
      </c>
      <c r="N5" s="36">
        <v>0</v>
      </c>
      <c r="O5" s="36">
        <v>0</v>
      </c>
      <c r="P5" s="36">
        <v>0</v>
      </c>
      <c r="Q5" s="36">
        <v>0</v>
      </c>
      <c r="S5" t="s">
        <v>12</v>
      </c>
      <c r="T5" s="36">
        <v>0</v>
      </c>
      <c r="U5" s="36">
        <v>0</v>
      </c>
      <c r="V5" s="36">
        <v>-12.5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C5" t="s">
        <v>12</v>
      </c>
      <c r="AD5" s="36">
        <v>0</v>
      </c>
      <c r="AE5" s="36">
        <v>0</v>
      </c>
      <c r="AF5" s="36">
        <v>1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</row>
    <row r="6" spans="2:37" x14ac:dyDescent="0.25">
      <c r="B6" t="s">
        <v>13</v>
      </c>
      <c r="C6" s="25">
        <v>0</v>
      </c>
      <c r="D6" s="25">
        <v>1</v>
      </c>
      <c r="E6" s="25">
        <v>0</v>
      </c>
      <c r="F6" s="25">
        <v>0</v>
      </c>
      <c r="G6" s="25">
        <v>0</v>
      </c>
      <c r="I6" t="s">
        <v>13</v>
      </c>
      <c r="J6" s="36">
        <v>0</v>
      </c>
      <c r="K6" s="36">
        <v>0</v>
      </c>
      <c r="L6" s="36">
        <v>0.4</v>
      </c>
      <c r="M6" s="36">
        <v>-0.4</v>
      </c>
      <c r="N6" s="36">
        <v>0</v>
      </c>
      <c r="O6" s="36">
        <v>0</v>
      </c>
      <c r="P6" s="36">
        <v>0</v>
      </c>
      <c r="Q6" s="36">
        <v>0</v>
      </c>
      <c r="S6" t="s">
        <v>13</v>
      </c>
      <c r="T6" s="36">
        <v>0</v>
      </c>
      <c r="U6" s="36">
        <v>0</v>
      </c>
      <c r="V6" s="36">
        <v>0</v>
      </c>
      <c r="W6" s="36">
        <v>-12.5</v>
      </c>
      <c r="X6" s="36">
        <v>0</v>
      </c>
      <c r="Y6" s="36">
        <v>0</v>
      </c>
      <c r="Z6" s="36">
        <v>0</v>
      </c>
      <c r="AA6" s="36">
        <v>0</v>
      </c>
      <c r="AC6" t="s">
        <v>13</v>
      </c>
      <c r="AD6" s="36">
        <v>0</v>
      </c>
      <c r="AE6" s="36">
        <v>0</v>
      </c>
      <c r="AF6" s="36">
        <v>0</v>
      </c>
      <c r="AG6" s="36">
        <v>-1</v>
      </c>
      <c r="AH6" s="36">
        <v>0</v>
      </c>
      <c r="AI6" s="36">
        <v>0</v>
      </c>
      <c r="AJ6" s="36">
        <v>0</v>
      </c>
      <c r="AK6" s="36">
        <v>0</v>
      </c>
    </row>
    <row r="7" spans="2:37" x14ac:dyDescent="0.25">
      <c r="B7" t="s">
        <v>15</v>
      </c>
      <c r="C7" s="25">
        <v>0</v>
      </c>
      <c r="D7" s="25">
        <v>1</v>
      </c>
      <c r="E7" s="25">
        <v>0</v>
      </c>
      <c r="F7" s="25">
        <v>0</v>
      </c>
      <c r="G7" s="25">
        <v>0</v>
      </c>
      <c r="I7" t="s">
        <v>15</v>
      </c>
      <c r="J7" s="36">
        <v>0</v>
      </c>
      <c r="K7" s="36">
        <v>0</v>
      </c>
      <c r="L7" s="36">
        <v>0</v>
      </c>
      <c r="M7" s="36">
        <v>0</v>
      </c>
      <c r="N7" s="36">
        <v>-0.4</v>
      </c>
      <c r="O7" s="36">
        <v>0.4</v>
      </c>
      <c r="P7" s="36">
        <v>0</v>
      </c>
      <c r="Q7" s="36">
        <v>0</v>
      </c>
      <c r="S7" t="s">
        <v>15</v>
      </c>
      <c r="T7" s="36">
        <v>0</v>
      </c>
      <c r="U7" s="36">
        <v>0</v>
      </c>
      <c r="V7" s="36">
        <v>0</v>
      </c>
      <c r="W7" s="36">
        <v>0</v>
      </c>
      <c r="X7" s="36">
        <v>-12.5</v>
      </c>
      <c r="Y7" s="36">
        <v>0</v>
      </c>
      <c r="Z7" s="36">
        <v>0</v>
      </c>
      <c r="AA7" s="36">
        <v>0</v>
      </c>
      <c r="AC7" t="s">
        <v>15</v>
      </c>
      <c r="AD7" s="36">
        <v>0</v>
      </c>
      <c r="AE7" s="36">
        <v>0</v>
      </c>
      <c r="AF7" s="36">
        <v>0</v>
      </c>
      <c r="AG7" s="36">
        <v>0</v>
      </c>
      <c r="AH7" s="36">
        <v>1</v>
      </c>
      <c r="AI7" s="36">
        <v>0</v>
      </c>
      <c r="AJ7" s="36">
        <v>0</v>
      </c>
      <c r="AK7" s="36">
        <v>0</v>
      </c>
    </row>
    <row r="8" spans="2:37" x14ac:dyDescent="0.25">
      <c r="B8" t="s">
        <v>16</v>
      </c>
      <c r="C8" s="25">
        <v>0</v>
      </c>
      <c r="D8" s="25">
        <v>0</v>
      </c>
      <c r="E8" s="25">
        <v>1</v>
      </c>
      <c r="F8" s="25">
        <v>0</v>
      </c>
      <c r="G8" s="25">
        <v>0</v>
      </c>
      <c r="I8" t="s">
        <v>16</v>
      </c>
      <c r="J8" s="36">
        <v>0</v>
      </c>
      <c r="K8" s="36">
        <v>0</v>
      </c>
      <c r="L8" s="36">
        <v>0</v>
      </c>
      <c r="M8" s="36">
        <v>0</v>
      </c>
      <c r="N8" s="36">
        <v>0.4</v>
      </c>
      <c r="O8" s="36">
        <v>-0.4</v>
      </c>
      <c r="P8" s="36">
        <v>0</v>
      </c>
      <c r="Q8" s="36">
        <v>0</v>
      </c>
      <c r="S8" t="s">
        <v>16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-12.5</v>
      </c>
      <c r="Z8" s="36">
        <v>0</v>
      </c>
      <c r="AA8" s="36">
        <v>0</v>
      </c>
      <c r="AC8" t="s">
        <v>16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6">
        <v>-1</v>
      </c>
      <c r="AJ8" s="36">
        <v>0</v>
      </c>
      <c r="AK8" s="36">
        <v>0</v>
      </c>
    </row>
    <row r="9" spans="2:37" x14ac:dyDescent="0.25">
      <c r="B9" t="s">
        <v>18</v>
      </c>
      <c r="C9" s="25">
        <v>0</v>
      </c>
      <c r="D9" s="25">
        <v>0</v>
      </c>
      <c r="E9" s="25">
        <v>1</v>
      </c>
      <c r="F9" s="25">
        <v>0</v>
      </c>
      <c r="G9" s="25">
        <v>0</v>
      </c>
      <c r="I9" t="s">
        <v>18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-0.4</v>
      </c>
      <c r="Q9" s="36">
        <v>0.4</v>
      </c>
      <c r="S9" t="s">
        <v>18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-12.5</v>
      </c>
      <c r="AA9" s="36">
        <v>0</v>
      </c>
      <c r="AC9" t="s">
        <v>18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1</v>
      </c>
      <c r="AK9" s="36">
        <v>0</v>
      </c>
    </row>
    <row r="10" spans="2:37" x14ac:dyDescent="0.25">
      <c r="B10" t="s">
        <v>19</v>
      </c>
      <c r="C10" s="25">
        <v>0</v>
      </c>
      <c r="D10" s="25">
        <v>0</v>
      </c>
      <c r="E10" s="25">
        <v>0</v>
      </c>
      <c r="F10" s="25">
        <v>0</v>
      </c>
      <c r="G10" s="25">
        <v>1</v>
      </c>
      <c r="I10" t="s">
        <v>19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0.4</v>
      </c>
      <c r="Q10" s="36">
        <v>-0.4</v>
      </c>
      <c r="S10" t="s">
        <v>19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-12.5</v>
      </c>
      <c r="AC10" t="s">
        <v>19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-1</v>
      </c>
    </row>
    <row r="13" spans="2:37" ht="18.75" x14ac:dyDescent="0.35">
      <c r="J13" s="6" t="s">
        <v>120</v>
      </c>
      <c r="P13" s="6" t="s">
        <v>52</v>
      </c>
      <c r="T13" t="s">
        <v>130</v>
      </c>
      <c r="Z13" s="6" t="s">
        <v>131</v>
      </c>
      <c r="AD13" t="s">
        <v>133</v>
      </c>
      <c r="AJ13" t="s">
        <v>134</v>
      </c>
    </row>
    <row r="14" spans="2:37" x14ac:dyDescent="0.25">
      <c r="J14" s="69">
        <f t="array" ref="J14:N18">MMULT(MMULT(TRANSPOSE(C3:G10),J3:Q10),C3:G10)</f>
        <v>-0.8</v>
      </c>
      <c r="K14" s="69">
        <v>0.4</v>
      </c>
      <c r="L14" s="69">
        <v>0</v>
      </c>
      <c r="M14" s="36">
        <v>0.4</v>
      </c>
      <c r="N14" s="36">
        <v>0</v>
      </c>
      <c r="P14" s="64">
        <v>173.74999999999943</v>
      </c>
      <c r="T14" s="69">
        <f t="array" ref="T14:X18">MMULT(MMULT(TRANSPOSE($C$3:$G$10),T3:AA10),$C$3:$G$10)</f>
        <v>-25</v>
      </c>
      <c r="U14" s="69">
        <v>0</v>
      </c>
      <c r="V14" s="69">
        <v>0</v>
      </c>
      <c r="W14" s="36">
        <v>0</v>
      </c>
      <c r="X14" s="36">
        <v>0</v>
      </c>
      <c r="Z14" s="36">
        <v>1</v>
      </c>
      <c r="AD14" s="69">
        <f t="array" ref="AD14:AH18">MMULT(MMULT(TRANSPOSE($C$3:$G$10),AD3:AK10),$C$3:$G$10)</f>
        <v>0</v>
      </c>
      <c r="AE14" s="69">
        <v>0</v>
      </c>
      <c r="AF14" s="69">
        <v>0</v>
      </c>
      <c r="AG14" s="36">
        <v>0</v>
      </c>
      <c r="AH14" s="36">
        <v>0</v>
      </c>
      <c r="AJ14" s="68">
        <v>0</v>
      </c>
    </row>
    <row r="15" spans="2:37" x14ac:dyDescent="0.25">
      <c r="J15" s="69">
        <v>0.4</v>
      </c>
      <c r="K15" s="69">
        <v>-0.8</v>
      </c>
      <c r="L15" s="69">
        <v>0.4</v>
      </c>
      <c r="M15" s="36">
        <v>0</v>
      </c>
      <c r="N15" s="36">
        <v>0</v>
      </c>
      <c r="P15" s="64">
        <v>244.99999999999852</v>
      </c>
      <c r="T15" s="69">
        <v>0</v>
      </c>
      <c r="U15" s="69">
        <v>-25</v>
      </c>
      <c r="V15" s="69">
        <v>0</v>
      </c>
      <c r="W15" s="36">
        <v>0</v>
      </c>
      <c r="X15" s="36">
        <v>0</v>
      </c>
      <c r="Z15" s="36">
        <v>1</v>
      </c>
      <c r="AD15" s="69">
        <v>0</v>
      </c>
      <c r="AE15" s="69">
        <v>0</v>
      </c>
      <c r="AF15" s="69">
        <v>0</v>
      </c>
      <c r="AG15" s="36">
        <v>0</v>
      </c>
      <c r="AH15" s="36">
        <v>0</v>
      </c>
      <c r="AJ15" s="68">
        <v>0</v>
      </c>
    </row>
    <row r="16" spans="2:37" x14ac:dyDescent="0.25">
      <c r="J16" s="69">
        <v>0</v>
      </c>
      <c r="K16" s="69">
        <v>0.4</v>
      </c>
      <c r="L16" s="69">
        <v>-0.8</v>
      </c>
      <c r="M16" s="36">
        <v>0</v>
      </c>
      <c r="N16" s="36">
        <v>0.4</v>
      </c>
      <c r="P16" s="64">
        <v>253.74999999999739</v>
      </c>
      <c r="T16" s="69">
        <v>0</v>
      </c>
      <c r="U16" s="69">
        <v>0</v>
      </c>
      <c r="V16" s="69">
        <v>-25</v>
      </c>
      <c r="W16" s="36">
        <v>0</v>
      </c>
      <c r="X16" s="36">
        <v>0</v>
      </c>
      <c r="Z16" s="36">
        <v>1</v>
      </c>
      <c r="AD16" s="69">
        <v>0</v>
      </c>
      <c r="AE16" s="69">
        <v>0</v>
      </c>
      <c r="AF16" s="69">
        <v>0</v>
      </c>
      <c r="AG16" s="36">
        <v>0</v>
      </c>
      <c r="AH16" s="36">
        <v>0</v>
      </c>
      <c r="AJ16" s="68">
        <v>0</v>
      </c>
    </row>
    <row r="17" spans="10:36" x14ac:dyDescent="0.25">
      <c r="J17" s="36">
        <v>0.4</v>
      </c>
      <c r="K17" s="36">
        <v>0</v>
      </c>
      <c r="L17" s="36">
        <v>0</v>
      </c>
      <c r="M17" s="70">
        <v>-0.4</v>
      </c>
      <c r="N17" s="70">
        <v>0</v>
      </c>
      <c r="P17" s="71">
        <v>40</v>
      </c>
      <c r="T17" s="36">
        <v>0</v>
      </c>
      <c r="U17" s="36">
        <v>0</v>
      </c>
      <c r="V17" s="36">
        <v>0</v>
      </c>
      <c r="W17" s="70">
        <v>-12.5</v>
      </c>
      <c r="X17" s="70">
        <v>0</v>
      </c>
      <c r="Z17" s="36">
        <v>1</v>
      </c>
      <c r="AD17" s="36">
        <v>0</v>
      </c>
      <c r="AE17" s="36">
        <v>0</v>
      </c>
      <c r="AF17" s="36">
        <v>0</v>
      </c>
      <c r="AG17" s="70">
        <v>1</v>
      </c>
      <c r="AH17" s="70">
        <v>0</v>
      </c>
      <c r="AJ17" s="67">
        <v>65.999999999999844</v>
      </c>
    </row>
    <row r="18" spans="10:36" x14ac:dyDescent="0.25">
      <c r="J18" s="36">
        <v>0</v>
      </c>
      <c r="K18" s="36">
        <v>0</v>
      </c>
      <c r="L18" s="36">
        <v>0.4</v>
      </c>
      <c r="M18" s="70">
        <v>0</v>
      </c>
      <c r="N18" s="70">
        <v>-0.4</v>
      </c>
      <c r="P18" s="37">
        <v>200</v>
      </c>
      <c r="T18" s="36">
        <v>0</v>
      </c>
      <c r="U18" s="36">
        <v>0</v>
      </c>
      <c r="V18" s="36">
        <v>0</v>
      </c>
      <c r="W18" s="70">
        <v>0</v>
      </c>
      <c r="X18" s="70">
        <v>-12.5</v>
      </c>
      <c r="Z18" s="36">
        <v>1</v>
      </c>
      <c r="AD18" s="36">
        <v>0</v>
      </c>
      <c r="AE18" s="36">
        <v>0</v>
      </c>
      <c r="AF18" s="36">
        <v>0</v>
      </c>
      <c r="AG18" s="70">
        <v>0</v>
      </c>
      <c r="AH18" s="70">
        <v>-1</v>
      </c>
      <c r="AJ18" s="67">
        <v>-34.000000000000391</v>
      </c>
    </row>
    <row r="20" spans="10:36" x14ac:dyDescent="0.25">
      <c r="J20" t="s">
        <v>125</v>
      </c>
    </row>
    <row r="21" spans="10:36" ht="18" x14ac:dyDescent="0.35">
      <c r="J21" s="37" t="s">
        <v>28</v>
      </c>
      <c r="K21" s="36" t="s">
        <v>126</v>
      </c>
      <c r="L21" s="36" t="s">
        <v>52</v>
      </c>
      <c r="N21" t="s">
        <v>128</v>
      </c>
      <c r="P21" t="s">
        <v>129</v>
      </c>
    </row>
    <row r="22" spans="10:36" x14ac:dyDescent="0.25">
      <c r="J22" s="37">
        <v>0</v>
      </c>
      <c r="K22" s="37">
        <f>-5*(J22^2)+66*J22+40</f>
        <v>40</v>
      </c>
      <c r="L22" s="37">
        <f>P17</f>
        <v>40</v>
      </c>
      <c r="N22" s="66">
        <f t="array" ref="N22:N26">MMULT(J14:N18,P14:P18)</f>
        <v>-25.000000000000128</v>
      </c>
      <c r="O22" s="23" t="s">
        <v>60</v>
      </c>
      <c r="P22" s="66">
        <f t="array" ref="P22:P26">MMULT(T14:X18,Z14:Z18)+MMULT(AD14:AH18,AJ14:AJ18)</f>
        <v>-25</v>
      </c>
    </row>
    <row r="23" spans="10:36" x14ac:dyDescent="0.25">
      <c r="J23" s="37">
        <v>2.5</v>
      </c>
      <c r="K23" s="37">
        <f t="shared" ref="K23:K26" si="0">-5*(J23^2)+66*J23+40</f>
        <v>173.75</v>
      </c>
      <c r="L23" s="37">
        <f>P14</f>
        <v>173.74999999999943</v>
      </c>
      <c r="N23" s="66">
        <v>-25.000000000000099</v>
      </c>
      <c r="O23" s="23" t="s">
        <v>60</v>
      </c>
      <c r="P23" s="66">
        <v>-25</v>
      </c>
    </row>
    <row r="24" spans="10:36" x14ac:dyDescent="0.25">
      <c r="J24" s="37">
        <v>5</v>
      </c>
      <c r="K24" s="37">
        <f t="shared" si="0"/>
        <v>245</v>
      </c>
      <c r="L24" s="37">
        <f>P15</f>
        <v>244.99999999999852</v>
      </c>
      <c r="N24" s="66">
        <v>-24.999999999998508</v>
      </c>
      <c r="O24" s="23" t="s">
        <v>60</v>
      </c>
      <c r="P24" s="66">
        <v>-25</v>
      </c>
    </row>
    <row r="25" spans="10:36" x14ac:dyDescent="0.25">
      <c r="J25" s="37">
        <v>7.5</v>
      </c>
      <c r="K25" s="37">
        <f t="shared" si="0"/>
        <v>253.75</v>
      </c>
      <c r="L25" s="37">
        <f>P16</f>
        <v>253.74999999999739</v>
      </c>
      <c r="N25" s="66">
        <v>53.499999999999773</v>
      </c>
      <c r="O25" s="23" t="s">
        <v>60</v>
      </c>
      <c r="P25" s="66">
        <v>53.499999999999844</v>
      </c>
    </row>
    <row r="26" spans="10:36" x14ac:dyDescent="0.25">
      <c r="J26" s="37">
        <v>10</v>
      </c>
      <c r="K26" s="37">
        <f t="shared" si="0"/>
        <v>200</v>
      </c>
      <c r="L26" s="37">
        <f t="shared" ref="L26" si="1">P18</f>
        <v>200</v>
      </c>
      <c r="N26" s="66">
        <v>21.499999999998963</v>
      </c>
      <c r="O26" s="23" t="s">
        <v>60</v>
      </c>
      <c r="P26" s="66">
        <v>21.500000000000391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AK34"/>
  <sheetViews>
    <sheetView workbookViewId="0">
      <selection activeCell="AA2" sqref="AA2"/>
    </sheetView>
  </sheetViews>
  <sheetFormatPr defaultRowHeight="15" x14ac:dyDescent="0.25"/>
  <sheetData>
    <row r="1" spans="2:37" x14ac:dyDescent="0.25">
      <c r="C1" t="s">
        <v>117</v>
      </c>
      <c r="J1" t="s">
        <v>118</v>
      </c>
      <c r="T1" t="s">
        <v>118</v>
      </c>
      <c r="AD1" t="s">
        <v>118</v>
      </c>
    </row>
    <row r="2" spans="2:37" ht="18" x14ac:dyDescent="0.35">
      <c r="B2" s="7" t="s">
        <v>27</v>
      </c>
      <c r="C2" t="s">
        <v>1</v>
      </c>
      <c r="D2" t="s">
        <v>2</v>
      </c>
      <c r="E2" t="s">
        <v>3</v>
      </c>
      <c r="F2" t="s">
        <v>0</v>
      </c>
      <c r="G2" t="s">
        <v>4</v>
      </c>
      <c r="I2" s="7" t="s">
        <v>135</v>
      </c>
      <c r="J2" t="s">
        <v>9</v>
      </c>
      <c r="K2" t="s">
        <v>10</v>
      </c>
      <c r="L2" t="s">
        <v>12</v>
      </c>
      <c r="M2" t="s">
        <v>13</v>
      </c>
      <c r="N2" t="s">
        <v>15</v>
      </c>
      <c r="O2" t="s">
        <v>16</v>
      </c>
      <c r="P2" t="s">
        <v>18</v>
      </c>
      <c r="Q2" t="s">
        <v>19</v>
      </c>
      <c r="S2" s="7" t="s">
        <v>127</v>
      </c>
      <c r="T2" t="s">
        <v>9</v>
      </c>
      <c r="U2" t="s">
        <v>10</v>
      </c>
      <c r="V2" t="s">
        <v>12</v>
      </c>
      <c r="W2" t="s">
        <v>13</v>
      </c>
      <c r="X2" t="s">
        <v>15</v>
      </c>
      <c r="Y2" t="s">
        <v>16</v>
      </c>
      <c r="Z2" t="s">
        <v>18</v>
      </c>
      <c r="AA2" t="s">
        <v>19</v>
      </c>
      <c r="AC2" s="7" t="s">
        <v>132</v>
      </c>
      <c r="AD2" t="s">
        <v>9</v>
      </c>
      <c r="AE2" t="s">
        <v>10</v>
      </c>
      <c r="AF2" t="s">
        <v>12</v>
      </c>
      <c r="AG2" t="s">
        <v>13</v>
      </c>
      <c r="AH2" t="s">
        <v>15</v>
      </c>
      <c r="AI2" t="s">
        <v>16</v>
      </c>
      <c r="AJ2" t="s">
        <v>18</v>
      </c>
      <c r="AK2" t="s">
        <v>19</v>
      </c>
    </row>
    <row r="3" spans="2:37" x14ac:dyDescent="0.25">
      <c r="B3" t="s">
        <v>9</v>
      </c>
      <c r="C3" s="25">
        <v>0</v>
      </c>
      <c r="D3" s="25">
        <v>0</v>
      </c>
      <c r="E3" s="25">
        <v>0</v>
      </c>
      <c r="F3" s="25">
        <v>1</v>
      </c>
      <c r="G3" s="25">
        <v>0</v>
      </c>
      <c r="I3" t="s">
        <v>9</v>
      </c>
      <c r="J3" s="36">
        <v>-0.4</v>
      </c>
      <c r="K3" s="36">
        <v>0.4</v>
      </c>
      <c r="L3" s="36">
        <v>0</v>
      </c>
      <c r="M3" s="36">
        <v>0</v>
      </c>
      <c r="N3" s="36">
        <v>0</v>
      </c>
      <c r="O3" s="36">
        <v>0</v>
      </c>
      <c r="P3" s="36">
        <v>0</v>
      </c>
      <c r="Q3" s="36">
        <v>0</v>
      </c>
      <c r="S3" t="s">
        <v>9</v>
      </c>
      <c r="T3" s="36">
        <v>-12.5</v>
      </c>
      <c r="U3" s="36">
        <v>0</v>
      </c>
      <c r="V3" s="36">
        <v>0</v>
      </c>
      <c r="W3" s="36">
        <v>0</v>
      </c>
      <c r="X3" s="36">
        <v>0</v>
      </c>
      <c r="Y3" s="36">
        <v>0</v>
      </c>
      <c r="Z3" s="36">
        <v>0</v>
      </c>
      <c r="AA3" s="36">
        <v>0</v>
      </c>
      <c r="AC3" t="s">
        <v>9</v>
      </c>
      <c r="AD3" s="36">
        <v>1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</row>
    <row r="4" spans="2:37" x14ac:dyDescent="0.25">
      <c r="B4" t="s">
        <v>10</v>
      </c>
      <c r="C4" s="25">
        <v>1</v>
      </c>
      <c r="D4" s="25">
        <v>0</v>
      </c>
      <c r="E4" s="25">
        <v>0</v>
      </c>
      <c r="F4" s="25">
        <v>0</v>
      </c>
      <c r="G4" s="25">
        <v>0</v>
      </c>
      <c r="I4" t="s">
        <v>10</v>
      </c>
      <c r="J4" s="36">
        <v>0.4</v>
      </c>
      <c r="K4" s="36">
        <v>-0.4</v>
      </c>
      <c r="L4" s="36">
        <v>0</v>
      </c>
      <c r="M4" s="36">
        <v>0</v>
      </c>
      <c r="N4" s="36">
        <v>0</v>
      </c>
      <c r="O4" s="36">
        <v>0</v>
      </c>
      <c r="P4" s="36">
        <v>0</v>
      </c>
      <c r="Q4" s="36">
        <v>0</v>
      </c>
      <c r="S4" t="s">
        <v>10</v>
      </c>
      <c r="T4" s="36">
        <v>0</v>
      </c>
      <c r="U4" s="36">
        <v>-12.5</v>
      </c>
      <c r="V4" s="36">
        <v>0</v>
      </c>
      <c r="W4" s="36">
        <v>0</v>
      </c>
      <c r="X4" s="36">
        <v>0</v>
      </c>
      <c r="Y4" s="36">
        <v>0</v>
      </c>
      <c r="Z4" s="36">
        <v>0</v>
      </c>
      <c r="AA4" s="36">
        <v>0</v>
      </c>
      <c r="AC4" t="s">
        <v>10</v>
      </c>
      <c r="AD4" s="36">
        <v>0</v>
      </c>
      <c r="AE4" s="36">
        <v>-1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</row>
    <row r="5" spans="2:37" x14ac:dyDescent="0.25">
      <c r="B5" t="s">
        <v>12</v>
      </c>
      <c r="C5" s="25">
        <v>1</v>
      </c>
      <c r="D5" s="25">
        <v>0</v>
      </c>
      <c r="E5" s="25">
        <v>0</v>
      </c>
      <c r="F5" s="25">
        <v>0</v>
      </c>
      <c r="G5" s="25">
        <v>0</v>
      </c>
      <c r="I5" t="s">
        <v>12</v>
      </c>
      <c r="J5" s="36">
        <v>0</v>
      </c>
      <c r="K5" s="36">
        <v>0</v>
      </c>
      <c r="L5" s="36">
        <v>-0.4</v>
      </c>
      <c r="M5" s="36">
        <v>0.4</v>
      </c>
      <c r="N5" s="36">
        <v>0</v>
      </c>
      <c r="O5" s="36">
        <v>0</v>
      </c>
      <c r="P5" s="36">
        <v>0</v>
      </c>
      <c r="Q5" s="36">
        <v>0</v>
      </c>
      <c r="S5" t="s">
        <v>12</v>
      </c>
      <c r="T5" s="36">
        <v>0</v>
      </c>
      <c r="U5" s="36">
        <v>0</v>
      </c>
      <c r="V5" s="36">
        <v>-12.5</v>
      </c>
      <c r="W5" s="36">
        <v>0</v>
      </c>
      <c r="X5" s="36">
        <v>0</v>
      </c>
      <c r="Y5" s="36">
        <v>0</v>
      </c>
      <c r="Z5" s="36">
        <v>0</v>
      </c>
      <c r="AA5" s="36">
        <v>0</v>
      </c>
      <c r="AC5" t="s">
        <v>12</v>
      </c>
      <c r="AD5" s="36">
        <v>0</v>
      </c>
      <c r="AE5" s="36">
        <v>0</v>
      </c>
      <c r="AF5" s="36">
        <v>1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</row>
    <row r="6" spans="2:37" x14ac:dyDescent="0.25">
      <c r="B6" t="s">
        <v>13</v>
      </c>
      <c r="C6" s="25">
        <v>0</v>
      </c>
      <c r="D6" s="25">
        <v>1</v>
      </c>
      <c r="E6" s="25">
        <v>0</v>
      </c>
      <c r="F6" s="25">
        <v>0</v>
      </c>
      <c r="G6" s="25">
        <v>0</v>
      </c>
      <c r="I6" t="s">
        <v>13</v>
      </c>
      <c r="J6" s="36">
        <v>0</v>
      </c>
      <c r="K6" s="36">
        <v>0</v>
      </c>
      <c r="L6" s="36">
        <v>0.4</v>
      </c>
      <c r="M6" s="36">
        <v>-0.4</v>
      </c>
      <c r="N6" s="36">
        <v>0</v>
      </c>
      <c r="O6" s="36">
        <v>0</v>
      </c>
      <c r="P6" s="36">
        <v>0</v>
      </c>
      <c r="Q6" s="36">
        <v>0</v>
      </c>
      <c r="S6" t="s">
        <v>13</v>
      </c>
      <c r="T6" s="36">
        <v>0</v>
      </c>
      <c r="U6" s="36">
        <v>0</v>
      </c>
      <c r="V6" s="36">
        <v>0</v>
      </c>
      <c r="W6" s="36">
        <v>-12.5</v>
      </c>
      <c r="X6" s="36">
        <v>0</v>
      </c>
      <c r="Y6" s="36">
        <v>0</v>
      </c>
      <c r="Z6" s="36">
        <v>0</v>
      </c>
      <c r="AA6" s="36">
        <v>0</v>
      </c>
      <c r="AC6" t="s">
        <v>13</v>
      </c>
      <c r="AD6" s="36">
        <v>0</v>
      </c>
      <c r="AE6" s="36">
        <v>0</v>
      </c>
      <c r="AF6" s="36">
        <v>0</v>
      </c>
      <c r="AG6" s="36">
        <v>-1</v>
      </c>
      <c r="AH6" s="36">
        <v>0</v>
      </c>
      <c r="AI6" s="36">
        <v>0</v>
      </c>
      <c r="AJ6" s="36">
        <v>0</v>
      </c>
      <c r="AK6" s="36">
        <v>0</v>
      </c>
    </row>
    <row r="7" spans="2:37" x14ac:dyDescent="0.25">
      <c r="B7" t="s">
        <v>15</v>
      </c>
      <c r="C7" s="25">
        <v>0</v>
      </c>
      <c r="D7" s="25">
        <v>1</v>
      </c>
      <c r="E7" s="25">
        <v>0</v>
      </c>
      <c r="F7" s="25">
        <v>0</v>
      </c>
      <c r="G7" s="25">
        <v>0</v>
      </c>
      <c r="I7" t="s">
        <v>15</v>
      </c>
      <c r="J7" s="36">
        <v>0</v>
      </c>
      <c r="K7" s="36">
        <v>0</v>
      </c>
      <c r="L7" s="36">
        <v>0</v>
      </c>
      <c r="M7" s="36">
        <v>0</v>
      </c>
      <c r="N7" s="36">
        <v>-0.4</v>
      </c>
      <c r="O7" s="36">
        <v>0.4</v>
      </c>
      <c r="P7" s="36">
        <v>0</v>
      </c>
      <c r="Q7" s="36">
        <v>0</v>
      </c>
      <c r="S7" t="s">
        <v>15</v>
      </c>
      <c r="T7" s="36">
        <v>0</v>
      </c>
      <c r="U7" s="36">
        <v>0</v>
      </c>
      <c r="V7" s="36">
        <v>0</v>
      </c>
      <c r="W7" s="36">
        <v>0</v>
      </c>
      <c r="X7" s="36">
        <v>-12.5</v>
      </c>
      <c r="Y7" s="36">
        <v>0</v>
      </c>
      <c r="Z7" s="36">
        <v>0</v>
      </c>
      <c r="AA7" s="36">
        <v>0</v>
      </c>
      <c r="AC7" t="s">
        <v>15</v>
      </c>
      <c r="AD7" s="36">
        <v>0</v>
      </c>
      <c r="AE7" s="36">
        <v>0</v>
      </c>
      <c r="AF7" s="36">
        <v>0</v>
      </c>
      <c r="AG7" s="36">
        <v>0</v>
      </c>
      <c r="AH7" s="36">
        <v>1</v>
      </c>
      <c r="AI7" s="36">
        <v>0</v>
      </c>
      <c r="AJ7" s="36">
        <v>0</v>
      </c>
      <c r="AK7" s="36">
        <v>0</v>
      </c>
    </row>
    <row r="8" spans="2:37" x14ac:dyDescent="0.25">
      <c r="B8" t="s">
        <v>16</v>
      </c>
      <c r="C8" s="25">
        <v>0</v>
      </c>
      <c r="D8" s="25">
        <v>0</v>
      </c>
      <c r="E8" s="25">
        <v>1</v>
      </c>
      <c r="F8" s="25">
        <v>0</v>
      </c>
      <c r="G8" s="25">
        <v>0</v>
      </c>
      <c r="I8" t="s">
        <v>16</v>
      </c>
      <c r="J8" s="36">
        <v>0</v>
      </c>
      <c r="K8" s="36">
        <v>0</v>
      </c>
      <c r="L8" s="36">
        <v>0</v>
      </c>
      <c r="M8" s="36">
        <v>0</v>
      </c>
      <c r="N8" s="36">
        <v>0.4</v>
      </c>
      <c r="O8" s="36">
        <v>-0.4</v>
      </c>
      <c r="P8" s="36">
        <v>0</v>
      </c>
      <c r="Q8" s="36">
        <v>0</v>
      </c>
      <c r="S8" t="s">
        <v>16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-12.5</v>
      </c>
      <c r="Z8" s="36">
        <v>0</v>
      </c>
      <c r="AA8" s="36">
        <v>0</v>
      </c>
      <c r="AC8" t="s">
        <v>16</v>
      </c>
      <c r="AD8" s="36">
        <v>0</v>
      </c>
      <c r="AE8" s="36">
        <v>0</v>
      </c>
      <c r="AF8" s="36">
        <v>0</v>
      </c>
      <c r="AG8" s="36">
        <v>0</v>
      </c>
      <c r="AH8" s="36">
        <v>0</v>
      </c>
      <c r="AI8" s="36">
        <v>-1</v>
      </c>
      <c r="AJ8" s="36">
        <v>0</v>
      </c>
      <c r="AK8" s="36">
        <v>0</v>
      </c>
    </row>
    <row r="9" spans="2:37" x14ac:dyDescent="0.25">
      <c r="B9" t="s">
        <v>18</v>
      </c>
      <c r="C9" s="25">
        <v>0</v>
      </c>
      <c r="D9" s="25">
        <v>0</v>
      </c>
      <c r="E9" s="25">
        <v>1</v>
      </c>
      <c r="F9" s="25">
        <v>0</v>
      </c>
      <c r="G9" s="25">
        <v>0</v>
      </c>
      <c r="I9" t="s">
        <v>18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-0.4</v>
      </c>
      <c r="Q9" s="36">
        <v>0.4</v>
      </c>
      <c r="S9" t="s">
        <v>18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-12.5</v>
      </c>
      <c r="AA9" s="36">
        <v>0</v>
      </c>
      <c r="AC9" t="s">
        <v>18</v>
      </c>
      <c r="AD9" s="36">
        <v>0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1</v>
      </c>
      <c r="AK9" s="36">
        <v>0</v>
      </c>
    </row>
    <row r="10" spans="2:37" x14ac:dyDescent="0.25">
      <c r="B10" t="s">
        <v>19</v>
      </c>
      <c r="C10" s="25">
        <v>0</v>
      </c>
      <c r="D10" s="25">
        <v>0</v>
      </c>
      <c r="E10" s="25">
        <v>0</v>
      </c>
      <c r="F10" s="25">
        <v>0</v>
      </c>
      <c r="G10" s="25">
        <v>1</v>
      </c>
      <c r="I10" t="s">
        <v>19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  <c r="O10" s="36">
        <v>0</v>
      </c>
      <c r="P10" s="36">
        <v>0.4</v>
      </c>
      <c r="Q10" s="36">
        <v>-0.4</v>
      </c>
      <c r="S10" t="s">
        <v>19</v>
      </c>
      <c r="T10" s="36">
        <v>0</v>
      </c>
      <c r="U10" s="36">
        <v>0</v>
      </c>
      <c r="V10" s="36">
        <v>0</v>
      </c>
      <c r="W10" s="36">
        <v>0</v>
      </c>
      <c r="X10" s="36">
        <v>0</v>
      </c>
      <c r="Y10" s="36">
        <v>0</v>
      </c>
      <c r="Z10" s="36">
        <v>0</v>
      </c>
      <c r="AA10" s="36">
        <v>-12.5</v>
      </c>
      <c r="AC10" t="s">
        <v>19</v>
      </c>
      <c r="AD10" s="36">
        <v>0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-1</v>
      </c>
    </row>
    <row r="13" spans="2:37" ht="18.75" x14ac:dyDescent="0.35">
      <c r="J13" s="6" t="s">
        <v>136</v>
      </c>
      <c r="T13" t="s">
        <v>137</v>
      </c>
      <c r="Z13" s="29">
        <v>1</v>
      </c>
      <c r="AD13" t="s">
        <v>138</v>
      </c>
      <c r="AJ13" s="6" t="s">
        <v>52</v>
      </c>
    </row>
    <row r="14" spans="2:37" x14ac:dyDescent="0.25">
      <c r="J14" s="69">
        <f t="array" ref="J14:N18">MMULT(MMULT(TRANSPOSE(C3:G10),J3:Q10),C3:G10)</f>
        <v>-0.8</v>
      </c>
      <c r="K14" s="69">
        <v>0.4</v>
      </c>
      <c r="L14" s="69">
        <v>0</v>
      </c>
      <c r="M14" s="36">
        <v>0.4</v>
      </c>
      <c r="N14" s="36">
        <v>0</v>
      </c>
      <c r="T14" s="69">
        <f t="array" ref="T14:X18">MMULT(MMULT(TRANSPOSE($C$3:$G$10),T3:AA10),$C$3:$G$10)</f>
        <v>-25</v>
      </c>
      <c r="U14" s="69">
        <v>0</v>
      </c>
      <c r="V14" s="69">
        <v>0</v>
      </c>
      <c r="W14" s="36">
        <v>0</v>
      </c>
      <c r="X14" s="36">
        <v>0</v>
      </c>
      <c r="Z14" s="36">
        <v>1</v>
      </c>
      <c r="AA14" t="s">
        <v>139</v>
      </c>
      <c r="AD14" s="69">
        <f t="array" ref="AD14:AH18">MMULT(MMULT(TRANSPOSE($C$3:$G$10),AD3:AK10),$C$3:$G$10)</f>
        <v>0</v>
      </c>
      <c r="AE14" s="69">
        <v>0</v>
      </c>
      <c r="AF14" s="69">
        <v>0</v>
      </c>
      <c r="AG14" s="36">
        <v>0</v>
      </c>
      <c r="AH14" s="36">
        <v>0</v>
      </c>
      <c r="AJ14" s="68">
        <v>0</v>
      </c>
      <c r="AK14" t="s">
        <v>140</v>
      </c>
    </row>
    <row r="15" spans="2:37" x14ac:dyDescent="0.25">
      <c r="J15" s="69">
        <v>0.4</v>
      </c>
      <c r="K15" s="69">
        <v>-0.8</v>
      </c>
      <c r="L15" s="69">
        <v>0.4</v>
      </c>
      <c r="M15" s="36">
        <v>0</v>
      </c>
      <c r="N15" s="36">
        <v>0</v>
      </c>
      <c r="T15" s="69">
        <v>0</v>
      </c>
      <c r="U15" s="69">
        <v>-25</v>
      </c>
      <c r="V15" s="69">
        <v>0</v>
      </c>
      <c r="W15" s="36">
        <v>0</v>
      </c>
      <c r="X15" s="36">
        <v>0</v>
      </c>
      <c r="Z15" s="36">
        <v>1</v>
      </c>
      <c r="AD15" s="69">
        <v>0</v>
      </c>
      <c r="AE15" s="69">
        <v>0</v>
      </c>
      <c r="AF15" s="69">
        <v>0</v>
      </c>
      <c r="AG15" s="36">
        <v>0</v>
      </c>
      <c r="AH15" s="36">
        <v>0</v>
      </c>
      <c r="AJ15" s="68">
        <v>0</v>
      </c>
    </row>
    <row r="16" spans="2:37" x14ac:dyDescent="0.25">
      <c r="J16" s="69">
        <v>0</v>
      </c>
      <c r="K16" s="69">
        <v>0.4</v>
      </c>
      <c r="L16" s="69">
        <v>-0.8</v>
      </c>
      <c r="M16" s="36">
        <v>0</v>
      </c>
      <c r="N16" s="36">
        <v>0.4</v>
      </c>
      <c r="T16" s="69">
        <v>0</v>
      </c>
      <c r="U16" s="69">
        <v>0</v>
      </c>
      <c r="V16" s="69">
        <v>-25</v>
      </c>
      <c r="W16" s="36">
        <v>0</v>
      </c>
      <c r="X16" s="36">
        <v>0</v>
      </c>
      <c r="Z16" s="36">
        <v>1</v>
      </c>
      <c r="AD16" s="69">
        <v>0</v>
      </c>
      <c r="AE16" s="69">
        <v>0</v>
      </c>
      <c r="AF16" s="69">
        <v>0</v>
      </c>
      <c r="AG16" s="36">
        <v>0</v>
      </c>
      <c r="AH16" s="36">
        <v>0</v>
      </c>
      <c r="AJ16" s="68">
        <v>0</v>
      </c>
    </row>
    <row r="17" spans="4:37" x14ac:dyDescent="0.25">
      <c r="J17" s="36">
        <v>0.4</v>
      </c>
      <c r="K17" s="36">
        <v>0</v>
      </c>
      <c r="L17" s="36">
        <v>0</v>
      </c>
      <c r="M17" s="70">
        <v>-0.4</v>
      </c>
      <c r="N17" s="70">
        <v>0</v>
      </c>
      <c r="P17" s="71">
        <v>40</v>
      </c>
      <c r="Q17" t="s">
        <v>141</v>
      </c>
      <c r="T17" s="36">
        <v>0</v>
      </c>
      <c r="U17" s="36">
        <v>0</v>
      </c>
      <c r="V17" s="36">
        <v>0</v>
      </c>
      <c r="W17" s="70">
        <v>-12.5</v>
      </c>
      <c r="X17" s="70">
        <v>0</v>
      </c>
      <c r="Z17" s="36">
        <v>1</v>
      </c>
      <c r="AA17" t="s">
        <v>142</v>
      </c>
      <c r="AD17" s="36">
        <v>0</v>
      </c>
      <c r="AE17" s="36">
        <v>0</v>
      </c>
      <c r="AF17" s="36">
        <v>0</v>
      </c>
      <c r="AG17" s="70">
        <v>1</v>
      </c>
      <c r="AH17" s="70">
        <v>0</v>
      </c>
      <c r="AJ17" s="72">
        <v>65.999999999999844</v>
      </c>
      <c r="AK17" t="s">
        <v>143</v>
      </c>
    </row>
    <row r="18" spans="4:37" x14ac:dyDescent="0.25">
      <c r="J18" s="36">
        <v>0</v>
      </c>
      <c r="K18" s="36">
        <v>0</v>
      </c>
      <c r="L18" s="36">
        <v>0.4</v>
      </c>
      <c r="M18" s="70">
        <v>0</v>
      </c>
      <c r="N18" s="70">
        <v>-0.4</v>
      </c>
      <c r="P18" s="37">
        <v>200</v>
      </c>
      <c r="T18" s="36">
        <v>0</v>
      </c>
      <c r="U18" s="36">
        <v>0</v>
      </c>
      <c r="V18" s="36">
        <v>0</v>
      </c>
      <c r="W18" s="70">
        <v>0</v>
      </c>
      <c r="X18" s="70">
        <v>-12.5</v>
      </c>
      <c r="Z18" s="36">
        <v>1</v>
      </c>
      <c r="AD18" s="36">
        <v>0</v>
      </c>
      <c r="AE18" s="36">
        <v>0</v>
      </c>
      <c r="AF18" s="36">
        <v>0</v>
      </c>
      <c r="AG18" s="70">
        <v>0</v>
      </c>
      <c r="AH18" s="70">
        <v>-1</v>
      </c>
      <c r="AJ18" s="72">
        <v>-34.000000000000391</v>
      </c>
    </row>
    <row r="20" spans="4:37" x14ac:dyDescent="0.25">
      <c r="J20" t="s">
        <v>144</v>
      </c>
      <c r="K20" s="73" t="s">
        <v>145</v>
      </c>
      <c r="T20" t="s">
        <v>146</v>
      </c>
      <c r="U20" t="s">
        <v>147</v>
      </c>
      <c r="AD20" t="s">
        <v>148</v>
      </c>
      <c r="AE20" s="73" t="s">
        <v>149</v>
      </c>
    </row>
    <row r="21" spans="4:37" x14ac:dyDescent="0.25">
      <c r="J21" t="s">
        <v>150</v>
      </c>
      <c r="K21" s="73" t="s">
        <v>151</v>
      </c>
      <c r="P21" t="s">
        <v>152</v>
      </c>
      <c r="T21" t="s">
        <v>153</v>
      </c>
      <c r="U21" t="s">
        <v>154</v>
      </c>
      <c r="AD21" t="s">
        <v>155</v>
      </c>
      <c r="AE21" s="73" t="s">
        <v>156</v>
      </c>
    </row>
    <row r="22" spans="4:37" x14ac:dyDescent="0.25">
      <c r="J22" s="13">
        <f t="array" ref="J22:L24">J14:L16</f>
        <v>-0.8</v>
      </c>
      <c r="K22" s="14">
        <v>0.4</v>
      </c>
      <c r="L22" s="15">
        <v>0</v>
      </c>
      <c r="M22" s="13">
        <f t="array" ref="M22:N24">-AG14:AH16</f>
        <v>0</v>
      </c>
      <c r="N22" s="15">
        <v>0</v>
      </c>
      <c r="P22" s="74">
        <f t="array" ref="P22:P26">MMULT(MINVERSE(J22:N26),MMULT(T22:X26,Z22:Z26)+MMULT(AD22:AH26,AJ22:AJ26))</f>
        <v>173.74999999999997</v>
      </c>
      <c r="Q22" t="s">
        <v>157</v>
      </c>
      <c r="T22" s="13">
        <f t="array" ref="T22:X26">T14:X18</f>
        <v>-25</v>
      </c>
      <c r="U22" s="14">
        <v>0</v>
      </c>
      <c r="V22" s="15">
        <v>0</v>
      </c>
      <c r="W22" s="13">
        <v>0</v>
      </c>
      <c r="X22" s="15">
        <v>0</v>
      </c>
      <c r="Z22" s="79">
        <f t="array" ref="Z22:Z26">Z14:Z18</f>
        <v>1</v>
      </c>
      <c r="AA22" t="s">
        <v>139</v>
      </c>
      <c r="AD22" s="13">
        <f t="array" ref="AD22:AF24">AD14:AF16</f>
        <v>0</v>
      </c>
      <c r="AE22" s="14">
        <v>0</v>
      </c>
      <c r="AF22" s="15">
        <v>0</v>
      </c>
      <c r="AG22" s="13">
        <f t="array" ref="AG22:AH24">-M14:N16</f>
        <v>-0.4</v>
      </c>
      <c r="AH22" s="15">
        <v>0</v>
      </c>
      <c r="AJ22" s="79">
        <f t="array" ref="AJ22:AJ24">AJ14:AJ16</f>
        <v>0</v>
      </c>
      <c r="AK22" t="s">
        <v>140</v>
      </c>
    </row>
    <row r="23" spans="4:37" x14ac:dyDescent="0.25">
      <c r="J23" s="16">
        <v>0.4</v>
      </c>
      <c r="K23" s="4">
        <v>-0.8</v>
      </c>
      <c r="L23" s="17">
        <v>0.4</v>
      </c>
      <c r="M23" s="16">
        <v>0</v>
      </c>
      <c r="N23" s="17">
        <v>0</v>
      </c>
      <c r="P23" s="75">
        <v>244.99999999999991</v>
      </c>
      <c r="T23" s="16">
        <v>0</v>
      </c>
      <c r="U23" s="4">
        <v>-25</v>
      </c>
      <c r="V23" s="17">
        <v>0</v>
      </c>
      <c r="W23" s="16">
        <v>0</v>
      </c>
      <c r="X23" s="17">
        <v>0</v>
      </c>
      <c r="Z23" s="80">
        <v>1</v>
      </c>
      <c r="AD23" s="16">
        <v>0</v>
      </c>
      <c r="AE23" s="4">
        <v>0</v>
      </c>
      <c r="AF23" s="17">
        <v>0</v>
      </c>
      <c r="AG23" s="16">
        <v>0</v>
      </c>
      <c r="AH23" s="17">
        <v>0</v>
      </c>
      <c r="AJ23" s="80">
        <v>0</v>
      </c>
    </row>
    <row r="24" spans="4:37" x14ac:dyDescent="0.25">
      <c r="J24" s="18">
        <v>0</v>
      </c>
      <c r="K24" s="19">
        <v>0.4</v>
      </c>
      <c r="L24" s="20">
        <v>-0.8</v>
      </c>
      <c r="M24" s="18">
        <v>0</v>
      </c>
      <c r="N24" s="20">
        <v>0</v>
      </c>
      <c r="P24" s="76">
        <v>253.74999999999994</v>
      </c>
      <c r="T24" s="18">
        <v>0</v>
      </c>
      <c r="U24" s="19">
        <v>0</v>
      </c>
      <c r="V24" s="20">
        <v>-25</v>
      </c>
      <c r="W24" s="18">
        <v>0</v>
      </c>
      <c r="X24" s="20">
        <v>0</v>
      </c>
      <c r="Z24" s="81">
        <v>1</v>
      </c>
      <c r="AD24" s="18">
        <v>0</v>
      </c>
      <c r="AE24" s="19">
        <v>0</v>
      </c>
      <c r="AF24" s="20">
        <v>0</v>
      </c>
      <c r="AG24" s="18">
        <v>0</v>
      </c>
      <c r="AH24" s="20">
        <v>-0.4</v>
      </c>
      <c r="AJ24" s="81">
        <v>0</v>
      </c>
    </row>
    <row r="25" spans="4:37" x14ac:dyDescent="0.25">
      <c r="J25" s="13">
        <f t="array" ref="J25:L26">J17:L18</f>
        <v>0.4</v>
      </c>
      <c r="K25" s="14">
        <v>0</v>
      </c>
      <c r="L25" s="15">
        <v>0</v>
      </c>
      <c r="M25" s="13">
        <f t="array" ref="M25:N26">-AG17:AH18</f>
        <v>-1</v>
      </c>
      <c r="N25" s="15">
        <v>0</v>
      </c>
      <c r="P25" s="77">
        <v>66</v>
      </c>
      <c r="Q25" t="s">
        <v>143</v>
      </c>
      <c r="T25" s="13">
        <v>0</v>
      </c>
      <c r="U25" s="14">
        <v>0</v>
      </c>
      <c r="V25" s="15">
        <v>0</v>
      </c>
      <c r="W25" s="13">
        <v>-12.5</v>
      </c>
      <c r="X25" s="15">
        <v>0</v>
      </c>
      <c r="Z25" s="79">
        <v>1</v>
      </c>
      <c r="AA25" t="s">
        <v>142</v>
      </c>
      <c r="AD25" s="13">
        <f t="array" ref="AD25:AF26">AD17:AF18</f>
        <v>0</v>
      </c>
      <c r="AE25" s="14">
        <v>0</v>
      </c>
      <c r="AF25" s="15">
        <v>0</v>
      </c>
      <c r="AG25" s="13">
        <f t="array" ref="AG25:AH26">-M17:N18</f>
        <v>0.4</v>
      </c>
      <c r="AH25" s="15">
        <v>0</v>
      </c>
      <c r="AJ25" s="79">
        <f t="array" ref="AJ25:AJ26">P17:P18</f>
        <v>40</v>
      </c>
      <c r="AK25" t="s">
        <v>141</v>
      </c>
    </row>
    <row r="26" spans="4:37" x14ac:dyDescent="0.25">
      <c r="J26" s="18">
        <v>0</v>
      </c>
      <c r="K26" s="19">
        <v>0</v>
      </c>
      <c r="L26" s="20">
        <v>0.4</v>
      </c>
      <c r="M26" s="18">
        <v>0</v>
      </c>
      <c r="N26" s="20">
        <v>1</v>
      </c>
      <c r="P26" s="78">
        <v>-33.999999999999972</v>
      </c>
      <c r="T26" s="18">
        <v>0</v>
      </c>
      <c r="U26" s="19">
        <v>0</v>
      </c>
      <c r="V26" s="20">
        <v>0</v>
      </c>
      <c r="W26" s="18">
        <v>0</v>
      </c>
      <c r="X26" s="20">
        <v>-12.5</v>
      </c>
      <c r="Z26" s="81">
        <v>1</v>
      </c>
      <c r="AD26" s="18">
        <v>0</v>
      </c>
      <c r="AE26" s="19">
        <v>0</v>
      </c>
      <c r="AF26" s="20">
        <v>0</v>
      </c>
      <c r="AG26" s="18">
        <v>0</v>
      </c>
      <c r="AH26" s="20">
        <v>0.4</v>
      </c>
      <c r="AJ26" s="81">
        <v>200</v>
      </c>
    </row>
    <row r="28" spans="4:37" x14ac:dyDescent="0.25">
      <c r="D28" t="s">
        <v>125</v>
      </c>
    </row>
    <row r="29" spans="4:37" x14ac:dyDescent="0.25">
      <c r="D29" s="37" t="s">
        <v>28</v>
      </c>
      <c r="E29" s="36" t="s">
        <v>126</v>
      </c>
      <c r="F29" s="36" t="s">
        <v>52</v>
      </c>
    </row>
    <row r="30" spans="4:37" x14ac:dyDescent="0.25">
      <c r="D30" s="37">
        <v>0</v>
      </c>
      <c r="E30" s="37">
        <f>-5*(D30^2)+66*D30+40</f>
        <v>40</v>
      </c>
      <c r="F30" s="37">
        <f>P17</f>
        <v>40</v>
      </c>
    </row>
    <row r="31" spans="4:37" x14ac:dyDescent="0.25">
      <c r="D31" s="37">
        <v>2.5</v>
      </c>
      <c r="E31" s="37">
        <f t="shared" ref="E31:E34" si="0">-5*(D31^2)+66*D31+40</f>
        <v>173.75</v>
      </c>
      <c r="F31" s="37">
        <f>P22</f>
        <v>173.74999999999997</v>
      </c>
    </row>
    <row r="32" spans="4:37" x14ac:dyDescent="0.25">
      <c r="D32" s="37">
        <v>5</v>
      </c>
      <c r="E32" s="37">
        <f t="shared" si="0"/>
        <v>245</v>
      </c>
      <c r="F32" s="37">
        <f t="shared" ref="F32:F33" si="1">P23</f>
        <v>244.99999999999991</v>
      </c>
    </row>
    <row r="33" spans="4:6" x14ac:dyDescent="0.25">
      <c r="D33" s="37">
        <v>7.5</v>
      </c>
      <c r="E33" s="37">
        <f t="shared" si="0"/>
        <v>253.75</v>
      </c>
      <c r="F33" s="37">
        <f t="shared" si="1"/>
        <v>253.74999999999994</v>
      </c>
    </row>
    <row r="34" spans="4:6" x14ac:dyDescent="0.25">
      <c r="D34" s="37">
        <v>10</v>
      </c>
      <c r="E34" s="37">
        <f t="shared" si="0"/>
        <v>200</v>
      </c>
      <c r="F34" s="37">
        <f>P18</f>
        <v>200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H13"/>
  <sheetViews>
    <sheetView zoomScale="150" zoomScaleNormal="150" workbookViewId="0">
      <selection activeCell="F10" sqref="F10"/>
    </sheetView>
  </sheetViews>
  <sheetFormatPr defaultRowHeight="15" x14ac:dyDescent="0.25"/>
  <sheetData>
    <row r="1" spans="1:8" x14ac:dyDescent="0.25">
      <c r="B1" s="23">
        <v>1</v>
      </c>
      <c r="C1" s="23" t="s">
        <v>28</v>
      </c>
      <c r="D1" s="23" t="s">
        <v>29</v>
      </c>
    </row>
    <row r="2" spans="1:8" x14ac:dyDescent="0.25">
      <c r="B2" s="82">
        <v>1</v>
      </c>
      <c r="C2" s="49">
        <v>-3</v>
      </c>
      <c r="D2" s="83">
        <v>-3</v>
      </c>
      <c r="F2">
        <f>$D4^2-2*$D3*$D4+$D3^2+$C4^2-2*$C3*$C4+$C3^2</f>
        <v>8</v>
      </c>
      <c r="G2">
        <f>F3</f>
        <v>4</v>
      </c>
      <c r="H2">
        <f>F4</f>
        <v>-12</v>
      </c>
    </row>
    <row r="3" spans="1:8" x14ac:dyDescent="0.25">
      <c r="B3" s="82">
        <v>1</v>
      </c>
      <c r="C3" s="49">
        <v>-1</v>
      </c>
      <c r="D3" s="83">
        <v>1</v>
      </c>
      <c r="F3">
        <f>-($D4^2)+($D3+$D2)*$D4-($D2*$D3)-($C4^2)+($C3+$C2)*$C4-($C2*$C3)</f>
        <v>4</v>
      </c>
      <c r="G3">
        <f>$D4^2-2*$D2*$D4+$D2^2+$C4^2-2*$C2*$C4+$C2^2</f>
        <v>4</v>
      </c>
      <c r="H3">
        <f>G4</f>
        <v>-8</v>
      </c>
    </row>
    <row r="4" spans="1:8" x14ac:dyDescent="0.25">
      <c r="B4" s="82">
        <v>1</v>
      </c>
      <c r="C4" s="49">
        <v>-3</v>
      </c>
      <c r="D4" s="83">
        <v>-1</v>
      </c>
      <c r="F4">
        <f>($D3-$D2)*$D4-$D3^2+$D2*$D3+($C3-$C2)*$C4-$C3^2+$C2*$C3</f>
        <v>-12</v>
      </c>
      <c r="G4">
        <f>($D2-$D3)*$D4+$D2*$D3-$D2^2+($C2-$C3)*$C4+$C2*$C3-$C2^2</f>
        <v>-8</v>
      </c>
      <c r="H4">
        <f>$D3^2-2*$D2*$D3+$D2^2+$C3^2-2*$C2*$C3+$C2^2</f>
        <v>20</v>
      </c>
    </row>
    <row r="6" spans="1:8" x14ac:dyDescent="0.25">
      <c r="B6" s="82">
        <f t="array" ref="B6:D8">MINVERSE($B$2:$D$4)</f>
        <v>1</v>
      </c>
      <c r="C6" s="49">
        <v>1.5</v>
      </c>
      <c r="D6" s="83">
        <v>-1.5</v>
      </c>
      <c r="F6">
        <f t="shared" ref="F6:H8" si="0">F2/B11</f>
        <v>16</v>
      </c>
      <c r="G6">
        <f t="shared" si="0"/>
        <v>16</v>
      </c>
      <c r="H6">
        <f t="shared" si="0"/>
        <v>16</v>
      </c>
    </row>
    <row r="7" spans="1:8" x14ac:dyDescent="0.25">
      <c r="B7" s="82">
        <v>0.5</v>
      </c>
      <c r="C7" s="49">
        <v>0.5</v>
      </c>
      <c r="D7" s="83">
        <v>-1</v>
      </c>
      <c r="F7">
        <f t="shared" si="0"/>
        <v>16</v>
      </c>
      <c r="G7">
        <f t="shared" si="0"/>
        <v>16</v>
      </c>
      <c r="H7">
        <f t="shared" si="0"/>
        <v>16</v>
      </c>
    </row>
    <row r="8" spans="1:8" x14ac:dyDescent="0.25">
      <c r="B8" s="82">
        <v>-0.5</v>
      </c>
      <c r="C8" s="49">
        <v>0</v>
      </c>
      <c r="D8" s="83">
        <v>0.5</v>
      </c>
      <c r="F8">
        <f t="shared" si="0"/>
        <v>16</v>
      </c>
      <c r="G8">
        <f t="shared" si="0"/>
        <v>16</v>
      </c>
      <c r="H8">
        <f t="shared" si="0"/>
        <v>16</v>
      </c>
    </row>
    <row r="9" spans="1:8" x14ac:dyDescent="0.25">
      <c r="B9" s="49"/>
      <c r="C9" s="49"/>
      <c r="D9" s="49"/>
    </row>
    <row r="10" spans="1:8" x14ac:dyDescent="0.25">
      <c r="F10" t="s">
        <v>218</v>
      </c>
    </row>
    <row r="11" spans="1:8" x14ac:dyDescent="0.25">
      <c r="A11" t="s">
        <v>158</v>
      </c>
      <c r="B11" s="3">
        <f t="array" ref="B11:D11">MMULT(TRANSPOSE(B$7:B$8),$B$7:$D$8)</f>
        <v>0.5</v>
      </c>
      <c r="C11" s="4">
        <v>0.25</v>
      </c>
      <c r="D11" s="5">
        <v>-0.75</v>
      </c>
      <c r="F11" s="136">
        <f t="array" aca="1" ref="F11:H13" ca="1">rigidez(B2:D4)</f>
        <v>0.5</v>
      </c>
      <c r="G11" s="136">
        <f ca="1"/>
        <v>0.25</v>
      </c>
      <c r="H11" s="136">
        <f ca="1"/>
        <v>-0.75</v>
      </c>
    </row>
    <row r="12" spans="1:8" x14ac:dyDescent="0.25">
      <c r="A12" t="s">
        <v>159</v>
      </c>
      <c r="B12" s="3">
        <f t="array" ref="B12:D12">MMULT(TRANSPOSE(C$7:C$8),$B$7:$D$8)</f>
        <v>0.25</v>
      </c>
      <c r="C12" s="4">
        <v>0.25</v>
      </c>
      <c r="D12" s="5">
        <v>-0.5</v>
      </c>
      <c r="F12" s="136">
        <f ca="1"/>
        <v>0.25</v>
      </c>
      <c r="G12" s="136">
        <f ca="1"/>
        <v>0.25</v>
      </c>
      <c r="H12" s="136">
        <f ca="1"/>
        <v>-0.5</v>
      </c>
    </row>
    <row r="13" spans="1:8" x14ac:dyDescent="0.25">
      <c r="A13" t="s">
        <v>160</v>
      </c>
      <c r="B13" s="3">
        <f t="array" ref="B13:D13">MMULT(TRANSPOSE(D$7:D$8),$B$7:$D$8)</f>
        <v>-0.75</v>
      </c>
      <c r="C13" s="4">
        <v>-0.5</v>
      </c>
      <c r="D13" s="5">
        <v>1.25</v>
      </c>
      <c r="F13" s="136">
        <f ca="1"/>
        <v>-0.75</v>
      </c>
      <c r="G13" s="136">
        <f ca="1"/>
        <v>-0.5</v>
      </c>
      <c r="H13" s="136">
        <f ca="1"/>
        <v>1.25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H13"/>
  <sheetViews>
    <sheetView zoomScale="150" zoomScaleNormal="150" workbookViewId="0">
      <selection activeCell="I2" sqref="I2"/>
    </sheetView>
  </sheetViews>
  <sheetFormatPr defaultRowHeight="15" x14ac:dyDescent="0.25"/>
  <sheetData>
    <row r="1" spans="1:8" x14ac:dyDescent="0.25">
      <c r="B1" s="23">
        <v>1</v>
      </c>
      <c r="C1" s="23" t="s">
        <v>28</v>
      </c>
      <c r="D1" s="23" t="s">
        <v>29</v>
      </c>
    </row>
    <row r="2" spans="1:8" x14ac:dyDescent="0.25">
      <c r="B2" s="82">
        <v>1</v>
      </c>
      <c r="C2" s="49">
        <v>-3</v>
      </c>
      <c r="D2" s="83">
        <v>-3</v>
      </c>
      <c r="F2">
        <f>D4^2-2*D3*D4+D3^2+C4^2-2*C3*C4+C3^2</f>
        <v>4</v>
      </c>
      <c r="G2">
        <f>F3</f>
        <v>-4</v>
      </c>
      <c r="H2">
        <f>F4</f>
        <v>0</v>
      </c>
    </row>
    <row r="3" spans="1:8" x14ac:dyDescent="0.25">
      <c r="B3" s="82">
        <v>1</v>
      </c>
      <c r="C3" s="49">
        <v>-1</v>
      </c>
      <c r="D3" s="83">
        <v>-3</v>
      </c>
      <c r="F3">
        <f>-(D4^2)+(D3+D2)*D4-(D2*D3)-(C4^2)+(C3+C2)*C4-(C2*C3)</f>
        <v>-4</v>
      </c>
      <c r="G3">
        <f>D4^2-2*D2*D4+D2^2+C4^2-2*C2*C4+C2^2</f>
        <v>8</v>
      </c>
      <c r="H3">
        <f>G4</f>
        <v>-4</v>
      </c>
    </row>
    <row r="4" spans="1:8" x14ac:dyDescent="0.25">
      <c r="B4" s="82">
        <v>1</v>
      </c>
      <c r="C4" s="49">
        <v>-1</v>
      </c>
      <c r="D4" s="83">
        <v>-1</v>
      </c>
      <c r="F4">
        <f>(D3-D2)*D4-D3^2+D2*D3+(C3-C2)*C4-C3^2+C2*C3</f>
        <v>0</v>
      </c>
      <c r="G4">
        <f>(D2-D3)*D4+D2*D3-D2^2+(C2-C3)*C4+C2*C3-C2^2</f>
        <v>-4</v>
      </c>
      <c r="H4">
        <f>D3^2-2*D2*D3+D2^2+C3^2-2*C2*C3+C2^2</f>
        <v>4</v>
      </c>
    </row>
    <row r="6" spans="1:8" x14ac:dyDescent="0.25">
      <c r="B6" s="82">
        <f t="array" ref="B6:D8">MINVERSE($B$2:$D$4)</f>
        <v>-0.5</v>
      </c>
      <c r="C6" s="49">
        <v>0</v>
      </c>
      <c r="D6" s="83">
        <v>1.5</v>
      </c>
      <c r="F6">
        <f t="shared" ref="F6:H8" si="0">F2/B11</f>
        <v>16</v>
      </c>
      <c r="G6">
        <f t="shared" si="0"/>
        <v>16</v>
      </c>
      <c r="H6" t="e">
        <f t="shared" si="0"/>
        <v>#DIV/0!</v>
      </c>
    </row>
    <row r="7" spans="1:8" x14ac:dyDescent="0.25">
      <c r="B7" s="82">
        <v>-0.5</v>
      </c>
      <c r="C7" s="49">
        <v>0.5</v>
      </c>
      <c r="D7" s="83">
        <v>0</v>
      </c>
      <c r="F7">
        <f t="shared" si="0"/>
        <v>16</v>
      </c>
      <c r="G7">
        <f t="shared" si="0"/>
        <v>16</v>
      </c>
      <c r="H7">
        <f t="shared" si="0"/>
        <v>16</v>
      </c>
    </row>
    <row r="8" spans="1:8" x14ac:dyDescent="0.25">
      <c r="B8" s="82">
        <v>0</v>
      </c>
      <c r="C8" s="49">
        <v>-0.5</v>
      </c>
      <c r="D8" s="83">
        <v>0.5</v>
      </c>
      <c r="F8" t="e">
        <f t="shared" si="0"/>
        <v>#DIV/0!</v>
      </c>
      <c r="G8">
        <f t="shared" si="0"/>
        <v>16</v>
      </c>
      <c r="H8">
        <f t="shared" si="0"/>
        <v>16</v>
      </c>
    </row>
    <row r="9" spans="1:8" x14ac:dyDescent="0.25">
      <c r="B9" s="49"/>
      <c r="C9" s="49"/>
      <c r="D9" s="49"/>
    </row>
    <row r="10" spans="1:8" x14ac:dyDescent="0.25">
      <c r="F10" t="s">
        <v>218</v>
      </c>
    </row>
    <row r="11" spans="1:8" x14ac:dyDescent="0.25">
      <c r="A11" t="s">
        <v>158</v>
      </c>
      <c r="B11" s="3">
        <f t="array" ref="B11:D11">MMULT(TRANSPOSE(B$7:B$8),$B$7:$D$8)</f>
        <v>0.25</v>
      </c>
      <c r="C11" s="4">
        <v>-0.25</v>
      </c>
      <c r="D11" s="5">
        <v>0</v>
      </c>
      <c r="F11" s="136">
        <f t="array" aca="1" ref="F11:H13" ca="1">rigidez(B2:D4)</f>
        <v>0.25</v>
      </c>
      <c r="G11" s="136">
        <f ca="1"/>
        <v>-0.25</v>
      </c>
      <c r="H11" s="136">
        <f ca="1"/>
        <v>0</v>
      </c>
    </row>
    <row r="12" spans="1:8" x14ac:dyDescent="0.25">
      <c r="A12" t="s">
        <v>159</v>
      </c>
      <c r="B12" s="3">
        <f t="array" ref="B12:D12">MMULT(TRANSPOSE(C$7:C$8),$B$7:$D$8)</f>
        <v>-0.25</v>
      </c>
      <c r="C12" s="4">
        <v>0.5</v>
      </c>
      <c r="D12" s="5">
        <v>-0.25</v>
      </c>
      <c r="F12" s="136">
        <f ca="1"/>
        <v>-0.25</v>
      </c>
      <c r="G12" s="136">
        <f ca="1"/>
        <v>0.5</v>
      </c>
      <c r="H12" s="136">
        <f ca="1"/>
        <v>-0.25</v>
      </c>
    </row>
    <row r="13" spans="1:8" x14ac:dyDescent="0.25">
      <c r="A13" t="s">
        <v>160</v>
      </c>
      <c r="B13" s="3">
        <f t="array" ref="B13:D13">MMULT(TRANSPOSE(D$7:D$8),$B$7:$D$8)</f>
        <v>0</v>
      </c>
      <c r="C13" s="4">
        <v>-0.25</v>
      </c>
      <c r="D13" s="5">
        <v>0.25</v>
      </c>
      <c r="F13" s="136">
        <f ca="1"/>
        <v>0</v>
      </c>
      <c r="G13" s="136">
        <f ca="1"/>
        <v>-0.25</v>
      </c>
      <c r="H13" s="136">
        <f ca="1"/>
        <v>0.25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E29"/>
  <sheetViews>
    <sheetView tabSelected="1" workbookViewId="0">
      <selection activeCell="O26" sqref="O26"/>
    </sheetView>
  </sheetViews>
  <sheetFormatPr defaultRowHeight="15" x14ac:dyDescent="0.25"/>
  <cols>
    <col min="10" max="12" width="5.7109375" customWidth="1"/>
    <col min="14" max="16" width="8.7109375" bestFit="1" customWidth="1"/>
    <col min="17" max="31" width="8.5703125" bestFit="1" customWidth="1"/>
  </cols>
  <sheetData>
    <row r="1" spans="1:31" x14ac:dyDescent="0.25">
      <c r="A1" s="6" t="s">
        <v>27</v>
      </c>
      <c r="B1" t="s">
        <v>0</v>
      </c>
      <c r="C1" t="s">
        <v>1</v>
      </c>
      <c r="D1" t="s">
        <v>2</v>
      </c>
      <c r="E1" s="1" t="s">
        <v>3</v>
      </c>
      <c r="F1" s="2" t="s">
        <v>4</v>
      </c>
      <c r="G1" t="s">
        <v>5</v>
      </c>
      <c r="H1" t="s">
        <v>6</v>
      </c>
      <c r="J1" s="7">
        <v>1</v>
      </c>
      <c r="K1" s="7" t="s">
        <v>28</v>
      </c>
      <c r="L1" s="7" t="s">
        <v>29</v>
      </c>
      <c r="M1" s="7" t="s">
        <v>30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  <c r="AE1" t="s">
        <v>26</v>
      </c>
    </row>
    <row r="2" spans="1:31" x14ac:dyDescent="0.25">
      <c r="A2" t="s">
        <v>9</v>
      </c>
      <c r="B2" s="3">
        <v>1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5">
        <v>0</v>
      </c>
      <c r="J2" s="13">
        <v>1</v>
      </c>
      <c r="K2" s="14">
        <v>-1</v>
      </c>
      <c r="L2" s="15">
        <v>-1</v>
      </c>
      <c r="M2" s="23" t="s">
        <v>9</v>
      </c>
      <c r="N2" s="10">
        <f t="array" aca="1" ref="N2:P4" ca="1">rigidez($J2:$L4)</f>
        <v>1</v>
      </c>
      <c r="O2" s="11">
        <f ca="1"/>
        <v>0</v>
      </c>
      <c r="P2" s="11">
        <f ca="1"/>
        <v>-1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5">
        <v>0</v>
      </c>
    </row>
    <row r="3" spans="1:31" x14ac:dyDescent="0.25">
      <c r="A3" t="s">
        <v>10</v>
      </c>
      <c r="B3" s="3">
        <v>0</v>
      </c>
      <c r="C3" s="4">
        <v>0</v>
      </c>
      <c r="D3" s="4">
        <v>0</v>
      </c>
      <c r="E3" s="4">
        <v>1</v>
      </c>
      <c r="F3" s="4">
        <v>0</v>
      </c>
      <c r="G3" s="4">
        <v>0</v>
      </c>
      <c r="H3" s="5">
        <v>0</v>
      </c>
      <c r="J3" s="16">
        <v>1</v>
      </c>
      <c r="K3" s="21">
        <v>0</v>
      </c>
      <c r="L3" s="17">
        <v>0</v>
      </c>
      <c r="M3" s="23" t="s">
        <v>10</v>
      </c>
      <c r="N3" s="10">
        <f ca="1"/>
        <v>0</v>
      </c>
      <c r="O3" s="11">
        <f ca="1"/>
        <v>1</v>
      </c>
      <c r="P3" s="11">
        <f ca="1"/>
        <v>-1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5">
        <v>0</v>
      </c>
    </row>
    <row r="4" spans="1:31" x14ac:dyDescent="0.25">
      <c r="A4" t="s">
        <v>11</v>
      </c>
      <c r="B4" s="3">
        <v>0</v>
      </c>
      <c r="C4" s="4">
        <v>0</v>
      </c>
      <c r="D4" s="4">
        <v>1</v>
      </c>
      <c r="E4" s="4">
        <v>0</v>
      </c>
      <c r="F4" s="4">
        <v>0</v>
      </c>
      <c r="G4" s="4">
        <v>0</v>
      </c>
      <c r="H4" s="5">
        <v>0</v>
      </c>
      <c r="J4" s="18">
        <v>1</v>
      </c>
      <c r="K4" s="19">
        <v>-1</v>
      </c>
      <c r="L4" s="20">
        <v>0</v>
      </c>
      <c r="M4" s="23" t="s">
        <v>11</v>
      </c>
      <c r="N4" s="10">
        <f ca="1"/>
        <v>-1</v>
      </c>
      <c r="O4" s="11">
        <f ca="1"/>
        <v>-1</v>
      </c>
      <c r="P4" s="11">
        <f ca="1"/>
        <v>2</v>
      </c>
      <c r="Q4" s="4">
        <v>0</v>
      </c>
      <c r="R4" s="4">
        <v>0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0</v>
      </c>
      <c r="Y4" s="4">
        <v>0</v>
      </c>
      <c r="Z4" s="4">
        <v>0</v>
      </c>
      <c r="AA4" s="4">
        <v>0</v>
      </c>
      <c r="AB4" s="4">
        <v>0</v>
      </c>
      <c r="AC4" s="4">
        <v>0</v>
      </c>
      <c r="AD4" s="4">
        <v>0</v>
      </c>
      <c r="AE4" s="5">
        <v>0</v>
      </c>
    </row>
    <row r="5" spans="1:31" x14ac:dyDescent="0.25">
      <c r="A5" t="s">
        <v>12</v>
      </c>
      <c r="B5" s="3">
        <v>1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5">
        <v>0</v>
      </c>
      <c r="J5" s="13">
        <v>1</v>
      </c>
      <c r="K5" s="14">
        <v>-1</v>
      </c>
      <c r="L5" s="15">
        <v>-1</v>
      </c>
      <c r="M5" s="23" t="s">
        <v>12</v>
      </c>
      <c r="N5" s="3">
        <v>0</v>
      </c>
      <c r="O5" s="4">
        <v>0</v>
      </c>
      <c r="P5" s="4">
        <v>0</v>
      </c>
      <c r="Q5" s="11">
        <f t="array" aca="1" ref="Q5:S7" ca="1">rigidez($J5:$L7)</f>
        <v>1</v>
      </c>
      <c r="R5" s="11">
        <f ca="1"/>
        <v>-1</v>
      </c>
      <c r="S5" s="11">
        <f ca="1"/>
        <v>0</v>
      </c>
      <c r="T5" s="21">
        <v>0</v>
      </c>
      <c r="U5" s="21">
        <v>0</v>
      </c>
      <c r="V5" s="21">
        <v>0</v>
      </c>
      <c r="W5" s="21">
        <v>0</v>
      </c>
      <c r="X5" s="21">
        <v>0</v>
      </c>
      <c r="Y5" s="21">
        <v>0</v>
      </c>
      <c r="Z5" s="21">
        <v>0</v>
      </c>
      <c r="AA5" s="21">
        <v>0</v>
      </c>
      <c r="AB5" s="21">
        <v>0</v>
      </c>
      <c r="AC5" s="21">
        <v>0</v>
      </c>
      <c r="AD5" s="21">
        <v>0</v>
      </c>
      <c r="AE5" s="22">
        <v>0</v>
      </c>
    </row>
    <row r="6" spans="1:31" x14ac:dyDescent="0.25">
      <c r="A6" t="s">
        <v>13</v>
      </c>
      <c r="B6" s="3">
        <v>0</v>
      </c>
      <c r="C6" s="4">
        <v>1</v>
      </c>
      <c r="D6" s="4">
        <v>0</v>
      </c>
      <c r="E6" s="4">
        <v>0</v>
      </c>
      <c r="F6" s="4">
        <v>0</v>
      </c>
      <c r="G6" s="4">
        <v>0</v>
      </c>
      <c r="H6" s="5">
        <v>0</v>
      </c>
      <c r="J6" s="16">
        <v>1</v>
      </c>
      <c r="K6" s="21">
        <v>0</v>
      </c>
      <c r="L6" s="17">
        <v>-1</v>
      </c>
      <c r="M6" s="23" t="s">
        <v>13</v>
      </c>
      <c r="N6" s="3">
        <v>0</v>
      </c>
      <c r="O6" s="4">
        <v>0</v>
      </c>
      <c r="P6" s="4">
        <v>0</v>
      </c>
      <c r="Q6" s="11">
        <f ca="1"/>
        <v>-1</v>
      </c>
      <c r="R6" s="11">
        <f ca="1"/>
        <v>2</v>
      </c>
      <c r="S6" s="11">
        <f ca="1"/>
        <v>-1</v>
      </c>
      <c r="T6" s="21">
        <v>0</v>
      </c>
      <c r="U6" s="21">
        <v>0</v>
      </c>
      <c r="V6" s="21">
        <v>0</v>
      </c>
      <c r="W6" s="21">
        <v>0</v>
      </c>
      <c r="X6" s="21">
        <v>0</v>
      </c>
      <c r="Y6" s="21">
        <v>0</v>
      </c>
      <c r="Z6" s="21">
        <v>0</v>
      </c>
      <c r="AA6" s="21">
        <v>0</v>
      </c>
      <c r="AB6" s="21">
        <v>0</v>
      </c>
      <c r="AC6" s="21">
        <v>0</v>
      </c>
      <c r="AD6" s="21">
        <v>0</v>
      </c>
      <c r="AE6" s="22">
        <v>0</v>
      </c>
    </row>
    <row r="7" spans="1:31" x14ac:dyDescent="0.25">
      <c r="A7" t="s">
        <v>14</v>
      </c>
      <c r="B7" s="3">
        <v>0</v>
      </c>
      <c r="C7" s="4">
        <v>0</v>
      </c>
      <c r="D7" s="4">
        <v>0</v>
      </c>
      <c r="E7" s="4">
        <v>1</v>
      </c>
      <c r="F7" s="4">
        <v>0</v>
      </c>
      <c r="G7" s="4">
        <v>0</v>
      </c>
      <c r="H7" s="5">
        <v>0</v>
      </c>
      <c r="J7" s="18">
        <v>1</v>
      </c>
      <c r="K7" s="19">
        <v>0</v>
      </c>
      <c r="L7" s="20">
        <v>0</v>
      </c>
      <c r="M7" s="23" t="s">
        <v>14</v>
      </c>
      <c r="N7" s="3">
        <v>0</v>
      </c>
      <c r="O7" s="4">
        <v>0</v>
      </c>
      <c r="P7" s="4">
        <v>0</v>
      </c>
      <c r="Q7" s="11">
        <f ca="1"/>
        <v>0</v>
      </c>
      <c r="R7" s="11">
        <f ca="1"/>
        <v>-1</v>
      </c>
      <c r="S7" s="11">
        <f ca="1"/>
        <v>1</v>
      </c>
      <c r="T7" s="21">
        <v>0</v>
      </c>
      <c r="U7" s="21">
        <v>0</v>
      </c>
      <c r="V7" s="21">
        <v>0</v>
      </c>
      <c r="W7" s="21">
        <v>0</v>
      </c>
      <c r="X7" s="21">
        <v>0</v>
      </c>
      <c r="Y7" s="21">
        <v>0</v>
      </c>
      <c r="Z7" s="21">
        <v>0</v>
      </c>
      <c r="AA7" s="21">
        <v>0</v>
      </c>
      <c r="AB7" s="21">
        <v>0</v>
      </c>
      <c r="AC7" s="21">
        <v>0</v>
      </c>
      <c r="AD7" s="21">
        <v>0</v>
      </c>
      <c r="AE7" s="22">
        <v>0</v>
      </c>
    </row>
    <row r="8" spans="1:31" x14ac:dyDescent="0.25">
      <c r="A8" t="s">
        <v>15</v>
      </c>
      <c r="B8" s="3">
        <v>0</v>
      </c>
      <c r="C8" s="4">
        <v>1</v>
      </c>
      <c r="D8" s="4">
        <v>0</v>
      </c>
      <c r="E8" s="4">
        <v>0</v>
      </c>
      <c r="F8" s="4">
        <v>0</v>
      </c>
      <c r="G8" s="4">
        <v>0</v>
      </c>
      <c r="H8" s="5">
        <v>0</v>
      </c>
      <c r="J8" s="13">
        <v>1</v>
      </c>
      <c r="K8" s="14">
        <v>0</v>
      </c>
      <c r="L8" s="15">
        <v>-1</v>
      </c>
      <c r="M8" s="23" t="s">
        <v>15</v>
      </c>
      <c r="N8" s="3">
        <v>0</v>
      </c>
      <c r="O8" s="4">
        <v>0</v>
      </c>
      <c r="P8" s="4">
        <v>0</v>
      </c>
      <c r="Q8" s="21">
        <v>0</v>
      </c>
      <c r="R8" s="21">
        <v>0</v>
      </c>
      <c r="S8" s="21">
        <v>0</v>
      </c>
      <c r="T8" s="11">
        <f t="array" aca="1" ref="T8:V10" ca="1">rigidez($J8:$L10)</f>
        <v>1</v>
      </c>
      <c r="U8" s="11">
        <f ca="1"/>
        <v>0</v>
      </c>
      <c r="V8" s="11">
        <f ca="1"/>
        <v>-1</v>
      </c>
      <c r="W8" s="21">
        <v>0</v>
      </c>
      <c r="X8" s="21">
        <v>0</v>
      </c>
      <c r="Y8" s="21">
        <v>0</v>
      </c>
      <c r="Z8" s="21">
        <v>0</v>
      </c>
      <c r="AA8" s="21">
        <v>0</v>
      </c>
      <c r="AB8" s="21">
        <v>0</v>
      </c>
      <c r="AC8" s="21">
        <v>0</v>
      </c>
      <c r="AD8" s="21">
        <v>0</v>
      </c>
      <c r="AE8" s="22">
        <v>0</v>
      </c>
    </row>
    <row r="9" spans="1:31" x14ac:dyDescent="0.25">
      <c r="A9" t="s">
        <v>16</v>
      </c>
      <c r="B9" s="3">
        <v>0</v>
      </c>
      <c r="C9" s="4">
        <v>0</v>
      </c>
      <c r="D9" s="4">
        <v>0</v>
      </c>
      <c r="E9" s="4">
        <v>0</v>
      </c>
      <c r="F9" s="4">
        <v>1</v>
      </c>
      <c r="G9" s="4">
        <v>0</v>
      </c>
      <c r="H9" s="5">
        <v>0</v>
      </c>
      <c r="J9" s="16">
        <v>1</v>
      </c>
      <c r="K9" s="21">
        <v>1</v>
      </c>
      <c r="L9" s="17">
        <v>0</v>
      </c>
      <c r="M9" s="23" t="s">
        <v>16</v>
      </c>
      <c r="N9" s="3">
        <v>0</v>
      </c>
      <c r="O9" s="4">
        <v>0</v>
      </c>
      <c r="P9" s="4">
        <v>0</v>
      </c>
      <c r="Q9" s="21">
        <v>0</v>
      </c>
      <c r="R9" s="21">
        <v>0</v>
      </c>
      <c r="S9" s="21">
        <v>0</v>
      </c>
      <c r="T9" s="11">
        <f ca="1"/>
        <v>0</v>
      </c>
      <c r="U9" s="11">
        <f ca="1"/>
        <v>1</v>
      </c>
      <c r="V9" s="11">
        <f ca="1"/>
        <v>-1</v>
      </c>
      <c r="W9" s="21">
        <v>0</v>
      </c>
      <c r="X9" s="21">
        <v>0</v>
      </c>
      <c r="Y9" s="21">
        <v>0</v>
      </c>
      <c r="Z9" s="21">
        <v>0</v>
      </c>
      <c r="AA9" s="21">
        <v>0</v>
      </c>
      <c r="AB9" s="21">
        <v>0</v>
      </c>
      <c r="AC9" s="21">
        <v>0</v>
      </c>
      <c r="AD9" s="21">
        <v>0</v>
      </c>
      <c r="AE9" s="22">
        <v>0</v>
      </c>
    </row>
    <row r="10" spans="1:31" x14ac:dyDescent="0.25">
      <c r="A10" t="s">
        <v>17</v>
      </c>
      <c r="B10" s="3">
        <v>0</v>
      </c>
      <c r="C10" s="4">
        <v>0</v>
      </c>
      <c r="D10" s="4">
        <v>0</v>
      </c>
      <c r="E10" s="4">
        <v>1</v>
      </c>
      <c r="F10" s="4">
        <v>0</v>
      </c>
      <c r="G10" s="4">
        <v>0</v>
      </c>
      <c r="H10" s="5">
        <v>0</v>
      </c>
      <c r="J10" s="18">
        <v>1</v>
      </c>
      <c r="K10" s="19">
        <v>0</v>
      </c>
      <c r="L10" s="20">
        <v>0</v>
      </c>
      <c r="M10" s="23" t="s">
        <v>17</v>
      </c>
      <c r="N10" s="3">
        <v>0</v>
      </c>
      <c r="O10" s="4">
        <v>0</v>
      </c>
      <c r="P10" s="4">
        <v>0</v>
      </c>
      <c r="Q10" s="21">
        <v>0</v>
      </c>
      <c r="R10" s="21">
        <v>0</v>
      </c>
      <c r="S10" s="21">
        <v>0</v>
      </c>
      <c r="T10" s="11">
        <f ca="1"/>
        <v>-1</v>
      </c>
      <c r="U10" s="11">
        <f ca="1"/>
        <v>-1</v>
      </c>
      <c r="V10" s="11">
        <f ca="1"/>
        <v>2</v>
      </c>
      <c r="W10" s="21">
        <v>0</v>
      </c>
      <c r="X10" s="21">
        <v>0</v>
      </c>
      <c r="Y10" s="21">
        <v>0</v>
      </c>
      <c r="Z10" s="21">
        <v>0</v>
      </c>
      <c r="AA10" s="21">
        <v>0</v>
      </c>
      <c r="AB10" s="21">
        <v>0</v>
      </c>
      <c r="AC10" s="21">
        <v>0</v>
      </c>
      <c r="AD10" s="21">
        <v>0</v>
      </c>
      <c r="AE10" s="22">
        <v>0</v>
      </c>
    </row>
    <row r="11" spans="1:31" x14ac:dyDescent="0.25">
      <c r="A11" t="s">
        <v>18</v>
      </c>
      <c r="B11" s="3">
        <v>0</v>
      </c>
      <c r="C11" s="4">
        <v>0</v>
      </c>
      <c r="D11" s="4">
        <v>0</v>
      </c>
      <c r="E11" s="4">
        <v>1</v>
      </c>
      <c r="F11" s="4">
        <v>0</v>
      </c>
      <c r="G11" s="4">
        <v>0</v>
      </c>
      <c r="H11" s="5">
        <v>0</v>
      </c>
      <c r="J11" s="13">
        <v>1</v>
      </c>
      <c r="K11" s="14">
        <v>0</v>
      </c>
      <c r="L11" s="15">
        <v>0</v>
      </c>
      <c r="M11" s="23" t="s">
        <v>18</v>
      </c>
      <c r="N11" s="3">
        <v>0</v>
      </c>
      <c r="O11" s="4">
        <v>0</v>
      </c>
      <c r="P11" s="4">
        <v>0</v>
      </c>
      <c r="Q11" s="21">
        <v>0</v>
      </c>
      <c r="R11" s="21">
        <v>0</v>
      </c>
      <c r="S11" s="21">
        <v>0</v>
      </c>
      <c r="T11" s="21">
        <v>0</v>
      </c>
      <c r="U11" s="21">
        <v>0</v>
      </c>
      <c r="V11" s="21">
        <v>0</v>
      </c>
      <c r="W11" s="11">
        <f t="array" aca="1" ref="W11:Y13" ca="1">rigidez($J11:$L13)</f>
        <v>1</v>
      </c>
      <c r="X11" s="11">
        <f ca="1"/>
        <v>-1</v>
      </c>
      <c r="Y11" s="11">
        <f ca="1"/>
        <v>0</v>
      </c>
      <c r="Z11" s="21">
        <v>0</v>
      </c>
      <c r="AA11" s="21">
        <v>0</v>
      </c>
      <c r="AB11" s="21">
        <v>0</v>
      </c>
      <c r="AC11" s="21">
        <v>0</v>
      </c>
      <c r="AD11" s="21">
        <v>0</v>
      </c>
      <c r="AE11" s="22">
        <v>0</v>
      </c>
    </row>
    <row r="12" spans="1:31" x14ac:dyDescent="0.25">
      <c r="A12" t="s">
        <v>19</v>
      </c>
      <c r="B12" s="3">
        <v>0</v>
      </c>
      <c r="C12" s="4">
        <v>0</v>
      </c>
      <c r="D12" s="4">
        <v>0</v>
      </c>
      <c r="E12" s="4">
        <v>0</v>
      </c>
      <c r="F12" s="4">
        <v>1</v>
      </c>
      <c r="G12" s="4">
        <v>0</v>
      </c>
      <c r="H12" s="5">
        <v>0</v>
      </c>
      <c r="J12" s="16">
        <v>1</v>
      </c>
      <c r="K12" s="21">
        <v>1</v>
      </c>
      <c r="L12" s="17">
        <v>0</v>
      </c>
      <c r="M12" s="23" t="s">
        <v>19</v>
      </c>
      <c r="N12" s="3">
        <v>0</v>
      </c>
      <c r="O12" s="4">
        <v>0</v>
      </c>
      <c r="P12" s="4">
        <v>0</v>
      </c>
      <c r="Q12" s="21">
        <v>0</v>
      </c>
      <c r="R12" s="21">
        <v>0</v>
      </c>
      <c r="S12" s="21">
        <v>0</v>
      </c>
      <c r="T12" s="21">
        <v>0</v>
      </c>
      <c r="U12" s="21">
        <v>0</v>
      </c>
      <c r="V12" s="21">
        <v>0</v>
      </c>
      <c r="W12" s="11">
        <f ca="1"/>
        <v>-1</v>
      </c>
      <c r="X12" s="11">
        <f ca="1"/>
        <v>2</v>
      </c>
      <c r="Y12" s="11">
        <f ca="1"/>
        <v>-1</v>
      </c>
      <c r="Z12" s="21">
        <v>0</v>
      </c>
      <c r="AA12" s="21">
        <v>0</v>
      </c>
      <c r="AB12" s="21">
        <v>0</v>
      </c>
      <c r="AC12" s="21">
        <v>0</v>
      </c>
      <c r="AD12" s="21">
        <v>0</v>
      </c>
      <c r="AE12" s="22">
        <v>0</v>
      </c>
    </row>
    <row r="13" spans="1:31" x14ac:dyDescent="0.25">
      <c r="A13" t="s">
        <v>20</v>
      </c>
      <c r="B13" s="3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5">
        <v>1</v>
      </c>
      <c r="J13" s="18">
        <v>1</v>
      </c>
      <c r="K13" s="19">
        <v>1</v>
      </c>
      <c r="L13" s="20">
        <v>1</v>
      </c>
      <c r="M13" s="23" t="s">
        <v>20</v>
      </c>
      <c r="N13" s="3">
        <v>0</v>
      </c>
      <c r="O13" s="4">
        <v>0</v>
      </c>
      <c r="P13" s="4">
        <v>0</v>
      </c>
      <c r="Q13" s="21">
        <v>0</v>
      </c>
      <c r="R13" s="21">
        <v>0</v>
      </c>
      <c r="S13" s="21">
        <v>0</v>
      </c>
      <c r="T13" s="21">
        <v>0</v>
      </c>
      <c r="U13" s="21">
        <v>0</v>
      </c>
      <c r="V13" s="21">
        <v>0</v>
      </c>
      <c r="W13" s="11">
        <f ca="1"/>
        <v>0</v>
      </c>
      <c r="X13" s="11">
        <f ca="1"/>
        <v>-1</v>
      </c>
      <c r="Y13" s="11">
        <f ca="1"/>
        <v>1</v>
      </c>
      <c r="Z13" s="21">
        <v>0</v>
      </c>
      <c r="AA13" s="21">
        <v>0</v>
      </c>
      <c r="AB13" s="21">
        <v>0</v>
      </c>
      <c r="AC13" s="21">
        <v>0</v>
      </c>
      <c r="AD13" s="21">
        <v>0</v>
      </c>
      <c r="AE13" s="22">
        <v>0</v>
      </c>
    </row>
    <row r="14" spans="1:31" x14ac:dyDescent="0.25">
      <c r="A14" t="s">
        <v>21</v>
      </c>
      <c r="B14" s="3">
        <v>0</v>
      </c>
      <c r="C14" s="4">
        <v>0</v>
      </c>
      <c r="D14" s="4">
        <v>0</v>
      </c>
      <c r="E14" s="4">
        <v>1</v>
      </c>
      <c r="F14" s="4">
        <v>0</v>
      </c>
      <c r="G14" s="4">
        <v>0</v>
      </c>
      <c r="H14" s="5">
        <v>0</v>
      </c>
      <c r="J14" s="13">
        <v>1</v>
      </c>
      <c r="K14" s="14">
        <v>0</v>
      </c>
      <c r="L14" s="15">
        <v>0</v>
      </c>
      <c r="M14" s="23" t="s">
        <v>21</v>
      </c>
      <c r="N14" s="3">
        <v>0</v>
      </c>
      <c r="O14" s="4">
        <v>0</v>
      </c>
      <c r="P14" s="4">
        <v>0</v>
      </c>
      <c r="Q14" s="21">
        <v>0</v>
      </c>
      <c r="R14" s="21">
        <v>0</v>
      </c>
      <c r="S14" s="21">
        <v>0</v>
      </c>
      <c r="T14" s="21">
        <v>0</v>
      </c>
      <c r="U14" s="21">
        <v>0</v>
      </c>
      <c r="V14" s="21">
        <v>0</v>
      </c>
      <c r="W14" s="21">
        <v>0</v>
      </c>
      <c r="X14" s="21">
        <v>0</v>
      </c>
      <c r="Y14" s="21">
        <v>0</v>
      </c>
      <c r="Z14" s="11">
        <f t="array" aca="1" ref="Z14:AB16" ca="1">rigidez($J14:$L16)</f>
        <v>1</v>
      </c>
      <c r="AA14" s="11">
        <f ca="1"/>
        <v>0</v>
      </c>
      <c r="AB14" s="11">
        <f ca="1"/>
        <v>-1</v>
      </c>
      <c r="AC14" s="21">
        <v>0</v>
      </c>
      <c r="AD14" s="21">
        <v>0</v>
      </c>
      <c r="AE14" s="22">
        <v>0</v>
      </c>
    </row>
    <row r="15" spans="1:31" x14ac:dyDescent="0.25">
      <c r="A15" t="s">
        <v>22</v>
      </c>
      <c r="B15" s="3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5">
        <v>1</v>
      </c>
      <c r="J15" s="16">
        <v>1</v>
      </c>
      <c r="K15" s="21">
        <v>1</v>
      </c>
      <c r="L15" s="17">
        <v>1</v>
      </c>
      <c r="M15" s="23" t="s">
        <v>22</v>
      </c>
      <c r="N15" s="3">
        <v>0</v>
      </c>
      <c r="O15" s="4">
        <v>0</v>
      </c>
      <c r="P15" s="4">
        <v>0</v>
      </c>
      <c r="Q15" s="21">
        <v>0</v>
      </c>
      <c r="R15" s="21">
        <v>0</v>
      </c>
      <c r="S15" s="21">
        <v>0</v>
      </c>
      <c r="T15" s="21">
        <v>0</v>
      </c>
      <c r="U15" s="21">
        <v>0</v>
      </c>
      <c r="V15" s="21">
        <v>0</v>
      </c>
      <c r="W15" s="21">
        <v>0</v>
      </c>
      <c r="X15" s="21">
        <v>0</v>
      </c>
      <c r="Y15" s="21">
        <v>0</v>
      </c>
      <c r="Z15" s="11">
        <f ca="1"/>
        <v>0</v>
      </c>
      <c r="AA15" s="11">
        <f ca="1"/>
        <v>1</v>
      </c>
      <c r="AB15" s="11">
        <f ca="1"/>
        <v>-1</v>
      </c>
      <c r="AC15" s="21">
        <v>0</v>
      </c>
      <c r="AD15" s="21">
        <v>0</v>
      </c>
      <c r="AE15" s="22">
        <v>0</v>
      </c>
    </row>
    <row r="16" spans="1:31" x14ac:dyDescent="0.25">
      <c r="A16" t="s">
        <v>23</v>
      </c>
      <c r="B16" s="3">
        <v>0</v>
      </c>
      <c r="C16" s="4">
        <v>0</v>
      </c>
      <c r="D16" s="4">
        <v>0</v>
      </c>
      <c r="E16" s="4">
        <v>0</v>
      </c>
      <c r="F16" s="4">
        <v>0</v>
      </c>
      <c r="G16" s="4">
        <v>1</v>
      </c>
      <c r="H16" s="5">
        <v>0</v>
      </c>
      <c r="J16" s="18">
        <v>1</v>
      </c>
      <c r="K16" s="19">
        <v>0</v>
      </c>
      <c r="L16" s="20">
        <v>1</v>
      </c>
      <c r="M16" s="23" t="s">
        <v>23</v>
      </c>
      <c r="N16" s="3">
        <v>0</v>
      </c>
      <c r="O16" s="4">
        <v>0</v>
      </c>
      <c r="P16" s="4">
        <v>0</v>
      </c>
      <c r="Q16" s="21">
        <v>0</v>
      </c>
      <c r="R16" s="21">
        <v>0</v>
      </c>
      <c r="S16" s="21">
        <v>0</v>
      </c>
      <c r="T16" s="21">
        <v>0</v>
      </c>
      <c r="U16" s="21">
        <v>0</v>
      </c>
      <c r="V16" s="21">
        <v>0</v>
      </c>
      <c r="W16" s="21">
        <v>0</v>
      </c>
      <c r="X16" s="21">
        <v>0</v>
      </c>
      <c r="Y16" s="21">
        <v>0</v>
      </c>
      <c r="Z16" s="11">
        <f ca="1"/>
        <v>-1</v>
      </c>
      <c r="AA16" s="11">
        <f ca="1"/>
        <v>-1</v>
      </c>
      <c r="AB16" s="11">
        <f ca="1"/>
        <v>2</v>
      </c>
      <c r="AC16" s="21">
        <v>0</v>
      </c>
      <c r="AD16" s="21">
        <v>0</v>
      </c>
      <c r="AE16" s="22">
        <v>0</v>
      </c>
    </row>
    <row r="17" spans="1:31" x14ac:dyDescent="0.25">
      <c r="A17" t="s">
        <v>24</v>
      </c>
      <c r="B17" s="3">
        <v>0</v>
      </c>
      <c r="C17" s="4">
        <v>0</v>
      </c>
      <c r="D17" s="4">
        <v>1</v>
      </c>
      <c r="E17" s="4">
        <v>0</v>
      </c>
      <c r="F17" s="4">
        <v>0</v>
      </c>
      <c r="G17" s="4">
        <v>0</v>
      </c>
      <c r="H17" s="5">
        <v>0</v>
      </c>
      <c r="J17" s="13">
        <v>1</v>
      </c>
      <c r="K17" s="14">
        <v>-1</v>
      </c>
      <c r="L17" s="15">
        <v>0</v>
      </c>
      <c r="M17" s="23" t="s">
        <v>24</v>
      </c>
      <c r="N17" s="3">
        <v>0</v>
      </c>
      <c r="O17" s="4">
        <v>0</v>
      </c>
      <c r="P17" s="4">
        <v>0</v>
      </c>
      <c r="Q17" s="21">
        <v>0</v>
      </c>
      <c r="R17" s="21">
        <v>0</v>
      </c>
      <c r="S17" s="21">
        <v>0</v>
      </c>
      <c r="T17" s="21">
        <v>0</v>
      </c>
      <c r="U17" s="21">
        <v>0</v>
      </c>
      <c r="V17" s="21">
        <v>0</v>
      </c>
      <c r="W17" s="21">
        <v>0</v>
      </c>
      <c r="X17" s="21">
        <v>0</v>
      </c>
      <c r="Y17" s="21">
        <v>0</v>
      </c>
      <c r="Z17" s="21">
        <v>0</v>
      </c>
      <c r="AA17" s="21">
        <v>0</v>
      </c>
      <c r="AB17" s="21">
        <v>0</v>
      </c>
      <c r="AC17" s="11">
        <f t="array" aca="1" ref="AC17:AE19" ca="1">rigidez($J17:$L19)</f>
        <v>1</v>
      </c>
      <c r="AD17" s="11">
        <f ca="1"/>
        <v>-1</v>
      </c>
      <c r="AE17" s="12">
        <f ca="1"/>
        <v>0</v>
      </c>
    </row>
    <row r="18" spans="1:31" x14ac:dyDescent="0.25">
      <c r="A18" t="s">
        <v>25</v>
      </c>
      <c r="B18" s="3">
        <v>0</v>
      </c>
      <c r="C18" s="4">
        <v>0</v>
      </c>
      <c r="D18" s="4">
        <v>0</v>
      </c>
      <c r="E18" s="4">
        <v>1</v>
      </c>
      <c r="F18" s="4">
        <v>0</v>
      </c>
      <c r="G18" s="4">
        <v>0</v>
      </c>
      <c r="H18" s="5">
        <v>0</v>
      </c>
      <c r="J18" s="16">
        <v>1</v>
      </c>
      <c r="K18" s="21">
        <v>0</v>
      </c>
      <c r="L18" s="17">
        <v>0</v>
      </c>
      <c r="M18" s="23" t="s">
        <v>25</v>
      </c>
      <c r="N18" s="3">
        <v>0</v>
      </c>
      <c r="O18" s="4">
        <v>0</v>
      </c>
      <c r="P18" s="4">
        <v>0</v>
      </c>
      <c r="Q18" s="21">
        <v>0</v>
      </c>
      <c r="R18" s="21">
        <v>0</v>
      </c>
      <c r="S18" s="21">
        <v>0</v>
      </c>
      <c r="T18" s="21">
        <v>0</v>
      </c>
      <c r="U18" s="21">
        <v>0</v>
      </c>
      <c r="V18" s="21">
        <v>0</v>
      </c>
      <c r="W18" s="21">
        <v>0</v>
      </c>
      <c r="X18" s="21">
        <v>0</v>
      </c>
      <c r="Y18" s="21">
        <v>0</v>
      </c>
      <c r="Z18" s="21">
        <v>0</v>
      </c>
      <c r="AA18" s="21">
        <v>0</v>
      </c>
      <c r="AB18" s="21">
        <v>0</v>
      </c>
      <c r="AC18" s="11">
        <f ca="1"/>
        <v>-1</v>
      </c>
      <c r="AD18" s="11">
        <f ca="1"/>
        <v>2</v>
      </c>
      <c r="AE18" s="12">
        <f ca="1"/>
        <v>-1</v>
      </c>
    </row>
    <row r="19" spans="1:31" x14ac:dyDescent="0.25">
      <c r="A19" t="s">
        <v>26</v>
      </c>
      <c r="B19" s="3">
        <v>0</v>
      </c>
      <c r="C19" s="4">
        <v>0</v>
      </c>
      <c r="D19" s="4">
        <v>0</v>
      </c>
      <c r="E19" s="4">
        <v>0</v>
      </c>
      <c r="F19" s="4">
        <v>0</v>
      </c>
      <c r="G19" s="4">
        <v>1</v>
      </c>
      <c r="H19" s="5">
        <v>0</v>
      </c>
      <c r="J19" s="18">
        <v>1</v>
      </c>
      <c r="K19" s="19">
        <v>0</v>
      </c>
      <c r="L19" s="20">
        <v>1</v>
      </c>
      <c r="M19" s="23" t="s">
        <v>26</v>
      </c>
      <c r="N19" s="3">
        <v>0</v>
      </c>
      <c r="O19" s="4">
        <v>0</v>
      </c>
      <c r="P19" s="4">
        <v>0</v>
      </c>
      <c r="Q19" s="21">
        <v>0</v>
      </c>
      <c r="R19" s="21">
        <v>0</v>
      </c>
      <c r="S19" s="21">
        <v>0</v>
      </c>
      <c r="T19" s="21">
        <v>0</v>
      </c>
      <c r="U19" s="21">
        <v>0</v>
      </c>
      <c r="V19" s="21">
        <v>0</v>
      </c>
      <c r="W19" s="21">
        <v>0</v>
      </c>
      <c r="X19" s="21">
        <v>0</v>
      </c>
      <c r="Y19" s="21">
        <v>0</v>
      </c>
      <c r="Z19" s="21">
        <v>0</v>
      </c>
      <c r="AA19" s="21">
        <v>0</v>
      </c>
      <c r="AB19" s="21">
        <v>0</v>
      </c>
      <c r="AC19" s="11">
        <f ca="1"/>
        <v>0</v>
      </c>
      <c r="AD19" s="11">
        <f ca="1"/>
        <v>-1</v>
      </c>
      <c r="AE19" s="12">
        <f ca="1"/>
        <v>1</v>
      </c>
    </row>
    <row r="20" spans="1:31" x14ac:dyDescent="0.25">
      <c r="B20" s="4"/>
      <c r="C20" s="4"/>
      <c r="D20" s="4"/>
      <c r="E20" s="4"/>
      <c r="F20" s="4"/>
      <c r="G20" s="4"/>
      <c r="H20" s="4"/>
    </row>
    <row r="22" spans="1:31" x14ac:dyDescent="0.25">
      <c r="B22" t="s">
        <v>45</v>
      </c>
      <c r="O22" t="s">
        <v>52</v>
      </c>
    </row>
    <row r="23" spans="1:31" x14ac:dyDescent="0.25">
      <c r="A23" t="s">
        <v>0</v>
      </c>
      <c r="B23" s="3">
        <f t="array" aca="1" ref="B23:H29" ca="1">MMULT(MMULT(TRANSPOSE(B2:H19),N2:AE19),B2:H19)</f>
        <v>2</v>
      </c>
      <c r="C23" s="4">
        <f ca="1"/>
        <v>-1</v>
      </c>
      <c r="D23" s="4">
        <f ca="1"/>
        <v>-1</v>
      </c>
      <c r="E23" s="4">
        <f ca="1"/>
        <v>0</v>
      </c>
      <c r="F23" s="4">
        <f ca="1"/>
        <v>0</v>
      </c>
      <c r="G23" s="4">
        <f ca="1"/>
        <v>0</v>
      </c>
      <c r="H23" s="5">
        <f ca="1"/>
        <v>0</v>
      </c>
      <c r="N23" t="s">
        <v>0</v>
      </c>
      <c r="O23">
        <v>100</v>
      </c>
      <c r="Q23" s="133">
        <f t="array" aca="1" ref="Q23:Q29" ca="1">MMULT(B23:H29,O23:O29)</f>
        <v>-400</v>
      </c>
    </row>
    <row r="24" spans="1:31" x14ac:dyDescent="0.25">
      <c r="A24" t="s">
        <v>1</v>
      </c>
      <c r="B24" s="3">
        <f ca="1"/>
        <v>-1</v>
      </c>
      <c r="C24" s="4">
        <f ca="1"/>
        <v>3</v>
      </c>
      <c r="D24" s="4">
        <f ca="1"/>
        <v>0</v>
      </c>
      <c r="E24" s="4">
        <f ca="1"/>
        <v>-2</v>
      </c>
      <c r="F24" s="4">
        <f ca="1"/>
        <v>0</v>
      </c>
      <c r="G24" s="4">
        <f ca="1"/>
        <v>0</v>
      </c>
      <c r="H24" s="5">
        <f ca="1"/>
        <v>0</v>
      </c>
      <c r="N24" t="s">
        <v>1</v>
      </c>
      <c r="O24">
        <v>200</v>
      </c>
      <c r="Q24" s="133">
        <f ca="1"/>
        <v>-350</v>
      </c>
    </row>
    <row r="25" spans="1:31" x14ac:dyDescent="0.25">
      <c r="A25" t="s">
        <v>2</v>
      </c>
      <c r="B25" s="3">
        <f ca="1"/>
        <v>-1</v>
      </c>
      <c r="C25" s="4">
        <f ca="1"/>
        <v>0</v>
      </c>
      <c r="D25" s="4">
        <f ca="1"/>
        <v>3</v>
      </c>
      <c r="E25" s="4">
        <f ca="1"/>
        <v>-2</v>
      </c>
      <c r="F25" s="4">
        <f ca="1"/>
        <v>0</v>
      </c>
      <c r="G25" s="4">
        <f ca="1"/>
        <v>0</v>
      </c>
      <c r="H25" s="5">
        <f ca="1"/>
        <v>0</v>
      </c>
      <c r="N25" t="s">
        <v>2</v>
      </c>
      <c r="O25">
        <v>400</v>
      </c>
      <c r="Q25" s="133">
        <f ca="1"/>
        <v>250</v>
      </c>
    </row>
    <row r="26" spans="1:31" x14ac:dyDescent="0.25">
      <c r="A26" s="1" t="s">
        <v>3</v>
      </c>
      <c r="B26" s="3">
        <f ca="1"/>
        <v>0</v>
      </c>
      <c r="C26" s="4">
        <f ca="1"/>
        <v>-2</v>
      </c>
      <c r="D26" s="4">
        <f ca="1"/>
        <v>-2</v>
      </c>
      <c r="E26" s="4">
        <f ca="1"/>
        <v>8</v>
      </c>
      <c r="F26" s="4">
        <f ca="1"/>
        <v>-2</v>
      </c>
      <c r="G26" s="4">
        <f ca="1"/>
        <v>-2</v>
      </c>
      <c r="H26" s="5">
        <f ca="1"/>
        <v>0</v>
      </c>
      <c r="N26" s="2" t="s">
        <v>3</v>
      </c>
      <c r="O26" s="135">
        <v>425</v>
      </c>
      <c r="Q26" s="134">
        <f ca="1"/>
        <v>0</v>
      </c>
      <c r="S26">
        <f>(O24+O25+O27+O28)/4</f>
        <v>425</v>
      </c>
    </row>
    <row r="27" spans="1:31" x14ac:dyDescent="0.25">
      <c r="A27" s="2" t="s">
        <v>4</v>
      </c>
      <c r="B27" s="3">
        <f ca="1"/>
        <v>0</v>
      </c>
      <c r="C27" s="4">
        <f ca="1"/>
        <v>0</v>
      </c>
      <c r="D27" s="4">
        <f ca="1"/>
        <v>0</v>
      </c>
      <c r="E27" s="4">
        <f ca="1"/>
        <v>-2</v>
      </c>
      <c r="F27" s="4">
        <f ca="1"/>
        <v>3</v>
      </c>
      <c r="G27" s="4">
        <f ca="1"/>
        <v>0</v>
      </c>
      <c r="H27" s="5">
        <f ca="1"/>
        <v>-1</v>
      </c>
      <c r="N27" s="2" t="s">
        <v>4</v>
      </c>
      <c r="O27">
        <v>500</v>
      </c>
      <c r="Q27" s="133">
        <f ca="1"/>
        <v>-50</v>
      </c>
    </row>
    <row r="28" spans="1:31" x14ac:dyDescent="0.25">
      <c r="A28" t="s">
        <v>5</v>
      </c>
      <c r="B28" s="3">
        <f ca="1"/>
        <v>0</v>
      </c>
      <c r="C28" s="4">
        <f ca="1"/>
        <v>0</v>
      </c>
      <c r="D28" s="4">
        <f ca="1"/>
        <v>0</v>
      </c>
      <c r="E28" s="4">
        <f ca="1"/>
        <v>-2</v>
      </c>
      <c r="F28" s="4">
        <f ca="1"/>
        <v>0</v>
      </c>
      <c r="G28" s="4">
        <f ca="1"/>
        <v>3</v>
      </c>
      <c r="H28" s="5">
        <f ca="1"/>
        <v>-1</v>
      </c>
      <c r="N28" t="s">
        <v>5</v>
      </c>
      <c r="O28">
        <v>600</v>
      </c>
      <c r="Q28" s="133">
        <f ca="1"/>
        <v>250</v>
      </c>
    </row>
    <row r="29" spans="1:31" x14ac:dyDescent="0.25">
      <c r="A29" t="s">
        <v>6</v>
      </c>
      <c r="B29" s="3">
        <f ca="1"/>
        <v>0</v>
      </c>
      <c r="C29" s="4">
        <f ca="1"/>
        <v>0</v>
      </c>
      <c r="D29" s="4">
        <f ca="1"/>
        <v>0</v>
      </c>
      <c r="E29" s="4">
        <f ca="1"/>
        <v>0</v>
      </c>
      <c r="F29" s="4">
        <f ca="1"/>
        <v>-1</v>
      </c>
      <c r="G29" s="4">
        <f ca="1"/>
        <v>-1</v>
      </c>
      <c r="H29" s="5">
        <f ca="1"/>
        <v>2</v>
      </c>
      <c r="N29" t="s">
        <v>6</v>
      </c>
      <c r="O29">
        <v>700</v>
      </c>
      <c r="Q29" s="133">
        <f ca="1"/>
        <v>300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CB129"/>
  <sheetViews>
    <sheetView workbookViewId="0">
      <selection activeCell="AA2" sqref="AA2"/>
    </sheetView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5.28515625" customWidth="1"/>
    <col min="31" max="34" width="5.28515625" style="23" customWidth="1"/>
    <col min="35" max="41" width="5.28515625" customWidth="1"/>
    <col min="42" max="88" width="5.140625" customWidth="1"/>
  </cols>
  <sheetData>
    <row r="1" spans="1:80" x14ac:dyDescent="0.25">
      <c r="A1" s="23" t="s">
        <v>161</v>
      </c>
      <c r="B1" s="23" t="s">
        <v>162</v>
      </c>
      <c r="C1" s="23" t="s">
        <v>163</v>
      </c>
      <c r="D1" s="7" t="s">
        <v>27</v>
      </c>
      <c r="E1" s="23" t="s">
        <v>0</v>
      </c>
      <c r="F1" s="23" t="s">
        <v>1</v>
      </c>
      <c r="G1" s="23" t="s">
        <v>2</v>
      </c>
      <c r="H1" s="23" t="s">
        <v>3</v>
      </c>
      <c r="I1" s="23" t="s">
        <v>4</v>
      </c>
      <c r="J1" s="23" t="s">
        <v>5</v>
      </c>
      <c r="K1" s="23" t="s">
        <v>6</v>
      </c>
      <c r="L1" s="23" t="s">
        <v>7</v>
      </c>
      <c r="M1" s="23" t="s">
        <v>8</v>
      </c>
      <c r="N1" s="23" t="s">
        <v>164</v>
      </c>
      <c r="O1" s="23" t="s">
        <v>165</v>
      </c>
      <c r="P1" s="23" t="s">
        <v>166</v>
      </c>
      <c r="Q1" s="23" t="s">
        <v>167</v>
      </c>
      <c r="R1" s="23" t="s">
        <v>168</v>
      </c>
      <c r="S1" s="23" t="s">
        <v>169</v>
      </c>
      <c r="T1" s="23" t="s">
        <v>170</v>
      </c>
      <c r="W1" s="84"/>
      <c r="X1" s="84" t="s">
        <v>28</v>
      </c>
      <c r="Y1" s="84" t="s">
        <v>29</v>
      </c>
      <c r="Z1" s="84" t="s">
        <v>162</v>
      </c>
      <c r="AA1" t="s">
        <v>9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20</v>
      </c>
      <c r="AM1" t="s">
        <v>21</v>
      </c>
      <c r="AN1" t="s">
        <v>22</v>
      </c>
      <c r="AO1" t="s">
        <v>23</v>
      </c>
      <c r="AP1" t="s">
        <v>24</v>
      </c>
      <c r="AQ1" t="s">
        <v>25</v>
      </c>
      <c r="AR1" t="s">
        <v>26</v>
      </c>
      <c r="AS1" t="s">
        <v>171</v>
      </c>
      <c r="AT1" t="s">
        <v>172</v>
      </c>
      <c r="AU1" t="s">
        <v>173</v>
      </c>
      <c r="AV1" t="s">
        <v>174</v>
      </c>
      <c r="AW1" t="s">
        <v>175</v>
      </c>
      <c r="AX1" t="s">
        <v>176</v>
      </c>
      <c r="AY1" t="s">
        <v>177</v>
      </c>
      <c r="AZ1" t="s">
        <v>178</v>
      </c>
      <c r="BA1" t="s">
        <v>179</v>
      </c>
      <c r="BB1" t="s">
        <v>180</v>
      </c>
      <c r="BC1" t="s">
        <v>181</v>
      </c>
      <c r="BD1" t="s">
        <v>182</v>
      </c>
      <c r="BE1" t="s">
        <v>183</v>
      </c>
      <c r="BF1" t="s">
        <v>184</v>
      </c>
      <c r="BG1" t="s">
        <v>185</v>
      </c>
      <c r="BH1" t="s">
        <v>186</v>
      </c>
      <c r="BI1" t="s">
        <v>187</v>
      </c>
      <c r="BJ1" t="s">
        <v>188</v>
      </c>
      <c r="BK1" t="s">
        <v>189</v>
      </c>
      <c r="BL1" t="s">
        <v>190</v>
      </c>
      <c r="BM1" t="s">
        <v>191</v>
      </c>
      <c r="BN1" t="s">
        <v>192</v>
      </c>
      <c r="BO1" t="s">
        <v>193</v>
      </c>
      <c r="BP1" t="s">
        <v>194</v>
      </c>
      <c r="BQ1" t="s">
        <v>195</v>
      </c>
      <c r="BR1" t="s">
        <v>196</v>
      </c>
      <c r="BS1" t="s">
        <v>197</v>
      </c>
      <c r="BT1" t="s">
        <v>198</v>
      </c>
      <c r="BU1" t="s">
        <v>199</v>
      </c>
      <c r="BV1" t="s">
        <v>200</v>
      </c>
      <c r="BW1" t="s">
        <v>201</v>
      </c>
      <c r="BX1" t="s">
        <v>202</v>
      </c>
      <c r="BY1" t="s">
        <v>203</v>
      </c>
      <c r="BZ1" t="s">
        <v>204</v>
      </c>
      <c r="CA1" t="s">
        <v>205</v>
      </c>
      <c r="CB1" t="s">
        <v>206</v>
      </c>
    </row>
    <row r="2" spans="1:80" x14ac:dyDescent="0.25">
      <c r="A2" s="23">
        <v>1</v>
      </c>
      <c r="B2" s="23">
        <v>1</v>
      </c>
      <c r="C2" s="23" t="str">
        <f t="shared" ref="C2:C55" si="0">"T"&amp;A2&amp;"_"&amp;B2</f>
        <v>T1_1</v>
      </c>
      <c r="E2" s="3">
        <v>1</v>
      </c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5"/>
      <c r="W2" s="85">
        <v>1</v>
      </c>
      <c r="X2" s="86">
        <v>-3</v>
      </c>
      <c r="Y2" s="87">
        <v>-3</v>
      </c>
      <c r="Z2" s="88" t="s">
        <v>9</v>
      </c>
      <c r="AA2" s="89">
        <f>$Y4^2-2*$Y3*$Y4+$Y3^2+$X4^2-2*$X3*$X4+$X3^2</f>
        <v>4</v>
      </c>
      <c r="AB2" s="90">
        <f>AA3</f>
        <v>0</v>
      </c>
      <c r="AC2" s="91">
        <f>AA4</f>
        <v>-4</v>
      </c>
      <c r="AD2" s="13">
        <v>0</v>
      </c>
      <c r="AE2" s="14">
        <v>0</v>
      </c>
      <c r="AF2" s="15">
        <v>0</v>
      </c>
      <c r="AG2" s="13">
        <v>0</v>
      </c>
      <c r="AH2" s="14">
        <v>0</v>
      </c>
      <c r="AI2" s="15">
        <v>0</v>
      </c>
      <c r="AJ2" s="13">
        <v>0</v>
      </c>
      <c r="AK2" s="14">
        <v>0</v>
      </c>
      <c r="AL2" s="15">
        <v>0</v>
      </c>
      <c r="AM2" s="13">
        <v>0</v>
      </c>
      <c r="AN2" s="14">
        <v>0</v>
      </c>
      <c r="AO2" s="15">
        <v>0</v>
      </c>
      <c r="AP2" s="13">
        <v>0</v>
      </c>
      <c r="AQ2" s="14">
        <v>0</v>
      </c>
      <c r="AR2" s="15">
        <v>0</v>
      </c>
      <c r="AS2" s="13">
        <v>0</v>
      </c>
      <c r="AT2" s="14">
        <v>0</v>
      </c>
      <c r="AU2" s="15">
        <v>0</v>
      </c>
      <c r="AV2" s="13">
        <v>0</v>
      </c>
      <c r="AW2" s="14">
        <v>0</v>
      </c>
      <c r="AX2" s="15">
        <v>0</v>
      </c>
      <c r="AY2" s="13">
        <v>0</v>
      </c>
      <c r="AZ2" s="14">
        <v>0</v>
      </c>
      <c r="BA2" s="15">
        <v>0</v>
      </c>
      <c r="BB2" s="13">
        <v>0</v>
      </c>
      <c r="BC2" s="14">
        <v>0</v>
      </c>
      <c r="BD2" s="15">
        <v>0</v>
      </c>
      <c r="BE2" s="13">
        <v>0</v>
      </c>
      <c r="BF2" s="14">
        <v>0</v>
      </c>
      <c r="BG2" s="15">
        <v>0</v>
      </c>
      <c r="BH2" s="13">
        <v>0</v>
      </c>
      <c r="BI2" s="14">
        <v>0</v>
      </c>
      <c r="BJ2" s="15">
        <v>0</v>
      </c>
      <c r="BK2" s="13">
        <v>0</v>
      </c>
      <c r="BL2" s="14">
        <v>0</v>
      </c>
      <c r="BM2" s="15">
        <v>0</v>
      </c>
      <c r="BN2" s="13">
        <v>0</v>
      </c>
      <c r="BO2" s="14">
        <v>0</v>
      </c>
      <c r="BP2" s="15">
        <v>0</v>
      </c>
      <c r="BQ2" s="13">
        <v>0</v>
      </c>
      <c r="BR2" s="14">
        <v>0</v>
      </c>
      <c r="BS2" s="15">
        <v>0</v>
      </c>
      <c r="BT2" s="13">
        <v>0</v>
      </c>
      <c r="BU2" s="14">
        <v>0</v>
      </c>
      <c r="BV2" s="15">
        <v>0</v>
      </c>
      <c r="BW2" s="13">
        <v>0</v>
      </c>
      <c r="BX2" s="14">
        <v>0</v>
      </c>
      <c r="BY2" s="15">
        <v>0</v>
      </c>
      <c r="BZ2" s="13">
        <v>0</v>
      </c>
      <c r="CA2" s="14">
        <v>0</v>
      </c>
      <c r="CB2" s="92">
        <v>0</v>
      </c>
    </row>
    <row r="3" spans="1:80" x14ac:dyDescent="0.25">
      <c r="A3" s="23">
        <v>1</v>
      </c>
      <c r="B3" s="23">
        <v>2</v>
      </c>
      <c r="C3" s="23" t="str">
        <f t="shared" si="0"/>
        <v>T1_2</v>
      </c>
      <c r="E3" s="3"/>
      <c r="F3" s="4"/>
      <c r="G3" s="4"/>
      <c r="H3" s="4"/>
      <c r="I3" s="4"/>
      <c r="J3" s="4">
        <v>1</v>
      </c>
      <c r="K3" s="4"/>
      <c r="L3" s="4"/>
      <c r="M3" s="4"/>
      <c r="N3" s="4"/>
      <c r="O3" s="4"/>
      <c r="P3" s="4"/>
      <c r="Q3" s="4"/>
      <c r="R3" s="4"/>
      <c r="S3" s="4"/>
      <c r="T3" s="5"/>
      <c r="W3" s="93">
        <v>1</v>
      </c>
      <c r="X3" s="49">
        <v>-1</v>
      </c>
      <c r="Y3" s="94">
        <v>-1</v>
      </c>
      <c r="Z3" s="95" t="s">
        <v>10</v>
      </c>
      <c r="AA3" s="10">
        <f>-($Y4^2)+($Y3+$Y2)*$Y4-($Y2*$Y3)-($X4^2)+($X3+$X2)*$X4-($X2*$X3)</f>
        <v>0</v>
      </c>
      <c r="AB3" s="11">
        <f>$Y4^2-2*$Y2*$Y4+$Y2^2+$X4^2-2*$X2*$X4+$X2^2</f>
        <v>4</v>
      </c>
      <c r="AC3" s="96">
        <f>AB4</f>
        <v>-4</v>
      </c>
      <c r="AD3" s="16">
        <v>0</v>
      </c>
      <c r="AE3" s="4">
        <v>0</v>
      </c>
      <c r="AF3" s="17">
        <v>0</v>
      </c>
      <c r="AG3" s="16">
        <v>0</v>
      </c>
      <c r="AH3" s="4">
        <v>0</v>
      </c>
      <c r="AI3" s="17">
        <v>0</v>
      </c>
      <c r="AJ3" s="16">
        <v>0</v>
      </c>
      <c r="AK3" s="4">
        <v>0</v>
      </c>
      <c r="AL3" s="17">
        <v>0</v>
      </c>
      <c r="AM3" s="16">
        <v>0</v>
      </c>
      <c r="AN3" s="4">
        <v>0</v>
      </c>
      <c r="AO3" s="17">
        <v>0</v>
      </c>
      <c r="AP3" s="16">
        <v>0</v>
      </c>
      <c r="AQ3" s="4">
        <v>0</v>
      </c>
      <c r="AR3" s="17">
        <v>0</v>
      </c>
      <c r="AS3" s="16">
        <v>0</v>
      </c>
      <c r="AT3" s="4">
        <v>0</v>
      </c>
      <c r="AU3" s="17">
        <v>0</v>
      </c>
      <c r="AV3" s="16">
        <v>0</v>
      </c>
      <c r="AW3" s="4">
        <v>0</v>
      </c>
      <c r="AX3" s="17">
        <v>0</v>
      </c>
      <c r="AY3" s="16">
        <v>0</v>
      </c>
      <c r="AZ3" s="4">
        <v>0</v>
      </c>
      <c r="BA3" s="17">
        <v>0</v>
      </c>
      <c r="BB3" s="16">
        <v>0</v>
      </c>
      <c r="BC3" s="4">
        <v>0</v>
      </c>
      <c r="BD3" s="17">
        <v>0</v>
      </c>
      <c r="BE3" s="16">
        <v>0</v>
      </c>
      <c r="BF3" s="4">
        <v>0</v>
      </c>
      <c r="BG3" s="17">
        <v>0</v>
      </c>
      <c r="BH3" s="16">
        <v>0</v>
      </c>
      <c r="BI3" s="4">
        <v>0</v>
      </c>
      <c r="BJ3" s="17">
        <v>0</v>
      </c>
      <c r="BK3" s="16">
        <v>0</v>
      </c>
      <c r="BL3" s="4">
        <v>0</v>
      </c>
      <c r="BM3" s="17">
        <v>0</v>
      </c>
      <c r="BN3" s="16">
        <v>0</v>
      </c>
      <c r="BO3" s="4">
        <v>0</v>
      </c>
      <c r="BP3" s="17">
        <v>0</v>
      </c>
      <c r="BQ3" s="16">
        <v>0</v>
      </c>
      <c r="BR3" s="4">
        <v>0</v>
      </c>
      <c r="BS3" s="17">
        <v>0</v>
      </c>
      <c r="BT3" s="16">
        <v>0</v>
      </c>
      <c r="BU3" s="4">
        <v>0</v>
      </c>
      <c r="BV3" s="17">
        <v>0</v>
      </c>
      <c r="BW3" s="16">
        <v>0</v>
      </c>
      <c r="BX3" s="4">
        <v>0</v>
      </c>
      <c r="BY3" s="17">
        <v>0</v>
      </c>
      <c r="BZ3" s="16">
        <v>0</v>
      </c>
      <c r="CA3" s="4">
        <v>0</v>
      </c>
      <c r="CB3" s="5">
        <v>0</v>
      </c>
    </row>
    <row r="4" spans="1:80" x14ac:dyDescent="0.25">
      <c r="A4" s="23">
        <v>1</v>
      </c>
      <c r="B4" s="23">
        <v>3</v>
      </c>
      <c r="C4" s="23" t="str">
        <f t="shared" si="0"/>
        <v>T1_3</v>
      </c>
      <c r="E4" s="3"/>
      <c r="F4" s="4"/>
      <c r="G4" s="4"/>
      <c r="H4" s="4"/>
      <c r="I4" s="4">
        <v>1</v>
      </c>
      <c r="J4" s="4"/>
      <c r="K4" s="4"/>
      <c r="L4" s="4"/>
      <c r="M4" s="4"/>
      <c r="N4" s="4"/>
      <c r="O4" s="4"/>
      <c r="P4" s="4"/>
      <c r="Q4" s="4"/>
      <c r="R4" s="4"/>
      <c r="S4" s="4"/>
      <c r="T4" s="5"/>
      <c r="W4" s="97">
        <v>1</v>
      </c>
      <c r="X4" s="98">
        <v>-3</v>
      </c>
      <c r="Y4" s="99">
        <v>-1</v>
      </c>
      <c r="Z4" s="100" t="s">
        <v>11</v>
      </c>
      <c r="AA4" s="101">
        <f>($Y3-$Y2)*$Y4-$Y3^2+$Y2*$Y3+($X3-$X2)*$X4-$X3^2+$X2*$X3</f>
        <v>-4</v>
      </c>
      <c r="AB4" s="102">
        <f>($Y2-$Y3)*$Y4+$Y2*$Y3-$Y2^2+($X2-$X3)*$X4+$X2*$X3-$X2^2</f>
        <v>-4</v>
      </c>
      <c r="AC4" s="103">
        <f>$Y3^2-2*$Y2*$Y3+$Y2^2+$X3^2-2*$X2*$X3+$X2^2</f>
        <v>8</v>
      </c>
      <c r="AD4" s="18">
        <v>0</v>
      </c>
      <c r="AE4" s="19">
        <v>0</v>
      </c>
      <c r="AF4" s="20">
        <v>0</v>
      </c>
      <c r="AG4" s="18">
        <v>0</v>
      </c>
      <c r="AH4" s="19">
        <v>0</v>
      </c>
      <c r="AI4" s="20">
        <v>0</v>
      </c>
      <c r="AJ4" s="18">
        <v>0</v>
      </c>
      <c r="AK4" s="19">
        <v>0</v>
      </c>
      <c r="AL4" s="20">
        <v>0</v>
      </c>
      <c r="AM4" s="18">
        <v>0</v>
      </c>
      <c r="AN4" s="19">
        <v>0</v>
      </c>
      <c r="AO4" s="20">
        <v>0</v>
      </c>
      <c r="AP4" s="18">
        <v>0</v>
      </c>
      <c r="AQ4" s="19">
        <v>0</v>
      </c>
      <c r="AR4" s="20">
        <v>0</v>
      </c>
      <c r="AS4" s="18">
        <v>0</v>
      </c>
      <c r="AT4" s="19">
        <v>0</v>
      </c>
      <c r="AU4" s="20">
        <v>0</v>
      </c>
      <c r="AV4" s="18">
        <v>0</v>
      </c>
      <c r="AW4" s="19">
        <v>0</v>
      </c>
      <c r="AX4" s="20">
        <v>0</v>
      </c>
      <c r="AY4" s="18">
        <v>0</v>
      </c>
      <c r="AZ4" s="19">
        <v>0</v>
      </c>
      <c r="BA4" s="20">
        <v>0</v>
      </c>
      <c r="BB4" s="18">
        <v>0</v>
      </c>
      <c r="BC4" s="19">
        <v>0</v>
      </c>
      <c r="BD4" s="20">
        <v>0</v>
      </c>
      <c r="BE4" s="18">
        <v>0</v>
      </c>
      <c r="BF4" s="19">
        <v>0</v>
      </c>
      <c r="BG4" s="20">
        <v>0</v>
      </c>
      <c r="BH4" s="18">
        <v>0</v>
      </c>
      <c r="BI4" s="19">
        <v>0</v>
      </c>
      <c r="BJ4" s="20">
        <v>0</v>
      </c>
      <c r="BK4" s="18">
        <v>0</v>
      </c>
      <c r="BL4" s="19">
        <v>0</v>
      </c>
      <c r="BM4" s="20">
        <v>0</v>
      </c>
      <c r="BN4" s="18">
        <v>0</v>
      </c>
      <c r="BO4" s="19">
        <v>0</v>
      </c>
      <c r="BP4" s="20">
        <v>0</v>
      </c>
      <c r="BQ4" s="18">
        <v>0</v>
      </c>
      <c r="BR4" s="19">
        <v>0</v>
      </c>
      <c r="BS4" s="20">
        <v>0</v>
      </c>
      <c r="BT4" s="18">
        <v>0</v>
      </c>
      <c r="BU4" s="19">
        <v>0</v>
      </c>
      <c r="BV4" s="20">
        <v>0</v>
      </c>
      <c r="BW4" s="18">
        <v>0</v>
      </c>
      <c r="BX4" s="19">
        <v>0</v>
      </c>
      <c r="BY4" s="20">
        <v>0</v>
      </c>
      <c r="BZ4" s="18">
        <v>0</v>
      </c>
      <c r="CA4" s="19">
        <v>0</v>
      </c>
      <c r="CB4" s="104">
        <v>0</v>
      </c>
    </row>
    <row r="5" spans="1:80" x14ac:dyDescent="0.25">
      <c r="A5" s="23">
        <f t="shared" ref="A5:A55" si="1">IF(B4=3,A4+1,A4)</f>
        <v>2</v>
      </c>
      <c r="B5" s="23">
        <f t="shared" ref="B5:B55" si="2">IF(B4=3,1,B4+1)</f>
        <v>1</v>
      </c>
      <c r="C5" s="23" t="str">
        <f t="shared" si="0"/>
        <v>T2_1</v>
      </c>
      <c r="E5" s="3">
        <v>1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5"/>
      <c r="W5" s="85">
        <v>1</v>
      </c>
      <c r="X5" s="86">
        <v>-3</v>
      </c>
      <c r="Y5" s="87">
        <v>-3</v>
      </c>
      <c r="Z5" s="88" t="s">
        <v>12</v>
      </c>
      <c r="AA5" s="105">
        <v>0</v>
      </c>
      <c r="AB5" s="14">
        <v>0</v>
      </c>
      <c r="AC5" s="15">
        <v>0</v>
      </c>
      <c r="AD5" s="106">
        <f>$Y7^2-2*$Y6*$Y7+$Y6^2+$X7^2-2*$X6*$X7+$X6^2</f>
        <v>4</v>
      </c>
      <c r="AE5" s="90">
        <f>AD6</f>
        <v>-4</v>
      </c>
      <c r="AF5" s="91">
        <f>AD7</f>
        <v>0</v>
      </c>
      <c r="AG5" s="13">
        <v>0</v>
      </c>
      <c r="AH5" s="14">
        <v>0</v>
      </c>
      <c r="AI5" s="15">
        <v>0</v>
      </c>
      <c r="AJ5" s="13">
        <v>0</v>
      </c>
      <c r="AK5" s="14">
        <v>0</v>
      </c>
      <c r="AL5" s="15">
        <v>0</v>
      </c>
      <c r="AM5" s="13">
        <v>0</v>
      </c>
      <c r="AN5" s="14">
        <v>0</v>
      </c>
      <c r="AO5" s="15">
        <v>0</v>
      </c>
      <c r="AP5" s="13">
        <v>0</v>
      </c>
      <c r="AQ5" s="14">
        <v>0</v>
      </c>
      <c r="AR5" s="15">
        <v>0</v>
      </c>
      <c r="AS5" s="13">
        <v>0</v>
      </c>
      <c r="AT5" s="14">
        <v>0</v>
      </c>
      <c r="AU5" s="15">
        <v>0</v>
      </c>
      <c r="AV5" s="13">
        <v>0</v>
      </c>
      <c r="AW5" s="14">
        <v>0</v>
      </c>
      <c r="AX5" s="15">
        <v>0</v>
      </c>
      <c r="AY5" s="13">
        <v>0</v>
      </c>
      <c r="AZ5" s="14">
        <v>0</v>
      </c>
      <c r="BA5" s="15">
        <v>0</v>
      </c>
      <c r="BB5" s="13">
        <v>0</v>
      </c>
      <c r="BC5" s="14">
        <v>0</v>
      </c>
      <c r="BD5" s="15">
        <v>0</v>
      </c>
      <c r="BE5" s="13">
        <v>0</v>
      </c>
      <c r="BF5" s="14">
        <v>0</v>
      </c>
      <c r="BG5" s="15">
        <v>0</v>
      </c>
      <c r="BH5" s="13">
        <v>0</v>
      </c>
      <c r="BI5" s="14">
        <v>0</v>
      </c>
      <c r="BJ5" s="15">
        <v>0</v>
      </c>
      <c r="BK5" s="13">
        <v>0</v>
      </c>
      <c r="BL5" s="14">
        <v>0</v>
      </c>
      <c r="BM5" s="15">
        <v>0</v>
      </c>
      <c r="BN5" s="13">
        <v>0</v>
      </c>
      <c r="BO5" s="14">
        <v>0</v>
      </c>
      <c r="BP5" s="15">
        <v>0</v>
      </c>
      <c r="BQ5" s="13">
        <v>0</v>
      </c>
      <c r="BR5" s="14">
        <v>0</v>
      </c>
      <c r="BS5" s="15">
        <v>0</v>
      </c>
      <c r="BT5" s="13">
        <v>0</v>
      </c>
      <c r="BU5" s="14">
        <v>0</v>
      </c>
      <c r="BV5" s="15">
        <v>0</v>
      </c>
      <c r="BW5" s="13">
        <v>0</v>
      </c>
      <c r="BX5" s="14">
        <v>0</v>
      </c>
      <c r="BY5" s="15">
        <v>0</v>
      </c>
      <c r="BZ5" s="13">
        <v>0</v>
      </c>
      <c r="CA5" s="14">
        <v>0</v>
      </c>
      <c r="CB5" s="92">
        <v>0</v>
      </c>
    </row>
    <row r="6" spans="1:80" x14ac:dyDescent="0.25">
      <c r="A6" s="23">
        <f t="shared" si="1"/>
        <v>2</v>
      </c>
      <c r="B6" s="23">
        <f t="shared" si="2"/>
        <v>2</v>
      </c>
      <c r="C6" s="23" t="str">
        <f t="shared" si="0"/>
        <v>T2_2</v>
      </c>
      <c r="E6" s="3"/>
      <c r="F6" s="4">
        <v>1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5"/>
      <c r="W6" s="93">
        <v>1</v>
      </c>
      <c r="X6" s="49">
        <v>-1</v>
      </c>
      <c r="Y6" s="94">
        <v>-3</v>
      </c>
      <c r="Z6" s="95" t="s">
        <v>13</v>
      </c>
      <c r="AA6" s="3">
        <v>0</v>
      </c>
      <c r="AB6" s="4">
        <v>0</v>
      </c>
      <c r="AC6" s="17">
        <v>0</v>
      </c>
      <c r="AD6" s="107">
        <f>-($Y7^2)+($Y6+$Y5)*$Y7-($Y5*$Y6)-($X7^2)+($X6+$X5)*$X7-($X5*$X6)</f>
        <v>-4</v>
      </c>
      <c r="AE6" s="11">
        <f>$Y7^2-2*$Y5*$Y7+$Y5^2+$X7^2-2*$X5*$X7+$X5^2</f>
        <v>8</v>
      </c>
      <c r="AF6" s="96">
        <f>AE7</f>
        <v>-4</v>
      </c>
      <c r="AG6" s="16">
        <v>0</v>
      </c>
      <c r="AH6" s="4">
        <v>0</v>
      </c>
      <c r="AI6" s="17">
        <v>0</v>
      </c>
      <c r="AJ6" s="16">
        <v>0</v>
      </c>
      <c r="AK6" s="4">
        <v>0</v>
      </c>
      <c r="AL6" s="17">
        <v>0</v>
      </c>
      <c r="AM6" s="16">
        <v>0</v>
      </c>
      <c r="AN6" s="4">
        <v>0</v>
      </c>
      <c r="AO6" s="17">
        <v>0</v>
      </c>
      <c r="AP6" s="16">
        <v>0</v>
      </c>
      <c r="AQ6" s="4">
        <v>0</v>
      </c>
      <c r="AR6" s="17">
        <v>0</v>
      </c>
      <c r="AS6" s="16">
        <v>0</v>
      </c>
      <c r="AT6" s="4">
        <v>0</v>
      </c>
      <c r="AU6" s="17">
        <v>0</v>
      </c>
      <c r="AV6" s="16">
        <v>0</v>
      </c>
      <c r="AW6" s="4">
        <v>0</v>
      </c>
      <c r="AX6" s="17">
        <v>0</v>
      </c>
      <c r="AY6" s="16">
        <v>0</v>
      </c>
      <c r="AZ6" s="4">
        <v>0</v>
      </c>
      <c r="BA6" s="17">
        <v>0</v>
      </c>
      <c r="BB6" s="16">
        <v>0</v>
      </c>
      <c r="BC6" s="4">
        <v>0</v>
      </c>
      <c r="BD6" s="17">
        <v>0</v>
      </c>
      <c r="BE6" s="16">
        <v>0</v>
      </c>
      <c r="BF6" s="4">
        <v>0</v>
      </c>
      <c r="BG6" s="17">
        <v>0</v>
      </c>
      <c r="BH6" s="16">
        <v>0</v>
      </c>
      <c r="BI6" s="4">
        <v>0</v>
      </c>
      <c r="BJ6" s="17">
        <v>0</v>
      </c>
      <c r="BK6" s="16">
        <v>0</v>
      </c>
      <c r="BL6" s="4">
        <v>0</v>
      </c>
      <c r="BM6" s="17">
        <v>0</v>
      </c>
      <c r="BN6" s="16">
        <v>0</v>
      </c>
      <c r="BO6" s="4">
        <v>0</v>
      </c>
      <c r="BP6" s="17">
        <v>0</v>
      </c>
      <c r="BQ6" s="16">
        <v>0</v>
      </c>
      <c r="BR6" s="4">
        <v>0</v>
      </c>
      <c r="BS6" s="17">
        <v>0</v>
      </c>
      <c r="BT6" s="16">
        <v>0</v>
      </c>
      <c r="BU6" s="4">
        <v>0</v>
      </c>
      <c r="BV6" s="17">
        <v>0</v>
      </c>
      <c r="BW6" s="16">
        <v>0</v>
      </c>
      <c r="BX6" s="4">
        <v>0</v>
      </c>
      <c r="BY6" s="17">
        <v>0</v>
      </c>
      <c r="BZ6" s="16">
        <v>0</v>
      </c>
      <c r="CA6" s="4">
        <v>0</v>
      </c>
      <c r="CB6" s="5">
        <v>0</v>
      </c>
    </row>
    <row r="7" spans="1:80" x14ac:dyDescent="0.25">
      <c r="A7" s="23">
        <f t="shared" si="1"/>
        <v>2</v>
      </c>
      <c r="B7" s="23">
        <f t="shared" si="2"/>
        <v>3</v>
      </c>
      <c r="C7" s="23" t="str">
        <f t="shared" si="0"/>
        <v>T2_3</v>
      </c>
      <c r="E7" s="3"/>
      <c r="F7" s="4"/>
      <c r="G7" s="4"/>
      <c r="H7" s="4"/>
      <c r="I7" s="4"/>
      <c r="J7" s="4">
        <v>1</v>
      </c>
      <c r="K7" s="4"/>
      <c r="L7" s="4"/>
      <c r="M7" s="4"/>
      <c r="N7" s="4"/>
      <c r="O7" s="4"/>
      <c r="P7" s="4"/>
      <c r="Q7" s="4"/>
      <c r="R7" s="4"/>
      <c r="S7" s="4"/>
      <c r="T7" s="5"/>
      <c r="W7" s="97">
        <v>1</v>
      </c>
      <c r="X7" s="98">
        <v>-1</v>
      </c>
      <c r="Y7" s="99">
        <v>-1</v>
      </c>
      <c r="Z7" s="100" t="s">
        <v>14</v>
      </c>
      <c r="AA7" s="108">
        <v>0</v>
      </c>
      <c r="AB7" s="19">
        <v>0</v>
      </c>
      <c r="AC7" s="20">
        <v>0</v>
      </c>
      <c r="AD7" s="109">
        <f>($Y6-$Y5)*$Y7-$Y6^2+$Y5*$Y6+($X6-$X5)*$X7-$X6^2+$X5*$X6</f>
        <v>0</v>
      </c>
      <c r="AE7" s="102">
        <f>($Y5-$Y6)*$Y7+$Y5*$Y6-$Y5^2+($X5-$X6)*$X7+$X5*$X6-$X5^2</f>
        <v>-4</v>
      </c>
      <c r="AF7" s="103">
        <f>$Y6^2-2*$Y5*$Y6+$Y5^2+$X6^2-2*$X5*$X6+$X5^2</f>
        <v>4</v>
      </c>
      <c r="AG7" s="18">
        <v>0</v>
      </c>
      <c r="AH7" s="19">
        <v>0</v>
      </c>
      <c r="AI7" s="20">
        <v>0</v>
      </c>
      <c r="AJ7" s="18">
        <v>0</v>
      </c>
      <c r="AK7" s="19">
        <v>0</v>
      </c>
      <c r="AL7" s="20">
        <v>0</v>
      </c>
      <c r="AM7" s="18">
        <v>0</v>
      </c>
      <c r="AN7" s="19">
        <v>0</v>
      </c>
      <c r="AO7" s="20">
        <v>0</v>
      </c>
      <c r="AP7" s="18">
        <v>0</v>
      </c>
      <c r="AQ7" s="19">
        <v>0</v>
      </c>
      <c r="AR7" s="20">
        <v>0</v>
      </c>
      <c r="AS7" s="18">
        <v>0</v>
      </c>
      <c r="AT7" s="19">
        <v>0</v>
      </c>
      <c r="AU7" s="20">
        <v>0</v>
      </c>
      <c r="AV7" s="18">
        <v>0</v>
      </c>
      <c r="AW7" s="19">
        <v>0</v>
      </c>
      <c r="AX7" s="20">
        <v>0</v>
      </c>
      <c r="AY7" s="18">
        <v>0</v>
      </c>
      <c r="AZ7" s="19">
        <v>0</v>
      </c>
      <c r="BA7" s="20">
        <v>0</v>
      </c>
      <c r="BB7" s="18">
        <v>0</v>
      </c>
      <c r="BC7" s="19">
        <v>0</v>
      </c>
      <c r="BD7" s="20">
        <v>0</v>
      </c>
      <c r="BE7" s="18">
        <v>0</v>
      </c>
      <c r="BF7" s="19">
        <v>0</v>
      </c>
      <c r="BG7" s="20">
        <v>0</v>
      </c>
      <c r="BH7" s="18">
        <v>0</v>
      </c>
      <c r="BI7" s="19">
        <v>0</v>
      </c>
      <c r="BJ7" s="20">
        <v>0</v>
      </c>
      <c r="BK7" s="18">
        <v>0</v>
      </c>
      <c r="BL7" s="19">
        <v>0</v>
      </c>
      <c r="BM7" s="20">
        <v>0</v>
      </c>
      <c r="BN7" s="18">
        <v>0</v>
      </c>
      <c r="BO7" s="19">
        <v>0</v>
      </c>
      <c r="BP7" s="20">
        <v>0</v>
      </c>
      <c r="BQ7" s="18">
        <v>0</v>
      </c>
      <c r="BR7" s="19">
        <v>0</v>
      </c>
      <c r="BS7" s="20">
        <v>0</v>
      </c>
      <c r="BT7" s="18">
        <v>0</v>
      </c>
      <c r="BU7" s="19">
        <v>0</v>
      </c>
      <c r="BV7" s="20">
        <v>0</v>
      </c>
      <c r="BW7" s="18">
        <v>0</v>
      </c>
      <c r="BX7" s="19">
        <v>0</v>
      </c>
      <c r="BY7" s="20">
        <v>0</v>
      </c>
      <c r="BZ7" s="18">
        <v>0</v>
      </c>
      <c r="CA7" s="19">
        <v>0</v>
      </c>
      <c r="CB7" s="104">
        <v>0</v>
      </c>
    </row>
    <row r="8" spans="1:80" x14ac:dyDescent="0.25">
      <c r="A8" s="23">
        <f t="shared" si="1"/>
        <v>3</v>
      </c>
      <c r="B8" s="23">
        <f t="shared" si="2"/>
        <v>1</v>
      </c>
      <c r="C8" s="23" t="str">
        <f t="shared" si="0"/>
        <v>T3_1</v>
      </c>
      <c r="E8" s="3"/>
      <c r="F8" s="4">
        <v>1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5"/>
      <c r="W8" s="85">
        <v>1</v>
      </c>
      <c r="X8" s="86">
        <v>-1</v>
      </c>
      <c r="Y8" s="87">
        <v>-3</v>
      </c>
      <c r="Z8" s="88" t="s">
        <v>15</v>
      </c>
      <c r="AA8" s="105">
        <v>0</v>
      </c>
      <c r="AB8" s="14">
        <v>0</v>
      </c>
      <c r="AC8" s="15">
        <v>0</v>
      </c>
      <c r="AD8" s="13">
        <v>0</v>
      </c>
      <c r="AE8" s="14">
        <v>0</v>
      </c>
      <c r="AF8" s="15">
        <v>0</v>
      </c>
      <c r="AG8" s="106">
        <f>$Y10^2-2*$Y9*$Y10+$Y9^2+$X10^2-2*$X9*$X10+$X9^2</f>
        <v>4</v>
      </c>
      <c r="AH8" s="90">
        <f>AG9</f>
        <v>0</v>
      </c>
      <c r="AI8" s="91">
        <f>AG10</f>
        <v>-4</v>
      </c>
      <c r="AJ8" s="13">
        <v>0</v>
      </c>
      <c r="AK8" s="14">
        <v>0</v>
      </c>
      <c r="AL8" s="15">
        <v>0</v>
      </c>
      <c r="AM8" s="13">
        <v>0</v>
      </c>
      <c r="AN8" s="14">
        <v>0</v>
      </c>
      <c r="AO8" s="15">
        <v>0</v>
      </c>
      <c r="AP8" s="13">
        <v>0</v>
      </c>
      <c r="AQ8" s="14">
        <v>0</v>
      </c>
      <c r="AR8" s="15">
        <v>0</v>
      </c>
      <c r="AS8" s="13">
        <v>0</v>
      </c>
      <c r="AT8" s="14">
        <v>0</v>
      </c>
      <c r="AU8" s="15">
        <v>0</v>
      </c>
      <c r="AV8" s="13">
        <v>0</v>
      </c>
      <c r="AW8" s="14">
        <v>0</v>
      </c>
      <c r="AX8" s="15">
        <v>0</v>
      </c>
      <c r="AY8" s="13">
        <v>0</v>
      </c>
      <c r="AZ8" s="14">
        <v>0</v>
      </c>
      <c r="BA8" s="15">
        <v>0</v>
      </c>
      <c r="BB8" s="13">
        <v>0</v>
      </c>
      <c r="BC8" s="14">
        <v>0</v>
      </c>
      <c r="BD8" s="15">
        <v>0</v>
      </c>
      <c r="BE8" s="13">
        <v>0</v>
      </c>
      <c r="BF8" s="14">
        <v>0</v>
      </c>
      <c r="BG8" s="15">
        <v>0</v>
      </c>
      <c r="BH8" s="13">
        <v>0</v>
      </c>
      <c r="BI8" s="14">
        <v>0</v>
      </c>
      <c r="BJ8" s="15">
        <v>0</v>
      </c>
      <c r="BK8" s="13">
        <v>0</v>
      </c>
      <c r="BL8" s="14">
        <v>0</v>
      </c>
      <c r="BM8" s="15">
        <v>0</v>
      </c>
      <c r="BN8" s="13">
        <v>0</v>
      </c>
      <c r="BO8" s="14">
        <v>0</v>
      </c>
      <c r="BP8" s="15">
        <v>0</v>
      </c>
      <c r="BQ8" s="13">
        <v>0</v>
      </c>
      <c r="BR8" s="14">
        <v>0</v>
      </c>
      <c r="BS8" s="15">
        <v>0</v>
      </c>
      <c r="BT8" s="13">
        <v>0</v>
      </c>
      <c r="BU8" s="14">
        <v>0</v>
      </c>
      <c r="BV8" s="15">
        <v>0</v>
      </c>
      <c r="BW8" s="13">
        <v>0</v>
      </c>
      <c r="BX8" s="14">
        <v>0</v>
      </c>
      <c r="BY8" s="15">
        <v>0</v>
      </c>
      <c r="BZ8" s="13">
        <v>0</v>
      </c>
      <c r="CA8" s="14">
        <v>0</v>
      </c>
      <c r="CB8" s="92">
        <v>0</v>
      </c>
    </row>
    <row r="9" spans="1:80" x14ac:dyDescent="0.25">
      <c r="A9" s="23">
        <f t="shared" si="1"/>
        <v>3</v>
      </c>
      <c r="B9" s="23">
        <f t="shared" si="2"/>
        <v>2</v>
      </c>
      <c r="C9" s="23" t="str">
        <f t="shared" si="0"/>
        <v>T3_2</v>
      </c>
      <c r="E9" s="3"/>
      <c r="F9" s="4"/>
      <c r="G9" s="4"/>
      <c r="H9" s="4"/>
      <c r="I9" s="4"/>
      <c r="J9" s="4"/>
      <c r="K9" s="4">
        <v>1</v>
      </c>
      <c r="L9" s="4"/>
      <c r="M9" s="4"/>
      <c r="N9" s="4"/>
      <c r="O9" s="4"/>
      <c r="P9" s="4"/>
      <c r="Q9" s="4"/>
      <c r="R9" s="4"/>
      <c r="S9" s="4"/>
      <c r="T9" s="5"/>
      <c r="W9" s="93">
        <v>1</v>
      </c>
      <c r="X9" s="49">
        <v>1</v>
      </c>
      <c r="Y9" s="94">
        <v>-1</v>
      </c>
      <c r="Z9" s="95" t="s">
        <v>16</v>
      </c>
      <c r="AA9" s="3">
        <v>0</v>
      </c>
      <c r="AB9" s="4">
        <v>0</v>
      </c>
      <c r="AC9" s="17">
        <v>0</v>
      </c>
      <c r="AD9" s="16">
        <v>0</v>
      </c>
      <c r="AE9" s="4">
        <v>0</v>
      </c>
      <c r="AF9" s="17">
        <v>0</v>
      </c>
      <c r="AG9" s="107">
        <f>-($Y10^2)+($Y9+$Y8)*$Y10-($Y8*$Y9)-($X10^2)+($X9+$X8)*$X10-($X8*$X9)</f>
        <v>0</v>
      </c>
      <c r="AH9" s="11">
        <f>$Y10^2-2*$Y8*$Y10+$Y8^2+$X10^2-2*$X8*$X10+$X8^2</f>
        <v>4</v>
      </c>
      <c r="AI9" s="96">
        <f>AH10</f>
        <v>-4</v>
      </c>
      <c r="AJ9" s="16">
        <v>0</v>
      </c>
      <c r="AK9" s="4">
        <v>0</v>
      </c>
      <c r="AL9" s="17">
        <v>0</v>
      </c>
      <c r="AM9" s="16">
        <v>0</v>
      </c>
      <c r="AN9" s="4">
        <v>0</v>
      </c>
      <c r="AO9" s="17">
        <v>0</v>
      </c>
      <c r="AP9" s="16">
        <v>0</v>
      </c>
      <c r="AQ9" s="4">
        <v>0</v>
      </c>
      <c r="AR9" s="17">
        <v>0</v>
      </c>
      <c r="AS9" s="16">
        <v>0</v>
      </c>
      <c r="AT9" s="4">
        <v>0</v>
      </c>
      <c r="AU9" s="17">
        <v>0</v>
      </c>
      <c r="AV9" s="16">
        <v>0</v>
      </c>
      <c r="AW9" s="4">
        <v>0</v>
      </c>
      <c r="AX9" s="17">
        <v>0</v>
      </c>
      <c r="AY9" s="16">
        <v>0</v>
      </c>
      <c r="AZ9" s="4">
        <v>0</v>
      </c>
      <c r="BA9" s="17">
        <v>0</v>
      </c>
      <c r="BB9" s="16">
        <v>0</v>
      </c>
      <c r="BC9" s="4">
        <v>0</v>
      </c>
      <c r="BD9" s="17">
        <v>0</v>
      </c>
      <c r="BE9" s="16">
        <v>0</v>
      </c>
      <c r="BF9" s="4">
        <v>0</v>
      </c>
      <c r="BG9" s="17">
        <v>0</v>
      </c>
      <c r="BH9" s="16">
        <v>0</v>
      </c>
      <c r="BI9" s="4">
        <v>0</v>
      </c>
      <c r="BJ9" s="17">
        <v>0</v>
      </c>
      <c r="BK9" s="16">
        <v>0</v>
      </c>
      <c r="BL9" s="4">
        <v>0</v>
      </c>
      <c r="BM9" s="17">
        <v>0</v>
      </c>
      <c r="BN9" s="16">
        <v>0</v>
      </c>
      <c r="BO9" s="4">
        <v>0</v>
      </c>
      <c r="BP9" s="17">
        <v>0</v>
      </c>
      <c r="BQ9" s="16">
        <v>0</v>
      </c>
      <c r="BR9" s="4">
        <v>0</v>
      </c>
      <c r="BS9" s="17">
        <v>0</v>
      </c>
      <c r="BT9" s="16">
        <v>0</v>
      </c>
      <c r="BU9" s="4">
        <v>0</v>
      </c>
      <c r="BV9" s="17">
        <v>0</v>
      </c>
      <c r="BW9" s="16">
        <v>0</v>
      </c>
      <c r="BX9" s="4">
        <v>0</v>
      </c>
      <c r="BY9" s="17">
        <v>0</v>
      </c>
      <c r="BZ9" s="16">
        <v>0</v>
      </c>
      <c r="CA9" s="4">
        <v>0</v>
      </c>
      <c r="CB9" s="5">
        <v>0</v>
      </c>
    </row>
    <row r="10" spans="1:80" x14ac:dyDescent="0.25">
      <c r="A10" s="23">
        <f t="shared" si="1"/>
        <v>3</v>
      </c>
      <c r="B10" s="23">
        <f t="shared" si="2"/>
        <v>3</v>
      </c>
      <c r="C10" s="23" t="str">
        <f t="shared" si="0"/>
        <v>T3_3</v>
      </c>
      <c r="E10" s="3"/>
      <c r="F10" s="4"/>
      <c r="G10" s="4"/>
      <c r="H10" s="4"/>
      <c r="I10" s="4"/>
      <c r="J10" s="4">
        <v>1</v>
      </c>
      <c r="K10" s="4"/>
      <c r="L10" s="4"/>
      <c r="M10" s="4"/>
      <c r="N10" s="4"/>
      <c r="O10" s="4"/>
      <c r="P10" s="4"/>
      <c r="Q10" s="4"/>
      <c r="R10" s="4"/>
      <c r="S10" s="4"/>
      <c r="T10" s="5"/>
      <c r="W10" s="97">
        <v>1</v>
      </c>
      <c r="X10" s="98">
        <v>-1</v>
      </c>
      <c r="Y10" s="99">
        <v>-1</v>
      </c>
      <c r="Z10" s="100" t="s">
        <v>17</v>
      </c>
      <c r="AA10" s="108">
        <v>0</v>
      </c>
      <c r="AB10" s="19">
        <v>0</v>
      </c>
      <c r="AC10" s="20">
        <v>0</v>
      </c>
      <c r="AD10" s="18">
        <v>0</v>
      </c>
      <c r="AE10" s="19">
        <v>0</v>
      </c>
      <c r="AF10" s="20">
        <v>0</v>
      </c>
      <c r="AG10" s="109">
        <f>($Y9-$Y8)*$Y10-$Y9^2+$Y8*$Y9+($X9-$X8)*$X10-$X9^2+$X8*$X9</f>
        <v>-4</v>
      </c>
      <c r="AH10" s="102">
        <f>($Y8-$Y9)*$Y10+$Y8*$Y9-$Y8^2+($X8-$X9)*$X10+$X8*$X9-$X8^2</f>
        <v>-4</v>
      </c>
      <c r="AI10" s="103">
        <f>$Y9^2-2*$Y8*$Y9+$Y8^2+$X9^2-2*$X8*$X9+$X8^2</f>
        <v>8</v>
      </c>
      <c r="AJ10" s="18">
        <v>0</v>
      </c>
      <c r="AK10" s="19">
        <v>0</v>
      </c>
      <c r="AL10" s="20">
        <v>0</v>
      </c>
      <c r="AM10" s="18">
        <v>0</v>
      </c>
      <c r="AN10" s="19">
        <v>0</v>
      </c>
      <c r="AO10" s="20">
        <v>0</v>
      </c>
      <c r="AP10" s="18">
        <v>0</v>
      </c>
      <c r="AQ10" s="19">
        <v>0</v>
      </c>
      <c r="AR10" s="20">
        <v>0</v>
      </c>
      <c r="AS10" s="18">
        <v>0</v>
      </c>
      <c r="AT10" s="19">
        <v>0</v>
      </c>
      <c r="AU10" s="20">
        <v>0</v>
      </c>
      <c r="AV10" s="18">
        <v>0</v>
      </c>
      <c r="AW10" s="19">
        <v>0</v>
      </c>
      <c r="AX10" s="20">
        <v>0</v>
      </c>
      <c r="AY10" s="18">
        <v>0</v>
      </c>
      <c r="AZ10" s="19">
        <v>0</v>
      </c>
      <c r="BA10" s="20">
        <v>0</v>
      </c>
      <c r="BB10" s="18">
        <v>0</v>
      </c>
      <c r="BC10" s="19">
        <v>0</v>
      </c>
      <c r="BD10" s="20">
        <v>0</v>
      </c>
      <c r="BE10" s="18">
        <v>0</v>
      </c>
      <c r="BF10" s="19">
        <v>0</v>
      </c>
      <c r="BG10" s="20">
        <v>0</v>
      </c>
      <c r="BH10" s="18">
        <v>0</v>
      </c>
      <c r="BI10" s="19">
        <v>0</v>
      </c>
      <c r="BJ10" s="20">
        <v>0</v>
      </c>
      <c r="BK10" s="18">
        <v>0</v>
      </c>
      <c r="BL10" s="19">
        <v>0</v>
      </c>
      <c r="BM10" s="20">
        <v>0</v>
      </c>
      <c r="BN10" s="18">
        <v>0</v>
      </c>
      <c r="BO10" s="19">
        <v>0</v>
      </c>
      <c r="BP10" s="20">
        <v>0</v>
      </c>
      <c r="BQ10" s="18">
        <v>0</v>
      </c>
      <c r="BR10" s="19">
        <v>0</v>
      </c>
      <c r="BS10" s="20">
        <v>0</v>
      </c>
      <c r="BT10" s="18">
        <v>0</v>
      </c>
      <c r="BU10" s="19">
        <v>0</v>
      </c>
      <c r="BV10" s="20">
        <v>0</v>
      </c>
      <c r="BW10" s="18">
        <v>0</v>
      </c>
      <c r="BX10" s="19">
        <v>0</v>
      </c>
      <c r="BY10" s="20">
        <v>0</v>
      </c>
      <c r="BZ10" s="18">
        <v>0</v>
      </c>
      <c r="CA10" s="19">
        <v>0</v>
      </c>
      <c r="CB10" s="104">
        <v>0</v>
      </c>
    </row>
    <row r="11" spans="1:80" x14ac:dyDescent="0.25">
      <c r="A11" s="23">
        <f t="shared" si="1"/>
        <v>4</v>
      </c>
      <c r="B11" s="23">
        <f t="shared" si="2"/>
        <v>1</v>
      </c>
      <c r="C11" s="23" t="str">
        <f t="shared" si="0"/>
        <v>T4_1</v>
      </c>
      <c r="E11" s="3"/>
      <c r="F11" s="4">
        <v>1</v>
      </c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5"/>
      <c r="W11" s="85">
        <v>1</v>
      </c>
      <c r="X11" s="86">
        <v>-1</v>
      </c>
      <c r="Y11" s="87">
        <v>-3</v>
      </c>
      <c r="Z11" s="88" t="s">
        <v>18</v>
      </c>
      <c r="AA11" s="105">
        <v>0</v>
      </c>
      <c r="AB11" s="14">
        <v>0</v>
      </c>
      <c r="AC11" s="15">
        <v>0</v>
      </c>
      <c r="AD11" s="13">
        <v>0</v>
      </c>
      <c r="AE11" s="14">
        <v>0</v>
      </c>
      <c r="AF11" s="15">
        <v>0</v>
      </c>
      <c r="AG11" s="13">
        <v>0</v>
      </c>
      <c r="AH11" s="14">
        <v>0</v>
      </c>
      <c r="AI11" s="15">
        <v>0</v>
      </c>
      <c r="AJ11" s="106">
        <f>$Y13^2-2*$Y12*$Y13+$Y12^2+$X13^2-2*$X12*$X13+$X12^2</f>
        <v>4</v>
      </c>
      <c r="AK11" s="90">
        <f>AJ12</f>
        <v>-4</v>
      </c>
      <c r="AL11" s="91">
        <f>AJ13</f>
        <v>0</v>
      </c>
      <c r="AM11" s="13">
        <v>0</v>
      </c>
      <c r="AN11" s="14">
        <v>0</v>
      </c>
      <c r="AO11" s="15">
        <v>0</v>
      </c>
      <c r="AP11" s="13">
        <v>0</v>
      </c>
      <c r="AQ11" s="14">
        <v>0</v>
      </c>
      <c r="AR11" s="15">
        <v>0</v>
      </c>
      <c r="AS11" s="13">
        <v>0</v>
      </c>
      <c r="AT11" s="14">
        <v>0</v>
      </c>
      <c r="AU11" s="15">
        <v>0</v>
      </c>
      <c r="AV11" s="13">
        <v>0</v>
      </c>
      <c r="AW11" s="14">
        <v>0</v>
      </c>
      <c r="AX11" s="15">
        <v>0</v>
      </c>
      <c r="AY11" s="13">
        <v>0</v>
      </c>
      <c r="AZ11" s="14">
        <v>0</v>
      </c>
      <c r="BA11" s="15">
        <v>0</v>
      </c>
      <c r="BB11" s="13">
        <v>0</v>
      </c>
      <c r="BC11" s="14">
        <v>0</v>
      </c>
      <c r="BD11" s="15">
        <v>0</v>
      </c>
      <c r="BE11" s="13">
        <v>0</v>
      </c>
      <c r="BF11" s="14">
        <v>0</v>
      </c>
      <c r="BG11" s="15">
        <v>0</v>
      </c>
      <c r="BH11" s="13">
        <v>0</v>
      </c>
      <c r="BI11" s="14">
        <v>0</v>
      </c>
      <c r="BJ11" s="15">
        <v>0</v>
      </c>
      <c r="BK11" s="13">
        <v>0</v>
      </c>
      <c r="BL11" s="14">
        <v>0</v>
      </c>
      <c r="BM11" s="15">
        <v>0</v>
      </c>
      <c r="BN11" s="13">
        <v>0</v>
      </c>
      <c r="BO11" s="14">
        <v>0</v>
      </c>
      <c r="BP11" s="15">
        <v>0</v>
      </c>
      <c r="BQ11" s="13">
        <v>0</v>
      </c>
      <c r="BR11" s="14">
        <v>0</v>
      </c>
      <c r="BS11" s="15">
        <v>0</v>
      </c>
      <c r="BT11" s="13">
        <v>0</v>
      </c>
      <c r="BU11" s="14">
        <v>0</v>
      </c>
      <c r="BV11" s="15">
        <v>0</v>
      </c>
      <c r="BW11" s="13">
        <v>0</v>
      </c>
      <c r="BX11" s="14">
        <v>0</v>
      </c>
      <c r="BY11" s="15">
        <v>0</v>
      </c>
      <c r="BZ11" s="13">
        <v>0</v>
      </c>
      <c r="CA11" s="14">
        <v>0</v>
      </c>
      <c r="CB11" s="92">
        <v>0</v>
      </c>
    </row>
    <row r="12" spans="1:80" x14ac:dyDescent="0.25">
      <c r="A12" s="23">
        <f t="shared" si="1"/>
        <v>4</v>
      </c>
      <c r="B12" s="23">
        <f t="shared" si="2"/>
        <v>2</v>
      </c>
      <c r="C12" s="23" t="str">
        <f t="shared" si="0"/>
        <v>T4_2</v>
      </c>
      <c r="E12" s="3"/>
      <c r="F12" s="4"/>
      <c r="G12" s="4">
        <v>1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5"/>
      <c r="W12" s="93">
        <v>1</v>
      </c>
      <c r="X12" s="49">
        <v>1</v>
      </c>
      <c r="Y12" s="94">
        <v>-3</v>
      </c>
      <c r="Z12" s="95" t="s">
        <v>19</v>
      </c>
      <c r="AA12" s="3">
        <v>0</v>
      </c>
      <c r="AB12" s="4">
        <v>0</v>
      </c>
      <c r="AC12" s="17">
        <v>0</v>
      </c>
      <c r="AD12" s="16">
        <v>0</v>
      </c>
      <c r="AE12" s="4">
        <v>0</v>
      </c>
      <c r="AF12" s="17">
        <v>0</v>
      </c>
      <c r="AG12" s="16">
        <v>0</v>
      </c>
      <c r="AH12" s="4">
        <v>0</v>
      </c>
      <c r="AI12" s="17">
        <v>0</v>
      </c>
      <c r="AJ12" s="107">
        <f>-($Y13^2)+($Y12+$Y11)*$Y13-($Y11*$Y12)-($X13^2)+($X12+$X11)*$X13-($X11*$X12)</f>
        <v>-4</v>
      </c>
      <c r="AK12" s="11">
        <f>$Y13^2-2*$Y11*$Y13+$Y11^2+$X13^2-2*$X11*$X13+$X11^2</f>
        <v>8</v>
      </c>
      <c r="AL12" s="96">
        <f>AK13</f>
        <v>-4</v>
      </c>
      <c r="AM12" s="16">
        <v>0</v>
      </c>
      <c r="AN12" s="4">
        <v>0</v>
      </c>
      <c r="AO12" s="17">
        <v>0</v>
      </c>
      <c r="AP12" s="16">
        <v>0</v>
      </c>
      <c r="AQ12" s="4">
        <v>0</v>
      </c>
      <c r="AR12" s="17">
        <v>0</v>
      </c>
      <c r="AS12" s="16">
        <v>0</v>
      </c>
      <c r="AT12" s="4">
        <v>0</v>
      </c>
      <c r="AU12" s="17">
        <v>0</v>
      </c>
      <c r="AV12" s="16">
        <v>0</v>
      </c>
      <c r="AW12" s="4">
        <v>0</v>
      </c>
      <c r="AX12" s="17">
        <v>0</v>
      </c>
      <c r="AY12" s="16">
        <v>0</v>
      </c>
      <c r="AZ12" s="4">
        <v>0</v>
      </c>
      <c r="BA12" s="17">
        <v>0</v>
      </c>
      <c r="BB12" s="16">
        <v>0</v>
      </c>
      <c r="BC12" s="4">
        <v>0</v>
      </c>
      <c r="BD12" s="17">
        <v>0</v>
      </c>
      <c r="BE12" s="16">
        <v>0</v>
      </c>
      <c r="BF12" s="4">
        <v>0</v>
      </c>
      <c r="BG12" s="17">
        <v>0</v>
      </c>
      <c r="BH12" s="16">
        <v>0</v>
      </c>
      <c r="BI12" s="4">
        <v>0</v>
      </c>
      <c r="BJ12" s="17">
        <v>0</v>
      </c>
      <c r="BK12" s="16">
        <v>0</v>
      </c>
      <c r="BL12" s="4">
        <v>0</v>
      </c>
      <c r="BM12" s="17">
        <v>0</v>
      </c>
      <c r="BN12" s="16">
        <v>0</v>
      </c>
      <c r="BO12" s="4">
        <v>0</v>
      </c>
      <c r="BP12" s="17">
        <v>0</v>
      </c>
      <c r="BQ12" s="16">
        <v>0</v>
      </c>
      <c r="BR12" s="4">
        <v>0</v>
      </c>
      <c r="BS12" s="17">
        <v>0</v>
      </c>
      <c r="BT12" s="16">
        <v>0</v>
      </c>
      <c r="BU12" s="4">
        <v>0</v>
      </c>
      <c r="BV12" s="17">
        <v>0</v>
      </c>
      <c r="BW12" s="16">
        <v>0</v>
      </c>
      <c r="BX12" s="4">
        <v>0</v>
      </c>
      <c r="BY12" s="17">
        <v>0</v>
      </c>
      <c r="BZ12" s="16">
        <v>0</v>
      </c>
      <c r="CA12" s="4">
        <v>0</v>
      </c>
      <c r="CB12" s="5">
        <v>0</v>
      </c>
    </row>
    <row r="13" spans="1:80" x14ac:dyDescent="0.25">
      <c r="A13" s="23">
        <f t="shared" si="1"/>
        <v>4</v>
      </c>
      <c r="B13" s="23">
        <f t="shared" si="2"/>
        <v>3</v>
      </c>
      <c r="C13" s="23" t="str">
        <f t="shared" si="0"/>
        <v>T4_3</v>
      </c>
      <c r="E13" s="3"/>
      <c r="F13" s="4"/>
      <c r="G13" s="4"/>
      <c r="H13" s="4"/>
      <c r="I13" s="4"/>
      <c r="J13" s="4"/>
      <c r="K13" s="4">
        <v>1</v>
      </c>
      <c r="L13" s="4"/>
      <c r="M13" s="4"/>
      <c r="N13" s="4"/>
      <c r="O13" s="4"/>
      <c r="P13" s="4"/>
      <c r="Q13" s="4"/>
      <c r="R13" s="4"/>
      <c r="S13" s="4"/>
      <c r="T13" s="5"/>
      <c r="W13" s="97">
        <v>1</v>
      </c>
      <c r="X13" s="98">
        <v>1</v>
      </c>
      <c r="Y13" s="99">
        <v>-1</v>
      </c>
      <c r="Z13" s="100" t="s">
        <v>20</v>
      </c>
      <c r="AA13" s="108">
        <v>0</v>
      </c>
      <c r="AB13" s="19">
        <v>0</v>
      </c>
      <c r="AC13" s="20">
        <v>0</v>
      </c>
      <c r="AD13" s="18">
        <v>0</v>
      </c>
      <c r="AE13" s="19">
        <v>0</v>
      </c>
      <c r="AF13" s="20">
        <v>0</v>
      </c>
      <c r="AG13" s="18">
        <v>0</v>
      </c>
      <c r="AH13" s="19">
        <v>0</v>
      </c>
      <c r="AI13" s="20">
        <v>0</v>
      </c>
      <c r="AJ13" s="109">
        <f>($Y12-$Y11)*$Y13-$Y12^2+$Y11*$Y12+($X12-$X11)*$X13-$X12^2+$X11*$X12</f>
        <v>0</v>
      </c>
      <c r="AK13" s="102">
        <f>($Y11-$Y12)*$Y13+$Y11*$Y12-$Y11^2+($X11-$X12)*$X13+$X11*$X12-$X11^2</f>
        <v>-4</v>
      </c>
      <c r="AL13" s="103">
        <f>$Y12^2-2*$Y11*$Y12+$Y11^2+$X12^2-2*$X11*$X12+$X11^2</f>
        <v>4</v>
      </c>
      <c r="AM13" s="18">
        <v>0</v>
      </c>
      <c r="AN13" s="19">
        <v>0</v>
      </c>
      <c r="AO13" s="20">
        <v>0</v>
      </c>
      <c r="AP13" s="18">
        <v>0</v>
      </c>
      <c r="AQ13" s="19">
        <v>0</v>
      </c>
      <c r="AR13" s="20">
        <v>0</v>
      </c>
      <c r="AS13" s="18">
        <v>0</v>
      </c>
      <c r="AT13" s="19">
        <v>0</v>
      </c>
      <c r="AU13" s="20">
        <v>0</v>
      </c>
      <c r="AV13" s="18">
        <v>0</v>
      </c>
      <c r="AW13" s="19">
        <v>0</v>
      </c>
      <c r="AX13" s="20">
        <v>0</v>
      </c>
      <c r="AY13" s="18">
        <v>0</v>
      </c>
      <c r="AZ13" s="19">
        <v>0</v>
      </c>
      <c r="BA13" s="20">
        <v>0</v>
      </c>
      <c r="BB13" s="18">
        <v>0</v>
      </c>
      <c r="BC13" s="19">
        <v>0</v>
      </c>
      <c r="BD13" s="20">
        <v>0</v>
      </c>
      <c r="BE13" s="18">
        <v>0</v>
      </c>
      <c r="BF13" s="19">
        <v>0</v>
      </c>
      <c r="BG13" s="20">
        <v>0</v>
      </c>
      <c r="BH13" s="18">
        <v>0</v>
      </c>
      <c r="BI13" s="19">
        <v>0</v>
      </c>
      <c r="BJ13" s="20">
        <v>0</v>
      </c>
      <c r="BK13" s="18">
        <v>0</v>
      </c>
      <c r="BL13" s="19">
        <v>0</v>
      </c>
      <c r="BM13" s="20">
        <v>0</v>
      </c>
      <c r="BN13" s="18">
        <v>0</v>
      </c>
      <c r="BO13" s="19">
        <v>0</v>
      </c>
      <c r="BP13" s="20">
        <v>0</v>
      </c>
      <c r="BQ13" s="18">
        <v>0</v>
      </c>
      <c r="BR13" s="19">
        <v>0</v>
      </c>
      <c r="BS13" s="20">
        <v>0</v>
      </c>
      <c r="BT13" s="18">
        <v>0</v>
      </c>
      <c r="BU13" s="19">
        <v>0</v>
      </c>
      <c r="BV13" s="20">
        <v>0</v>
      </c>
      <c r="BW13" s="18">
        <v>0</v>
      </c>
      <c r="BX13" s="19">
        <v>0</v>
      </c>
      <c r="BY13" s="20">
        <v>0</v>
      </c>
      <c r="BZ13" s="18">
        <v>0</v>
      </c>
      <c r="CA13" s="19">
        <v>0</v>
      </c>
      <c r="CB13" s="104">
        <v>0</v>
      </c>
    </row>
    <row r="14" spans="1:80" x14ac:dyDescent="0.25">
      <c r="A14" s="23">
        <f t="shared" si="1"/>
        <v>5</v>
      </c>
      <c r="B14" s="23">
        <f t="shared" si="2"/>
        <v>1</v>
      </c>
      <c r="C14" s="23" t="str">
        <f t="shared" si="0"/>
        <v>T5_1</v>
      </c>
      <c r="E14" s="3"/>
      <c r="F14" s="4"/>
      <c r="G14" s="4">
        <v>1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5"/>
      <c r="W14" s="85">
        <v>1</v>
      </c>
      <c r="X14" s="86">
        <v>1</v>
      </c>
      <c r="Y14" s="87">
        <v>-3</v>
      </c>
      <c r="Z14" s="88" t="s">
        <v>21</v>
      </c>
      <c r="AA14" s="105">
        <v>0</v>
      </c>
      <c r="AB14" s="14">
        <v>0</v>
      </c>
      <c r="AC14" s="15">
        <v>0</v>
      </c>
      <c r="AD14" s="13">
        <v>0</v>
      </c>
      <c r="AE14" s="14">
        <v>0</v>
      </c>
      <c r="AF14" s="15">
        <v>0</v>
      </c>
      <c r="AG14" s="13">
        <v>0</v>
      </c>
      <c r="AH14" s="14">
        <v>0</v>
      </c>
      <c r="AI14" s="15">
        <v>0</v>
      </c>
      <c r="AJ14" s="13">
        <v>0</v>
      </c>
      <c r="AK14" s="14">
        <v>0</v>
      </c>
      <c r="AL14" s="15">
        <v>0</v>
      </c>
      <c r="AM14" s="106">
        <f>$Y16^2-2*$Y15*$Y16+$Y15^2+$X16^2-2*$X15*$X16+$X15^2</f>
        <v>4</v>
      </c>
      <c r="AN14" s="90">
        <f>AM15</f>
        <v>0</v>
      </c>
      <c r="AO14" s="91">
        <f>AM16</f>
        <v>-4</v>
      </c>
      <c r="AP14" s="13">
        <v>0</v>
      </c>
      <c r="AQ14" s="14">
        <v>0</v>
      </c>
      <c r="AR14" s="15">
        <v>0</v>
      </c>
      <c r="AS14" s="13">
        <v>0</v>
      </c>
      <c r="AT14" s="14">
        <v>0</v>
      </c>
      <c r="AU14" s="15">
        <v>0</v>
      </c>
      <c r="AV14" s="13">
        <v>0</v>
      </c>
      <c r="AW14" s="14">
        <v>0</v>
      </c>
      <c r="AX14" s="15">
        <v>0</v>
      </c>
      <c r="AY14" s="13">
        <v>0</v>
      </c>
      <c r="AZ14" s="14">
        <v>0</v>
      </c>
      <c r="BA14" s="15">
        <v>0</v>
      </c>
      <c r="BB14" s="13">
        <v>0</v>
      </c>
      <c r="BC14" s="14">
        <v>0</v>
      </c>
      <c r="BD14" s="15">
        <v>0</v>
      </c>
      <c r="BE14" s="13">
        <v>0</v>
      </c>
      <c r="BF14" s="14">
        <v>0</v>
      </c>
      <c r="BG14" s="15">
        <v>0</v>
      </c>
      <c r="BH14" s="13">
        <v>0</v>
      </c>
      <c r="BI14" s="14">
        <v>0</v>
      </c>
      <c r="BJ14" s="15">
        <v>0</v>
      </c>
      <c r="BK14" s="13">
        <v>0</v>
      </c>
      <c r="BL14" s="14">
        <v>0</v>
      </c>
      <c r="BM14" s="15">
        <v>0</v>
      </c>
      <c r="BN14" s="13">
        <v>0</v>
      </c>
      <c r="BO14" s="14">
        <v>0</v>
      </c>
      <c r="BP14" s="15">
        <v>0</v>
      </c>
      <c r="BQ14" s="13">
        <v>0</v>
      </c>
      <c r="BR14" s="14">
        <v>0</v>
      </c>
      <c r="BS14" s="15">
        <v>0</v>
      </c>
      <c r="BT14" s="13">
        <v>0</v>
      </c>
      <c r="BU14" s="14">
        <v>0</v>
      </c>
      <c r="BV14" s="15">
        <v>0</v>
      </c>
      <c r="BW14" s="13">
        <v>0</v>
      </c>
      <c r="BX14" s="14">
        <v>0</v>
      </c>
      <c r="BY14" s="15">
        <v>0</v>
      </c>
      <c r="BZ14" s="13">
        <v>0</v>
      </c>
      <c r="CA14" s="14">
        <v>0</v>
      </c>
      <c r="CB14" s="92">
        <v>0</v>
      </c>
    </row>
    <row r="15" spans="1:80" x14ac:dyDescent="0.25">
      <c r="A15" s="23">
        <f t="shared" si="1"/>
        <v>5</v>
      </c>
      <c r="B15" s="23">
        <f t="shared" si="2"/>
        <v>2</v>
      </c>
      <c r="C15" s="23" t="str">
        <f t="shared" si="0"/>
        <v>T5_2</v>
      </c>
      <c r="E15" s="3"/>
      <c r="F15" s="4"/>
      <c r="G15" s="4"/>
      <c r="H15" s="4"/>
      <c r="I15" s="4"/>
      <c r="J15" s="4"/>
      <c r="K15" s="4"/>
      <c r="L15" s="4">
        <v>1</v>
      </c>
      <c r="M15" s="4"/>
      <c r="N15" s="4"/>
      <c r="O15" s="4"/>
      <c r="P15" s="4"/>
      <c r="Q15" s="4"/>
      <c r="R15" s="4"/>
      <c r="S15" s="4"/>
      <c r="T15" s="5"/>
      <c r="W15" s="93">
        <v>1</v>
      </c>
      <c r="X15" s="49">
        <v>3</v>
      </c>
      <c r="Y15" s="94">
        <v>-1</v>
      </c>
      <c r="Z15" s="95" t="s">
        <v>22</v>
      </c>
      <c r="AA15" s="3">
        <v>0</v>
      </c>
      <c r="AB15" s="4">
        <v>0</v>
      </c>
      <c r="AC15" s="17">
        <v>0</v>
      </c>
      <c r="AD15" s="16">
        <v>0</v>
      </c>
      <c r="AE15" s="4">
        <v>0</v>
      </c>
      <c r="AF15" s="17">
        <v>0</v>
      </c>
      <c r="AG15" s="16">
        <v>0</v>
      </c>
      <c r="AH15" s="4">
        <v>0</v>
      </c>
      <c r="AI15" s="17">
        <v>0</v>
      </c>
      <c r="AJ15" s="16">
        <v>0</v>
      </c>
      <c r="AK15" s="4">
        <v>0</v>
      </c>
      <c r="AL15" s="17">
        <v>0</v>
      </c>
      <c r="AM15" s="107">
        <f>-($Y16^2)+($Y15+$Y14)*$Y16-($Y14*$Y15)-($X16^2)+($X15+$X14)*$X16-($X14*$X15)</f>
        <v>0</v>
      </c>
      <c r="AN15" s="11">
        <f>$Y16^2-2*$Y14*$Y16+$Y14^2+$X16^2-2*$X14*$X16+$X14^2</f>
        <v>4</v>
      </c>
      <c r="AO15" s="96">
        <f>AN16</f>
        <v>-4</v>
      </c>
      <c r="AP15" s="16">
        <v>0</v>
      </c>
      <c r="AQ15" s="4">
        <v>0</v>
      </c>
      <c r="AR15" s="17">
        <v>0</v>
      </c>
      <c r="AS15" s="16">
        <v>0</v>
      </c>
      <c r="AT15" s="4">
        <v>0</v>
      </c>
      <c r="AU15" s="17">
        <v>0</v>
      </c>
      <c r="AV15" s="16">
        <v>0</v>
      </c>
      <c r="AW15" s="4">
        <v>0</v>
      </c>
      <c r="AX15" s="17">
        <v>0</v>
      </c>
      <c r="AY15" s="16">
        <v>0</v>
      </c>
      <c r="AZ15" s="4">
        <v>0</v>
      </c>
      <c r="BA15" s="17">
        <v>0</v>
      </c>
      <c r="BB15" s="16">
        <v>0</v>
      </c>
      <c r="BC15" s="4">
        <v>0</v>
      </c>
      <c r="BD15" s="17">
        <v>0</v>
      </c>
      <c r="BE15" s="16">
        <v>0</v>
      </c>
      <c r="BF15" s="4">
        <v>0</v>
      </c>
      <c r="BG15" s="17">
        <v>0</v>
      </c>
      <c r="BH15" s="16">
        <v>0</v>
      </c>
      <c r="BI15" s="4">
        <v>0</v>
      </c>
      <c r="BJ15" s="17">
        <v>0</v>
      </c>
      <c r="BK15" s="16">
        <v>0</v>
      </c>
      <c r="BL15" s="4">
        <v>0</v>
      </c>
      <c r="BM15" s="17">
        <v>0</v>
      </c>
      <c r="BN15" s="16">
        <v>0</v>
      </c>
      <c r="BO15" s="4">
        <v>0</v>
      </c>
      <c r="BP15" s="17">
        <v>0</v>
      </c>
      <c r="BQ15" s="16">
        <v>0</v>
      </c>
      <c r="BR15" s="4">
        <v>0</v>
      </c>
      <c r="BS15" s="17">
        <v>0</v>
      </c>
      <c r="BT15" s="16">
        <v>0</v>
      </c>
      <c r="BU15" s="4">
        <v>0</v>
      </c>
      <c r="BV15" s="17">
        <v>0</v>
      </c>
      <c r="BW15" s="16">
        <v>0</v>
      </c>
      <c r="BX15" s="4">
        <v>0</v>
      </c>
      <c r="BY15" s="17">
        <v>0</v>
      </c>
      <c r="BZ15" s="16">
        <v>0</v>
      </c>
      <c r="CA15" s="4">
        <v>0</v>
      </c>
      <c r="CB15" s="5">
        <v>0</v>
      </c>
    </row>
    <row r="16" spans="1:80" x14ac:dyDescent="0.25">
      <c r="A16" s="23">
        <f t="shared" si="1"/>
        <v>5</v>
      </c>
      <c r="B16" s="23">
        <f t="shared" si="2"/>
        <v>3</v>
      </c>
      <c r="C16" s="23" t="str">
        <f t="shared" si="0"/>
        <v>T5_3</v>
      </c>
      <c r="E16" s="3"/>
      <c r="F16" s="4"/>
      <c r="G16" s="4"/>
      <c r="H16" s="4"/>
      <c r="I16" s="4"/>
      <c r="J16" s="4"/>
      <c r="K16" s="4">
        <v>1</v>
      </c>
      <c r="L16" s="4"/>
      <c r="M16" s="4"/>
      <c r="N16" s="4"/>
      <c r="O16" s="4"/>
      <c r="P16" s="4"/>
      <c r="Q16" s="4"/>
      <c r="R16" s="4"/>
      <c r="S16" s="4"/>
      <c r="T16" s="5"/>
      <c r="W16" s="97">
        <v>1</v>
      </c>
      <c r="X16" s="98">
        <v>1</v>
      </c>
      <c r="Y16" s="99">
        <v>-1</v>
      </c>
      <c r="Z16" s="100" t="s">
        <v>23</v>
      </c>
      <c r="AA16" s="108">
        <v>0</v>
      </c>
      <c r="AB16" s="19">
        <v>0</v>
      </c>
      <c r="AC16" s="20">
        <v>0</v>
      </c>
      <c r="AD16" s="18">
        <v>0</v>
      </c>
      <c r="AE16" s="19">
        <v>0</v>
      </c>
      <c r="AF16" s="20">
        <v>0</v>
      </c>
      <c r="AG16" s="18">
        <v>0</v>
      </c>
      <c r="AH16" s="19">
        <v>0</v>
      </c>
      <c r="AI16" s="20">
        <v>0</v>
      </c>
      <c r="AJ16" s="18">
        <v>0</v>
      </c>
      <c r="AK16" s="19">
        <v>0</v>
      </c>
      <c r="AL16" s="20">
        <v>0</v>
      </c>
      <c r="AM16" s="109">
        <f>($Y15-$Y14)*$Y16-$Y15^2+$Y14*$Y15+($X15-$X14)*$X16-$X15^2+$X14*$X15</f>
        <v>-4</v>
      </c>
      <c r="AN16" s="102">
        <f>($Y14-$Y15)*$Y16+$Y14*$Y15-$Y14^2+($X14-$X15)*$X16+$X14*$X15-$X14^2</f>
        <v>-4</v>
      </c>
      <c r="AO16" s="103">
        <f>$Y15^2-2*$Y14*$Y15+$Y14^2+$X15^2-2*$X14*$X15+$X14^2</f>
        <v>8</v>
      </c>
      <c r="AP16" s="18">
        <v>0</v>
      </c>
      <c r="AQ16" s="19">
        <v>0</v>
      </c>
      <c r="AR16" s="20">
        <v>0</v>
      </c>
      <c r="AS16" s="18">
        <v>0</v>
      </c>
      <c r="AT16" s="19">
        <v>0</v>
      </c>
      <c r="AU16" s="20">
        <v>0</v>
      </c>
      <c r="AV16" s="18">
        <v>0</v>
      </c>
      <c r="AW16" s="19">
        <v>0</v>
      </c>
      <c r="AX16" s="20">
        <v>0</v>
      </c>
      <c r="AY16" s="18">
        <v>0</v>
      </c>
      <c r="AZ16" s="19">
        <v>0</v>
      </c>
      <c r="BA16" s="20">
        <v>0</v>
      </c>
      <c r="BB16" s="18">
        <v>0</v>
      </c>
      <c r="BC16" s="19">
        <v>0</v>
      </c>
      <c r="BD16" s="20">
        <v>0</v>
      </c>
      <c r="BE16" s="18">
        <v>0</v>
      </c>
      <c r="BF16" s="19">
        <v>0</v>
      </c>
      <c r="BG16" s="20">
        <v>0</v>
      </c>
      <c r="BH16" s="18">
        <v>0</v>
      </c>
      <c r="BI16" s="19">
        <v>0</v>
      </c>
      <c r="BJ16" s="20">
        <v>0</v>
      </c>
      <c r="BK16" s="18">
        <v>0</v>
      </c>
      <c r="BL16" s="19">
        <v>0</v>
      </c>
      <c r="BM16" s="20">
        <v>0</v>
      </c>
      <c r="BN16" s="18">
        <v>0</v>
      </c>
      <c r="BO16" s="19">
        <v>0</v>
      </c>
      <c r="BP16" s="20">
        <v>0</v>
      </c>
      <c r="BQ16" s="18">
        <v>0</v>
      </c>
      <c r="BR16" s="19">
        <v>0</v>
      </c>
      <c r="BS16" s="20">
        <v>0</v>
      </c>
      <c r="BT16" s="18">
        <v>0</v>
      </c>
      <c r="BU16" s="19">
        <v>0</v>
      </c>
      <c r="BV16" s="20">
        <v>0</v>
      </c>
      <c r="BW16" s="18">
        <v>0</v>
      </c>
      <c r="BX16" s="19">
        <v>0</v>
      </c>
      <c r="BY16" s="20">
        <v>0</v>
      </c>
      <c r="BZ16" s="18">
        <v>0</v>
      </c>
      <c r="CA16" s="19">
        <v>0</v>
      </c>
      <c r="CB16" s="104">
        <v>0</v>
      </c>
    </row>
    <row r="17" spans="1:80" x14ac:dyDescent="0.25">
      <c r="A17" s="23">
        <f t="shared" si="1"/>
        <v>6</v>
      </c>
      <c r="B17" s="23">
        <f t="shared" si="2"/>
        <v>1</v>
      </c>
      <c r="C17" s="23" t="str">
        <f t="shared" si="0"/>
        <v>T6_1</v>
      </c>
      <c r="E17" s="3"/>
      <c r="F17" s="4"/>
      <c r="G17" s="4">
        <v>1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5"/>
      <c r="W17" s="85">
        <v>1</v>
      </c>
      <c r="X17" s="86">
        <v>1</v>
      </c>
      <c r="Y17" s="87">
        <v>-3</v>
      </c>
      <c r="Z17" s="88" t="s">
        <v>24</v>
      </c>
      <c r="AA17" s="105">
        <v>0</v>
      </c>
      <c r="AB17" s="14">
        <v>0</v>
      </c>
      <c r="AC17" s="15">
        <v>0</v>
      </c>
      <c r="AD17" s="13">
        <v>0</v>
      </c>
      <c r="AE17" s="14">
        <v>0</v>
      </c>
      <c r="AF17" s="15">
        <v>0</v>
      </c>
      <c r="AG17" s="13">
        <v>0</v>
      </c>
      <c r="AH17" s="14">
        <v>0</v>
      </c>
      <c r="AI17" s="15">
        <v>0</v>
      </c>
      <c r="AJ17" s="13">
        <v>0</v>
      </c>
      <c r="AK17" s="14">
        <v>0</v>
      </c>
      <c r="AL17" s="15">
        <v>0</v>
      </c>
      <c r="AM17" s="13">
        <v>0</v>
      </c>
      <c r="AN17" s="14">
        <v>0</v>
      </c>
      <c r="AO17" s="15">
        <v>0</v>
      </c>
      <c r="AP17" s="106">
        <f>$Y19^2-2*$Y18*$Y19+$Y18^2+$X19^2-2*$X18*$X19+$X18^2</f>
        <v>4</v>
      </c>
      <c r="AQ17" s="90">
        <f>AP18</f>
        <v>-4</v>
      </c>
      <c r="AR17" s="91">
        <f>AP19</f>
        <v>0</v>
      </c>
      <c r="AS17" s="13">
        <v>0</v>
      </c>
      <c r="AT17" s="14">
        <v>0</v>
      </c>
      <c r="AU17" s="15">
        <v>0</v>
      </c>
      <c r="AV17" s="13">
        <v>0</v>
      </c>
      <c r="AW17" s="14">
        <v>0</v>
      </c>
      <c r="AX17" s="15">
        <v>0</v>
      </c>
      <c r="AY17" s="13">
        <v>0</v>
      </c>
      <c r="AZ17" s="14">
        <v>0</v>
      </c>
      <c r="BA17" s="15">
        <v>0</v>
      </c>
      <c r="BB17" s="13">
        <v>0</v>
      </c>
      <c r="BC17" s="14">
        <v>0</v>
      </c>
      <c r="BD17" s="15">
        <v>0</v>
      </c>
      <c r="BE17" s="13">
        <v>0</v>
      </c>
      <c r="BF17" s="14">
        <v>0</v>
      </c>
      <c r="BG17" s="15">
        <v>0</v>
      </c>
      <c r="BH17" s="13">
        <v>0</v>
      </c>
      <c r="BI17" s="14">
        <v>0</v>
      </c>
      <c r="BJ17" s="15">
        <v>0</v>
      </c>
      <c r="BK17" s="13">
        <v>0</v>
      </c>
      <c r="BL17" s="14">
        <v>0</v>
      </c>
      <c r="BM17" s="15">
        <v>0</v>
      </c>
      <c r="BN17" s="13">
        <v>0</v>
      </c>
      <c r="BO17" s="14">
        <v>0</v>
      </c>
      <c r="BP17" s="15">
        <v>0</v>
      </c>
      <c r="BQ17" s="13">
        <v>0</v>
      </c>
      <c r="BR17" s="14">
        <v>0</v>
      </c>
      <c r="BS17" s="15">
        <v>0</v>
      </c>
      <c r="BT17" s="13">
        <v>0</v>
      </c>
      <c r="BU17" s="14">
        <v>0</v>
      </c>
      <c r="BV17" s="15">
        <v>0</v>
      </c>
      <c r="BW17" s="13">
        <v>0</v>
      </c>
      <c r="BX17" s="14">
        <v>0</v>
      </c>
      <c r="BY17" s="15">
        <v>0</v>
      </c>
      <c r="BZ17" s="13">
        <v>0</v>
      </c>
      <c r="CA17" s="14">
        <v>0</v>
      </c>
      <c r="CB17" s="92">
        <v>0</v>
      </c>
    </row>
    <row r="18" spans="1:80" x14ac:dyDescent="0.25">
      <c r="A18" s="23">
        <f t="shared" si="1"/>
        <v>6</v>
      </c>
      <c r="B18" s="23">
        <f t="shared" si="2"/>
        <v>2</v>
      </c>
      <c r="C18" s="23" t="str">
        <f t="shared" si="0"/>
        <v>T6_2</v>
      </c>
      <c r="E18" s="3"/>
      <c r="F18" s="4"/>
      <c r="G18" s="4"/>
      <c r="H18" s="4">
        <v>1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5"/>
      <c r="W18" s="93">
        <v>1</v>
      </c>
      <c r="X18" s="49">
        <v>3</v>
      </c>
      <c r="Y18" s="94">
        <v>-3</v>
      </c>
      <c r="Z18" s="95" t="s">
        <v>25</v>
      </c>
      <c r="AA18" s="3">
        <v>0</v>
      </c>
      <c r="AB18" s="4">
        <v>0</v>
      </c>
      <c r="AC18" s="17">
        <v>0</v>
      </c>
      <c r="AD18" s="16">
        <v>0</v>
      </c>
      <c r="AE18" s="4">
        <v>0</v>
      </c>
      <c r="AF18" s="17">
        <v>0</v>
      </c>
      <c r="AG18" s="16">
        <v>0</v>
      </c>
      <c r="AH18" s="4">
        <v>0</v>
      </c>
      <c r="AI18" s="17">
        <v>0</v>
      </c>
      <c r="AJ18" s="16">
        <v>0</v>
      </c>
      <c r="AK18" s="4">
        <v>0</v>
      </c>
      <c r="AL18" s="17">
        <v>0</v>
      </c>
      <c r="AM18" s="16">
        <v>0</v>
      </c>
      <c r="AN18" s="4">
        <v>0</v>
      </c>
      <c r="AO18" s="17">
        <v>0</v>
      </c>
      <c r="AP18" s="107">
        <f>-($Y19^2)+($Y18+$Y17)*$Y19-($Y17*$Y18)-($X19^2)+($X18+$X17)*$X19-($X17*$X18)</f>
        <v>-4</v>
      </c>
      <c r="AQ18" s="11">
        <f>$Y19^2-2*$Y17*$Y19+$Y17^2+$X19^2-2*$X17*$X19+$X17^2</f>
        <v>8</v>
      </c>
      <c r="AR18" s="96">
        <f>AQ19</f>
        <v>-4</v>
      </c>
      <c r="AS18" s="16">
        <v>0</v>
      </c>
      <c r="AT18" s="4">
        <v>0</v>
      </c>
      <c r="AU18" s="17">
        <v>0</v>
      </c>
      <c r="AV18" s="16">
        <v>0</v>
      </c>
      <c r="AW18" s="4">
        <v>0</v>
      </c>
      <c r="AX18" s="17">
        <v>0</v>
      </c>
      <c r="AY18" s="16">
        <v>0</v>
      </c>
      <c r="AZ18" s="4">
        <v>0</v>
      </c>
      <c r="BA18" s="17">
        <v>0</v>
      </c>
      <c r="BB18" s="16">
        <v>0</v>
      </c>
      <c r="BC18" s="4">
        <v>0</v>
      </c>
      <c r="BD18" s="17">
        <v>0</v>
      </c>
      <c r="BE18" s="16">
        <v>0</v>
      </c>
      <c r="BF18" s="4">
        <v>0</v>
      </c>
      <c r="BG18" s="17">
        <v>0</v>
      </c>
      <c r="BH18" s="16">
        <v>0</v>
      </c>
      <c r="BI18" s="4">
        <v>0</v>
      </c>
      <c r="BJ18" s="17">
        <v>0</v>
      </c>
      <c r="BK18" s="16">
        <v>0</v>
      </c>
      <c r="BL18" s="4">
        <v>0</v>
      </c>
      <c r="BM18" s="17">
        <v>0</v>
      </c>
      <c r="BN18" s="16">
        <v>0</v>
      </c>
      <c r="BO18" s="4">
        <v>0</v>
      </c>
      <c r="BP18" s="17">
        <v>0</v>
      </c>
      <c r="BQ18" s="16">
        <v>0</v>
      </c>
      <c r="BR18" s="4">
        <v>0</v>
      </c>
      <c r="BS18" s="17">
        <v>0</v>
      </c>
      <c r="BT18" s="16">
        <v>0</v>
      </c>
      <c r="BU18" s="4">
        <v>0</v>
      </c>
      <c r="BV18" s="17">
        <v>0</v>
      </c>
      <c r="BW18" s="16">
        <v>0</v>
      </c>
      <c r="BX18" s="4">
        <v>0</v>
      </c>
      <c r="BY18" s="17">
        <v>0</v>
      </c>
      <c r="BZ18" s="16">
        <v>0</v>
      </c>
      <c r="CA18" s="4">
        <v>0</v>
      </c>
      <c r="CB18" s="5">
        <v>0</v>
      </c>
    </row>
    <row r="19" spans="1:80" x14ac:dyDescent="0.25">
      <c r="A19" s="23">
        <f t="shared" si="1"/>
        <v>6</v>
      </c>
      <c r="B19" s="23">
        <f t="shared" si="2"/>
        <v>3</v>
      </c>
      <c r="C19" s="23" t="str">
        <f t="shared" si="0"/>
        <v>T6_3</v>
      </c>
      <c r="E19" s="3"/>
      <c r="F19" s="4"/>
      <c r="G19" s="4"/>
      <c r="H19" s="4"/>
      <c r="I19" s="4"/>
      <c r="J19" s="4"/>
      <c r="K19" s="4"/>
      <c r="L19" s="4">
        <v>1</v>
      </c>
      <c r="M19" s="4"/>
      <c r="N19" s="4"/>
      <c r="O19" s="4"/>
      <c r="P19" s="4"/>
      <c r="Q19" s="4"/>
      <c r="R19" s="4"/>
      <c r="S19" s="4"/>
      <c r="T19" s="5"/>
      <c r="W19" s="97">
        <v>1</v>
      </c>
      <c r="X19" s="98">
        <v>3</v>
      </c>
      <c r="Y19" s="99">
        <v>-1</v>
      </c>
      <c r="Z19" s="100" t="s">
        <v>26</v>
      </c>
      <c r="AA19" s="108">
        <v>0</v>
      </c>
      <c r="AB19" s="19">
        <v>0</v>
      </c>
      <c r="AC19" s="20">
        <v>0</v>
      </c>
      <c r="AD19" s="18">
        <v>0</v>
      </c>
      <c r="AE19" s="19">
        <v>0</v>
      </c>
      <c r="AF19" s="20">
        <v>0</v>
      </c>
      <c r="AG19" s="18">
        <v>0</v>
      </c>
      <c r="AH19" s="19">
        <v>0</v>
      </c>
      <c r="AI19" s="20">
        <v>0</v>
      </c>
      <c r="AJ19" s="18">
        <v>0</v>
      </c>
      <c r="AK19" s="19">
        <v>0</v>
      </c>
      <c r="AL19" s="20">
        <v>0</v>
      </c>
      <c r="AM19" s="18">
        <v>0</v>
      </c>
      <c r="AN19" s="19">
        <v>0</v>
      </c>
      <c r="AO19" s="20">
        <v>0</v>
      </c>
      <c r="AP19" s="109">
        <f>($Y18-$Y17)*$Y19-$Y18^2+$Y17*$Y18+($X18-$X17)*$X19-$X18^2+$X17*$X18</f>
        <v>0</v>
      </c>
      <c r="AQ19" s="102">
        <f>($Y17-$Y18)*$Y19+$Y17*$Y18-$Y17^2+($X17-$X18)*$X19+$X17*$X18-$X17^2</f>
        <v>-4</v>
      </c>
      <c r="AR19" s="103">
        <f>$Y18^2-2*$Y17*$Y18+$Y17^2+$X18^2-2*$X17*$X18+$X17^2</f>
        <v>4</v>
      </c>
      <c r="AS19" s="18">
        <v>0</v>
      </c>
      <c r="AT19" s="19">
        <v>0</v>
      </c>
      <c r="AU19" s="20">
        <v>0</v>
      </c>
      <c r="AV19" s="18">
        <v>0</v>
      </c>
      <c r="AW19" s="19">
        <v>0</v>
      </c>
      <c r="AX19" s="20">
        <v>0</v>
      </c>
      <c r="AY19" s="18">
        <v>0</v>
      </c>
      <c r="AZ19" s="19">
        <v>0</v>
      </c>
      <c r="BA19" s="20">
        <v>0</v>
      </c>
      <c r="BB19" s="18">
        <v>0</v>
      </c>
      <c r="BC19" s="19">
        <v>0</v>
      </c>
      <c r="BD19" s="20">
        <v>0</v>
      </c>
      <c r="BE19" s="18">
        <v>0</v>
      </c>
      <c r="BF19" s="19">
        <v>0</v>
      </c>
      <c r="BG19" s="20">
        <v>0</v>
      </c>
      <c r="BH19" s="18">
        <v>0</v>
      </c>
      <c r="BI19" s="19">
        <v>0</v>
      </c>
      <c r="BJ19" s="20">
        <v>0</v>
      </c>
      <c r="BK19" s="18">
        <v>0</v>
      </c>
      <c r="BL19" s="19">
        <v>0</v>
      </c>
      <c r="BM19" s="20">
        <v>0</v>
      </c>
      <c r="BN19" s="18">
        <v>0</v>
      </c>
      <c r="BO19" s="19">
        <v>0</v>
      </c>
      <c r="BP19" s="20">
        <v>0</v>
      </c>
      <c r="BQ19" s="18">
        <v>0</v>
      </c>
      <c r="BR19" s="19">
        <v>0</v>
      </c>
      <c r="BS19" s="20">
        <v>0</v>
      </c>
      <c r="BT19" s="18">
        <v>0</v>
      </c>
      <c r="BU19" s="19">
        <v>0</v>
      </c>
      <c r="BV19" s="20">
        <v>0</v>
      </c>
      <c r="BW19" s="18">
        <v>0</v>
      </c>
      <c r="BX19" s="19">
        <v>0</v>
      </c>
      <c r="BY19" s="20">
        <v>0</v>
      </c>
      <c r="BZ19" s="18">
        <v>0</v>
      </c>
      <c r="CA19" s="19">
        <v>0</v>
      </c>
      <c r="CB19" s="104">
        <v>0</v>
      </c>
    </row>
    <row r="20" spans="1:80" x14ac:dyDescent="0.25">
      <c r="A20" s="23">
        <f t="shared" si="1"/>
        <v>7</v>
      </c>
      <c r="B20" s="23">
        <f t="shared" si="2"/>
        <v>1</v>
      </c>
      <c r="C20" s="23" t="str">
        <f t="shared" si="0"/>
        <v>T7_1</v>
      </c>
      <c r="E20" s="3"/>
      <c r="F20" s="4"/>
      <c r="G20" s="4"/>
      <c r="H20" s="4"/>
      <c r="I20" s="4">
        <v>1</v>
      </c>
      <c r="J20" s="4"/>
      <c r="K20" s="4"/>
      <c r="L20" s="4"/>
      <c r="M20" s="4"/>
      <c r="N20" s="4"/>
      <c r="O20" s="4"/>
      <c r="P20" s="4"/>
      <c r="Q20" s="4"/>
      <c r="R20" s="4"/>
      <c r="S20" s="4"/>
      <c r="T20" s="5"/>
      <c r="W20" s="85">
        <v>1</v>
      </c>
      <c r="X20" s="86">
        <v>-3</v>
      </c>
      <c r="Y20" s="87">
        <v>-1</v>
      </c>
      <c r="Z20" s="88" t="s">
        <v>171</v>
      </c>
      <c r="AA20" s="105">
        <v>0</v>
      </c>
      <c r="AB20" s="14">
        <v>0</v>
      </c>
      <c r="AC20" s="15">
        <v>0</v>
      </c>
      <c r="AD20" s="13">
        <v>0</v>
      </c>
      <c r="AE20" s="14">
        <v>0</v>
      </c>
      <c r="AF20" s="15">
        <v>0</v>
      </c>
      <c r="AG20" s="13">
        <v>0</v>
      </c>
      <c r="AH20" s="14">
        <v>0</v>
      </c>
      <c r="AI20" s="15">
        <v>0</v>
      </c>
      <c r="AJ20" s="13">
        <v>0</v>
      </c>
      <c r="AK20" s="14">
        <v>0</v>
      </c>
      <c r="AL20" s="15">
        <v>0</v>
      </c>
      <c r="AM20" s="13">
        <v>0</v>
      </c>
      <c r="AN20" s="14">
        <v>0</v>
      </c>
      <c r="AO20" s="15">
        <v>0</v>
      </c>
      <c r="AP20" s="13">
        <v>0</v>
      </c>
      <c r="AQ20" s="14">
        <v>0</v>
      </c>
      <c r="AR20" s="15">
        <v>0</v>
      </c>
      <c r="AS20" s="106">
        <f>$Y22^2-2*$Y21*$Y22+$Y21^2+$X22^2-2*$X21*$X22+$X21^2</f>
        <v>4</v>
      </c>
      <c r="AT20" s="90">
        <f>AS21</f>
        <v>0</v>
      </c>
      <c r="AU20" s="91">
        <f>AS22</f>
        <v>-4</v>
      </c>
      <c r="AV20" s="13">
        <v>0</v>
      </c>
      <c r="AW20" s="14">
        <v>0</v>
      </c>
      <c r="AX20" s="15">
        <v>0</v>
      </c>
      <c r="AY20" s="13">
        <v>0</v>
      </c>
      <c r="AZ20" s="14">
        <v>0</v>
      </c>
      <c r="BA20" s="15">
        <v>0</v>
      </c>
      <c r="BB20" s="13">
        <v>0</v>
      </c>
      <c r="BC20" s="14">
        <v>0</v>
      </c>
      <c r="BD20" s="15">
        <v>0</v>
      </c>
      <c r="BE20" s="13">
        <v>0</v>
      </c>
      <c r="BF20" s="14">
        <v>0</v>
      </c>
      <c r="BG20" s="15">
        <v>0</v>
      </c>
      <c r="BH20" s="13">
        <v>0</v>
      </c>
      <c r="BI20" s="14">
        <v>0</v>
      </c>
      <c r="BJ20" s="15">
        <v>0</v>
      </c>
      <c r="BK20" s="13">
        <v>0</v>
      </c>
      <c r="BL20" s="14">
        <v>0</v>
      </c>
      <c r="BM20" s="15">
        <v>0</v>
      </c>
      <c r="BN20" s="13">
        <v>0</v>
      </c>
      <c r="BO20" s="14">
        <v>0</v>
      </c>
      <c r="BP20" s="15">
        <v>0</v>
      </c>
      <c r="BQ20" s="13">
        <v>0</v>
      </c>
      <c r="BR20" s="14">
        <v>0</v>
      </c>
      <c r="BS20" s="15">
        <v>0</v>
      </c>
      <c r="BT20" s="13">
        <v>0</v>
      </c>
      <c r="BU20" s="14">
        <v>0</v>
      </c>
      <c r="BV20" s="15">
        <v>0</v>
      </c>
      <c r="BW20" s="13">
        <v>0</v>
      </c>
      <c r="BX20" s="14">
        <v>0</v>
      </c>
      <c r="BY20" s="15">
        <v>0</v>
      </c>
      <c r="BZ20" s="13">
        <v>0</v>
      </c>
      <c r="CA20" s="14">
        <v>0</v>
      </c>
      <c r="CB20" s="92">
        <v>0</v>
      </c>
    </row>
    <row r="21" spans="1:80" x14ac:dyDescent="0.25">
      <c r="A21" s="23">
        <f t="shared" si="1"/>
        <v>7</v>
      </c>
      <c r="B21" s="23">
        <f t="shared" si="2"/>
        <v>2</v>
      </c>
      <c r="C21" s="23" t="str">
        <f t="shared" si="0"/>
        <v>T7_2</v>
      </c>
      <c r="E21" s="3"/>
      <c r="F21" s="4"/>
      <c r="G21" s="4"/>
      <c r="H21" s="4"/>
      <c r="I21" s="4"/>
      <c r="J21" s="4"/>
      <c r="K21" s="4"/>
      <c r="L21" s="4"/>
      <c r="M21" s="4"/>
      <c r="N21" s="4">
        <v>1</v>
      </c>
      <c r="O21" s="4"/>
      <c r="P21" s="4"/>
      <c r="Q21" s="4"/>
      <c r="R21" s="4"/>
      <c r="S21" s="4"/>
      <c r="T21" s="5"/>
      <c r="W21" s="93">
        <v>1</v>
      </c>
      <c r="X21" s="49">
        <v>-1</v>
      </c>
      <c r="Y21" s="94">
        <v>1</v>
      </c>
      <c r="Z21" s="95" t="s">
        <v>172</v>
      </c>
      <c r="AA21" s="3">
        <v>0</v>
      </c>
      <c r="AB21" s="4">
        <v>0</v>
      </c>
      <c r="AC21" s="17">
        <v>0</v>
      </c>
      <c r="AD21" s="16">
        <v>0</v>
      </c>
      <c r="AE21" s="4">
        <v>0</v>
      </c>
      <c r="AF21" s="17">
        <v>0</v>
      </c>
      <c r="AG21" s="16">
        <v>0</v>
      </c>
      <c r="AH21" s="4">
        <v>0</v>
      </c>
      <c r="AI21" s="17">
        <v>0</v>
      </c>
      <c r="AJ21" s="16">
        <v>0</v>
      </c>
      <c r="AK21" s="4">
        <v>0</v>
      </c>
      <c r="AL21" s="17">
        <v>0</v>
      </c>
      <c r="AM21" s="16">
        <v>0</v>
      </c>
      <c r="AN21" s="4">
        <v>0</v>
      </c>
      <c r="AO21" s="17">
        <v>0</v>
      </c>
      <c r="AP21" s="16">
        <v>0</v>
      </c>
      <c r="AQ21" s="4">
        <v>0</v>
      </c>
      <c r="AR21" s="17">
        <v>0</v>
      </c>
      <c r="AS21" s="107">
        <f>-($Y22^2)+($Y21+$Y20)*$Y22-($Y20*$Y21)-($X22^2)+($X21+$X20)*$X22-($X20*$X21)</f>
        <v>0</v>
      </c>
      <c r="AT21" s="11">
        <f>$Y22^2-2*$Y20*$Y22+$Y20^2+$X22^2-2*$X20*$X22+$X20^2</f>
        <v>4</v>
      </c>
      <c r="AU21" s="96">
        <f>AT22</f>
        <v>-4</v>
      </c>
      <c r="AV21" s="16">
        <v>0</v>
      </c>
      <c r="AW21" s="4">
        <v>0</v>
      </c>
      <c r="AX21" s="17">
        <v>0</v>
      </c>
      <c r="AY21" s="16">
        <v>0</v>
      </c>
      <c r="AZ21" s="4">
        <v>0</v>
      </c>
      <c r="BA21" s="17">
        <v>0</v>
      </c>
      <c r="BB21" s="16">
        <v>0</v>
      </c>
      <c r="BC21" s="4">
        <v>0</v>
      </c>
      <c r="BD21" s="17">
        <v>0</v>
      </c>
      <c r="BE21" s="16">
        <v>0</v>
      </c>
      <c r="BF21" s="4">
        <v>0</v>
      </c>
      <c r="BG21" s="17">
        <v>0</v>
      </c>
      <c r="BH21" s="16">
        <v>0</v>
      </c>
      <c r="BI21" s="4">
        <v>0</v>
      </c>
      <c r="BJ21" s="17">
        <v>0</v>
      </c>
      <c r="BK21" s="16">
        <v>0</v>
      </c>
      <c r="BL21" s="4">
        <v>0</v>
      </c>
      <c r="BM21" s="17">
        <v>0</v>
      </c>
      <c r="BN21" s="16">
        <v>0</v>
      </c>
      <c r="BO21" s="4">
        <v>0</v>
      </c>
      <c r="BP21" s="17">
        <v>0</v>
      </c>
      <c r="BQ21" s="16">
        <v>0</v>
      </c>
      <c r="BR21" s="4">
        <v>0</v>
      </c>
      <c r="BS21" s="17">
        <v>0</v>
      </c>
      <c r="BT21" s="16">
        <v>0</v>
      </c>
      <c r="BU21" s="4">
        <v>0</v>
      </c>
      <c r="BV21" s="17">
        <v>0</v>
      </c>
      <c r="BW21" s="16">
        <v>0</v>
      </c>
      <c r="BX21" s="4">
        <v>0</v>
      </c>
      <c r="BY21" s="17">
        <v>0</v>
      </c>
      <c r="BZ21" s="16">
        <v>0</v>
      </c>
      <c r="CA21" s="4">
        <v>0</v>
      </c>
      <c r="CB21" s="5">
        <v>0</v>
      </c>
    </row>
    <row r="22" spans="1:80" x14ac:dyDescent="0.25">
      <c r="A22" s="23">
        <f t="shared" si="1"/>
        <v>7</v>
      </c>
      <c r="B22" s="23">
        <f t="shared" si="2"/>
        <v>3</v>
      </c>
      <c r="C22" s="23" t="str">
        <f t="shared" si="0"/>
        <v>T7_3</v>
      </c>
      <c r="E22" s="3"/>
      <c r="F22" s="4"/>
      <c r="G22" s="4"/>
      <c r="H22" s="4"/>
      <c r="I22" s="4"/>
      <c r="J22" s="4"/>
      <c r="K22" s="4"/>
      <c r="L22" s="4"/>
      <c r="M22" s="4">
        <v>1</v>
      </c>
      <c r="N22" s="4"/>
      <c r="O22" s="4"/>
      <c r="P22" s="4"/>
      <c r="Q22" s="4"/>
      <c r="R22" s="4"/>
      <c r="S22" s="4"/>
      <c r="T22" s="5"/>
      <c r="W22" s="97">
        <v>1</v>
      </c>
      <c r="X22" s="98">
        <v>-3</v>
      </c>
      <c r="Y22" s="99">
        <v>1</v>
      </c>
      <c r="Z22" s="100" t="s">
        <v>173</v>
      </c>
      <c r="AA22" s="108">
        <v>0</v>
      </c>
      <c r="AB22" s="19">
        <v>0</v>
      </c>
      <c r="AC22" s="20">
        <v>0</v>
      </c>
      <c r="AD22" s="18">
        <v>0</v>
      </c>
      <c r="AE22" s="19">
        <v>0</v>
      </c>
      <c r="AF22" s="20">
        <v>0</v>
      </c>
      <c r="AG22" s="18">
        <v>0</v>
      </c>
      <c r="AH22" s="19">
        <v>0</v>
      </c>
      <c r="AI22" s="20">
        <v>0</v>
      </c>
      <c r="AJ22" s="18">
        <v>0</v>
      </c>
      <c r="AK22" s="19">
        <v>0</v>
      </c>
      <c r="AL22" s="20">
        <v>0</v>
      </c>
      <c r="AM22" s="18">
        <v>0</v>
      </c>
      <c r="AN22" s="19">
        <v>0</v>
      </c>
      <c r="AO22" s="20">
        <v>0</v>
      </c>
      <c r="AP22" s="18">
        <v>0</v>
      </c>
      <c r="AQ22" s="19">
        <v>0</v>
      </c>
      <c r="AR22" s="20">
        <v>0</v>
      </c>
      <c r="AS22" s="109">
        <f>($Y21-$Y20)*$Y22-$Y21^2+$Y20*$Y21+($X21-$X20)*$X22-$X21^2+$X20*$X21</f>
        <v>-4</v>
      </c>
      <c r="AT22" s="102">
        <f>($Y20-$Y21)*$Y22+$Y20*$Y21-$Y20^2+($X20-$X21)*$X22+$X20*$X21-$X20^2</f>
        <v>-4</v>
      </c>
      <c r="AU22" s="103">
        <f>$Y21^2-2*$Y20*$Y21+$Y20^2+$X21^2-2*$X20*$X21+$X20^2</f>
        <v>8</v>
      </c>
      <c r="AV22" s="18">
        <v>0</v>
      </c>
      <c r="AW22" s="19">
        <v>0</v>
      </c>
      <c r="AX22" s="20">
        <v>0</v>
      </c>
      <c r="AY22" s="18">
        <v>0</v>
      </c>
      <c r="AZ22" s="19">
        <v>0</v>
      </c>
      <c r="BA22" s="20">
        <v>0</v>
      </c>
      <c r="BB22" s="18">
        <v>0</v>
      </c>
      <c r="BC22" s="19">
        <v>0</v>
      </c>
      <c r="BD22" s="20">
        <v>0</v>
      </c>
      <c r="BE22" s="18">
        <v>0</v>
      </c>
      <c r="BF22" s="19">
        <v>0</v>
      </c>
      <c r="BG22" s="20">
        <v>0</v>
      </c>
      <c r="BH22" s="18">
        <v>0</v>
      </c>
      <c r="BI22" s="19">
        <v>0</v>
      </c>
      <c r="BJ22" s="20">
        <v>0</v>
      </c>
      <c r="BK22" s="18">
        <v>0</v>
      </c>
      <c r="BL22" s="19">
        <v>0</v>
      </c>
      <c r="BM22" s="20">
        <v>0</v>
      </c>
      <c r="BN22" s="18">
        <v>0</v>
      </c>
      <c r="BO22" s="19">
        <v>0</v>
      </c>
      <c r="BP22" s="20">
        <v>0</v>
      </c>
      <c r="BQ22" s="18">
        <v>0</v>
      </c>
      <c r="BR22" s="19">
        <v>0</v>
      </c>
      <c r="BS22" s="20">
        <v>0</v>
      </c>
      <c r="BT22" s="18">
        <v>0</v>
      </c>
      <c r="BU22" s="19">
        <v>0</v>
      </c>
      <c r="BV22" s="20">
        <v>0</v>
      </c>
      <c r="BW22" s="18">
        <v>0</v>
      </c>
      <c r="BX22" s="19">
        <v>0</v>
      </c>
      <c r="BY22" s="20">
        <v>0</v>
      </c>
      <c r="BZ22" s="18">
        <v>0</v>
      </c>
      <c r="CA22" s="19">
        <v>0</v>
      </c>
      <c r="CB22" s="104">
        <v>0</v>
      </c>
    </row>
    <row r="23" spans="1:80" x14ac:dyDescent="0.25">
      <c r="A23" s="23">
        <f t="shared" si="1"/>
        <v>8</v>
      </c>
      <c r="B23" s="23">
        <f t="shared" si="2"/>
        <v>1</v>
      </c>
      <c r="C23" s="23" t="str">
        <f t="shared" si="0"/>
        <v>T8_1</v>
      </c>
      <c r="E23" s="3"/>
      <c r="F23" s="4"/>
      <c r="G23" s="4"/>
      <c r="H23" s="4"/>
      <c r="I23" s="4">
        <v>1</v>
      </c>
      <c r="J23" s="4"/>
      <c r="K23" s="4"/>
      <c r="L23" s="4"/>
      <c r="M23" s="4"/>
      <c r="N23" s="4"/>
      <c r="O23" s="4"/>
      <c r="P23" s="4"/>
      <c r="Q23" s="4"/>
      <c r="R23" s="4"/>
      <c r="S23" s="4"/>
      <c r="T23" s="5"/>
      <c r="W23" s="85">
        <v>1</v>
      </c>
      <c r="X23" s="86">
        <v>-3</v>
      </c>
      <c r="Y23" s="87">
        <v>-1</v>
      </c>
      <c r="Z23" s="88" t="s">
        <v>174</v>
      </c>
      <c r="AA23" s="105">
        <v>0</v>
      </c>
      <c r="AB23" s="14">
        <v>0</v>
      </c>
      <c r="AC23" s="15">
        <v>0</v>
      </c>
      <c r="AD23" s="13">
        <v>0</v>
      </c>
      <c r="AE23" s="14">
        <v>0</v>
      </c>
      <c r="AF23" s="15">
        <v>0</v>
      </c>
      <c r="AG23" s="13">
        <v>0</v>
      </c>
      <c r="AH23" s="14">
        <v>0</v>
      </c>
      <c r="AI23" s="15">
        <v>0</v>
      </c>
      <c r="AJ23" s="13">
        <v>0</v>
      </c>
      <c r="AK23" s="14">
        <v>0</v>
      </c>
      <c r="AL23" s="15">
        <v>0</v>
      </c>
      <c r="AM23" s="13">
        <v>0</v>
      </c>
      <c r="AN23" s="14">
        <v>0</v>
      </c>
      <c r="AO23" s="15">
        <v>0</v>
      </c>
      <c r="AP23" s="13">
        <v>0</v>
      </c>
      <c r="AQ23" s="14">
        <v>0</v>
      </c>
      <c r="AR23" s="15">
        <v>0</v>
      </c>
      <c r="AS23" s="13">
        <v>0</v>
      </c>
      <c r="AT23" s="14">
        <v>0</v>
      </c>
      <c r="AU23" s="15">
        <v>0</v>
      </c>
      <c r="AV23" s="106">
        <f>$Y25^2-2*$Y24*$Y25+$Y24^2+$X25^2-2*$X24*$X25+$X24^2</f>
        <v>4</v>
      </c>
      <c r="AW23" s="90">
        <f>AV24</f>
        <v>-4</v>
      </c>
      <c r="AX23" s="91">
        <f>AV25</f>
        <v>0</v>
      </c>
      <c r="AY23" s="13">
        <v>0</v>
      </c>
      <c r="AZ23" s="14">
        <v>0</v>
      </c>
      <c r="BA23" s="15">
        <v>0</v>
      </c>
      <c r="BB23" s="13">
        <v>0</v>
      </c>
      <c r="BC23" s="14">
        <v>0</v>
      </c>
      <c r="BD23" s="15">
        <v>0</v>
      </c>
      <c r="BE23" s="13">
        <v>0</v>
      </c>
      <c r="BF23" s="14">
        <v>0</v>
      </c>
      <c r="BG23" s="15">
        <v>0</v>
      </c>
      <c r="BH23" s="13">
        <v>0</v>
      </c>
      <c r="BI23" s="14">
        <v>0</v>
      </c>
      <c r="BJ23" s="15">
        <v>0</v>
      </c>
      <c r="BK23" s="13">
        <v>0</v>
      </c>
      <c r="BL23" s="14">
        <v>0</v>
      </c>
      <c r="BM23" s="15">
        <v>0</v>
      </c>
      <c r="BN23" s="13">
        <v>0</v>
      </c>
      <c r="BO23" s="14">
        <v>0</v>
      </c>
      <c r="BP23" s="15">
        <v>0</v>
      </c>
      <c r="BQ23" s="13">
        <v>0</v>
      </c>
      <c r="BR23" s="14">
        <v>0</v>
      </c>
      <c r="BS23" s="15">
        <v>0</v>
      </c>
      <c r="BT23" s="13">
        <v>0</v>
      </c>
      <c r="BU23" s="14">
        <v>0</v>
      </c>
      <c r="BV23" s="15">
        <v>0</v>
      </c>
      <c r="BW23" s="13">
        <v>0</v>
      </c>
      <c r="BX23" s="14">
        <v>0</v>
      </c>
      <c r="BY23" s="15">
        <v>0</v>
      </c>
      <c r="BZ23" s="13">
        <v>0</v>
      </c>
      <c r="CA23" s="14">
        <v>0</v>
      </c>
      <c r="CB23" s="92">
        <v>0</v>
      </c>
    </row>
    <row r="24" spans="1:80" x14ac:dyDescent="0.25">
      <c r="A24" s="23">
        <f t="shared" si="1"/>
        <v>8</v>
      </c>
      <c r="B24" s="23">
        <f t="shared" si="2"/>
        <v>2</v>
      </c>
      <c r="C24" s="23" t="str">
        <f t="shared" si="0"/>
        <v>T8_2</v>
      </c>
      <c r="E24" s="3"/>
      <c r="F24" s="4"/>
      <c r="G24" s="4"/>
      <c r="H24" s="4"/>
      <c r="I24" s="4"/>
      <c r="J24" s="4">
        <v>1</v>
      </c>
      <c r="K24" s="4"/>
      <c r="L24" s="4"/>
      <c r="M24" s="4"/>
      <c r="N24" s="4"/>
      <c r="O24" s="4"/>
      <c r="P24" s="4"/>
      <c r="Q24" s="4"/>
      <c r="R24" s="4"/>
      <c r="S24" s="4"/>
      <c r="T24" s="5"/>
      <c r="W24" s="93">
        <v>1</v>
      </c>
      <c r="X24" s="49">
        <v>-1</v>
      </c>
      <c r="Y24" s="94">
        <v>-1</v>
      </c>
      <c r="Z24" s="95" t="s">
        <v>175</v>
      </c>
      <c r="AA24" s="3">
        <v>0</v>
      </c>
      <c r="AB24" s="4">
        <v>0</v>
      </c>
      <c r="AC24" s="17">
        <v>0</v>
      </c>
      <c r="AD24" s="16">
        <v>0</v>
      </c>
      <c r="AE24" s="4">
        <v>0</v>
      </c>
      <c r="AF24" s="17">
        <v>0</v>
      </c>
      <c r="AG24" s="16">
        <v>0</v>
      </c>
      <c r="AH24" s="4">
        <v>0</v>
      </c>
      <c r="AI24" s="17">
        <v>0</v>
      </c>
      <c r="AJ24" s="16">
        <v>0</v>
      </c>
      <c r="AK24" s="4">
        <v>0</v>
      </c>
      <c r="AL24" s="17">
        <v>0</v>
      </c>
      <c r="AM24" s="16">
        <v>0</v>
      </c>
      <c r="AN24" s="4">
        <v>0</v>
      </c>
      <c r="AO24" s="17">
        <v>0</v>
      </c>
      <c r="AP24" s="16">
        <v>0</v>
      </c>
      <c r="AQ24" s="4">
        <v>0</v>
      </c>
      <c r="AR24" s="17">
        <v>0</v>
      </c>
      <c r="AS24" s="16">
        <v>0</v>
      </c>
      <c r="AT24" s="4">
        <v>0</v>
      </c>
      <c r="AU24" s="17">
        <v>0</v>
      </c>
      <c r="AV24" s="107">
        <f>-($Y25^2)+($Y24+$Y23)*$Y25-($Y23*$Y24)-($X25^2)+($X24+$X23)*$X25-($X23*$X24)</f>
        <v>-4</v>
      </c>
      <c r="AW24" s="11">
        <f>$Y25^2-2*$Y23*$Y25+$Y23^2+$X25^2-2*$X23*$X25+$X23^2</f>
        <v>8</v>
      </c>
      <c r="AX24" s="96">
        <f>AW25</f>
        <v>-4</v>
      </c>
      <c r="AY24" s="16">
        <v>0</v>
      </c>
      <c r="AZ24" s="4">
        <v>0</v>
      </c>
      <c r="BA24" s="17">
        <v>0</v>
      </c>
      <c r="BB24" s="16">
        <v>0</v>
      </c>
      <c r="BC24" s="4">
        <v>0</v>
      </c>
      <c r="BD24" s="17">
        <v>0</v>
      </c>
      <c r="BE24" s="16">
        <v>0</v>
      </c>
      <c r="BF24" s="4">
        <v>0</v>
      </c>
      <c r="BG24" s="17">
        <v>0</v>
      </c>
      <c r="BH24" s="16">
        <v>0</v>
      </c>
      <c r="BI24" s="4">
        <v>0</v>
      </c>
      <c r="BJ24" s="17">
        <v>0</v>
      </c>
      <c r="BK24" s="16">
        <v>0</v>
      </c>
      <c r="BL24" s="4">
        <v>0</v>
      </c>
      <c r="BM24" s="17">
        <v>0</v>
      </c>
      <c r="BN24" s="16">
        <v>0</v>
      </c>
      <c r="BO24" s="4">
        <v>0</v>
      </c>
      <c r="BP24" s="17">
        <v>0</v>
      </c>
      <c r="BQ24" s="16">
        <v>0</v>
      </c>
      <c r="BR24" s="4">
        <v>0</v>
      </c>
      <c r="BS24" s="17">
        <v>0</v>
      </c>
      <c r="BT24" s="16">
        <v>0</v>
      </c>
      <c r="BU24" s="4">
        <v>0</v>
      </c>
      <c r="BV24" s="17">
        <v>0</v>
      </c>
      <c r="BW24" s="16">
        <v>0</v>
      </c>
      <c r="BX24" s="4">
        <v>0</v>
      </c>
      <c r="BY24" s="17">
        <v>0</v>
      </c>
      <c r="BZ24" s="16">
        <v>0</v>
      </c>
      <c r="CA24" s="4">
        <v>0</v>
      </c>
      <c r="CB24" s="5">
        <v>0</v>
      </c>
    </row>
    <row r="25" spans="1:80" x14ac:dyDescent="0.25">
      <c r="A25" s="23">
        <f t="shared" si="1"/>
        <v>8</v>
      </c>
      <c r="B25" s="23">
        <f t="shared" si="2"/>
        <v>3</v>
      </c>
      <c r="C25" s="23" t="str">
        <f t="shared" si="0"/>
        <v>T8_3</v>
      </c>
      <c r="E25" s="3"/>
      <c r="F25" s="4"/>
      <c r="G25" s="4"/>
      <c r="H25" s="4"/>
      <c r="I25" s="4"/>
      <c r="J25" s="4"/>
      <c r="K25" s="4"/>
      <c r="L25" s="4"/>
      <c r="M25" s="4"/>
      <c r="N25" s="4">
        <v>1</v>
      </c>
      <c r="O25" s="4"/>
      <c r="P25" s="4"/>
      <c r="Q25" s="4"/>
      <c r="R25" s="4"/>
      <c r="S25" s="4"/>
      <c r="T25" s="5"/>
      <c r="W25" s="97">
        <v>1</v>
      </c>
      <c r="X25" s="98">
        <v>-1</v>
      </c>
      <c r="Y25" s="99">
        <v>1</v>
      </c>
      <c r="Z25" s="100" t="s">
        <v>176</v>
      </c>
      <c r="AA25" s="108">
        <v>0</v>
      </c>
      <c r="AB25" s="19">
        <v>0</v>
      </c>
      <c r="AC25" s="20">
        <v>0</v>
      </c>
      <c r="AD25" s="18">
        <v>0</v>
      </c>
      <c r="AE25" s="19">
        <v>0</v>
      </c>
      <c r="AF25" s="20">
        <v>0</v>
      </c>
      <c r="AG25" s="18">
        <v>0</v>
      </c>
      <c r="AH25" s="19">
        <v>0</v>
      </c>
      <c r="AI25" s="20">
        <v>0</v>
      </c>
      <c r="AJ25" s="18">
        <v>0</v>
      </c>
      <c r="AK25" s="19">
        <v>0</v>
      </c>
      <c r="AL25" s="20">
        <v>0</v>
      </c>
      <c r="AM25" s="18">
        <v>0</v>
      </c>
      <c r="AN25" s="19">
        <v>0</v>
      </c>
      <c r="AO25" s="20">
        <v>0</v>
      </c>
      <c r="AP25" s="18">
        <v>0</v>
      </c>
      <c r="AQ25" s="19">
        <v>0</v>
      </c>
      <c r="AR25" s="20">
        <v>0</v>
      </c>
      <c r="AS25" s="18">
        <v>0</v>
      </c>
      <c r="AT25" s="19">
        <v>0</v>
      </c>
      <c r="AU25" s="20">
        <v>0</v>
      </c>
      <c r="AV25" s="109">
        <f>($Y24-$Y23)*$Y25-$Y24^2+$Y23*$Y24+($X24-$X23)*$X25-$X24^2+$X23*$X24</f>
        <v>0</v>
      </c>
      <c r="AW25" s="102">
        <f>($Y23-$Y24)*$Y25+$Y23*$Y24-$Y23^2+($X23-$X24)*$X25+$X23*$X24-$X23^2</f>
        <v>-4</v>
      </c>
      <c r="AX25" s="103">
        <f>$Y24^2-2*$Y23*$Y24+$Y23^2+$X24^2-2*$X23*$X24+$X23^2</f>
        <v>4</v>
      </c>
      <c r="AY25" s="18">
        <v>0</v>
      </c>
      <c r="AZ25" s="19">
        <v>0</v>
      </c>
      <c r="BA25" s="20">
        <v>0</v>
      </c>
      <c r="BB25" s="18">
        <v>0</v>
      </c>
      <c r="BC25" s="19">
        <v>0</v>
      </c>
      <c r="BD25" s="20">
        <v>0</v>
      </c>
      <c r="BE25" s="18">
        <v>0</v>
      </c>
      <c r="BF25" s="19">
        <v>0</v>
      </c>
      <c r="BG25" s="20">
        <v>0</v>
      </c>
      <c r="BH25" s="18">
        <v>0</v>
      </c>
      <c r="BI25" s="19">
        <v>0</v>
      </c>
      <c r="BJ25" s="20">
        <v>0</v>
      </c>
      <c r="BK25" s="18">
        <v>0</v>
      </c>
      <c r="BL25" s="19">
        <v>0</v>
      </c>
      <c r="BM25" s="20">
        <v>0</v>
      </c>
      <c r="BN25" s="18">
        <v>0</v>
      </c>
      <c r="BO25" s="19">
        <v>0</v>
      </c>
      <c r="BP25" s="20">
        <v>0</v>
      </c>
      <c r="BQ25" s="18">
        <v>0</v>
      </c>
      <c r="BR25" s="19">
        <v>0</v>
      </c>
      <c r="BS25" s="20">
        <v>0</v>
      </c>
      <c r="BT25" s="18">
        <v>0</v>
      </c>
      <c r="BU25" s="19">
        <v>0</v>
      </c>
      <c r="BV25" s="20">
        <v>0</v>
      </c>
      <c r="BW25" s="18">
        <v>0</v>
      </c>
      <c r="BX25" s="19">
        <v>0</v>
      </c>
      <c r="BY25" s="20">
        <v>0</v>
      </c>
      <c r="BZ25" s="18">
        <v>0</v>
      </c>
      <c r="CA25" s="19">
        <v>0</v>
      </c>
      <c r="CB25" s="104">
        <v>0</v>
      </c>
    </row>
    <row r="26" spans="1:80" x14ac:dyDescent="0.25">
      <c r="A26" s="23">
        <f t="shared" si="1"/>
        <v>9</v>
      </c>
      <c r="B26" s="23">
        <f t="shared" si="2"/>
        <v>1</v>
      </c>
      <c r="C26" s="23" t="str">
        <f t="shared" si="0"/>
        <v>T9_1</v>
      </c>
      <c r="E26" s="3"/>
      <c r="F26" s="4"/>
      <c r="G26" s="4"/>
      <c r="H26" s="4"/>
      <c r="I26" s="4"/>
      <c r="J26" s="4">
        <v>1</v>
      </c>
      <c r="K26" s="4"/>
      <c r="L26" s="4"/>
      <c r="M26" s="4"/>
      <c r="N26" s="4"/>
      <c r="O26" s="4"/>
      <c r="P26" s="4"/>
      <c r="Q26" s="4"/>
      <c r="R26" s="4"/>
      <c r="S26" s="4"/>
      <c r="T26" s="5"/>
      <c r="W26" s="85">
        <v>1</v>
      </c>
      <c r="X26" s="86">
        <v>-1</v>
      </c>
      <c r="Y26" s="87">
        <v>-1</v>
      </c>
      <c r="Z26" s="88" t="s">
        <v>177</v>
      </c>
      <c r="AA26" s="105">
        <v>0</v>
      </c>
      <c r="AB26" s="14">
        <v>0</v>
      </c>
      <c r="AC26" s="15">
        <v>0</v>
      </c>
      <c r="AD26" s="13">
        <v>0</v>
      </c>
      <c r="AE26" s="14">
        <v>0</v>
      </c>
      <c r="AF26" s="15">
        <v>0</v>
      </c>
      <c r="AG26" s="13">
        <v>0</v>
      </c>
      <c r="AH26" s="14">
        <v>0</v>
      </c>
      <c r="AI26" s="15">
        <v>0</v>
      </c>
      <c r="AJ26" s="13">
        <v>0</v>
      </c>
      <c r="AK26" s="14">
        <v>0</v>
      </c>
      <c r="AL26" s="15">
        <v>0</v>
      </c>
      <c r="AM26" s="13">
        <v>0</v>
      </c>
      <c r="AN26" s="14">
        <v>0</v>
      </c>
      <c r="AO26" s="15">
        <v>0</v>
      </c>
      <c r="AP26" s="13">
        <v>0</v>
      </c>
      <c r="AQ26" s="14">
        <v>0</v>
      </c>
      <c r="AR26" s="15">
        <v>0</v>
      </c>
      <c r="AS26" s="13">
        <v>0</v>
      </c>
      <c r="AT26" s="14">
        <v>0</v>
      </c>
      <c r="AU26" s="15">
        <v>0</v>
      </c>
      <c r="AV26" s="13">
        <v>0</v>
      </c>
      <c r="AW26" s="14">
        <v>0</v>
      </c>
      <c r="AX26" s="15">
        <v>0</v>
      </c>
      <c r="AY26" s="106">
        <f>$Y28^2-2*$Y27*$Y28+$Y27^2+$X28^2-2*$X27*$X28+$X27^2</f>
        <v>4</v>
      </c>
      <c r="AZ26" s="90">
        <f>AY27</f>
        <v>0</v>
      </c>
      <c r="BA26" s="91">
        <f>AY28</f>
        <v>-4</v>
      </c>
      <c r="BB26" s="13">
        <v>0</v>
      </c>
      <c r="BC26" s="14">
        <v>0</v>
      </c>
      <c r="BD26" s="15">
        <v>0</v>
      </c>
      <c r="BE26" s="13">
        <v>0</v>
      </c>
      <c r="BF26" s="14">
        <v>0</v>
      </c>
      <c r="BG26" s="15">
        <v>0</v>
      </c>
      <c r="BH26" s="13">
        <v>0</v>
      </c>
      <c r="BI26" s="14">
        <v>0</v>
      </c>
      <c r="BJ26" s="15">
        <v>0</v>
      </c>
      <c r="BK26" s="13">
        <v>0</v>
      </c>
      <c r="BL26" s="14">
        <v>0</v>
      </c>
      <c r="BM26" s="15">
        <v>0</v>
      </c>
      <c r="BN26" s="13">
        <v>0</v>
      </c>
      <c r="BO26" s="14">
        <v>0</v>
      </c>
      <c r="BP26" s="15">
        <v>0</v>
      </c>
      <c r="BQ26" s="13">
        <v>0</v>
      </c>
      <c r="BR26" s="14">
        <v>0</v>
      </c>
      <c r="BS26" s="15">
        <v>0</v>
      </c>
      <c r="BT26" s="13">
        <v>0</v>
      </c>
      <c r="BU26" s="14">
        <v>0</v>
      </c>
      <c r="BV26" s="15">
        <v>0</v>
      </c>
      <c r="BW26" s="13">
        <v>0</v>
      </c>
      <c r="BX26" s="14">
        <v>0</v>
      </c>
      <c r="BY26" s="15">
        <v>0</v>
      </c>
      <c r="BZ26" s="13">
        <v>0</v>
      </c>
      <c r="CA26" s="14">
        <v>0</v>
      </c>
      <c r="CB26" s="92">
        <v>0</v>
      </c>
    </row>
    <row r="27" spans="1:80" x14ac:dyDescent="0.25">
      <c r="A27" s="23">
        <f t="shared" si="1"/>
        <v>9</v>
      </c>
      <c r="B27" s="23">
        <f t="shared" si="2"/>
        <v>2</v>
      </c>
      <c r="C27" s="23" t="str">
        <f t="shared" si="0"/>
        <v>T9_2</v>
      </c>
      <c r="E27" s="3"/>
      <c r="F27" s="4"/>
      <c r="G27" s="4"/>
      <c r="H27" s="4"/>
      <c r="I27" s="4"/>
      <c r="J27" s="4"/>
      <c r="K27" s="4"/>
      <c r="L27" s="4"/>
      <c r="M27" s="4"/>
      <c r="N27" s="4"/>
      <c r="O27" s="4">
        <v>1</v>
      </c>
      <c r="P27" s="4"/>
      <c r="Q27" s="4"/>
      <c r="R27" s="4"/>
      <c r="S27" s="4"/>
      <c r="T27" s="5"/>
      <c r="W27" s="93">
        <v>1</v>
      </c>
      <c r="X27" s="49">
        <v>1</v>
      </c>
      <c r="Y27" s="94">
        <v>1</v>
      </c>
      <c r="Z27" s="95" t="s">
        <v>178</v>
      </c>
      <c r="AA27" s="3">
        <v>0</v>
      </c>
      <c r="AB27" s="4">
        <v>0</v>
      </c>
      <c r="AC27" s="17">
        <v>0</v>
      </c>
      <c r="AD27" s="16">
        <v>0</v>
      </c>
      <c r="AE27" s="4">
        <v>0</v>
      </c>
      <c r="AF27" s="17">
        <v>0</v>
      </c>
      <c r="AG27" s="16">
        <v>0</v>
      </c>
      <c r="AH27" s="4">
        <v>0</v>
      </c>
      <c r="AI27" s="17">
        <v>0</v>
      </c>
      <c r="AJ27" s="16">
        <v>0</v>
      </c>
      <c r="AK27" s="4">
        <v>0</v>
      </c>
      <c r="AL27" s="17">
        <v>0</v>
      </c>
      <c r="AM27" s="16">
        <v>0</v>
      </c>
      <c r="AN27" s="4">
        <v>0</v>
      </c>
      <c r="AO27" s="17">
        <v>0</v>
      </c>
      <c r="AP27" s="16">
        <v>0</v>
      </c>
      <c r="AQ27" s="4">
        <v>0</v>
      </c>
      <c r="AR27" s="17">
        <v>0</v>
      </c>
      <c r="AS27" s="16">
        <v>0</v>
      </c>
      <c r="AT27" s="4">
        <v>0</v>
      </c>
      <c r="AU27" s="17">
        <v>0</v>
      </c>
      <c r="AV27" s="16">
        <v>0</v>
      </c>
      <c r="AW27" s="4">
        <v>0</v>
      </c>
      <c r="AX27" s="17">
        <v>0</v>
      </c>
      <c r="AY27" s="107">
        <f>-($Y28^2)+($Y27+$Y26)*$Y28-($Y26*$Y27)-($X28^2)+($X27+$X26)*$X28-($X26*$X27)</f>
        <v>0</v>
      </c>
      <c r="AZ27" s="11">
        <f>$Y28^2-2*$Y26*$Y28+$Y26^2+$X28^2-2*$X26*$X28+$X26^2</f>
        <v>4</v>
      </c>
      <c r="BA27" s="96">
        <f>AZ28</f>
        <v>-4</v>
      </c>
      <c r="BB27" s="16">
        <v>0</v>
      </c>
      <c r="BC27" s="4">
        <v>0</v>
      </c>
      <c r="BD27" s="17">
        <v>0</v>
      </c>
      <c r="BE27" s="16">
        <v>0</v>
      </c>
      <c r="BF27" s="4">
        <v>0</v>
      </c>
      <c r="BG27" s="17">
        <v>0</v>
      </c>
      <c r="BH27" s="16">
        <v>0</v>
      </c>
      <c r="BI27" s="4">
        <v>0</v>
      </c>
      <c r="BJ27" s="17">
        <v>0</v>
      </c>
      <c r="BK27" s="16">
        <v>0</v>
      </c>
      <c r="BL27" s="4">
        <v>0</v>
      </c>
      <c r="BM27" s="17">
        <v>0</v>
      </c>
      <c r="BN27" s="16">
        <v>0</v>
      </c>
      <c r="BO27" s="4">
        <v>0</v>
      </c>
      <c r="BP27" s="17">
        <v>0</v>
      </c>
      <c r="BQ27" s="16">
        <v>0</v>
      </c>
      <c r="BR27" s="4">
        <v>0</v>
      </c>
      <c r="BS27" s="17">
        <v>0</v>
      </c>
      <c r="BT27" s="16">
        <v>0</v>
      </c>
      <c r="BU27" s="4">
        <v>0</v>
      </c>
      <c r="BV27" s="17">
        <v>0</v>
      </c>
      <c r="BW27" s="16">
        <v>0</v>
      </c>
      <c r="BX27" s="4">
        <v>0</v>
      </c>
      <c r="BY27" s="17">
        <v>0</v>
      </c>
      <c r="BZ27" s="16">
        <v>0</v>
      </c>
      <c r="CA27" s="4">
        <v>0</v>
      </c>
      <c r="CB27" s="5">
        <v>0</v>
      </c>
    </row>
    <row r="28" spans="1:80" x14ac:dyDescent="0.25">
      <c r="A28" s="23">
        <f t="shared" si="1"/>
        <v>9</v>
      </c>
      <c r="B28" s="23">
        <f t="shared" si="2"/>
        <v>3</v>
      </c>
      <c r="C28" s="23" t="str">
        <f t="shared" si="0"/>
        <v>T9_3</v>
      </c>
      <c r="E28" s="3"/>
      <c r="F28" s="4"/>
      <c r="G28" s="4"/>
      <c r="H28" s="4"/>
      <c r="I28" s="4"/>
      <c r="J28" s="4"/>
      <c r="K28" s="4"/>
      <c r="L28" s="4"/>
      <c r="M28" s="4"/>
      <c r="N28" s="4">
        <v>1</v>
      </c>
      <c r="O28" s="4"/>
      <c r="P28" s="4"/>
      <c r="Q28" s="4"/>
      <c r="R28" s="4"/>
      <c r="S28" s="4"/>
      <c r="T28" s="5"/>
      <c r="W28" s="97">
        <v>1</v>
      </c>
      <c r="X28" s="98">
        <v>-1</v>
      </c>
      <c r="Y28" s="99">
        <v>1</v>
      </c>
      <c r="Z28" s="100" t="s">
        <v>179</v>
      </c>
      <c r="AA28" s="108">
        <v>0</v>
      </c>
      <c r="AB28" s="19">
        <v>0</v>
      </c>
      <c r="AC28" s="20">
        <v>0</v>
      </c>
      <c r="AD28" s="18">
        <v>0</v>
      </c>
      <c r="AE28" s="19">
        <v>0</v>
      </c>
      <c r="AF28" s="20">
        <v>0</v>
      </c>
      <c r="AG28" s="18">
        <v>0</v>
      </c>
      <c r="AH28" s="19">
        <v>0</v>
      </c>
      <c r="AI28" s="20">
        <v>0</v>
      </c>
      <c r="AJ28" s="18">
        <v>0</v>
      </c>
      <c r="AK28" s="19">
        <v>0</v>
      </c>
      <c r="AL28" s="20">
        <v>0</v>
      </c>
      <c r="AM28" s="18">
        <v>0</v>
      </c>
      <c r="AN28" s="19">
        <v>0</v>
      </c>
      <c r="AO28" s="20">
        <v>0</v>
      </c>
      <c r="AP28" s="18">
        <v>0</v>
      </c>
      <c r="AQ28" s="19">
        <v>0</v>
      </c>
      <c r="AR28" s="20">
        <v>0</v>
      </c>
      <c r="AS28" s="18">
        <v>0</v>
      </c>
      <c r="AT28" s="19">
        <v>0</v>
      </c>
      <c r="AU28" s="20">
        <v>0</v>
      </c>
      <c r="AV28" s="18">
        <v>0</v>
      </c>
      <c r="AW28" s="19">
        <v>0</v>
      </c>
      <c r="AX28" s="20">
        <v>0</v>
      </c>
      <c r="AY28" s="109">
        <f>($Y27-$Y26)*$Y28-$Y27^2+$Y26*$Y27+($X27-$X26)*$X28-$X27^2+$X26*$X27</f>
        <v>-4</v>
      </c>
      <c r="AZ28" s="102">
        <f>($Y26-$Y27)*$Y28+$Y26*$Y27-$Y26^2+($X26-$X27)*$X28+$X26*$X27-$X26^2</f>
        <v>-4</v>
      </c>
      <c r="BA28" s="103">
        <f>$Y27^2-2*$Y26*$Y27+$Y26^2+$X27^2-2*$X26*$X27+$X26^2</f>
        <v>8</v>
      </c>
      <c r="BB28" s="18">
        <v>0</v>
      </c>
      <c r="BC28" s="19">
        <v>0</v>
      </c>
      <c r="BD28" s="20">
        <v>0</v>
      </c>
      <c r="BE28" s="18">
        <v>0</v>
      </c>
      <c r="BF28" s="19">
        <v>0</v>
      </c>
      <c r="BG28" s="20">
        <v>0</v>
      </c>
      <c r="BH28" s="18">
        <v>0</v>
      </c>
      <c r="BI28" s="19">
        <v>0</v>
      </c>
      <c r="BJ28" s="20">
        <v>0</v>
      </c>
      <c r="BK28" s="18">
        <v>0</v>
      </c>
      <c r="BL28" s="19">
        <v>0</v>
      </c>
      <c r="BM28" s="20">
        <v>0</v>
      </c>
      <c r="BN28" s="18">
        <v>0</v>
      </c>
      <c r="BO28" s="19">
        <v>0</v>
      </c>
      <c r="BP28" s="20">
        <v>0</v>
      </c>
      <c r="BQ28" s="18">
        <v>0</v>
      </c>
      <c r="BR28" s="19">
        <v>0</v>
      </c>
      <c r="BS28" s="20">
        <v>0</v>
      </c>
      <c r="BT28" s="18">
        <v>0</v>
      </c>
      <c r="BU28" s="19">
        <v>0</v>
      </c>
      <c r="BV28" s="20">
        <v>0</v>
      </c>
      <c r="BW28" s="18">
        <v>0</v>
      </c>
      <c r="BX28" s="19">
        <v>0</v>
      </c>
      <c r="BY28" s="20">
        <v>0</v>
      </c>
      <c r="BZ28" s="18">
        <v>0</v>
      </c>
      <c r="CA28" s="19">
        <v>0</v>
      </c>
      <c r="CB28" s="104">
        <v>0</v>
      </c>
    </row>
    <row r="29" spans="1:80" x14ac:dyDescent="0.25">
      <c r="A29" s="23">
        <f t="shared" si="1"/>
        <v>10</v>
      </c>
      <c r="B29" s="23">
        <f t="shared" si="2"/>
        <v>1</v>
      </c>
      <c r="C29" s="23" t="str">
        <f t="shared" si="0"/>
        <v>T10_1</v>
      </c>
      <c r="E29" s="3"/>
      <c r="F29" s="4"/>
      <c r="G29" s="4"/>
      <c r="H29" s="4"/>
      <c r="I29" s="4"/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5"/>
      <c r="W29" s="85">
        <v>1</v>
      </c>
      <c r="X29" s="86">
        <v>-1</v>
      </c>
      <c r="Y29" s="87">
        <v>-1</v>
      </c>
      <c r="Z29" s="88" t="s">
        <v>180</v>
      </c>
      <c r="AA29" s="105">
        <v>0</v>
      </c>
      <c r="AB29" s="14">
        <v>0</v>
      </c>
      <c r="AC29" s="15">
        <v>0</v>
      </c>
      <c r="AD29" s="13">
        <v>0</v>
      </c>
      <c r="AE29" s="14">
        <v>0</v>
      </c>
      <c r="AF29" s="15">
        <v>0</v>
      </c>
      <c r="AG29" s="13">
        <v>0</v>
      </c>
      <c r="AH29" s="14">
        <v>0</v>
      </c>
      <c r="AI29" s="15">
        <v>0</v>
      </c>
      <c r="AJ29" s="13">
        <v>0</v>
      </c>
      <c r="AK29" s="14">
        <v>0</v>
      </c>
      <c r="AL29" s="15">
        <v>0</v>
      </c>
      <c r="AM29" s="13">
        <v>0</v>
      </c>
      <c r="AN29" s="14">
        <v>0</v>
      </c>
      <c r="AO29" s="15">
        <v>0</v>
      </c>
      <c r="AP29" s="13">
        <v>0</v>
      </c>
      <c r="AQ29" s="14">
        <v>0</v>
      </c>
      <c r="AR29" s="15">
        <v>0</v>
      </c>
      <c r="AS29" s="13">
        <v>0</v>
      </c>
      <c r="AT29" s="14">
        <v>0</v>
      </c>
      <c r="AU29" s="15">
        <v>0</v>
      </c>
      <c r="AV29" s="13">
        <v>0</v>
      </c>
      <c r="AW29" s="14">
        <v>0</v>
      </c>
      <c r="AX29" s="15">
        <v>0</v>
      </c>
      <c r="AY29" s="13">
        <v>0</v>
      </c>
      <c r="AZ29" s="14">
        <v>0</v>
      </c>
      <c r="BA29" s="15">
        <v>0</v>
      </c>
      <c r="BB29" s="106">
        <f>$Y31^2-2*$Y30*$Y31+$Y30^2+$X31^2-2*$X30*$X31+$X30^2</f>
        <v>4</v>
      </c>
      <c r="BC29" s="90">
        <f>BB30</f>
        <v>-4</v>
      </c>
      <c r="BD29" s="91">
        <f>BB31</f>
        <v>0</v>
      </c>
      <c r="BE29" s="13">
        <v>0</v>
      </c>
      <c r="BF29" s="14">
        <v>0</v>
      </c>
      <c r="BG29" s="15">
        <v>0</v>
      </c>
      <c r="BH29" s="13">
        <v>0</v>
      </c>
      <c r="BI29" s="14">
        <v>0</v>
      </c>
      <c r="BJ29" s="15">
        <v>0</v>
      </c>
      <c r="BK29" s="13">
        <v>0</v>
      </c>
      <c r="BL29" s="14">
        <v>0</v>
      </c>
      <c r="BM29" s="15">
        <v>0</v>
      </c>
      <c r="BN29" s="13">
        <v>0</v>
      </c>
      <c r="BO29" s="14">
        <v>0</v>
      </c>
      <c r="BP29" s="15">
        <v>0</v>
      </c>
      <c r="BQ29" s="13">
        <v>0</v>
      </c>
      <c r="BR29" s="14">
        <v>0</v>
      </c>
      <c r="BS29" s="15">
        <v>0</v>
      </c>
      <c r="BT29" s="13">
        <v>0</v>
      </c>
      <c r="BU29" s="14">
        <v>0</v>
      </c>
      <c r="BV29" s="15">
        <v>0</v>
      </c>
      <c r="BW29" s="13">
        <v>0</v>
      </c>
      <c r="BX29" s="14">
        <v>0</v>
      </c>
      <c r="BY29" s="15">
        <v>0</v>
      </c>
      <c r="BZ29" s="13">
        <v>0</v>
      </c>
      <c r="CA29" s="14">
        <v>0</v>
      </c>
      <c r="CB29" s="92">
        <v>0</v>
      </c>
    </row>
    <row r="30" spans="1:80" x14ac:dyDescent="0.25">
      <c r="A30" s="23">
        <f t="shared" si="1"/>
        <v>10</v>
      </c>
      <c r="B30" s="23">
        <f t="shared" si="2"/>
        <v>2</v>
      </c>
      <c r="C30" s="23" t="str">
        <f t="shared" si="0"/>
        <v>T10_2</v>
      </c>
      <c r="E30" s="3"/>
      <c r="F30" s="4"/>
      <c r="G30" s="4"/>
      <c r="H30" s="4"/>
      <c r="I30" s="4"/>
      <c r="J30" s="4"/>
      <c r="K30" s="4">
        <v>1</v>
      </c>
      <c r="L30" s="4"/>
      <c r="M30" s="4"/>
      <c r="N30" s="4"/>
      <c r="O30" s="4"/>
      <c r="P30" s="4"/>
      <c r="Q30" s="4"/>
      <c r="R30" s="4"/>
      <c r="S30" s="4"/>
      <c r="T30" s="5"/>
      <c r="W30" s="93">
        <v>1</v>
      </c>
      <c r="X30" s="49">
        <v>1</v>
      </c>
      <c r="Y30" s="94">
        <v>-1</v>
      </c>
      <c r="Z30" s="95" t="s">
        <v>181</v>
      </c>
      <c r="AA30" s="3">
        <v>0</v>
      </c>
      <c r="AB30" s="4">
        <v>0</v>
      </c>
      <c r="AC30" s="17">
        <v>0</v>
      </c>
      <c r="AD30" s="16">
        <v>0</v>
      </c>
      <c r="AE30" s="4">
        <v>0</v>
      </c>
      <c r="AF30" s="17">
        <v>0</v>
      </c>
      <c r="AG30" s="16">
        <v>0</v>
      </c>
      <c r="AH30" s="4">
        <v>0</v>
      </c>
      <c r="AI30" s="17">
        <v>0</v>
      </c>
      <c r="AJ30" s="16">
        <v>0</v>
      </c>
      <c r="AK30" s="4">
        <v>0</v>
      </c>
      <c r="AL30" s="17">
        <v>0</v>
      </c>
      <c r="AM30" s="16">
        <v>0</v>
      </c>
      <c r="AN30" s="4">
        <v>0</v>
      </c>
      <c r="AO30" s="17">
        <v>0</v>
      </c>
      <c r="AP30" s="16">
        <v>0</v>
      </c>
      <c r="AQ30" s="4">
        <v>0</v>
      </c>
      <c r="AR30" s="17">
        <v>0</v>
      </c>
      <c r="AS30" s="16">
        <v>0</v>
      </c>
      <c r="AT30" s="4">
        <v>0</v>
      </c>
      <c r="AU30" s="17">
        <v>0</v>
      </c>
      <c r="AV30" s="16">
        <v>0</v>
      </c>
      <c r="AW30" s="4">
        <v>0</v>
      </c>
      <c r="AX30" s="17">
        <v>0</v>
      </c>
      <c r="AY30" s="16">
        <v>0</v>
      </c>
      <c r="AZ30" s="4">
        <v>0</v>
      </c>
      <c r="BA30" s="17">
        <v>0</v>
      </c>
      <c r="BB30" s="107">
        <f>-($Y31^2)+($Y30+$Y29)*$Y31-($Y29*$Y30)-($X31^2)+($X30+$X29)*$X31-($X29*$X30)</f>
        <v>-4</v>
      </c>
      <c r="BC30" s="11">
        <f>$Y31^2-2*$Y29*$Y31+$Y29^2+$X31^2-2*$X29*$X31+$X29^2</f>
        <v>8</v>
      </c>
      <c r="BD30" s="96">
        <f>BC31</f>
        <v>-4</v>
      </c>
      <c r="BE30" s="16">
        <v>0</v>
      </c>
      <c r="BF30" s="4">
        <v>0</v>
      </c>
      <c r="BG30" s="17">
        <v>0</v>
      </c>
      <c r="BH30" s="16">
        <v>0</v>
      </c>
      <c r="BI30" s="4">
        <v>0</v>
      </c>
      <c r="BJ30" s="17">
        <v>0</v>
      </c>
      <c r="BK30" s="16">
        <v>0</v>
      </c>
      <c r="BL30" s="4">
        <v>0</v>
      </c>
      <c r="BM30" s="17">
        <v>0</v>
      </c>
      <c r="BN30" s="16">
        <v>0</v>
      </c>
      <c r="BO30" s="4">
        <v>0</v>
      </c>
      <c r="BP30" s="17">
        <v>0</v>
      </c>
      <c r="BQ30" s="16">
        <v>0</v>
      </c>
      <c r="BR30" s="4">
        <v>0</v>
      </c>
      <c r="BS30" s="17">
        <v>0</v>
      </c>
      <c r="BT30" s="16">
        <v>0</v>
      </c>
      <c r="BU30" s="4">
        <v>0</v>
      </c>
      <c r="BV30" s="17">
        <v>0</v>
      </c>
      <c r="BW30" s="16">
        <v>0</v>
      </c>
      <c r="BX30" s="4">
        <v>0</v>
      </c>
      <c r="BY30" s="17">
        <v>0</v>
      </c>
      <c r="BZ30" s="16">
        <v>0</v>
      </c>
      <c r="CA30" s="4">
        <v>0</v>
      </c>
      <c r="CB30" s="5">
        <v>0</v>
      </c>
    </row>
    <row r="31" spans="1:80" x14ac:dyDescent="0.25">
      <c r="A31" s="23">
        <f t="shared" si="1"/>
        <v>10</v>
      </c>
      <c r="B31" s="23">
        <f t="shared" si="2"/>
        <v>3</v>
      </c>
      <c r="C31" s="23" t="str">
        <f t="shared" si="0"/>
        <v>T10_3</v>
      </c>
      <c r="E31" s="3"/>
      <c r="F31" s="4"/>
      <c r="G31" s="4"/>
      <c r="H31" s="4"/>
      <c r="I31" s="4"/>
      <c r="J31" s="4"/>
      <c r="K31" s="4"/>
      <c r="L31" s="4"/>
      <c r="M31" s="4"/>
      <c r="N31" s="4"/>
      <c r="O31" s="4">
        <v>1</v>
      </c>
      <c r="P31" s="4"/>
      <c r="Q31" s="4"/>
      <c r="R31" s="4"/>
      <c r="S31" s="4"/>
      <c r="T31" s="5"/>
      <c r="W31" s="97">
        <v>1</v>
      </c>
      <c r="X31" s="98">
        <v>1</v>
      </c>
      <c r="Y31" s="99">
        <v>1</v>
      </c>
      <c r="Z31" s="100" t="s">
        <v>182</v>
      </c>
      <c r="AA31" s="108">
        <v>0</v>
      </c>
      <c r="AB31" s="19">
        <v>0</v>
      </c>
      <c r="AC31" s="20">
        <v>0</v>
      </c>
      <c r="AD31" s="18">
        <v>0</v>
      </c>
      <c r="AE31" s="19">
        <v>0</v>
      </c>
      <c r="AF31" s="20">
        <v>0</v>
      </c>
      <c r="AG31" s="18">
        <v>0</v>
      </c>
      <c r="AH31" s="19">
        <v>0</v>
      </c>
      <c r="AI31" s="20">
        <v>0</v>
      </c>
      <c r="AJ31" s="18">
        <v>0</v>
      </c>
      <c r="AK31" s="19">
        <v>0</v>
      </c>
      <c r="AL31" s="20">
        <v>0</v>
      </c>
      <c r="AM31" s="18">
        <v>0</v>
      </c>
      <c r="AN31" s="19">
        <v>0</v>
      </c>
      <c r="AO31" s="20">
        <v>0</v>
      </c>
      <c r="AP31" s="18">
        <v>0</v>
      </c>
      <c r="AQ31" s="19">
        <v>0</v>
      </c>
      <c r="AR31" s="20">
        <v>0</v>
      </c>
      <c r="AS31" s="18">
        <v>0</v>
      </c>
      <c r="AT31" s="19">
        <v>0</v>
      </c>
      <c r="AU31" s="20">
        <v>0</v>
      </c>
      <c r="AV31" s="18">
        <v>0</v>
      </c>
      <c r="AW31" s="19">
        <v>0</v>
      </c>
      <c r="AX31" s="20">
        <v>0</v>
      </c>
      <c r="AY31" s="18">
        <v>0</v>
      </c>
      <c r="AZ31" s="19">
        <v>0</v>
      </c>
      <c r="BA31" s="20">
        <v>0</v>
      </c>
      <c r="BB31" s="109">
        <f>($Y30-$Y29)*$Y31-$Y30^2+$Y29*$Y30+($X30-$X29)*$X31-$X30^2+$X29*$X30</f>
        <v>0</v>
      </c>
      <c r="BC31" s="102">
        <f>($Y29-$Y30)*$Y31+$Y29*$Y30-$Y29^2+($X29-$X30)*$X31+$X29*$X30-$X29^2</f>
        <v>-4</v>
      </c>
      <c r="BD31" s="103">
        <f>$Y30^2-2*$Y29*$Y30+$Y29^2+$X30^2-2*$X29*$X30+$X29^2</f>
        <v>4</v>
      </c>
      <c r="BE31" s="18">
        <v>0</v>
      </c>
      <c r="BF31" s="19">
        <v>0</v>
      </c>
      <c r="BG31" s="20">
        <v>0</v>
      </c>
      <c r="BH31" s="18">
        <v>0</v>
      </c>
      <c r="BI31" s="19">
        <v>0</v>
      </c>
      <c r="BJ31" s="20">
        <v>0</v>
      </c>
      <c r="BK31" s="18">
        <v>0</v>
      </c>
      <c r="BL31" s="19">
        <v>0</v>
      </c>
      <c r="BM31" s="20">
        <v>0</v>
      </c>
      <c r="BN31" s="18">
        <v>0</v>
      </c>
      <c r="BO31" s="19">
        <v>0</v>
      </c>
      <c r="BP31" s="20">
        <v>0</v>
      </c>
      <c r="BQ31" s="18">
        <v>0</v>
      </c>
      <c r="BR31" s="19">
        <v>0</v>
      </c>
      <c r="BS31" s="20">
        <v>0</v>
      </c>
      <c r="BT31" s="18">
        <v>0</v>
      </c>
      <c r="BU31" s="19">
        <v>0</v>
      </c>
      <c r="BV31" s="20">
        <v>0</v>
      </c>
      <c r="BW31" s="18">
        <v>0</v>
      </c>
      <c r="BX31" s="19">
        <v>0</v>
      </c>
      <c r="BY31" s="20">
        <v>0</v>
      </c>
      <c r="BZ31" s="18">
        <v>0</v>
      </c>
      <c r="CA31" s="19">
        <v>0</v>
      </c>
      <c r="CB31" s="104">
        <v>0</v>
      </c>
    </row>
    <row r="32" spans="1:80" x14ac:dyDescent="0.25">
      <c r="A32" s="23">
        <f t="shared" si="1"/>
        <v>11</v>
      </c>
      <c r="B32" s="23">
        <f t="shared" si="2"/>
        <v>1</v>
      </c>
      <c r="C32" s="23" t="str">
        <f t="shared" si="0"/>
        <v>T11_1</v>
      </c>
      <c r="E32" s="3"/>
      <c r="F32" s="4"/>
      <c r="G32" s="4"/>
      <c r="H32" s="4"/>
      <c r="I32" s="4"/>
      <c r="J32" s="4"/>
      <c r="K32" s="4">
        <v>1</v>
      </c>
      <c r="L32" s="4"/>
      <c r="M32" s="4"/>
      <c r="N32" s="4"/>
      <c r="O32" s="4"/>
      <c r="P32" s="4"/>
      <c r="Q32" s="4"/>
      <c r="R32" s="4"/>
      <c r="S32" s="4"/>
      <c r="T32" s="5"/>
      <c r="W32" s="85">
        <v>1</v>
      </c>
      <c r="X32" s="86">
        <v>1</v>
      </c>
      <c r="Y32" s="87">
        <v>-1</v>
      </c>
      <c r="Z32" s="88" t="s">
        <v>183</v>
      </c>
      <c r="AA32" s="105">
        <v>0</v>
      </c>
      <c r="AB32" s="14">
        <v>0</v>
      </c>
      <c r="AC32" s="15">
        <v>0</v>
      </c>
      <c r="AD32" s="13">
        <v>0</v>
      </c>
      <c r="AE32" s="14">
        <v>0</v>
      </c>
      <c r="AF32" s="15">
        <v>0</v>
      </c>
      <c r="AG32" s="13">
        <v>0</v>
      </c>
      <c r="AH32" s="14">
        <v>0</v>
      </c>
      <c r="AI32" s="15">
        <v>0</v>
      </c>
      <c r="AJ32" s="13">
        <v>0</v>
      </c>
      <c r="AK32" s="14">
        <v>0</v>
      </c>
      <c r="AL32" s="15">
        <v>0</v>
      </c>
      <c r="AM32" s="13">
        <v>0</v>
      </c>
      <c r="AN32" s="14">
        <v>0</v>
      </c>
      <c r="AO32" s="15">
        <v>0</v>
      </c>
      <c r="AP32" s="13">
        <v>0</v>
      </c>
      <c r="AQ32" s="14">
        <v>0</v>
      </c>
      <c r="AR32" s="15">
        <v>0</v>
      </c>
      <c r="AS32" s="13">
        <v>0</v>
      </c>
      <c r="AT32" s="14">
        <v>0</v>
      </c>
      <c r="AU32" s="15">
        <v>0</v>
      </c>
      <c r="AV32" s="13">
        <v>0</v>
      </c>
      <c r="AW32" s="14">
        <v>0</v>
      </c>
      <c r="AX32" s="15">
        <v>0</v>
      </c>
      <c r="AY32" s="13">
        <v>0</v>
      </c>
      <c r="AZ32" s="14">
        <v>0</v>
      </c>
      <c r="BA32" s="15">
        <v>0</v>
      </c>
      <c r="BB32" s="13">
        <v>0</v>
      </c>
      <c r="BC32" s="14">
        <v>0</v>
      </c>
      <c r="BD32" s="15">
        <v>0</v>
      </c>
      <c r="BE32" s="106">
        <f>$Y34^2-2*$Y33*$Y34+$Y33^2+$X34^2-2*$X33*$X34+$X33^2</f>
        <v>4</v>
      </c>
      <c r="BF32" s="90">
        <f>BE33</f>
        <v>0</v>
      </c>
      <c r="BG32" s="91">
        <f>BE34</f>
        <v>-4</v>
      </c>
      <c r="BH32" s="13">
        <v>0</v>
      </c>
      <c r="BI32" s="14">
        <v>0</v>
      </c>
      <c r="BJ32" s="15">
        <v>0</v>
      </c>
      <c r="BK32" s="13">
        <v>0</v>
      </c>
      <c r="BL32" s="14">
        <v>0</v>
      </c>
      <c r="BM32" s="15">
        <v>0</v>
      </c>
      <c r="BN32" s="13">
        <v>0</v>
      </c>
      <c r="BO32" s="14">
        <v>0</v>
      </c>
      <c r="BP32" s="15">
        <v>0</v>
      </c>
      <c r="BQ32" s="13">
        <v>0</v>
      </c>
      <c r="BR32" s="14">
        <v>0</v>
      </c>
      <c r="BS32" s="15">
        <v>0</v>
      </c>
      <c r="BT32" s="13">
        <v>0</v>
      </c>
      <c r="BU32" s="14">
        <v>0</v>
      </c>
      <c r="BV32" s="15">
        <v>0</v>
      </c>
      <c r="BW32" s="13">
        <v>0</v>
      </c>
      <c r="BX32" s="14">
        <v>0</v>
      </c>
      <c r="BY32" s="15">
        <v>0</v>
      </c>
      <c r="BZ32" s="13">
        <v>0</v>
      </c>
      <c r="CA32" s="14">
        <v>0</v>
      </c>
      <c r="CB32" s="92">
        <v>0</v>
      </c>
    </row>
    <row r="33" spans="1:80" x14ac:dyDescent="0.25">
      <c r="A33" s="23">
        <f t="shared" si="1"/>
        <v>11</v>
      </c>
      <c r="B33" s="23">
        <f t="shared" si="2"/>
        <v>2</v>
      </c>
      <c r="C33" s="23" t="str">
        <f t="shared" si="0"/>
        <v>T11_2</v>
      </c>
      <c r="E33" s="3"/>
      <c r="F33" s="4"/>
      <c r="G33" s="4"/>
      <c r="H33" s="4"/>
      <c r="I33" s="4"/>
      <c r="J33" s="4"/>
      <c r="K33" s="4"/>
      <c r="L33" s="4"/>
      <c r="M33" s="4"/>
      <c r="N33" s="4"/>
      <c r="O33" s="4"/>
      <c r="P33" s="4">
        <v>1</v>
      </c>
      <c r="Q33" s="4"/>
      <c r="R33" s="4"/>
      <c r="S33" s="4"/>
      <c r="T33" s="5"/>
      <c r="W33" s="93">
        <v>1</v>
      </c>
      <c r="X33" s="49">
        <v>3</v>
      </c>
      <c r="Y33" s="94">
        <v>1</v>
      </c>
      <c r="Z33" s="95" t="s">
        <v>184</v>
      </c>
      <c r="AA33" s="3">
        <v>0</v>
      </c>
      <c r="AB33" s="4">
        <v>0</v>
      </c>
      <c r="AC33" s="17">
        <v>0</v>
      </c>
      <c r="AD33" s="16">
        <v>0</v>
      </c>
      <c r="AE33" s="4">
        <v>0</v>
      </c>
      <c r="AF33" s="17">
        <v>0</v>
      </c>
      <c r="AG33" s="16">
        <v>0</v>
      </c>
      <c r="AH33" s="4">
        <v>0</v>
      </c>
      <c r="AI33" s="17">
        <v>0</v>
      </c>
      <c r="AJ33" s="16">
        <v>0</v>
      </c>
      <c r="AK33" s="4">
        <v>0</v>
      </c>
      <c r="AL33" s="17">
        <v>0</v>
      </c>
      <c r="AM33" s="16">
        <v>0</v>
      </c>
      <c r="AN33" s="4">
        <v>0</v>
      </c>
      <c r="AO33" s="17">
        <v>0</v>
      </c>
      <c r="AP33" s="16">
        <v>0</v>
      </c>
      <c r="AQ33" s="4">
        <v>0</v>
      </c>
      <c r="AR33" s="17">
        <v>0</v>
      </c>
      <c r="AS33" s="16">
        <v>0</v>
      </c>
      <c r="AT33" s="4">
        <v>0</v>
      </c>
      <c r="AU33" s="17">
        <v>0</v>
      </c>
      <c r="AV33" s="16">
        <v>0</v>
      </c>
      <c r="AW33" s="4">
        <v>0</v>
      </c>
      <c r="AX33" s="17">
        <v>0</v>
      </c>
      <c r="AY33" s="16">
        <v>0</v>
      </c>
      <c r="AZ33" s="4">
        <v>0</v>
      </c>
      <c r="BA33" s="17">
        <v>0</v>
      </c>
      <c r="BB33" s="16">
        <v>0</v>
      </c>
      <c r="BC33" s="4">
        <v>0</v>
      </c>
      <c r="BD33" s="17">
        <v>0</v>
      </c>
      <c r="BE33" s="107">
        <f>-($Y34^2)+($Y33+$Y32)*$Y34-($Y32*$Y33)-($X34^2)+($X33+$X32)*$X34-($X32*$X33)</f>
        <v>0</v>
      </c>
      <c r="BF33" s="11">
        <f>$Y34^2-2*$Y32*$Y34+$Y32^2+$X34^2-2*$X32*$X34+$X32^2</f>
        <v>4</v>
      </c>
      <c r="BG33" s="96">
        <f>BF34</f>
        <v>-4</v>
      </c>
      <c r="BH33" s="16">
        <v>0</v>
      </c>
      <c r="BI33" s="4">
        <v>0</v>
      </c>
      <c r="BJ33" s="17">
        <v>0</v>
      </c>
      <c r="BK33" s="16">
        <v>0</v>
      </c>
      <c r="BL33" s="4">
        <v>0</v>
      </c>
      <c r="BM33" s="17">
        <v>0</v>
      </c>
      <c r="BN33" s="16">
        <v>0</v>
      </c>
      <c r="BO33" s="4">
        <v>0</v>
      </c>
      <c r="BP33" s="17">
        <v>0</v>
      </c>
      <c r="BQ33" s="16">
        <v>0</v>
      </c>
      <c r="BR33" s="4">
        <v>0</v>
      </c>
      <c r="BS33" s="17">
        <v>0</v>
      </c>
      <c r="BT33" s="16">
        <v>0</v>
      </c>
      <c r="BU33" s="4">
        <v>0</v>
      </c>
      <c r="BV33" s="17">
        <v>0</v>
      </c>
      <c r="BW33" s="16">
        <v>0</v>
      </c>
      <c r="BX33" s="4">
        <v>0</v>
      </c>
      <c r="BY33" s="17">
        <v>0</v>
      </c>
      <c r="BZ33" s="16">
        <v>0</v>
      </c>
      <c r="CA33" s="4">
        <v>0</v>
      </c>
      <c r="CB33" s="5">
        <v>0</v>
      </c>
    </row>
    <row r="34" spans="1:80" x14ac:dyDescent="0.25">
      <c r="A34" s="23">
        <f t="shared" si="1"/>
        <v>11</v>
      </c>
      <c r="B34" s="23">
        <f t="shared" si="2"/>
        <v>3</v>
      </c>
      <c r="C34" s="23" t="str">
        <f t="shared" si="0"/>
        <v>T11_3</v>
      </c>
      <c r="E34" s="3"/>
      <c r="F34" s="4"/>
      <c r="G34" s="4"/>
      <c r="H34" s="4"/>
      <c r="I34" s="4"/>
      <c r="J34" s="4"/>
      <c r="K34" s="4"/>
      <c r="L34" s="4"/>
      <c r="M34" s="4"/>
      <c r="N34" s="4"/>
      <c r="O34" s="4">
        <v>1</v>
      </c>
      <c r="P34" s="4"/>
      <c r="Q34" s="4"/>
      <c r="R34" s="4"/>
      <c r="S34" s="4"/>
      <c r="T34" s="5"/>
      <c r="W34" s="97">
        <v>1</v>
      </c>
      <c r="X34" s="98">
        <v>1</v>
      </c>
      <c r="Y34" s="99">
        <v>1</v>
      </c>
      <c r="Z34" s="100" t="s">
        <v>185</v>
      </c>
      <c r="AA34" s="108">
        <v>0</v>
      </c>
      <c r="AB34" s="19">
        <v>0</v>
      </c>
      <c r="AC34" s="20">
        <v>0</v>
      </c>
      <c r="AD34" s="18">
        <v>0</v>
      </c>
      <c r="AE34" s="19">
        <v>0</v>
      </c>
      <c r="AF34" s="20">
        <v>0</v>
      </c>
      <c r="AG34" s="18">
        <v>0</v>
      </c>
      <c r="AH34" s="19">
        <v>0</v>
      </c>
      <c r="AI34" s="20">
        <v>0</v>
      </c>
      <c r="AJ34" s="18">
        <v>0</v>
      </c>
      <c r="AK34" s="19">
        <v>0</v>
      </c>
      <c r="AL34" s="20">
        <v>0</v>
      </c>
      <c r="AM34" s="18">
        <v>0</v>
      </c>
      <c r="AN34" s="19">
        <v>0</v>
      </c>
      <c r="AO34" s="20">
        <v>0</v>
      </c>
      <c r="AP34" s="18">
        <v>0</v>
      </c>
      <c r="AQ34" s="19">
        <v>0</v>
      </c>
      <c r="AR34" s="20">
        <v>0</v>
      </c>
      <c r="AS34" s="18">
        <v>0</v>
      </c>
      <c r="AT34" s="19">
        <v>0</v>
      </c>
      <c r="AU34" s="20">
        <v>0</v>
      </c>
      <c r="AV34" s="18">
        <v>0</v>
      </c>
      <c r="AW34" s="19">
        <v>0</v>
      </c>
      <c r="AX34" s="20">
        <v>0</v>
      </c>
      <c r="AY34" s="18">
        <v>0</v>
      </c>
      <c r="AZ34" s="19">
        <v>0</v>
      </c>
      <c r="BA34" s="20">
        <v>0</v>
      </c>
      <c r="BB34" s="18">
        <v>0</v>
      </c>
      <c r="BC34" s="19">
        <v>0</v>
      </c>
      <c r="BD34" s="20">
        <v>0</v>
      </c>
      <c r="BE34" s="109">
        <f>($Y33-$Y32)*$Y34-$Y33^2+$Y32*$Y33+($X33-$X32)*$X34-$X33^2+$X32*$X33</f>
        <v>-4</v>
      </c>
      <c r="BF34" s="102">
        <f>($Y32-$Y33)*$Y34+$Y32*$Y33-$Y32^2+($X32-$X33)*$X34+$X32*$X33-$X32^2</f>
        <v>-4</v>
      </c>
      <c r="BG34" s="103">
        <f>$Y33^2-2*$Y32*$Y33+$Y32^2+$X33^2-2*$X32*$X33+$X32^2</f>
        <v>8</v>
      </c>
      <c r="BH34" s="18">
        <v>0</v>
      </c>
      <c r="BI34" s="19">
        <v>0</v>
      </c>
      <c r="BJ34" s="20">
        <v>0</v>
      </c>
      <c r="BK34" s="18">
        <v>0</v>
      </c>
      <c r="BL34" s="19">
        <v>0</v>
      </c>
      <c r="BM34" s="20">
        <v>0</v>
      </c>
      <c r="BN34" s="18">
        <v>0</v>
      </c>
      <c r="BO34" s="19">
        <v>0</v>
      </c>
      <c r="BP34" s="20">
        <v>0</v>
      </c>
      <c r="BQ34" s="18">
        <v>0</v>
      </c>
      <c r="BR34" s="19">
        <v>0</v>
      </c>
      <c r="BS34" s="20">
        <v>0</v>
      </c>
      <c r="BT34" s="18">
        <v>0</v>
      </c>
      <c r="BU34" s="19">
        <v>0</v>
      </c>
      <c r="BV34" s="20">
        <v>0</v>
      </c>
      <c r="BW34" s="18">
        <v>0</v>
      </c>
      <c r="BX34" s="19">
        <v>0</v>
      </c>
      <c r="BY34" s="20">
        <v>0</v>
      </c>
      <c r="BZ34" s="18">
        <v>0</v>
      </c>
      <c r="CA34" s="19">
        <v>0</v>
      </c>
      <c r="CB34" s="104">
        <v>0</v>
      </c>
    </row>
    <row r="35" spans="1:80" x14ac:dyDescent="0.25">
      <c r="A35" s="23">
        <f t="shared" si="1"/>
        <v>12</v>
      </c>
      <c r="B35" s="23">
        <f t="shared" si="2"/>
        <v>1</v>
      </c>
      <c r="C35" s="23" t="str">
        <f t="shared" si="0"/>
        <v>T12_1</v>
      </c>
      <c r="E35" s="3"/>
      <c r="F35" s="4"/>
      <c r="G35" s="4"/>
      <c r="H35" s="4"/>
      <c r="I35" s="4"/>
      <c r="J35" s="4"/>
      <c r="K35" s="4">
        <v>1</v>
      </c>
      <c r="L35" s="4"/>
      <c r="M35" s="4"/>
      <c r="N35" s="4"/>
      <c r="O35" s="4"/>
      <c r="P35" s="4"/>
      <c r="Q35" s="4"/>
      <c r="R35" s="4"/>
      <c r="S35" s="4"/>
      <c r="T35" s="5"/>
      <c r="W35" s="85">
        <v>1</v>
      </c>
      <c r="X35" s="86">
        <v>1</v>
      </c>
      <c r="Y35" s="87">
        <v>-1</v>
      </c>
      <c r="Z35" s="88" t="s">
        <v>186</v>
      </c>
      <c r="AA35" s="105">
        <v>0</v>
      </c>
      <c r="AB35" s="14">
        <v>0</v>
      </c>
      <c r="AC35" s="15">
        <v>0</v>
      </c>
      <c r="AD35" s="13">
        <v>0</v>
      </c>
      <c r="AE35" s="14">
        <v>0</v>
      </c>
      <c r="AF35" s="15">
        <v>0</v>
      </c>
      <c r="AG35" s="13">
        <v>0</v>
      </c>
      <c r="AH35" s="14">
        <v>0</v>
      </c>
      <c r="AI35" s="15">
        <v>0</v>
      </c>
      <c r="AJ35" s="13">
        <v>0</v>
      </c>
      <c r="AK35" s="14">
        <v>0</v>
      </c>
      <c r="AL35" s="15">
        <v>0</v>
      </c>
      <c r="AM35" s="13">
        <v>0</v>
      </c>
      <c r="AN35" s="14">
        <v>0</v>
      </c>
      <c r="AO35" s="15">
        <v>0</v>
      </c>
      <c r="AP35" s="13">
        <v>0</v>
      </c>
      <c r="AQ35" s="14">
        <v>0</v>
      </c>
      <c r="AR35" s="15">
        <v>0</v>
      </c>
      <c r="AS35" s="13">
        <v>0</v>
      </c>
      <c r="AT35" s="14">
        <v>0</v>
      </c>
      <c r="AU35" s="15">
        <v>0</v>
      </c>
      <c r="AV35" s="13">
        <v>0</v>
      </c>
      <c r="AW35" s="14">
        <v>0</v>
      </c>
      <c r="AX35" s="15">
        <v>0</v>
      </c>
      <c r="AY35" s="13">
        <v>0</v>
      </c>
      <c r="AZ35" s="14">
        <v>0</v>
      </c>
      <c r="BA35" s="15">
        <v>0</v>
      </c>
      <c r="BB35" s="13">
        <v>0</v>
      </c>
      <c r="BC35" s="14">
        <v>0</v>
      </c>
      <c r="BD35" s="15">
        <v>0</v>
      </c>
      <c r="BE35" s="13">
        <v>0</v>
      </c>
      <c r="BF35" s="14">
        <v>0</v>
      </c>
      <c r="BG35" s="15">
        <v>0</v>
      </c>
      <c r="BH35" s="106">
        <f>$Y37^2-2*$Y36*$Y37+$Y36^2+$X37^2-2*$X36*$X37+$X36^2</f>
        <v>4</v>
      </c>
      <c r="BI35" s="90">
        <f>BH36</f>
        <v>-4</v>
      </c>
      <c r="BJ35" s="91">
        <f>BH37</f>
        <v>0</v>
      </c>
      <c r="BK35" s="13">
        <v>0</v>
      </c>
      <c r="BL35" s="14">
        <v>0</v>
      </c>
      <c r="BM35" s="15">
        <v>0</v>
      </c>
      <c r="BN35" s="13">
        <v>0</v>
      </c>
      <c r="BO35" s="14">
        <v>0</v>
      </c>
      <c r="BP35" s="15">
        <v>0</v>
      </c>
      <c r="BQ35" s="13">
        <v>0</v>
      </c>
      <c r="BR35" s="14">
        <v>0</v>
      </c>
      <c r="BS35" s="15">
        <v>0</v>
      </c>
      <c r="BT35" s="13">
        <v>0</v>
      </c>
      <c r="BU35" s="14">
        <v>0</v>
      </c>
      <c r="BV35" s="15">
        <v>0</v>
      </c>
      <c r="BW35" s="13">
        <v>0</v>
      </c>
      <c r="BX35" s="14">
        <v>0</v>
      </c>
      <c r="BY35" s="15">
        <v>0</v>
      </c>
      <c r="BZ35" s="13">
        <v>0</v>
      </c>
      <c r="CA35" s="14">
        <v>0</v>
      </c>
      <c r="CB35" s="92">
        <v>0</v>
      </c>
    </row>
    <row r="36" spans="1:80" x14ac:dyDescent="0.25">
      <c r="A36" s="23">
        <f t="shared" si="1"/>
        <v>12</v>
      </c>
      <c r="B36" s="23">
        <f t="shared" si="2"/>
        <v>2</v>
      </c>
      <c r="C36" s="23" t="str">
        <f t="shared" si="0"/>
        <v>T12_2</v>
      </c>
      <c r="E36" s="3"/>
      <c r="F36" s="4"/>
      <c r="G36" s="4"/>
      <c r="H36" s="4"/>
      <c r="I36" s="4"/>
      <c r="J36" s="4"/>
      <c r="K36" s="4"/>
      <c r="L36" s="4">
        <v>1</v>
      </c>
      <c r="M36" s="4"/>
      <c r="N36" s="4"/>
      <c r="O36" s="4"/>
      <c r="P36" s="4"/>
      <c r="Q36" s="4"/>
      <c r="R36" s="4"/>
      <c r="S36" s="4"/>
      <c r="T36" s="5"/>
      <c r="W36" s="93">
        <v>1</v>
      </c>
      <c r="X36" s="49">
        <v>3</v>
      </c>
      <c r="Y36" s="94">
        <v>-1</v>
      </c>
      <c r="Z36" s="95" t="s">
        <v>187</v>
      </c>
      <c r="AA36" s="3">
        <v>0</v>
      </c>
      <c r="AB36" s="4">
        <v>0</v>
      </c>
      <c r="AC36" s="17">
        <v>0</v>
      </c>
      <c r="AD36" s="16">
        <v>0</v>
      </c>
      <c r="AE36" s="4">
        <v>0</v>
      </c>
      <c r="AF36" s="17">
        <v>0</v>
      </c>
      <c r="AG36" s="16">
        <v>0</v>
      </c>
      <c r="AH36" s="4">
        <v>0</v>
      </c>
      <c r="AI36" s="17">
        <v>0</v>
      </c>
      <c r="AJ36" s="16">
        <v>0</v>
      </c>
      <c r="AK36" s="4">
        <v>0</v>
      </c>
      <c r="AL36" s="17">
        <v>0</v>
      </c>
      <c r="AM36" s="16">
        <v>0</v>
      </c>
      <c r="AN36" s="4">
        <v>0</v>
      </c>
      <c r="AO36" s="17">
        <v>0</v>
      </c>
      <c r="AP36" s="16">
        <v>0</v>
      </c>
      <c r="AQ36" s="4">
        <v>0</v>
      </c>
      <c r="AR36" s="17">
        <v>0</v>
      </c>
      <c r="AS36" s="16">
        <v>0</v>
      </c>
      <c r="AT36" s="4">
        <v>0</v>
      </c>
      <c r="AU36" s="17">
        <v>0</v>
      </c>
      <c r="AV36" s="16">
        <v>0</v>
      </c>
      <c r="AW36" s="4">
        <v>0</v>
      </c>
      <c r="AX36" s="17">
        <v>0</v>
      </c>
      <c r="AY36" s="16">
        <v>0</v>
      </c>
      <c r="AZ36" s="4">
        <v>0</v>
      </c>
      <c r="BA36" s="17">
        <v>0</v>
      </c>
      <c r="BB36" s="16">
        <v>0</v>
      </c>
      <c r="BC36" s="4">
        <v>0</v>
      </c>
      <c r="BD36" s="17">
        <v>0</v>
      </c>
      <c r="BE36" s="16">
        <v>0</v>
      </c>
      <c r="BF36" s="4">
        <v>0</v>
      </c>
      <c r="BG36" s="17">
        <v>0</v>
      </c>
      <c r="BH36" s="107">
        <f>-($Y37^2)+($Y36+$Y35)*$Y37-($Y35*$Y36)-($X37^2)+($X36+$X35)*$X37-($X35*$X36)</f>
        <v>-4</v>
      </c>
      <c r="BI36" s="11">
        <f>$Y37^2-2*$Y35*$Y37+$Y35^2+$X37^2-2*$X35*$X37+$X35^2</f>
        <v>8</v>
      </c>
      <c r="BJ36" s="96">
        <f>BI37</f>
        <v>-4</v>
      </c>
      <c r="BK36" s="16">
        <v>0</v>
      </c>
      <c r="BL36" s="4">
        <v>0</v>
      </c>
      <c r="BM36" s="17">
        <v>0</v>
      </c>
      <c r="BN36" s="16">
        <v>0</v>
      </c>
      <c r="BO36" s="4">
        <v>0</v>
      </c>
      <c r="BP36" s="17">
        <v>0</v>
      </c>
      <c r="BQ36" s="16">
        <v>0</v>
      </c>
      <c r="BR36" s="4">
        <v>0</v>
      </c>
      <c r="BS36" s="17">
        <v>0</v>
      </c>
      <c r="BT36" s="16">
        <v>0</v>
      </c>
      <c r="BU36" s="4">
        <v>0</v>
      </c>
      <c r="BV36" s="17">
        <v>0</v>
      </c>
      <c r="BW36" s="16">
        <v>0</v>
      </c>
      <c r="BX36" s="4">
        <v>0</v>
      </c>
      <c r="BY36" s="17">
        <v>0</v>
      </c>
      <c r="BZ36" s="16">
        <v>0</v>
      </c>
      <c r="CA36" s="4">
        <v>0</v>
      </c>
      <c r="CB36" s="5">
        <v>0</v>
      </c>
    </row>
    <row r="37" spans="1:80" x14ac:dyDescent="0.25">
      <c r="A37" s="23">
        <f t="shared" si="1"/>
        <v>12</v>
      </c>
      <c r="B37" s="23">
        <f t="shared" si="2"/>
        <v>3</v>
      </c>
      <c r="C37" s="23" t="str">
        <f t="shared" si="0"/>
        <v>T12_3</v>
      </c>
      <c r="E37" s="3"/>
      <c r="F37" s="4"/>
      <c r="G37" s="4"/>
      <c r="H37" s="4"/>
      <c r="I37" s="4"/>
      <c r="J37" s="4"/>
      <c r="K37" s="4"/>
      <c r="L37" s="4"/>
      <c r="M37" s="4"/>
      <c r="N37" s="4"/>
      <c r="O37" s="4"/>
      <c r="P37" s="4">
        <v>1</v>
      </c>
      <c r="Q37" s="4"/>
      <c r="R37" s="4"/>
      <c r="S37" s="4"/>
      <c r="T37" s="5"/>
      <c r="W37" s="97">
        <v>1</v>
      </c>
      <c r="X37" s="98">
        <v>3</v>
      </c>
      <c r="Y37" s="99">
        <v>1</v>
      </c>
      <c r="Z37" s="100" t="s">
        <v>188</v>
      </c>
      <c r="AA37" s="108">
        <v>0</v>
      </c>
      <c r="AB37" s="19">
        <v>0</v>
      </c>
      <c r="AC37" s="20">
        <v>0</v>
      </c>
      <c r="AD37" s="18">
        <v>0</v>
      </c>
      <c r="AE37" s="19">
        <v>0</v>
      </c>
      <c r="AF37" s="20">
        <v>0</v>
      </c>
      <c r="AG37" s="18">
        <v>0</v>
      </c>
      <c r="AH37" s="19">
        <v>0</v>
      </c>
      <c r="AI37" s="20">
        <v>0</v>
      </c>
      <c r="AJ37" s="18">
        <v>0</v>
      </c>
      <c r="AK37" s="19">
        <v>0</v>
      </c>
      <c r="AL37" s="20">
        <v>0</v>
      </c>
      <c r="AM37" s="18">
        <v>0</v>
      </c>
      <c r="AN37" s="19">
        <v>0</v>
      </c>
      <c r="AO37" s="20">
        <v>0</v>
      </c>
      <c r="AP37" s="18">
        <v>0</v>
      </c>
      <c r="AQ37" s="19">
        <v>0</v>
      </c>
      <c r="AR37" s="20">
        <v>0</v>
      </c>
      <c r="AS37" s="18">
        <v>0</v>
      </c>
      <c r="AT37" s="19">
        <v>0</v>
      </c>
      <c r="AU37" s="20">
        <v>0</v>
      </c>
      <c r="AV37" s="18">
        <v>0</v>
      </c>
      <c r="AW37" s="19">
        <v>0</v>
      </c>
      <c r="AX37" s="20">
        <v>0</v>
      </c>
      <c r="AY37" s="18">
        <v>0</v>
      </c>
      <c r="AZ37" s="19">
        <v>0</v>
      </c>
      <c r="BA37" s="20">
        <v>0</v>
      </c>
      <c r="BB37" s="18">
        <v>0</v>
      </c>
      <c r="BC37" s="19">
        <v>0</v>
      </c>
      <c r="BD37" s="20">
        <v>0</v>
      </c>
      <c r="BE37" s="18">
        <v>0</v>
      </c>
      <c r="BF37" s="19">
        <v>0</v>
      </c>
      <c r="BG37" s="20">
        <v>0</v>
      </c>
      <c r="BH37" s="109">
        <f>($Y36-$Y35)*$Y37-$Y36^2+$Y35*$Y36+($X36-$X35)*$X37-$X36^2+$X35*$X36</f>
        <v>0</v>
      </c>
      <c r="BI37" s="102">
        <f>($Y35-$Y36)*$Y37+$Y35*$Y36-$Y35^2+($X35-$X36)*$X37+$X35*$X36-$X35^2</f>
        <v>-4</v>
      </c>
      <c r="BJ37" s="103">
        <f>$Y36^2-2*$Y35*$Y36+$Y35^2+$X36^2-2*$X35*$X36+$X35^2</f>
        <v>4</v>
      </c>
      <c r="BK37" s="18">
        <v>0</v>
      </c>
      <c r="BL37" s="19">
        <v>0</v>
      </c>
      <c r="BM37" s="20">
        <v>0</v>
      </c>
      <c r="BN37" s="18">
        <v>0</v>
      </c>
      <c r="BO37" s="19">
        <v>0</v>
      </c>
      <c r="BP37" s="20">
        <v>0</v>
      </c>
      <c r="BQ37" s="18">
        <v>0</v>
      </c>
      <c r="BR37" s="19">
        <v>0</v>
      </c>
      <c r="BS37" s="20">
        <v>0</v>
      </c>
      <c r="BT37" s="18">
        <v>0</v>
      </c>
      <c r="BU37" s="19">
        <v>0</v>
      </c>
      <c r="BV37" s="20">
        <v>0</v>
      </c>
      <c r="BW37" s="18">
        <v>0</v>
      </c>
      <c r="BX37" s="19">
        <v>0</v>
      </c>
      <c r="BY37" s="20">
        <v>0</v>
      </c>
      <c r="BZ37" s="18">
        <v>0</v>
      </c>
      <c r="CA37" s="19">
        <v>0</v>
      </c>
      <c r="CB37" s="104">
        <v>0</v>
      </c>
    </row>
    <row r="38" spans="1:80" x14ac:dyDescent="0.25">
      <c r="A38" s="23">
        <f t="shared" si="1"/>
        <v>13</v>
      </c>
      <c r="B38" s="23">
        <f t="shared" si="2"/>
        <v>1</v>
      </c>
      <c r="C38" s="23" t="str">
        <f t="shared" si="0"/>
        <v>T13_1</v>
      </c>
      <c r="E38" s="3"/>
      <c r="F38" s="4"/>
      <c r="G38" s="4"/>
      <c r="H38" s="4"/>
      <c r="I38" s="4"/>
      <c r="J38" s="4"/>
      <c r="K38" s="4"/>
      <c r="L38" s="4"/>
      <c r="M38" s="4">
        <v>1</v>
      </c>
      <c r="N38" s="4"/>
      <c r="O38" s="4"/>
      <c r="P38" s="4"/>
      <c r="Q38" s="4"/>
      <c r="R38" s="4"/>
      <c r="S38" s="4"/>
      <c r="T38" s="5"/>
      <c r="W38" s="85">
        <v>1</v>
      </c>
      <c r="X38" s="86">
        <v>-3</v>
      </c>
      <c r="Y38" s="87">
        <v>1</v>
      </c>
      <c r="Z38" s="88" t="s">
        <v>189</v>
      </c>
      <c r="AA38" s="105">
        <v>0</v>
      </c>
      <c r="AB38" s="14">
        <v>0</v>
      </c>
      <c r="AC38" s="15">
        <v>0</v>
      </c>
      <c r="AD38" s="13">
        <v>0</v>
      </c>
      <c r="AE38" s="14">
        <v>0</v>
      </c>
      <c r="AF38" s="15">
        <v>0</v>
      </c>
      <c r="AG38" s="13">
        <v>0</v>
      </c>
      <c r="AH38" s="14">
        <v>0</v>
      </c>
      <c r="AI38" s="15">
        <v>0</v>
      </c>
      <c r="AJ38" s="13">
        <v>0</v>
      </c>
      <c r="AK38" s="14">
        <v>0</v>
      </c>
      <c r="AL38" s="15">
        <v>0</v>
      </c>
      <c r="AM38" s="13">
        <v>0</v>
      </c>
      <c r="AN38" s="14">
        <v>0</v>
      </c>
      <c r="AO38" s="15">
        <v>0</v>
      </c>
      <c r="AP38" s="13">
        <v>0</v>
      </c>
      <c r="AQ38" s="14">
        <v>0</v>
      </c>
      <c r="AR38" s="15">
        <v>0</v>
      </c>
      <c r="AS38" s="13">
        <v>0</v>
      </c>
      <c r="AT38" s="14">
        <v>0</v>
      </c>
      <c r="AU38" s="15">
        <v>0</v>
      </c>
      <c r="AV38" s="13">
        <v>0</v>
      </c>
      <c r="AW38" s="14">
        <v>0</v>
      </c>
      <c r="AX38" s="15">
        <v>0</v>
      </c>
      <c r="AY38" s="13">
        <v>0</v>
      </c>
      <c r="AZ38" s="14">
        <v>0</v>
      </c>
      <c r="BA38" s="15">
        <v>0</v>
      </c>
      <c r="BB38" s="13">
        <v>0</v>
      </c>
      <c r="BC38" s="14">
        <v>0</v>
      </c>
      <c r="BD38" s="15">
        <v>0</v>
      </c>
      <c r="BE38" s="13">
        <v>0</v>
      </c>
      <c r="BF38" s="14">
        <v>0</v>
      </c>
      <c r="BG38" s="15">
        <v>0</v>
      </c>
      <c r="BH38" s="13">
        <v>0</v>
      </c>
      <c r="BI38" s="14">
        <v>0</v>
      </c>
      <c r="BJ38" s="15">
        <v>0</v>
      </c>
      <c r="BK38" s="106">
        <f>$Y40^2-2*$Y39*$Y40+$Y39^2+$X40^2-2*$X39*$X40+$X39^2</f>
        <v>4</v>
      </c>
      <c r="BL38" s="90">
        <f>BK39</f>
        <v>0</v>
      </c>
      <c r="BM38" s="91">
        <f>BK40</f>
        <v>-4</v>
      </c>
      <c r="BN38" s="13">
        <v>0</v>
      </c>
      <c r="BO38" s="14">
        <v>0</v>
      </c>
      <c r="BP38" s="15">
        <v>0</v>
      </c>
      <c r="BQ38" s="13">
        <v>0</v>
      </c>
      <c r="BR38" s="14">
        <v>0</v>
      </c>
      <c r="BS38" s="15">
        <v>0</v>
      </c>
      <c r="BT38" s="13">
        <v>0</v>
      </c>
      <c r="BU38" s="14">
        <v>0</v>
      </c>
      <c r="BV38" s="15">
        <v>0</v>
      </c>
      <c r="BW38" s="13">
        <v>0</v>
      </c>
      <c r="BX38" s="14">
        <v>0</v>
      </c>
      <c r="BY38" s="15">
        <v>0</v>
      </c>
      <c r="BZ38" s="13">
        <v>0</v>
      </c>
      <c r="CA38" s="14">
        <v>0</v>
      </c>
      <c r="CB38" s="92">
        <v>0</v>
      </c>
    </row>
    <row r="39" spans="1:80" x14ac:dyDescent="0.25">
      <c r="A39" s="23">
        <f t="shared" si="1"/>
        <v>13</v>
      </c>
      <c r="B39" s="23">
        <f t="shared" si="2"/>
        <v>2</v>
      </c>
      <c r="C39" s="23" t="str">
        <f t="shared" si="0"/>
        <v>T13_2</v>
      </c>
      <c r="E39" s="3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>
        <v>1</v>
      </c>
      <c r="S39" s="4"/>
      <c r="T39" s="5"/>
      <c r="W39" s="93">
        <v>1</v>
      </c>
      <c r="X39" s="49">
        <v>-1</v>
      </c>
      <c r="Y39" s="94">
        <v>3</v>
      </c>
      <c r="Z39" s="95" t="s">
        <v>190</v>
      </c>
      <c r="AA39" s="3">
        <v>0</v>
      </c>
      <c r="AB39" s="4">
        <v>0</v>
      </c>
      <c r="AC39" s="17">
        <v>0</v>
      </c>
      <c r="AD39" s="16">
        <v>0</v>
      </c>
      <c r="AE39" s="4">
        <v>0</v>
      </c>
      <c r="AF39" s="17">
        <v>0</v>
      </c>
      <c r="AG39" s="16">
        <v>0</v>
      </c>
      <c r="AH39" s="4">
        <v>0</v>
      </c>
      <c r="AI39" s="17">
        <v>0</v>
      </c>
      <c r="AJ39" s="16">
        <v>0</v>
      </c>
      <c r="AK39" s="4">
        <v>0</v>
      </c>
      <c r="AL39" s="17">
        <v>0</v>
      </c>
      <c r="AM39" s="16">
        <v>0</v>
      </c>
      <c r="AN39" s="4">
        <v>0</v>
      </c>
      <c r="AO39" s="17">
        <v>0</v>
      </c>
      <c r="AP39" s="16">
        <v>0</v>
      </c>
      <c r="AQ39" s="4">
        <v>0</v>
      </c>
      <c r="AR39" s="17">
        <v>0</v>
      </c>
      <c r="AS39" s="16">
        <v>0</v>
      </c>
      <c r="AT39" s="4">
        <v>0</v>
      </c>
      <c r="AU39" s="17">
        <v>0</v>
      </c>
      <c r="AV39" s="16">
        <v>0</v>
      </c>
      <c r="AW39" s="4">
        <v>0</v>
      </c>
      <c r="AX39" s="17">
        <v>0</v>
      </c>
      <c r="AY39" s="16">
        <v>0</v>
      </c>
      <c r="AZ39" s="4">
        <v>0</v>
      </c>
      <c r="BA39" s="17">
        <v>0</v>
      </c>
      <c r="BB39" s="16">
        <v>0</v>
      </c>
      <c r="BC39" s="4">
        <v>0</v>
      </c>
      <c r="BD39" s="17">
        <v>0</v>
      </c>
      <c r="BE39" s="16">
        <v>0</v>
      </c>
      <c r="BF39" s="4">
        <v>0</v>
      </c>
      <c r="BG39" s="17">
        <v>0</v>
      </c>
      <c r="BH39" s="16">
        <v>0</v>
      </c>
      <c r="BI39" s="4">
        <v>0</v>
      </c>
      <c r="BJ39" s="17">
        <v>0</v>
      </c>
      <c r="BK39" s="107">
        <f>-($Y40^2)+($Y39+$Y38)*$Y40-($Y38*$Y39)-($X40^2)+($X39+$X38)*$X40-($X38*$X39)</f>
        <v>0</v>
      </c>
      <c r="BL39" s="11">
        <f>$Y40^2-2*$Y38*$Y40+$Y38^2+$X40^2-2*$X38*$X40+$X38^2</f>
        <v>4</v>
      </c>
      <c r="BM39" s="96">
        <f>BL40</f>
        <v>-4</v>
      </c>
      <c r="BN39" s="16">
        <v>0</v>
      </c>
      <c r="BO39" s="4">
        <v>0</v>
      </c>
      <c r="BP39" s="17">
        <v>0</v>
      </c>
      <c r="BQ39" s="16">
        <v>0</v>
      </c>
      <c r="BR39" s="4">
        <v>0</v>
      </c>
      <c r="BS39" s="17">
        <v>0</v>
      </c>
      <c r="BT39" s="16">
        <v>0</v>
      </c>
      <c r="BU39" s="4">
        <v>0</v>
      </c>
      <c r="BV39" s="17">
        <v>0</v>
      </c>
      <c r="BW39" s="16">
        <v>0</v>
      </c>
      <c r="BX39" s="4">
        <v>0</v>
      </c>
      <c r="BY39" s="17">
        <v>0</v>
      </c>
      <c r="BZ39" s="16">
        <v>0</v>
      </c>
      <c r="CA39" s="4">
        <v>0</v>
      </c>
      <c r="CB39" s="5">
        <v>0</v>
      </c>
    </row>
    <row r="40" spans="1:80" x14ac:dyDescent="0.25">
      <c r="A40" s="23">
        <f t="shared" si="1"/>
        <v>13</v>
      </c>
      <c r="B40" s="23">
        <f t="shared" si="2"/>
        <v>3</v>
      </c>
      <c r="C40" s="23" t="str">
        <f t="shared" si="0"/>
        <v>T13_3</v>
      </c>
      <c r="E40" s="3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>
        <v>1</v>
      </c>
      <c r="R40" s="4"/>
      <c r="S40" s="4"/>
      <c r="T40" s="5"/>
      <c r="W40" s="97">
        <v>1</v>
      </c>
      <c r="X40" s="98">
        <v>-3</v>
      </c>
      <c r="Y40" s="99">
        <v>3</v>
      </c>
      <c r="Z40" s="100" t="s">
        <v>191</v>
      </c>
      <c r="AA40" s="108">
        <v>0</v>
      </c>
      <c r="AB40" s="19">
        <v>0</v>
      </c>
      <c r="AC40" s="20">
        <v>0</v>
      </c>
      <c r="AD40" s="18">
        <v>0</v>
      </c>
      <c r="AE40" s="19">
        <v>0</v>
      </c>
      <c r="AF40" s="20">
        <v>0</v>
      </c>
      <c r="AG40" s="18">
        <v>0</v>
      </c>
      <c r="AH40" s="19">
        <v>0</v>
      </c>
      <c r="AI40" s="20">
        <v>0</v>
      </c>
      <c r="AJ40" s="18">
        <v>0</v>
      </c>
      <c r="AK40" s="19">
        <v>0</v>
      </c>
      <c r="AL40" s="20">
        <v>0</v>
      </c>
      <c r="AM40" s="18">
        <v>0</v>
      </c>
      <c r="AN40" s="19">
        <v>0</v>
      </c>
      <c r="AO40" s="20">
        <v>0</v>
      </c>
      <c r="AP40" s="18">
        <v>0</v>
      </c>
      <c r="AQ40" s="19">
        <v>0</v>
      </c>
      <c r="AR40" s="20">
        <v>0</v>
      </c>
      <c r="AS40" s="18">
        <v>0</v>
      </c>
      <c r="AT40" s="19">
        <v>0</v>
      </c>
      <c r="AU40" s="20">
        <v>0</v>
      </c>
      <c r="AV40" s="18">
        <v>0</v>
      </c>
      <c r="AW40" s="19">
        <v>0</v>
      </c>
      <c r="AX40" s="20">
        <v>0</v>
      </c>
      <c r="AY40" s="18">
        <v>0</v>
      </c>
      <c r="AZ40" s="19">
        <v>0</v>
      </c>
      <c r="BA40" s="20">
        <v>0</v>
      </c>
      <c r="BB40" s="18">
        <v>0</v>
      </c>
      <c r="BC40" s="19">
        <v>0</v>
      </c>
      <c r="BD40" s="20">
        <v>0</v>
      </c>
      <c r="BE40" s="18">
        <v>0</v>
      </c>
      <c r="BF40" s="19">
        <v>0</v>
      </c>
      <c r="BG40" s="20">
        <v>0</v>
      </c>
      <c r="BH40" s="18">
        <v>0</v>
      </c>
      <c r="BI40" s="19">
        <v>0</v>
      </c>
      <c r="BJ40" s="20">
        <v>0</v>
      </c>
      <c r="BK40" s="109">
        <f>($Y39-$Y38)*$Y40-$Y39^2+$Y38*$Y39+($X39-$X38)*$X40-$X39^2+$X38*$X39</f>
        <v>-4</v>
      </c>
      <c r="BL40" s="102">
        <f>($Y38-$Y39)*$Y40+$Y38*$Y39-$Y38^2+($X38-$X39)*$X40+$X38*$X39-$X38^2</f>
        <v>-4</v>
      </c>
      <c r="BM40" s="103">
        <f>$Y39^2-2*$Y38*$Y39+$Y38^2+$X39^2-2*$X38*$X39+$X38^2</f>
        <v>8</v>
      </c>
      <c r="BN40" s="18">
        <v>0</v>
      </c>
      <c r="BO40" s="19">
        <v>0</v>
      </c>
      <c r="BP40" s="20">
        <v>0</v>
      </c>
      <c r="BQ40" s="18">
        <v>0</v>
      </c>
      <c r="BR40" s="19">
        <v>0</v>
      </c>
      <c r="BS40" s="20">
        <v>0</v>
      </c>
      <c r="BT40" s="18">
        <v>0</v>
      </c>
      <c r="BU40" s="19">
        <v>0</v>
      </c>
      <c r="BV40" s="20">
        <v>0</v>
      </c>
      <c r="BW40" s="18">
        <v>0</v>
      </c>
      <c r="BX40" s="19">
        <v>0</v>
      </c>
      <c r="BY40" s="20">
        <v>0</v>
      </c>
      <c r="BZ40" s="18">
        <v>0</v>
      </c>
      <c r="CA40" s="19">
        <v>0</v>
      </c>
      <c r="CB40" s="104">
        <v>0</v>
      </c>
    </row>
    <row r="41" spans="1:80" x14ac:dyDescent="0.25">
      <c r="A41" s="23">
        <f t="shared" si="1"/>
        <v>14</v>
      </c>
      <c r="B41" s="23">
        <f t="shared" si="2"/>
        <v>1</v>
      </c>
      <c r="C41" s="23" t="str">
        <f t="shared" si="0"/>
        <v>T14_1</v>
      </c>
      <c r="E41" s="3"/>
      <c r="F41" s="4"/>
      <c r="G41" s="4"/>
      <c r="H41" s="4"/>
      <c r="I41" s="4"/>
      <c r="J41" s="4"/>
      <c r="K41" s="4"/>
      <c r="L41" s="4"/>
      <c r="M41" s="4">
        <v>1</v>
      </c>
      <c r="N41" s="4"/>
      <c r="O41" s="4"/>
      <c r="P41" s="4"/>
      <c r="Q41" s="4"/>
      <c r="R41" s="4"/>
      <c r="S41" s="4"/>
      <c r="T41" s="5"/>
      <c r="W41" s="85">
        <v>1</v>
      </c>
      <c r="X41" s="86">
        <v>-3</v>
      </c>
      <c r="Y41" s="87">
        <v>1</v>
      </c>
      <c r="Z41" s="88" t="s">
        <v>192</v>
      </c>
      <c r="AA41" s="105">
        <v>0</v>
      </c>
      <c r="AB41" s="14">
        <v>0</v>
      </c>
      <c r="AC41" s="15">
        <v>0</v>
      </c>
      <c r="AD41" s="13">
        <v>0</v>
      </c>
      <c r="AE41" s="14">
        <v>0</v>
      </c>
      <c r="AF41" s="15">
        <v>0</v>
      </c>
      <c r="AG41" s="13">
        <v>0</v>
      </c>
      <c r="AH41" s="14">
        <v>0</v>
      </c>
      <c r="AI41" s="15">
        <v>0</v>
      </c>
      <c r="AJ41" s="13">
        <v>0</v>
      </c>
      <c r="AK41" s="14">
        <v>0</v>
      </c>
      <c r="AL41" s="15">
        <v>0</v>
      </c>
      <c r="AM41" s="13">
        <v>0</v>
      </c>
      <c r="AN41" s="14">
        <v>0</v>
      </c>
      <c r="AO41" s="15">
        <v>0</v>
      </c>
      <c r="AP41" s="13">
        <v>0</v>
      </c>
      <c r="AQ41" s="14">
        <v>0</v>
      </c>
      <c r="AR41" s="15">
        <v>0</v>
      </c>
      <c r="AS41" s="13">
        <v>0</v>
      </c>
      <c r="AT41" s="14">
        <v>0</v>
      </c>
      <c r="AU41" s="15">
        <v>0</v>
      </c>
      <c r="AV41" s="13">
        <v>0</v>
      </c>
      <c r="AW41" s="14">
        <v>0</v>
      </c>
      <c r="AX41" s="15">
        <v>0</v>
      </c>
      <c r="AY41" s="13">
        <v>0</v>
      </c>
      <c r="AZ41" s="14">
        <v>0</v>
      </c>
      <c r="BA41" s="15">
        <v>0</v>
      </c>
      <c r="BB41" s="13">
        <v>0</v>
      </c>
      <c r="BC41" s="14">
        <v>0</v>
      </c>
      <c r="BD41" s="15">
        <v>0</v>
      </c>
      <c r="BE41" s="13">
        <v>0</v>
      </c>
      <c r="BF41" s="14">
        <v>0</v>
      </c>
      <c r="BG41" s="15">
        <v>0</v>
      </c>
      <c r="BH41" s="13">
        <v>0</v>
      </c>
      <c r="BI41" s="14">
        <v>0</v>
      </c>
      <c r="BJ41" s="15">
        <v>0</v>
      </c>
      <c r="BK41" s="13">
        <v>0</v>
      </c>
      <c r="BL41" s="14">
        <v>0</v>
      </c>
      <c r="BM41" s="15">
        <v>0</v>
      </c>
      <c r="BN41" s="106">
        <f>$Y43^2-2*$Y42*$Y43+$Y42^2+$X43^2-2*$X42*$X43+$X42^2</f>
        <v>4</v>
      </c>
      <c r="BO41" s="90">
        <f>BN42</f>
        <v>-4</v>
      </c>
      <c r="BP41" s="91">
        <f>BN43</f>
        <v>0</v>
      </c>
      <c r="BQ41" s="13">
        <v>0</v>
      </c>
      <c r="BR41" s="14">
        <v>0</v>
      </c>
      <c r="BS41" s="15">
        <v>0</v>
      </c>
      <c r="BT41" s="13">
        <v>0</v>
      </c>
      <c r="BU41" s="14">
        <v>0</v>
      </c>
      <c r="BV41" s="15">
        <v>0</v>
      </c>
      <c r="BW41" s="13">
        <v>0</v>
      </c>
      <c r="BX41" s="14">
        <v>0</v>
      </c>
      <c r="BY41" s="15">
        <v>0</v>
      </c>
      <c r="BZ41" s="13">
        <v>0</v>
      </c>
      <c r="CA41" s="14">
        <v>0</v>
      </c>
      <c r="CB41" s="92">
        <v>0</v>
      </c>
    </row>
    <row r="42" spans="1:80" x14ac:dyDescent="0.25">
      <c r="A42" s="23">
        <f t="shared" si="1"/>
        <v>14</v>
      </c>
      <c r="B42" s="23">
        <f t="shared" si="2"/>
        <v>2</v>
      </c>
      <c r="C42" s="23" t="str">
        <f t="shared" si="0"/>
        <v>T14_2</v>
      </c>
      <c r="E42" s="3"/>
      <c r="F42" s="4"/>
      <c r="G42" s="4"/>
      <c r="H42" s="4"/>
      <c r="I42" s="4"/>
      <c r="J42" s="4"/>
      <c r="K42" s="4"/>
      <c r="L42" s="4"/>
      <c r="M42" s="4"/>
      <c r="N42" s="4">
        <v>1</v>
      </c>
      <c r="O42" s="4"/>
      <c r="P42" s="4"/>
      <c r="Q42" s="4"/>
      <c r="R42" s="4"/>
      <c r="S42" s="4"/>
      <c r="T42" s="5"/>
      <c r="W42" s="93">
        <v>1</v>
      </c>
      <c r="X42" s="49">
        <v>-1</v>
      </c>
      <c r="Y42" s="94">
        <v>1</v>
      </c>
      <c r="Z42" s="95" t="s">
        <v>193</v>
      </c>
      <c r="AA42" s="3">
        <v>0</v>
      </c>
      <c r="AB42" s="4">
        <v>0</v>
      </c>
      <c r="AC42" s="17">
        <v>0</v>
      </c>
      <c r="AD42" s="16">
        <v>0</v>
      </c>
      <c r="AE42" s="4">
        <v>0</v>
      </c>
      <c r="AF42" s="17">
        <v>0</v>
      </c>
      <c r="AG42" s="16">
        <v>0</v>
      </c>
      <c r="AH42" s="4">
        <v>0</v>
      </c>
      <c r="AI42" s="17">
        <v>0</v>
      </c>
      <c r="AJ42" s="16">
        <v>0</v>
      </c>
      <c r="AK42" s="4">
        <v>0</v>
      </c>
      <c r="AL42" s="17">
        <v>0</v>
      </c>
      <c r="AM42" s="16">
        <v>0</v>
      </c>
      <c r="AN42" s="4">
        <v>0</v>
      </c>
      <c r="AO42" s="17">
        <v>0</v>
      </c>
      <c r="AP42" s="16">
        <v>0</v>
      </c>
      <c r="AQ42" s="4">
        <v>0</v>
      </c>
      <c r="AR42" s="17">
        <v>0</v>
      </c>
      <c r="AS42" s="16">
        <v>0</v>
      </c>
      <c r="AT42" s="4">
        <v>0</v>
      </c>
      <c r="AU42" s="17">
        <v>0</v>
      </c>
      <c r="AV42" s="16">
        <v>0</v>
      </c>
      <c r="AW42" s="4">
        <v>0</v>
      </c>
      <c r="AX42" s="17">
        <v>0</v>
      </c>
      <c r="AY42" s="16">
        <v>0</v>
      </c>
      <c r="AZ42" s="4">
        <v>0</v>
      </c>
      <c r="BA42" s="17">
        <v>0</v>
      </c>
      <c r="BB42" s="16">
        <v>0</v>
      </c>
      <c r="BC42" s="4">
        <v>0</v>
      </c>
      <c r="BD42" s="17">
        <v>0</v>
      </c>
      <c r="BE42" s="16">
        <v>0</v>
      </c>
      <c r="BF42" s="4">
        <v>0</v>
      </c>
      <c r="BG42" s="17">
        <v>0</v>
      </c>
      <c r="BH42" s="16">
        <v>0</v>
      </c>
      <c r="BI42" s="4">
        <v>0</v>
      </c>
      <c r="BJ42" s="17">
        <v>0</v>
      </c>
      <c r="BK42" s="16">
        <v>0</v>
      </c>
      <c r="BL42" s="4">
        <v>0</v>
      </c>
      <c r="BM42" s="17">
        <v>0</v>
      </c>
      <c r="BN42" s="107">
        <f>-($Y43^2)+($Y42+$Y41)*$Y43-($Y41*$Y42)-($X43^2)+($X42+$X41)*$X43-($X41*$X42)</f>
        <v>-4</v>
      </c>
      <c r="BO42" s="11">
        <f>$Y43^2-2*$Y41*$Y43+$Y41^2+$X43^2-2*$X41*$X43+$X41^2</f>
        <v>8</v>
      </c>
      <c r="BP42" s="96">
        <f>BO43</f>
        <v>-4</v>
      </c>
      <c r="BQ42" s="16">
        <v>0</v>
      </c>
      <c r="BR42" s="4">
        <v>0</v>
      </c>
      <c r="BS42" s="17">
        <v>0</v>
      </c>
      <c r="BT42" s="16">
        <v>0</v>
      </c>
      <c r="BU42" s="4">
        <v>0</v>
      </c>
      <c r="BV42" s="17">
        <v>0</v>
      </c>
      <c r="BW42" s="16">
        <v>0</v>
      </c>
      <c r="BX42" s="4">
        <v>0</v>
      </c>
      <c r="BY42" s="17">
        <v>0</v>
      </c>
      <c r="BZ42" s="16">
        <v>0</v>
      </c>
      <c r="CA42" s="4">
        <v>0</v>
      </c>
      <c r="CB42" s="5">
        <v>0</v>
      </c>
    </row>
    <row r="43" spans="1:80" x14ac:dyDescent="0.25">
      <c r="A43" s="23">
        <f t="shared" si="1"/>
        <v>14</v>
      </c>
      <c r="B43" s="23">
        <f t="shared" si="2"/>
        <v>3</v>
      </c>
      <c r="C43" s="23" t="str">
        <f t="shared" si="0"/>
        <v>T14_3</v>
      </c>
      <c r="E43" s="3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>
        <v>1</v>
      </c>
      <c r="S43" s="4"/>
      <c r="T43" s="5"/>
      <c r="W43" s="97">
        <v>1</v>
      </c>
      <c r="X43" s="98">
        <v>-1</v>
      </c>
      <c r="Y43" s="99">
        <v>3</v>
      </c>
      <c r="Z43" s="100" t="s">
        <v>194</v>
      </c>
      <c r="AA43" s="108">
        <v>0</v>
      </c>
      <c r="AB43" s="19">
        <v>0</v>
      </c>
      <c r="AC43" s="20">
        <v>0</v>
      </c>
      <c r="AD43" s="18">
        <v>0</v>
      </c>
      <c r="AE43" s="19">
        <v>0</v>
      </c>
      <c r="AF43" s="20">
        <v>0</v>
      </c>
      <c r="AG43" s="18">
        <v>0</v>
      </c>
      <c r="AH43" s="19">
        <v>0</v>
      </c>
      <c r="AI43" s="20">
        <v>0</v>
      </c>
      <c r="AJ43" s="18">
        <v>0</v>
      </c>
      <c r="AK43" s="19">
        <v>0</v>
      </c>
      <c r="AL43" s="20">
        <v>0</v>
      </c>
      <c r="AM43" s="18">
        <v>0</v>
      </c>
      <c r="AN43" s="19">
        <v>0</v>
      </c>
      <c r="AO43" s="20">
        <v>0</v>
      </c>
      <c r="AP43" s="18">
        <v>0</v>
      </c>
      <c r="AQ43" s="19">
        <v>0</v>
      </c>
      <c r="AR43" s="20">
        <v>0</v>
      </c>
      <c r="AS43" s="18">
        <v>0</v>
      </c>
      <c r="AT43" s="19">
        <v>0</v>
      </c>
      <c r="AU43" s="20">
        <v>0</v>
      </c>
      <c r="AV43" s="18">
        <v>0</v>
      </c>
      <c r="AW43" s="19">
        <v>0</v>
      </c>
      <c r="AX43" s="20">
        <v>0</v>
      </c>
      <c r="AY43" s="18">
        <v>0</v>
      </c>
      <c r="AZ43" s="19">
        <v>0</v>
      </c>
      <c r="BA43" s="20">
        <v>0</v>
      </c>
      <c r="BB43" s="18">
        <v>0</v>
      </c>
      <c r="BC43" s="19">
        <v>0</v>
      </c>
      <c r="BD43" s="20">
        <v>0</v>
      </c>
      <c r="BE43" s="18">
        <v>0</v>
      </c>
      <c r="BF43" s="19">
        <v>0</v>
      </c>
      <c r="BG43" s="20">
        <v>0</v>
      </c>
      <c r="BH43" s="18">
        <v>0</v>
      </c>
      <c r="BI43" s="19">
        <v>0</v>
      </c>
      <c r="BJ43" s="20">
        <v>0</v>
      </c>
      <c r="BK43" s="18">
        <v>0</v>
      </c>
      <c r="BL43" s="19">
        <v>0</v>
      </c>
      <c r="BM43" s="20">
        <v>0</v>
      </c>
      <c r="BN43" s="109">
        <f>($Y42-$Y41)*$Y43-$Y42^2+$Y41*$Y42+($X42-$X41)*$X43-$X42^2+$X41*$X42</f>
        <v>0</v>
      </c>
      <c r="BO43" s="102">
        <f>($Y41-$Y42)*$Y43+$Y41*$Y42-$Y41^2+($X41-$X42)*$X43+$X41*$X42-$X41^2</f>
        <v>-4</v>
      </c>
      <c r="BP43" s="103">
        <f>$Y42^2-2*$Y41*$Y42+$Y41^2+$X42^2-2*$X41*$X42+$X41^2</f>
        <v>4</v>
      </c>
      <c r="BQ43" s="18">
        <v>0</v>
      </c>
      <c r="BR43" s="19">
        <v>0</v>
      </c>
      <c r="BS43" s="20">
        <v>0</v>
      </c>
      <c r="BT43" s="18">
        <v>0</v>
      </c>
      <c r="BU43" s="19">
        <v>0</v>
      </c>
      <c r="BV43" s="20">
        <v>0</v>
      </c>
      <c r="BW43" s="18">
        <v>0</v>
      </c>
      <c r="BX43" s="19">
        <v>0</v>
      </c>
      <c r="BY43" s="20">
        <v>0</v>
      </c>
      <c r="BZ43" s="18">
        <v>0</v>
      </c>
      <c r="CA43" s="19">
        <v>0</v>
      </c>
      <c r="CB43" s="104">
        <v>0</v>
      </c>
    </row>
    <row r="44" spans="1:80" x14ac:dyDescent="0.25">
      <c r="A44" s="23">
        <f t="shared" si="1"/>
        <v>15</v>
      </c>
      <c r="B44" s="23">
        <f t="shared" si="2"/>
        <v>1</v>
      </c>
      <c r="C44" s="23" t="str">
        <f t="shared" si="0"/>
        <v>T15_1</v>
      </c>
      <c r="E44" s="3"/>
      <c r="F44" s="4"/>
      <c r="G44" s="4"/>
      <c r="H44" s="4"/>
      <c r="I44" s="4"/>
      <c r="J44" s="4"/>
      <c r="K44" s="4"/>
      <c r="L44" s="4"/>
      <c r="M44" s="4"/>
      <c r="N44" s="4">
        <v>1</v>
      </c>
      <c r="O44" s="4"/>
      <c r="P44" s="4"/>
      <c r="Q44" s="4"/>
      <c r="R44" s="4"/>
      <c r="S44" s="4"/>
      <c r="T44" s="5"/>
      <c r="W44" s="85">
        <v>1</v>
      </c>
      <c r="X44" s="86">
        <v>-1</v>
      </c>
      <c r="Y44" s="87">
        <v>1</v>
      </c>
      <c r="Z44" s="88" t="s">
        <v>195</v>
      </c>
      <c r="AA44" s="105">
        <v>0</v>
      </c>
      <c r="AB44" s="14">
        <v>0</v>
      </c>
      <c r="AC44" s="15">
        <v>0</v>
      </c>
      <c r="AD44" s="13">
        <v>0</v>
      </c>
      <c r="AE44" s="14">
        <v>0</v>
      </c>
      <c r="AF44" s="15">
        <v>0</v>
      </c>
      <c r="AG44" s="13">
        <v>0</v>
      </c>
      <c r="AH44" s="14">
        <v>0</v>
      </c>
      <c r="AI44" s="15">
        <v>0</v>
      </c>
      <c r="AJ44" s="13">
        <v>0</v>
      </c>
      <c r="AK44" s="14">
        <v>0</v>
      </c>
      <c r="AL44" s="15">
        <v>0</v>
      </c>
      <c r="AM44" s="13">
        <v>0</v>
      </c>
      <c r="AN44" s="14">
        <v>0</v>
      </c>
      <c r="AO44" s="15">
        <v>0</v>
      </c>
      <c r="AP44" s="13">
        <v>0</v>
      </c>
      <c r="AQ44" s="14">
        <v>0</v>
      </c>
      <c r="AR44" s="15">
        <v>0</v>
      </c>
      <c r="AS44" s="13">
        <v>0</v>
      </c>
      <c r="AT44" s="14">
        <v>0</v>
      </c>
      <c r="AU44" s="15">
        <v>0</v>
      </c>
      <c r="AV44" s="13">
        <v>0</v>
      </c>
      <c r="AW44" s="14">
        <v>0</v>
      </c>
      <c r="AX44" s="15">
        <v>0</v>
      </c>
      <c r="AY44" s="13">
        <v>0</v>
      </c>
      <c r="AZ44" s="14">
        <v>0</v>
      </c>
      <c r="BA44" s="15">
        <v>0</v>
      </c>
      <c r="BB44" s="13">
        <v>0</v>
      </c>
      <c r="BC44" s="14">
        <v>0</v>
      </c>
      <c r="BD44" s="15">
        <v>0</v>
      </c>
      <c r="BE44" s="13">
        <v>0</v>
      </c>
      <c r="BF44" s="14">
        <v>0</v>
      </c>
      <c r="BG44" s="15">
        <v>0</v>
      </c>
      <c r="BH44" s="13">
        <v>0</v>
      </c>
      <c r="BI44" s="14">
        <v>0</v>
      </c>
      <c r="BJ44" s="15">
        <v>0</v>
      </c>
      <c r="BK44" s="13">
        <v>0</v>
      </c>
      <c r="BL44" s="14">
        <v>0</v>
      </c>
      <c r="BM44" s="15">
        <v>0</v>
      </c>
      <c r="BN44" s="13">
        <v>0</v>
      </c>
      <c r="BO44" s="14">
        <v>0</v>
      </c>
      <c r="BP44" s="15">
        <v>0</v>
      </c>
      <c r="BQ44" s="106">
        <f>$Y46^2-2*$Y45*$Y46+$Y45^2+$X46^2-2*$X45*$X46+$X45^2</f>
        <v>4</v>
      </c>
      <c r="BR44" s="90">
        <f>BQ45</f>
        <v>0</v>
      </c>
      <c r="BS44" s="91">
        <f>BQ46</f>
        <v>-4</v>
      </c>
      <c r="BT44" s="13">
        <v>0</v>
      </c>
      <c r="BU44" s="14">
        <v>0</v>
      </c>
      <c r="BV44" s="15">
        <v>0</v>
      </c>
      <c r="BW44" s="13">
        <v>0</v>
      </c>
      <c r="BX44" s="14">
        <v>0</v>
      </c>
      <c r="BY44" s="15">
        <v>0</v>
      </c>
      <c r="BZ44" s="13">
        <v>0</v>
      </c>
      <c r="CA44" s="14">
        <v>0</v>
      </c>
      <c r="CB44" s="92">
        <v>0</v>
      </c>
    </row>
    <row r="45" spans="1:80" x14ac:dyDescent="0.25">
      <c r="A45" s="23">
        <f t="shared" si="1"/>
        <v>15</v>
      </c>
      <c r="B45" s="23">
        <f t="shared" si="2"/>
        <v>2</v>
      </c>
      <c r="C45" s="23" t="str">
        <f t="shared" si="0"/>
        <v>T15_2</v>
      </c>
      <c r="E45" s="3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>
        <v>1</v>
      </c>
      <c r="T45" s="5"/>
      <c r="W45" s="93">
        <v>1</v>
      </c>
      <c r="X45" s="49">
        <v>1</v>
      </c>
      <c r="Y45" s="94">
        <v>3</v>
      </c>
      <c r="Z45" s="95" t="s">
        <v>196</v>
      </c>
      <c r="AA45" s="3">
        <v>0</v>
      </c>
      <c r="AB45" s="4">
        <v>0</v>
      </c>
      <c r="AC45" s="17">
        <v>0</v>
      </c>
      <c r="AD45" s="16">
        <v>0</v>
      </c>
      <c r="AE45" s="4">
        <v>0</v>
      </c>
      <c r="AF45" s="17">
        <v>0</v>
      </c>
      <c r="AG45" s="16">
        <v>0</v>
      </c>
      <c r="AH45" s="4">
        <v>0</v>
      </c>
      <c r="AI45" s="17">
        <v>0</v>
      </c>
      <c r="AJ45" s="16">
        <v>0</v>
      </c>
      <c r="AK45" s="4">
        <v>0</v>
      </c>
      <c r="AL45" s="17">
        <v>0</v>
      </c>
      <c r="AM45" s="16">
        <v>0</v>
      </c>
      <c r="AN45" s="4">
        <v>0</v>
      </c>
      <c r="AO45" s="17">
        <v>0</v>
      </c>
      <c r="AP45" s="16">
        <v>0</v>
      </c>
      <c r="AQ45" s="4">
        <v>0</v>
      </c>
      <c r="AR45" s="17">
        <v>0</v>
      </c>
      <c r="AS45" s="16">
        <v>0</v>
      </c>
      <c r="AT45" s="4">
        <v>0</v>
      </c>
      <c r="AU45" s="17">
        <v>0</v>
      </c>
      <c r="AV45" s="16">
        <v>0</v>
      </c>
      <c r="AW45" s="4">
        <v>0</v>
      </c>
      <c r="AX45" s="17">
        <v>0</v>
      </c>
      <c r="AY45" s="16">
        <v>0</v>
      </c>
      <c r="AZ45" s="4">
        <v>0</v>
      </c>
      <c r="BA45" s="17">
        <v>0</v>
      </c>
      <c r="BB45" s="16">
        <v>0</v>
      </c>
      <c r="BC45" s="4">
        <v>0</v>
      </c>
      <c r="BD45" s="17">
        <v>0</v>
      </c>
      <c r="BE45" s="16">
        <v>0</v>
      </c>
      <c r="BF45" s="4">
        <v>0</v>
      </c>
      <c r="BG45" s="17">
        <v>0</v>
      </c>
      <c r="BH45" s="16">
        <v>0</v>
      </c>
      <c r="BI45" s="4">
        <v>0</v>
      </c>
      <c r="BJ45" s="17">
        <v>0</v>
      </c>
      <c r="BK45" s="16">
        <v>0</v>
      </c>
      <c r="BL45" s="4">
        <v>0</v>
      </c>
      <c r="BM45" s="17">
        <v>0</v>
      </c>
      <c r="BN45" s="16">
        <v>0</v>
      </c>
      <c r="BO45" s="4">
        <v>0</v>
      </c>
      <c r="BP45" s="17">
        <v>0</v>
      </c>
      <c r="BQ45" s="107">
        <f>-($Y46^2)+($Y45+$Y44)*$Y46-($Y44*$Y45)-($X46^2)+($X45+$X44)*$X46-($X44*$X45)</f>
        <v>0</v>
      </c>
      <c r="BR45" s="11">
        <f>$Y46^2-2*$Y44*$Y46+$Y44^2+$X46^2-2*$X44*$X46+$X44^2</f>
        <v>4</v>
      </c>
      <c r="BS45" s="96">
        <f>BR46</f>
        <v>-4</v>
      </c>
      <c r="BT45" s="16">
        <v>0</v>
      </c>
      <c r="BU45" s="4">
        <v>0</v>
      </c>
      <c r="BV45" s="17">
        <v>0</v>
      </c>
      <c r="BW45" s="16">
        <v>0</v>
      </c>
      <c r="BX45" s="4">
        <v>0</v>
      </c>
      <c r="BY45" s="17">
        <v>0</v>
      </c>
      <c r="BZ45" s="16">
        <v>0</v>
      </c>
      <c r="CA45" s="4">
        <v>0</v>
      </c>
      <c r="CB45" s="5">
        <v>0</v>
      </c>
    </row>
    <row r="46" spans="1:80" x14ac:dyDescent="0.25">
      <c r="A46" s="23">
        <f t="shared" si="1"/>
        <v>15</v>
      </c>
      <c r="B46" s="23">
        <f t="shared" si="2"/>
        <v>3</v>
      </c>
      <c r="C46" s="23" t="str">
        <f t="shared" si="0"/>
        <v>T15_3</v>
      </c>
      <c r="E46" s="3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>
        <v>1</v>
      </c>
      <c r="S46" s="4"/>
      <c r="T46" s="5"/>
      <c r="W46" s="97">
        <v>1</v>
      </c>
      <c r="X46" s="98">
        <v>-1</v>
      </c>
      <c r="Y46" s="99">
        <v>3</v>
      </c>
      <c r="Z46" s="100" t="s">
        <v>197</v>
      </c>
      <c r="AA46" s="108">
        <v>0</v>
      </c>
      <c r="AB46" s="19">
        <v>0</v>
      </c>
      <c r="AC46" s="20">
        <v>0</v>
      </c>
      <c r="AD46" s="18">
        <v>0</v>
      </c>
      <c r="AE46" s="19">
        <v>0</v>
      </c>
      <c r="AF46" s="20">
        <v>0</v>
      </c>
      <c r="AG46" s="18">
        <v>0</v>
      </c>
      <c r="AH46" s="19">
        <v>0</v>
      </c>
      <c r="AI46" s="20">
        <v>0</v>
      </c>
      <c r="AJ46" s="18">
        <v>0</v>
      </c>
      <c r="AK46" s="19">
        <v>0</v>
      </c>
      <c r="AL46" s="20">
        <v>0</v>
      </c>
      <c r="AM46" s="18">
        <v>0</v>
      </c>
      <c r="AN46" s="19">
        <v>0</v>
      </c>
      <c r="AO46" s="20">
        <v>0</v>
      </c>
      <c r="AP46" s="18">
        <v>0</v>
      </c>
      <c r="AQ46" s="19">
        <v>0</v>
      </c>
      <c r="AR46" s="20">
        <v>0</v>
      </c>
      <c r="AS46" s="18">
        <v>0</v>
      </c>
      <c r="AT46" s="19">
        <v>0</v>
      </c>
      <c r="AU46" s="20">
        <v>0</v>
      </c>
      <c r="AV46" s="18">
        <v>0</v>
      </c>
      <c r="AW46" s="19">
        <v>0</v>
      </c>
      <c r="AX46" s="20">
        <v>0</v>
      </c>
      <c r="AY46" s="18">
        <v>0</v>
      </c>
      <c r="AZ46" s="19">
        <v>0</v>
      </c>
      <c r="BA46" s="20">
        <v>0</v>
      </c>
      <c r="BB46" s="18">
        <v>0</v>
      </c>
      <c r="BC46" s="19">
        <v>0</v>
      </c>
      <c r="BD46" s="20">
        <v>0</v>
      </c>
      <c r="BE46" s="18">
        <v>0</v>
      </c>
      <c r="BF46" s="19">
        <v>0</v>
      </c>
      <c r="BG46" s="20">
        <v>0</v>
      </c>
      <c r="BH46" s="18">
        <v>0</v>
      </c>
      <c r="BI46" s="19">
        <v>0</v>
      </c>
      <c r="BJ46" s="20">
        <v>0</v>
      </c>
      <c r="BK46" s="18">
        <v>0</v>
      </c>
      <c r="BL46" s="19">
        <v>0</v>
      </c>
      <c r="BM46" s="20">
        <v>0</v>
      </c>
      <c r="BN46" s="18">
        <v>0</v>
      </c>
      <c r="BO46" s="19">
        <v>0</v>
      </c>
      <c r="BP46" s="20">
        <v>0</v>
      </c>
      <c r="BQ46" s="109">
        <f>($Y45-$Y44)*$Y46-$Y45^2+$Y44*$Y45+($X45-$X44)*$X46-$X45^2+$X44*$X45</f>
        <v>-4</v>
      </c>
      <c r="BR46" s="102">
        <f>($Y44-$Y45)*$Y46+$Y44*$Y45-$Y44^2+($X44-$X45)*$X46+$X44*$X45-$X44^2</f>
        <v>-4</v>
      </c>
      <c r="BS46" s="103">
        <f>$Y45^2-2*$Y44*$Y45+$Y44^2+$X45^2-2*$X44*$X45+$X44^2</f>
        <v>8</v>
      </c>
      <c r="BT46" s="18">
        <v>0</v>
      </c>
      <c r="BU46" s="19">
        <v>0</v>
      </c>
      <c r="BV46" s="20">
        <v>0</v>
      </c>
      <c r="BW46" s="18">
        <v>0</v>
      </c>
      <c r="BX46" s="19">
        <v>0</v>
      </c>
      <c r="BY46" s="20">
        <v>0</v>
      </c>
      <c r="BZ46" s="18">
        <v>0</v>
      </c>
      <c r="CA46" s="19">
        <v>0</v>
      </c>
      <c r="CB46" s="104">
        <v>0</v>
      </c>
    </row>
    <row r="47" spans="1:80" x14ac:dyDescent="0.25">
      <c r="A47" s="23">
        <f t="shared" si="1"/>
        <v>16</v>
      </c>
      <c r="B47" s="23">
        <f t="shared" si="2"/>
        <v>1</v>
      </c>
      <c r="C47" s="23" t="str">
        <f t="shared" si="0"/>
        <v>T16_1</v>
      </c>
      <c r="E47" s="3"/>
      <c r="F47" s="4"/>
      <c r="G47" s="4"/>
      <c r="H47" s="4"/>
      <c r="I47" s="4"/>
      <c r="J47" s="4"/>
      <c r="K47" s="4"/>
      <c r="L47" s="4"/>
      <c r="M47" s="4"/>
      <c r="N47" s="4">
        <v>1</v>
      </c>
      <c r="O47" s="4"/>
      <c r="P47" s="4"/>
      <c r="Q47" s="4"/>
      <c r="R47" s="4"/>
      <c r="S47" s="4"/>
      <c r="T47" s="5"/>
      <c r="W47" s="85">
        <v>1</v>
      </c>
      <c r="X47" s="86">
        <v>-1</v>
      </c>
      <c r="Y47" s="87">
        <v>1</v>
      </c>
      <c r="Z47" s="88" t="s">
        <v>198</v>
      </c>
      <c r="AA47" s="105">
        <v>0</v>
      </c>
      <c r="AB47" s="14">
        <v>0</v>
      </c>
      <c r="AC47" s="15">
        <v>0</v>
      </c>
      <c r="AD47" s="13">
        <v>0</v>
      </c>
      <c r="AE47" s="14">
        <v>0</v>
      </c>
      <c r="AF47" s="15">
        <v>0</v>
      </c>
      <c r="AG47" s="13">
        <v>0</v>
      </c>
      <c r="AH47" s="14">
        <v>0</v>
      </c>
      <c r="AI47" s="15">
        <v>0</v>
      </c>
      <c r="AJ47" s="13">
        <v>0</v>
      </c>
      <c r="AK47" s="14">
        <v>0</v>
      </c>
      <c r="AL47" s="15">
        <v>0</v>
      </c>
      <c r="AM47" s="13">
        <v>0</v>
      </c>
      <c r="AN47" s="14">
        <v>0</v>
      </c>
      <c r="AO47" s="15">
        <v>0</v>
      </c>
      <c r="AP47" s="13">
        <v>0</v>
      </c>
      <c r="AQ47" s="14">
        <v>0</v>
      </c>
      <c r="AR47" s="15">
        <v>0</v>
      </c>
      <c r="AS47" s="13">
        <v>0</v>
      </c>
      <c r="AT47" s="14">
        <v>0</v>
      </c>
      <c r="AU47" s="15">
        <v>0</v>
      </c>
      <c r="AV47" s="13">
        <v>0</v>
      </c>
      <c r="AW47" s="14">
        <v>0</v>
      </c>
      <c r="AX47" s="15">
        <v>0</v>
      </c>
      <c r="AY47" s="13">
        <v>0</v>
      </c>
      <c r="AZ47" s="14">
        <v>0</v>
      </c>
      <c r="BA47" s="15">
        <v>0</v>
      </c>
      <c r="BB47" s="13">
        <v>0</v>
      </c>
      <c r="BC47" s="14">
        <v>0</v>
      </c>
      <c r="BD47" s="15">
        <v>0</v>
      </c>
      <c r="BE47" s="13">
        <v>0</v>
      </c>
      <c r="BF47" s="14">
        <v>0</v>
      </c>
      <c r="BG47" s="15">
        <v>0</v>
      </c>
      <c r="BH47" s="13">
        <v>0</v>
      </c>
      <c r="BI47" s="14">
        <v>0</v>
      </c>
      <c r="BJ47" s="15">
        <v>0</v>
      </c>
      <c r="BK47" s="13">
        <v>0</v>
      </c>
      <c r="BL47" s="14">
        <v>0</v>
      </c>
      <c r="BM47" s="15">
        <v>0</v>
      </c>
      <c r="BN47" s="13">
        <v>0</v>
      </c>
      <c r="BO47" s="14">
        <v>0</v>
      </c>
      <c r="BP47" s="15">
        <v>0</v>
      </c>
      <c r="BQ47" s="13">
        <v>0</v>
      </c>
      <c r="BR47" s="14">
        <v>0</v>
      </c>
      <c r="BS47" s="15">
        <v>0</v>
      </c>
      <c r="BT47" s="106">
        <f>$Y49^2-2*$Y48*$Y49+$Y48^2+$X49^2-2*$X48*$X49+$X48^2</f>
        <v>4</v>
      </c>
      <c r="BU47" s="90">
        <f>BT48</f>
        <v>-4</v>
      </c>
      <c r="BV47" s="91">
        <f>BT49</f>
        <v>0</v>
      </c>
      <c r="BW47" s="13">
        <v>0</v>
      </c>
      <c r="BX47" s="14">
        <v>0</v>
      </c>
      <c r="BY47" s="15">
        <v>0</v>
      </c>
      <c r="BZ47" s="13">
        <v>0</v>
      </c>
      <c r="CA47" s="14">
        <v>0</v>
      </c>
      <c r="CB47" s="92">
        <v>0</v>
      </c>
    </row>
    <row r="48" spans="1:80" x14ac:dyDescent="0.25">
      <c r="A48" s="23">
        <f t="shared" si="1"/>
        <v>16</v>
      </c>
      <c r="B48" s="23">
        <f t="shared" si="2"/>
        <v>2</v>
      </c>
      <c r="C48" s="23" t="str">
        <f t="shared" si="0"/>
        <v>T16_2</v>
      </c>
      <c r="E48" s="3"/>
      <c r="F48" s="4"/>
      <c r="G48" s="4"/>
      <c r="H48" s="4"/>
      <c r="I48" s="4"/>
      <c r="J48" s="4"/>
      <c r="K48" s="4"/>
      <c r="L48" s="4"/>
      <c r="M48" s="4"/>
      <c r="N48" s="4"/>
      <c r="O48" s="4">
        <v>1</v>
      </c>
      <c r="P48" s="4"/>
      <c r="Q48" s="4"/>
      <c r="R48" s="4"/>
      <c r="S48" s="4"/>
      <c r="T48" s="5"/>
      <c r="W48" s="93">
        <v>1</v>
      </c>
      <c r="X48" s="49">
        <v>1</v>
      </c>
      <c r="Y48" s="94">
        <v>1</v>
      </c>
      <c r="Z48" s="95" t="s">
        <v>199</v>
      </c>
      <c r="AA48" s="3">
        <v>0</v>
      </c>
      <c r="AB48" s="4">
        <v>0</v>
      </c>
      <c r="AC48" s="17">
        <v>0</v>
      </c>
      <c r="AD48" s="16">
        <v>0</v>
      </c>
      <c r="AE48" s="4">
        <v>0</v>
      </c>
      <c r="AF48" s="17">
        <v>0</v>
      </c>
      <c r="AG48" s="16">
        <v>0</v>
      </c>
      <c r="AH48" s="4">
        <v>0</v>
      </c>
      <c r="AI48" s="17">
        <v>0</v>
      </c>
      <c r="AJ48" s="16">
        <v>0</v>
      </c>
      <c r="AK48" s="4">
        <v>0</v>
      </c>
      <c r="AL48" s="17">
        <v>0</v>
      </c>
      <c r="AM48" s="16">
        <v>0</v>
      </c>
      <c r="AN48" s="4">
        <v>0</v>
      </c>
      <c r="AO48" s="17">
        <v>0</v>
      </c>
      <c r="AP48" s="16">
        <v>0</v>
      </c>
      <c r="AQ48" s="4">
        <v>0</v>
      </c>
      <c r="AR48" s="17">
        <v>0</v>
      </c>
      <c r="AS48" s="16">
        <v>0</v>
      </c>
      <c r="AT48" s="4">
        <v>0</v>
      </c>
      <c r="AU48" s="17">
        <v>0</v>
      </c>
      <c r="AV48" s="16">
        <v>0</v>
      </c>
      <c r="AW48" s="4">
        <v>0</v>
      </c>
      <c r="AX48" s="17">
        <v>0</v>
      </c>
      <c r="AY48" s="16">
        <v>0</v>
      </c>
      <c r="AZ48" s="4">
        <v>0</v>
      </c>
      <c r="BA48" s="17">
        <v>0</v>
      </c>
      <c r="BB48" s="16">
        <v>0</v>
      </c>
      <c r="BC48" s="4">
        <v>0</v>
      </c>
      <c r="BD48" s="17">
        <v>0</v>
      </c>
      <c r="BE48" s="16">
        <v>0</v>
      </c>
      <c r="BF48" s="4">
        <v>0</v>
      </c>
      <c r="BG48" s="17">
        <v>0</v>
      </c>
      <c r="BH48" s="16">
        <v>0</v>
      </c>
      <c r="BI48" s="4">
        <v>0</v>
      </c>
      <c r="BJ48" s="17">
        <v>0</v>
      </c>
      <c r="BK48" s="16">
        <v>0</v>
      </c>
      <c r="BL48" s="4">
        <v>0</v>
      </c>
      <c r="BM48" s="17">
        <v>0</v>
      </c>
      <c r="BN48" s="16">
        <v>0</v>
      </c>
      <c r="BO48" s="4">
        <v>0</v>
      </c>
      <c r="BP48" s="17">
        <v>0</v>
      </c>
      <c r="BQ48" s="16">
        <v>0</v>
      </c>
      <c r="BR48" s="4">
        <v>0</v>
      </c>
      <c r="BS48" s="17">
        <v>0</v>
      </c>
      <c r="BT48" s="107">
        <f>-($Y49^2)+($Y48+$Y47)*$Y49-($Y47*$Y48)-($X49^2)+($X48+$X47)*$X49-($X47*$X48)</f>
        <v>-4</v>
      </c>
      <c r="BU48" s="11">
        <f>$Y49^2-2*$Y47*$Y49+$Y47^2+$X49^2-2*$X47*$X49+$X47^2</f>
        <v>8</v>
      </c>
      <c r="BV48" s="96">
        <f>BU49</f>
        <v>-4</v>
      </c>
      <c r="BW48" s="16">
        <v>0</v>
      </c>
      <c r="BX48" s="4">
        <v>0</v>
      </c>
      <c r="BY48" s="17">
        <v>0</v>
      </c>
      <c r="BZ48" s="16">
        <v>0</v>
      </c>
      <c r="CA48" s="4">
        <v>0</v>
      </c>
      <c r="CB48" s="5">
        <v>0</v>
      </c>
    </row>
    <row r="49" spans="1:80" x14ac:dyDescent="0.25">
      <c r="A49" s="23">
        <f t="shared" si="1"/>
        <v>16</v>
      </c>
      <c r="B49" s="23">
        <f t="shared" si="2"/>
        <v>3</v>
      </c>
      <c r="C49" s="23" t="str">
        <f t="shared" si="0"/>
        <v>T16_3</v>
      </c>
      <c r="E49" s="3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>
        <v>1</v>
      </c>
      <c r="T49" s="5"/>
      <c r="W49" s="97">
        <v>1</v>
      </c>
      <c r="X49" s="98">
        <v>1</v>
      </c>
      <c r="Y49" s="99">
        <v>3</v>
      </c>
      <c r="Z49" s="100" t="s">
        <v>200</v>
      </c>
      <c r="AA49" s="108">
        <v>0</v>
      </c>
      <c r="AB49" s="19">
        <v>0</v>
      </c>
      <c r="AC49" s="20">
        <v>0</v>
      </c>
      <c r="AD49" s="18">
        <v>0</v>
      </c>
      <c r="AE49" s="19">
        <v>0</v>
      </c>
      <c r="AF49" s="20">
        <v>0</v>
      </c>
      <c r="AG49" s="18">
        <v>0</v>
      </c>
      <c r="AH49" s="19">
        <v>0</v>
      </c>
      <c r="AI49" s="20">
        <v>0</v>
      </c>
      <c r="AJ49" s="18">
        <v>0</v>
      </c>
      <c r="AK49" s="19">
        <v>0</v>
      </c>
      <c r="AL49" s="20">
        <v>0</v>
      </c>
      <c r="AM49" s="18">
        <v>0</v>
      </c>
      <c r="AN49" s="19">
        <v>0</v>
      </c>
      <c r="AO49" s="20">
        <v>0</v>
      </c>
      <c r="AP49" s="18">
        <v>0</v>
      </c>
      <c r="AQ49" s="19">
        <v>0</v>
      </c>
      <c r="AR49" s="20">
        <v>0</v>
      </c>
      <c r="AS49" s="18">
        <v>0</v>
      </c>
      <c r="AT49" s="19">
        <v>0</v>
      </c>
      <c r="AU49" s="20">
        <v>0</v>
      </c>
      <c r="AV49" s="18">
        <v>0</v>
      </c>
      <c r="AW49" s="19">
        <v>0</v>
      </c>
      <c r="AX49" s="20">
        <v>0</v>
      </c>
      <c r="AY49" s="18">
        <v>0</v>
      </c>
      <c r="AZ49" s="19">
        <v>0</v>
      </c>
      <c r="BA49" s="20">
        <v>0</v>
      </c>
      <c r="BB49" s="18">
        <v>0</v>
      </c>
      <c r="BC49" s="19">
        <v>0</v>
      </c>
      <c r="BD49" s="20">
        <v>0</v>
      </c>
      <c r="BE49" s="18">
        <v>0</v>
      </c>
      <c r="BF49" s="19">
        <v>0</v>
      </c>
      <c r="BG49" s="20">
        <v>0</v>
      </c>
      <c r="BH49" s="18">
        <v>0</v>
      </c>
      <c r="BI49" s="19">
        <v>0</v>
      </c>
      <c r="BJ49" s="20">
        <v>0</v>
      </c>
      <c r="BK49" s="18">
        <v>0</v>
      </c>
      <c r="BL49" s="19">
        <v>0</v>
      </c>
      <c r="BM49" s="20">
        <v>0</v>
      </c>
      <c r="BN49" s="18">
        <v>0</v>
      </c>
      <c r="BO49" s="19">
        <v>0</v>
      </c>
      <c r="BP49" s="20">
        <v>0</v>
      </c>
      <c r="BQ49" s="18">
        <v>0</v>
      </c>
      <c r="BR49" s="19">
        <v>0</v>
      </c>
      <c r="BS49" s="20">
        <v>0</v>
      </c>
      <c r="BT49" s="109">
        <f>($Y48-$Y47)*$Y49-$Y48^2+$Y47*$Y48+($X48-$X47)*$X49-$X48^2+$X47*$X48</f>
        <v>0</v>
      </c>
      <c r="BU49" s="102">
        <f>($Y47-$Y48)*$Y49+$Y47*$Y48-$Y47^2+($X47-$X48)*$X49+$X47*$X48-$X47^2</f>
        <v>-4</v>
      </c>
      <c r="BV49" s="103">
        <f>$Y48^2-2*$Y47*$Y48+$Y47^2+$X48^2-2*$X47*$X48+$X47^2</f>
        <v>4</v>
      </c>
      <c r="BW49" s="18">
        <v>0</v>
      </c>
      <c r="BX49" s="19">
        <v>0</v>
      </c>
      <c r="BY49" s="20">
        <v>0</v>
      </c>
      <c r="BZ49" s="18">
        <v>0</v>
      </c>
      <c r="CA49" s="19">
        <v>0</v>
      </c>
      <c r="CB49" s="104">
        <v>0</v>
      </c>
    </row>
    <row r="50" spans="1:80" x14ac:dyDescent="0.25">
      <c r="A50" s="23">
        <f t="shared" si="1"/>
        <v>17</v>
      </c>
      <c r="B50" s="23">
        <f t="shared" si="2"/>
        <v>1</v>
      </c>
      <c r="C50" s="23" t="str">
        <f t="shared" si="0"/>
        <v>T17_1</v>
      </c>
      <c r="E50" s="3"/>
      <c r="F50" s="4"/>
      <c r="G50" s="4"/>
      <c r="H50" s="4"/>
      <c r="I50" s="4"/>
      <c r="J50" s="4"/>
      <c r="K50" s="4"/>
      <c r="L50" s="4"/>
      <c r="M50" s="4"/>
      <c r="N50" s="4"/>
      <c r="O50" s="4">
        <v>1</v>
      </c>
      <c r="P50" s="4"/>
      <c r="Q50" s="4"/>
      <c r="R50" s="4"/>
      <c r="S50" s="4"/>
      <c r="T50" s="5"/>
      <c r="W50" s="85">
        <v>1</v>
      </c>
      <c r="X50" s="86">
        <v>1</v>
      </c>
      <c r="Y50" s="87">
        <v>1</v>
      </c>
      <c r="Z50" s="88" t="s">
        <v>201</v>
      </c>
      <c r="AA50" s="105">
        <v>0</v>
      </c>
      <c r="AB50" s="14">
        <v>0</v>
      </c>
      <c r="AC50" s="15">
        <v>0</v>
      </c>
      <c r="AD50" s="13">
        <v>0</v>
      </c>
      <c r="AE50" s="14">
        <v>0</v>
      </c>
      <c r="AF50" s="15">
        <v>0</v>
      </c>
      <c r="AG50" s="13">
        <v>0</v>
      </c>
      <c r="AH50" s="14">
        <v>0</v>
      </c>
      <c r="AI50" s="15">
        <v>0</v>
      </c>
      <c r="AJ50" s="13">
        <v>0</v>
      </c>
      <c r="AK50" s="14">
        <v>0</v>
      </c>
      <c r="AL50" s="15">
        <v>0</v>
      </c>
      <c r="AM50" s="13">
        <v>0</v>
      </c>
      <c r="AN50" s="14">
        <v>0</v>
      </c>
      <c r="AO50" s="15">
        <v>0</v>
      </c>
      <c r="AP50" s="13">
        <v>0</v>
      </c>
      <c r="AQ50" s="14">
        <v>0</v>
      </c>
      <c r="AR50" s="15">
        <v>0</v>
      </c>
      <c r="AS50" s="13">
        <v>0</v>
      </c>
      <c r="AT50" s="14">
        <v>0</v>
      </c>
      <c r="AU50" s="15">
        <v>0</v>
      </c>
      <c r="AV50" s="13">
        <v>0</v>
      </c>
      <c r="AW50" s="14">
        <v>0</v>
      </c>
      <c r="AX50" s="15">
        <v>0</v>
      </c>
      <c r="AY50" s="13">
        <v>0</v>
      </c>
      <c r="AZ50" s="14">
        <v>0</v>
      </c>
      <c r="BA50" s="15">
        <v>0</v>
      </c>
      <c r="BB50" s="13">
        <v>0</v>
      </c>
      <c r="BC50" s="14">
        <v>0</v>
      </c>
      <c r="BD50" s="15">
        <v>0</v>
      </c>
      <c r="BE50" s="13">
        <v>0</v>
      </c>
      <c r="BF50" s="14">
        <v>0</v>
      </c>
      <c r="BG50" s="15">
        <v>0</v>
      </c>
      <c r="BH50" s="13">
        <v>0</v>
      </c>
      <c r="BI50" s="14">
        <v>0</v>
      </c>
      <c r="BJ50" s="15">
        <v>0</v>
      </c>
      <c r="BK50" s="13">
        <v>0</v>
      </c>
      <c r="BL50" s="14">
        <v>0</v>
      </c>
      <c r="BM50" s="15">
        <v>0</v>
      </c>
      <c r="BN50" s="13">
        <v>0</v>
      </c>
      <c r="BO50" s="14">
        <v>0</v>
      </c>
      <c r="BP50" s="15">
        <v>0</v>
      </c>
      <c r="BQ50" s="13">
        <v>0</v>
      </c>
      <c r="BR50" s="14">
        <v>0</v>
      </c>
      <c r="BS50" s="15">
        <v>0</v>
      </c>
      <c r="BT50" s="13">
        <v>0</v>
      </c>
      <c r="BU50" s="14">
        <v>0</v>
      </c>
      <c r="BV50" s="15">
        <v>0</v>
      </c>
      <c r="BW50" s="106">
        <f>$Y52^2-2*$Y51*$Y52+$Y51^2+$X52^2-2*$X51*$X52+$X51^2</f>
        <v>4</v>
      </c>
      <c r="BX50" s="90">
        <f>BW51</f>
        <v>0</v>
      </c>
      <c r="BY50" s="91">
        <f>BW52</f>
        <v>-4</v>
      </c>
      <c r="BZ50" s="13">
        <v>0</v>
      </c>
      <c r="CA50" s="14">
        <v>0</v>
      </c>
      <c r="CB50" s="92">
        <v>0</v>
      </c>
    </row>
    <row r="51" spans="1:80" x14ac:dyDescent="0.25">
      <c r="A51" s="23">
        <f t="shared" si="1"/>
        <v>17</v>
      </c>
      <c r="B51" s="23">
        <f t="shared" si="2"/>
        <v>2</v>
      </c>
      <c r="C51" s="23" t="str">
        <f t="shared" si="0"/>
        <v>T17_2</v>
      </c>
      <c r="E51" s="3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5">
        <v>1</v>
      </c>
      <c r="W51" s="93">
        <v>1</v>
      </c>
      <c r="X51" s="49">
        <v>3</v>
      </c>
      <c r="Y51" s="94">
        <v>3</v>
      </c>
      <c r="Z51" s="95" t="s">
        <v>202</v>
      </c>
      <c r="AA51" s="3">
        <v>0</v>
      </c>
      <c r="AB51" s="4">
        <v>0</v>
      </c>
      <c r="AC51" s="17">
        <v>0</v>
      </c>
      <c r="AD51" s="16">
        <v>0</v>
      </c>
      <c r="AE51" s="4">
        <v>0</v>
      </c>
      <c r="AF51" s="17">
        <v>0</v>
      </c>
      <c r="AG51" s="16">
        <v>0</v>
      </c>
      <c r="AH51" s="4">
        <v>0</v>
      </c>
      <c r="AI51" s="17">
        <v>0</v>
      </c>
      <c r="AJ51" s="16">
        <v>0</v>
      </c>
      <c r="AK51" s="4">
        <v>0</v>
      </c>
      <c r="AL51" s="17">
        <v>0</v>
      </c>
      <c r="AM51" s="16">
        <v>0</v>
      </c>
      <c r="AN51" s="4">
        <v>0</v>
      </c>
      <c r="AO51" s="17">
        <v>0</v>
      </c>
      <c r="AP51" s="16">
        <v>0</v>
      </c>
      <c r="AQ51" s="4">
        <v>0</v>
      </c>
      <c r="AR51" s="17">
        <v>0</v>
      </c>
      <c r="AS51" s="16">
        <v>0</v>
      </c>
      <c r="AT51" s="4">
        <v>0</v>
      </c>
      <c r="AU51" s="17">
        <v>0</v>
      </c>
      <c r="AV51" s="16">
        <v>0</v>
      </c>
      <c r="AW51" s="4">
        <v>0</v>
      </c>
      <c r="AX51" s="17">
        <v>0</v>
      </c>
      <c r="AY51" s="16">
        <v>0</v>
      </c>
      <c r="AZ51" s="4">
        <v>0</v>
      </c>
      <c r="BA51" s="17">
        <v>0</v>
      </c>
      <c r="BB51" s="16">
        <v>0</v>
      </c>
      <c r="BC51" s="4">
        <v>0</v>
      </c>
      <c r="BD51" s="17">
        <v>0</v>
      </c>
      <c r="BE51" s="16">
        <v>0</v>
      </c>
      <c r="BF51" s="4">
        <v>0</v>
      </c>
      <c r="BG51" s="17">
        <v>0</v>
      </c>
      <c r="BH51" s="16">
        <v>0</v>
      </c>
      <c r="BI51" s="4">
        <v>0</v>
      </c>
      <c r="BJ51" s="17">
        <v>0</v>
      </c>
      <c r="BK51" s="16">
        <v>0</v>
      </c>
      <c r="BL51" s="4">
        <v>0</v>
      </c>
      <c r="BM51" s="17">
        <v>0</v>
      </c>
      <c r="BN51" s="16">
        <v>0</v>
      </c>
      <c r="BO51" s="4">
        <v>0</v>
      </c>
      <c r="BP51" s="17">
        <v>0</v>
      </c>
      <c r="BQ51" s="16">
        <v>0</v>
      </c>
      <c r="BR51" s="4">
        <v>0</v>
      </c>
      <c r="BS51" s="17">
        <v>0</v>
      </c>
      <c r="BT51" s="16">
        <v>0</v>
      </c>
      <c r="BU51" s="4">
        <v>0</v>
      </c>
      <c r="BV51" s="17">
        <v>0</v>
      </c>
      <c r="BW51" s="107">
        <f>-($Y52^2)+($Y51+$Y50)*$Y52-($Y50*$Y51)-($X52^2)+($X51+$X50)*$X52-($X50*$X51)</f>
        <v>0</v>
      </c>
      <c r="BX51" s="11">
        <f>$Y52^2-2*$Y50*$Y52+$Y50^2+$X52^2-2*$X50*$X52+$X50^2</f>
        <v>4</v>
      </c>
      <c r="BY51" s="96">
        <f>BX52</f>
        <v>-4</v>
      </c>
      <c r="BZ51" s="16">
        <v>0</v>
      </c>
      <c r="CA51" s="4">
        <v>0</v>
      </c>
      <c r="CB51" s="5">
        <v>0</v>
      </c>
    </row>
    <row r="52" spans="1:80" x14ac:dyDescent="0.25">
      <c r="A52" s="23">
        <f t="shared" si="1"/>
        <v>17</v>
      </c>
      <c r="B52" s="23">
        <f t="shared" si="2"/>
        <v>3</v>
      </c>
      <c r="C52" s="23" t="str">
        <f t="shared" si="0"/>
        <v>T17_3</v>
      </c>
      <c r="E52" s="3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>
        <v>1</v>
      </c>
      <c r="T52" s="5"/>
      <c r="W52" s="97">
        <v>1</v>
      </c>
      <c r="X52" s="98">
        <v>1</v>
      </c>
      <c r="Y52" s="99">
        <v>3</v>
      </c>
      <c r="Z52" s="100" t="s">
        <v>203</v>
      </c>
      <c r="AA52" s="108">
        <v>0</v>
      </c>
      <c r="AB52" s="19">
        <v>0</v>
      </c>
      <c r="AC52" s="20">
        <v>0</v>
      </c>
      <c r="AD52" s="18">
        <v>0</v>
      </c>
      <c r="AE52" s="19">
        <v>0</v>
      </c>
      <c r="AF52" s="20">
        <v>0</v>
      </c>
      <c r="AG52" s="18">
        <v>0</v>
      </c>
      <c r="AH52" s="19">
        <v>0</v>
      </c>
      <c r="AI52" s="20">
        <v>0</v>
      </c>
      <c r="AJ52" s="18">
        <v>0</v>
      </c>
      <c r="AK52" s="19">
        <v>0</v>
      </c>
      <c r="AL52" s="20">
        <v>0</v>
      </c>
      <c r="AM52" s="18">
        <v>0</v>
      </c>
      <c r="AN52" s="19">
        <v>0</v>
      </c>
      <c r="AO52" s="20">
        <v>0</v>
      </c>
      <c r="AP52" s="18">
        <v>0</v>
      </c>
      <c r="AQ52" s="19">
        <v>0</v>
      </c>
      <c r="AR52" s="20">
        <v>0</v>
      </c>
      <c r="AS52" s="18">
        <v>0</v>
      </c>
      <c r="AT52" s="19">
        <v>0</v>
      </c>
      <c r="AU52" s="20">
        <v>0</v>
      </c>
      <c r="AV52" s="18">
        <v>0</v>
      </c>
      <c r="AW52" s="19">
        <v>0</v>
      </c>
      <c r="AX52" s="20">
        <v>0</v>
      </c>
      <c r="AY52" s="18">
        <v>0</v>
      </c>
      <c r="AZ52" s="19">
        <v>0</v>
      </c>
      <c r="BA52" s="20">
        <v>0</v>
      </c>
      <c r="BB52" s="18">
        <v>0</v>
      </c>
      <c r="BC52" s="19">
        <v>0</v>
      </c>
      <c r="BD52" s="20">
        <v>0</v>
      </c>
      <c r="BE52" s="18">
        <v>0</v>
      </c>
      <c r="BF52" s="19">
        <v>0</v>
      </c>
      <c r="BG52" s="20">
        <v>0</v>
      </c>
      <c r="BH52" s="18">
        <v>0</v>
      </c>
      <c r="BI52" s="19">
        <v>0</v>
      </c>
      <c r="BJ52" s="20">
        <v>0</v>
      </c>
      <c r="BK52" s="18">
        <v>0</v>
      </c>
      <c r="BL52" s="19">
        <v>0</v>
      </c>
      <c r="BM52" s="20">
        <v>0</v>
      </c>
      <c r="BN52" s="18">
        <v>0</v>
      </c>
      <c r="BO52" s="19">
        <v>0</v>
      </c>
      <c r="BP52" s="20">
        <v>0</v>
      </c>
      <c r="BQ52" s="18">
        <v>0</v>
      </c>
      <c r="BR52" s="19">
        <v>0</v>
      </c>
      <c r="BS52" s="20">
        <v>0</v>
      </c>
      <c r="BT52" s="18">
        <v>0</v>
      </c>
      <c r="BU52" s="19">
        <v>0</v>
      </c>
      <c r="BV52" s="20">
        <v>0</v>
      </c>
      <c r="BW52" s="109">
        <f>($Y51-$Y50)*$Y52-$Y51^2+$Y50*$Y51+($X51-$X50)*$X52-$X51^2+$X50*$X51</f>
        <v>-4</v>
      </c>
      <c r="BX52" s="102">
        <f>($Y50-$Y51)*$Y52+$Y50*$Y51-$Y50^2+($X50-$X51)*$X52+$X50*$X51-$X50^2</f>
        <v>-4</v>
      </c>
      <c r="BY52" s="103">
        <f>$Y51^2-2*$Y50*$Y51+$Y50^2+$X51^2-2*$X50*$X51+$X50^2</f>
        <v>8</v>
      </c>
      <c r="BZ52" s="18">
        <v>0</v>
      </c>
      <c r="CA52" s="19">
        <v>0</v>
      </c>
      <c r="CB52" s="104">
        <v>0</v>
      </c>
    </row>
    <row r="53" spans="1:80" x14ac:dyDescent="0.25">
      <c r="A53" s="23">
        <f t="shared" si="1"/>
        <v>18</v>
      </c>
      <c r="B53" s="23">
        <f t="shared" si="2"/>
        <v>1</v>
      </c>
      <c r="C53" s="23" t="str">
        <f t="shared" si="0"/>
        <v>T18_1</v>
      </c>
      <c r="E53" s="3"/>
      <c r="F53" s="4"/>
      <c r="G53" s="4"/>
      <c r="H53" s="4"/>
      <c r="I53" s="4"/>
      <c r="J53" s="4"/>
      <c r="K53" s="4"/>
      <c r="L53" s="4"/>
      <c r="M53" s="4"/>
      <c r="N53" s="4"/>
      <c r="O53" s="4">
        <v>1</v>
      </c>
      <c r="P53" s="4"/>
      <c r="Q53" s="4"/>
      <c r="R53" s="4"/>
      <c r="S53" s="4"/>
      <c r="T53" s="5"/>
      <c r="W53" s="85">
        <v>1</v>
      </c>
      <c r="X53" s="86">
        <v>1</v>
      </c>
      <c r="Y53" s="87">
        <v>1</v>
      </c>
      <c r="Z53" s="88" t="s">
        <v>204</v>
      </c>
      <c r="AA53" s="105">
        <v>0</v>
      </c>
      <c r="AB53" s="14">
        <v>0</v>
      </c>
      <c r="AC53" s="15">
        <v>0</v>
      </c>
      <c r="AD53" s="13">
        <v>0</v>
      </c>
      <c r="AE53" s="14">
        <v>0</v>
      </c>
      <c r="AF53" s="15">
        <v>0</v>
      </c>
      <c r="AG53" s="13">
        <v>0</v>
      </c>
      <c r="AH53" s="14">
        <v>0</v>
      </c>
      <c r="AI53" s="15">
        <v>0</v>
      </c>
      <c r="AJ53" s="13">
        <v>0</v>
      </c>
      <c r="AK53" s="14">
        <v>0</v>
      </c>
      <c r="AL53" s="15">
        <v>0</v>
      </c>
      <c r="AM53" s="13">
        <v>0</v>
      </c>
      <c r="AN53" s="14">
        <v>0</v>
      </c>
      <c r="AO53" s="15">
        <v>0</v>
      </c>
      <c r="AP53" s="13">
        <v>0</v>
      </c>
      <c r="AQ53" s="14">
        <v>0</v>
      </c>
      <c r="AR53" s="15">
        <v>0</v>
      </c>
      <c r="AS53" s="13">
        <v>0</v>
      </c>
      <c r="AT53" s="14">
        <v>0</v>
      </c>
      <c r="AU53" s="15">
        <v>0</v>
      </c>
      <c r="AV53" s="13">
        <v>0</v>
      </c>
      <c r="AW53" s="14">
        <v>0</v>
      </c>
      <c r="AX53" s="15">
        <v>0</v>
      </c>
      <c r="AY53" s="13">
        <v>0</v>
      </c>
      <c r="AZ53" s="14">
        <v>0</v>
      </c>
      <c r="BA53" s="15">
        <v>0</v>
      </c>
      <c r="BB53" s="13">
        <v>0</v>
      </c>
      <c r="BC53" s="14">
        <v>0</v>
      </c>
      <c r="BD53" s="15">
        <v>0</v>
      </c>
      <c r="BE53" s="13">
        <v>0</v>
      </c>
      <c r="BF53" s="14">
        <v>0</v>
      </c>
      <c r="BG53" s="15">
        <v>0</v>
      </c>
      <c r="BH53" s="13">
        <v>0</v>
      </c>
      <c r="BI53" s="14">
        <v>0</v>
      </c>
      <c r="BJ53" s="15">
        <v>0</v>
      </c>
      <c r="BK53" s="13">
        <v>0</v>
      </c>
      <c r="BL53" s="14">
        <v>0</v>
      </c>
      <c r="BM53" s="15">
        <v>0</v>
      </c>
      <c r="BN53" s="13">
        <v>0</v>
      </c>
      <c r="BO53" s="14">
        <v>0</v>
      </c>
      <c r="BP53" s="15">
        <v>0</v>
      </c>
      <c r="BQ53" s="13">
        <v>0</v>
      </c>
      <c r="BR53" s="14">
        <v>0</v>
      </c>
      <c r="BS53" s="15">
        <v>0</v>
      </c>
      <c r="BT53" s="13">
        <v>0</v>
      </c>
      <c r="BU53" s="14">
        <v>0</v>
      </c>
      <c r="BV53" s="15">
        <v>0</v>
      </c>
      <c r="BW53" s="13">
        <v>0</v>
      </c>
      <c r="BX53" s="14">
        <v>0</v>
      </c>
      <c r="BY53" s="15">
        <v>0</v>
      </c>
      <c r="BZ53" s="106">
        <f>$Y55^2-2*$Y54*$Y55+$Y54^2+$X55^2-2*$X54*$X55+$X54^2</f>
        <v>4</v>
      </c>
      <c r="CA53" s="90">
        <f>BZ54</f>
        <v>-4</v>
      </c>
      <c r="CB53" s="110">
        <f>BZ55</f>
        <v>0</v>
      </c>
    </row>
    <row r="54" spans="1:80" x14ac:dyDescent="0.25">
      <c r="A54" s="23">
        <f t="shared" si="1"/>
        <v>18</v>
      </c>
      <c r="B54" s="23">
        <f t="shared" si="2"/>
        <v>2</v>
      </c>
      <c r="C54" s="23" t="str">
        <f t="shared" si="0"/>
        <v>T18_2</v>
      </c>
      <c r="E54" s="3"/>
      <c r="F54" s="4"/>
      <c r="G54" s="4"/>
      <c r="H54" s="4"/>
      <c r="I54" s="4"/>
      <c r="J54" s="4"/>
      <c r="K54" s="4"/>
      <c r="L54" s="4"/>
      <c r="M54" s="4"/>
      <c r="N54" s="4"/>
      <c r="O54" s="4"/>
      <c r="P54" s="4">
        <v>1</v>
      </c>
      <c r="Q54" s="4"/>
      <c r="R54" s="4"/>
      <c r="S54" s="4"/>
      <c r="T54" s="5"/>
      <c r="W54" s="93">
        <v>1</v>
      </c>
      <c r="X54" s="49">
        <v>3</v>
      </c>
      <c r="Y54" s="94">
        <v>1</v>
      </c>
      <c r="Z54" s="95" t="s">
        <v>205</v>
      </c>
      <c r="AA54" s="3">
        <v>0</v>
      </c>
      <c r="AB54" s="4">
        <v>0</v>
      </c>
      <c r="AC54" s="17">
        <v>0</v>
      </c>
      <c r="AD54" s="16">
        <v>0</v>
      </c>
      <c r="AE54" s="4">
        <v>0</v>
      </c>
      <c r="AF54" s="17">
        <v>0</v>
      </c>
      <c r="AG54" s="16">
        <v>0</v>
      </c>
      <c r="AH54" s="4">
        <v>0</v>
      </c>
      <c r="AI54" s="17">
        <v>0</v>
      </c>
      <c r="AJ54" s="16">
        <v>0</v>
      </c>
      <c r="AK54" s="4">
        <v>0</v>
      </c>
      <c r="AL54" s="17">
        <v>0</v>
      </c>
      <c r="AM54" s="16">
        <v>0</v>
      </c>
      <c r="AN54" s="4">
        <v>0</v>
      </c>
      <c r="AO54" s="17">
        <v>0</v>
      </c>
      <c r="AP54" s="16">
        <v>0</v>
      </c>
      <c r="AQ54" s="4">
        <v>0</v>
      </c>
      <c r="AR54" s="17">
        <v>0</v>
      </c>
      <c r="AS54" s="16">
        <v>0</v>
      </c>
      <c r="AT54" s="4">
        <v>0</v>
      </c>
      <c r="AU54" s="17">
        <v>0</v>
      </c>
      <c r="AV54" s="16">
        <v>0</v>
      </c>
      <c r="AW54" s="4">
        <v>0</v>
      </c>
      <c r="AX54" s="17">
        <v>0</v>
      </c>
      <c r="AY54" s="16">
        <v>0</v>
      </c>
      <c r="AZ54" s="4">
        <v>0</v>
      </c>
      <c r="BA54" s="17">
        <v>0</v>
      </c>
      <c r="BB54" s="16">
        <v>0</v>
      </c>
      <c r="BC54" s="4">
        <v>0</v>
      </c>
      <c r="BD54" s="17">
        <v>0</v>
      </c>
      <c r="BE54" s="16">
        <v>0</v>
      </c>
      <c r="BF54" s="4">
        <v>0</v>
      </c>
      <c r="BG54" s="17">
        <v>0</v>
      </c>
      <c r="BH54" s="16">
        <v>0</v>
      </c>
      <c r="BI54" s="4">
        <v>0</v>
      </c>
      <c r="BJ54" s="17">
        <v>0</v>
      </c>
      <c r="BK54" s="16">
        <v>0</v>
      </c>
      <c r="BL54" s="4">
        <v>0</v>
      </c>
      <c r="BM54" s="17">
        <v>0</v>
      </c>
      <c r="BN54" s="16">
        <v>0</v>
      </c>
      <c r="BO54" s="4">
        <v>0</v>
      </c>
      <c r="BP54" s="17">
        <v>0</v>
      </c>
      <c r="BQ54" s="16">
        <v>0</v>
      </c>
      <c r="BR54" s="4">
        <v>0</v>
      </c>
      <c r="BS54" s="17">
        <v>0</v>
      </c>
      <c r="BT54" s="16">
        <v>0</v>
      </c>
      <c r="BU54" s="4">
        <v>0</v>
      </c>
      <c r="BV54" s="17">
        <v>0</v>
      </c>
      <c r="BW54" s="16">
        <v>0</v>
      </c>
      <c r="BX54" s="4">
        <v>0</v>
      </c>
      <c r="BY54" s="17">
        <v>0</v>
      </c>
      <c r="BZ54" s="107">
        <f>-($Y55^2)+($Y54+$Y53)*$Y55-($Y53*$Y54)-($X55^2)+($X54+$X53)*$X55-($X53*$X54)</f>
        <v>-4</v>
      </c>
      <c r="CA54" s="11">
        <f>$Y55^2-2*$Y53*$Y55+$Y53^2+$X55^2-2*$X53*$X55+$X53^2</f>
        <v>8</v>
      </c>
      <c r="CB54" s="12">
        <f>CA55</f>
        <v>-4</v>
      </c>
    </row>
    <row r="55" spans="1:80" x14ac:dyDescent="0.25">
      <c r="A55" s="23">
        <f t="shared" si="1"/>
        <v>18</v>
      </c>
      <c r="B55" s="23">
        <f t="shared" si="2"/>
        <v>3</v>
      </c>
      <c r="C55" s="23" t="str">
        <f t="shared" si="0"/>
        <v>T18_3</v>
      </c>
      <c r="E55" s="3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5">
        <v>1</v>
      </c>
      <c r="W55" s="97">
        <v>1</v>
      </c>
      <c r="X55" s="98">
        <v>3</v>
      </c>
      <c r="Y55" s="99">
        <v>3</v>
      </c>
      <c r="Z55" s="100" t="s">
        <v>206</v>
      </c>
      <c r="AA55" s="108">
        <v>0</v>
      </c>
      <c r="AB55" s="19">
        <v>0</v>
      </c>
      <c r="AC55" s="20">
        <v>0</v>
      </c>
      <c r="AD55" s="18">
        <v>0</v>
      </c>
      <c r="AE55" s="19">
        <v>0</v>
      </c>
      <c r="AF55" s="20">
        <v>0</v>
      </c>
      <c r="AG55" s="18">
        <v>0</v>
      </c>
      <c r="AH55" s="19">
        <v>0</v>
      </c>
      <c r="AI55" s="20">
        <v>0</v>
      </c>
      <c r="AJ55" s="18">
        <v>0</v>
      </c>
      <c r="AK55" s="19">
        <v>0</v>
      </c>
      <c r="AL55" s="20">
        <v>0</v>
      </c>
      <c r="AM55" s="18">
        <v>0</v>
      </c>
      <c r="AN55" s="19">
        <v>0</v>
      </c>
      <c r="AO55" s="20">
        <v>0</v>
      </c>
      <c r="AP55" s="18">
        <v>0</v>
      </c>
      <c r="AQ55" s="19">
        <v>0</v>
      </c>
      <c r="AR55" s="20">
        <v>0</v>
      </c>
      <c r="AS55" s="18">
        <v>0</v>
      </c>
      <c r="AT55" s="19">
        <v>0</v>
      </c>
      <c r="AU55" s="20">
        <v>0</v>
      </c>
      <c r="AV55" s="18">
        <v>0</v>
      </c>
      <c r="AW55" s="19">
        <v>0</v>
      </c>
      <c r="AX55" s="20">
        <v>0</v>
      </c>
      <c r="AY55" s="18">
        <v>0</v>
      </c>
      <c r="AZ55" s="19">
        <v>0</v>
      </c>
      <c r="BA55" s="20">
        <v>0</v>
      </c>
      <c r="BB55" s="18">
        <v>0</v>
      </c>
      <c r="BC55" s="19">
        <v>0</v>
      </c>
      <c r="BD55" s="20">
        <v>0</v>
      </c>
      <c r="BE55" s="18">
        <v>0</v>
      </c>
      <c r="BF55" s="19">
        <v>0</v>
      </c>
      <c r="BG55" s="20">
        <v>0</v>
      </c>
      <c r="BH55" s="18">
        <v>0</v>
      </c>
      <c r="BI55" s="19">
        <v>0</v>
      </c>
      <c r="BJ55" s="20">
        <v>0</v>
      </c>
      <c r="BK55" s="18">
        <v>0</v>
      </c>
      <c r="BL55" s="19">
        <v>0</v>
      </c>
      <c r="BM55" s="20">
        <v>0</v>
      </c>
      <c r="BN55" s="18">
        <v>0</v>
      </c>
      <c r="BO55" s="19">
        <v>0</v>
      </c>
      <c r="BP55" s="20">
        <v>0</v>
      </c>
      <c r="BQ55" s="18">
        <v>0</v>
      </c>
      <c r="BR55" s="19">
        <v>0</v>
      </c>
      <c r="BS55" s="20">
        <v>0</v>
      </c>
      <c r="BT55" s="18">
        <v>0</v>
      </c>
      <c r="BU55" s="19">
        <v>0</v>
      </c>
      <c r="BV55" s="20">
        <v>0</v>
      </c>
      <c r="BW55" s="18">
        <v>0</v>
      </c>
      <c r="BX55" s="19">
        <v>0</v>
      </c>
      <c r="BY55" s="20">
        <v>0</v>
      </c>
      <c r="BZ55" s="109">
        <f>($Y54-$Y53)*$Y55-$Y54^2+$Y53*$Y54+($X54-$X53)*$X55-$X54^2+$X53*$X54</f>
        <v>0</v>
      </c>
      <c r="CA55" s="102">
        <f>($Y53-$Y54)*$Y55+$Y53*$Y54-$Y53^2+($X53-$X54)*$X55+$X53*$X54-$X53^2</f>
        <v>-4</v>
      </c>
      <c r="CB55" s="111">
        <f>$Y54^2-2*$Y53*$Y54+$Y53^2+$X54^2-2*$X53*$X54+$X53^2</f>
        <v>4</v>
      </c>
    </row>
    <row r="57" spans="1:80" ht="17.25" x14ac:dyDescent="0.25">
      <c r="C57" s="85" t="s">
        <v>163</v>
      </c>
      <c r="D57" s="86"/>
      <c r="E57" s="14" t="s">
        <v>207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5"/>
    </row>
    <row r="58" spans="1:80" x14ac:dyDescent="0.25">
      <c r="C58" s="93" t="str">
        <f t="shared" ref="C58:C111" si="3">C2</f>
        <v>T1_1</v>
      </c>
      <c r="D58" s="49"/>
      <c r="E58" s="3">
        <f t="shared" ref="E58:T73" si="4">IF(E2="",0,E2)</f>
        <v>1</v>
      </c>
      <c r="F58" s="4">
        <f t="shared" si="4"/>
        <v>0</v>
      </c>
      <c r="G58" s="4">
        <f t="shared" si="4"/>
        <v>0</v>
      </c>
      <c r="H58" s="4">
        <f t="shared" si="4"/>
        <v>0</v>
      </c>
      <c r="I58" s="4">
        <f t="shared" si="4"/>
        <v>0</v>
      </c>
      <c r="J58" s="4">
        <f t="shared" si="4"/>
        <v>0</v>
      </c>
      <c r="K58" s="4">
        <f t="shared" si="4"/>
        <v>0</v>
      </c>
      <c r="L58" s="4">
        <f t="shared" si="4"/>
        <v>0</v>
      </c>
      <c r="M58" s="4">
        <f t="shared" si="4"/>
        <v>0</v>
      </c>
      <c r="N58" s="4">
        <f t="shared" si="4"/>
        <v>0</v>
      </c>
      <c r="O58" s="4">
        <f t="shared" si="4"/>
        <v>0</v>
      </c>
      <c r="P58" s="4">
        <f t="shared" si="4"/>
        <v>0</v>
      </c>
      <c r="Q58" s="4">
        <f t="shared" si="4"/>
        <v>0</v>
      </c>
      <c r="R58" s="4">
        <f t="shared" si="4"/>
        <v>0</v>
      </c>
      <c r="S58" s="4">
        <f t="shared" si="4"/>
        <v>0</v>
      </c>
      <c r="T58" s="17">
        <f t="shared" si="4"/>
        <v>0</v>
      </c>
    </row>
    <row r="59" spans="1:80" hidden="1" x14ac:dyDescent="0.25">
      <c r="C59" s="93" t="str">
        <f t="shared" si="3"/>
        <v>T1_2</v>
      </c>
      <c r="D59" s="49"/>
      <c r="E59" s="3">
        <f t="shared" si="4"/>
        <v>0</v>
      </c>
      <c r="F59" s="4">
        <f t="shared" si="4"/>
        <v>0</v>
      </c>
      <c r="G59" s="4">
        <f t="shared" si="4"/>
        <v>0</v>
      </c>
      <c r="H59" s="4">
        <f t="shared" si="4"/>
        <v>0</v>
      </c>
      <c r="I59" s="4">
        <f t="shared" si="4"/>
        <v>0</v>
      </c>
      <c r="J59" s="4">
        <f t="shared" si="4"/>
        <v>1</v>
      </c>
      <c r="K59" s="4">
        <f t="shared" si="4"/>
        <v>0</v>
      </c>
      <c r="L59" s="4">
        <f t="shared" si="4"/>
        <v>0</v>
      </c>
      <c r="M59" s="4">
        <f t="shared" si="4"/>
        <v>0</v>
      </c>
      <c r="N59" s="4">
        <f t="shared" si="4"/>
        <v>0</v>
      </c>
      <c r="O59" s="4">
        <f t="shared" si="4"/>
        <v>0</v>
      </c>
      <c r="P59" s="4">
        <f t="shared" si="4"/>
        <v>0</v>
      </c>
      <c r="Q59" s="4">
        <f t="shared" si="4"/>
        <v>0</v>
      </c>
      <c r="R59" s="4">
        <f t="shared" si="4"/>
        <v>0</v>
      </c>
      <c r="S59" s="4">
        <f t="shared" si="4"/>
        <v>0</v>
      </c>
      <c r="T59" s="17">
        <f t="shared" si="4"/>
        <v>0</v>
      </c>
    </row>
    <row r="60" spans="1:80" hidden="1" x14ac:dyDescent="0.25">
      <c r="C60" s="93" t="str">
        <f t="shared" si="3"/>
        <v>T1_3</v>
      </c>
      <c r="D60" s="49"/>
      <c r="E60" s="3">
        <f t="shared" si="4"/>
        <v>0</v>
      </c>
      <c r="F60" s="4">
        <f t="shared" si="4"/>
        <v>0</v>
      </c>
      <c r="G60" s="4">
        <f t="shared" si="4"/>
        <v>0</v>
      </c>
      <c r="H60" s="4">
        <f t="shared" si="4"/>
        <v>0</v>
      </c>
      <c r="I60" s="4">
        <f t="shared" si="4"/>
        <v>1</v>
      </c>
      <c r="J60" s="4">
        <f t="shared" si="4"/>
        <v>0</v>
      </c>
      <c r="K60" s="4">
        <f t="shared" si="4"/>
        <v>0</v>
      </c>
      <c r="L60" s="4">
        <f t="shared" si="4"/>
        <v>0</v>
      </c>
      <c r="M60" s="4">
        <f t="shared" si="4"/>
        <v>0</v>
      </c>
      <c r="N60" s="4">
        <f t="shared" si="4"/>
        <v>0</v>
      </c>
      <c r="O60" s="4">
        <f t="shared" si="4"/>
        <v>0</v>
      </c>
      <c r="P60" s="4">
        <f t="shared" si="4"/>
        <v>0</v>
      </c>
      <c r="Q60" s="4">
        <f t="shared" si="4"/>
        <v>0</v>
      </c>
      <c r="R60" s="4">
        <f t="shared" si="4"/>
        <v>0</v>
      </c>
      <c r="S60" s="4">
        <f t="shared" si="4"/>
        <v>0</v>
      </c>
      <c r="T60" s="17">
        <f t="shared" si="4"/>
        <v>0</v>
      </c>
    </row>
    <row r="61" spans="1:80" hidden="1" x14ac:dyDescent="0.25">
      <c r="C61" s="93" t="str">
        <f t="shared" si="3"/>
        <v>T2_1</v>
      </c>
      <c r="D61" s="49"/>
      <c r="E61" s="3">
        <f t="shared" si="4"/>
        <v>1</v>
      </c>
      <c r="F61" s="4">
        <f t="shared" si="4"/>
        <v>0</v>
      </c>
      <c r="G61" s="4">
        <f t="shared" si="4"/>
        <v>0</v>
      </c>
      <c r="H61" s="4">
        <f t="shared" si="4"/>
        <v>0</v>
      </c>
      <c r="I61" s="4">
        <f t="shared" si="4"/>
        <v>0</v>
      </c>
      <c r="J61" s="4">
        <f t="shared" si="4"/>
        <v>0</v>
      </c>
      <c r="K61" s="4">
        <f t="shared" si="4"/>
        <v>0</v>
      </c>
      <c r="L61" s="4">
        <f t="shared" si="4"/>
        <v>0</v>
      </c>
      <c r="M61" s="4">
        <f t="shared" si="4"/>
        <v>0</v>
      </c>
      <c r="N61" s="4">
        <f t="shared" si="4"/>
        <v>0</v>
      </c>
      <c r="O61" s="4">
        <f t="shared" si="4"/>
        <v>0</v>
      </c>
      <c r="P61" s="4">
        <f t="shared" si="4"/>
        <v>0</v>
      </c>
      <c r="Q61" s="4">
        <f t="shared" si="4"/>
        <v>0</v>
      </c>
      <c r="R61" s="4">
        <f t="shared" si="4"/>
        <v>0</v>
      </c>
      <c r="S61" s="4">
        <f t="shared" si="4"/>
        <v>0</v>
      </c>
      <c r="T61" s="17">
        <f t="shared" si="4"/>
        <v>0</v>
      </c>
    </row>
    <row r="62" spans="1:80" hidden="1" x14ac:dyDescent="0.25">
      <c r="C62" s="93" t="str">
        <f t="shared" si="3"/>
        <v>T2_2</v>
      </c>
      <c r="D62" s="49"/>
      <c r="E62" s="3">
        <f t="shared" si="4"/>
        <v>0</v>
      </c>
      <c r="F62" s="4">
        <f t="shared" si="4"/>
        <v>1</v>
      </c>
      <c r="G62" s="4">
        <f t="shared" si="4"/>
        <v>0</v>
      </c>
      <c r="H62" s="4">
        <f t="shared" si="4"/>
        <v>0</v>
      </c>
      <c r="I62" s="4">
        <f t="shared" si="4"/>
        <v>0</v>
      </c>
      <c r="J62" s="4">
        <f t="shared" si="4"/>
        <v>0</v>
      </c>
      <c r="K62" s="4">
        <f t="shared" si="4"/>
        <v>0</v>
      </c>
      <c r="L62" s="4">
        <f t="shared" si="4"/>
        <v>0</v>
      </c>
      <c r="M62" s="4">
        <f t="shared" si="4"/>
        <v>0</v>
      </c>
      <c r="N62" s="4">
        <f t="shared" si="4"/>
        <v>0</v>
      </c>
      <c r="O62" s="4">
        <f t="shared" si="4"/>
        <v>0</v>
      </c>
      <c r="P62" s="4">
        <f t="shared" si="4"/>
        <v>0</v>
      </c>
      <c r="Q62" s="4">
        <f t="shared" si="4"/>
        <v>0</v>
      </c>
      <c r="R62" s="4">
        <f t="shared" si="4"/>
        <v>0</v>
      </c>
      <c r="S62" s="4">
        <f t="shared" si="4"/>
        <v>0</v>
      </c>
      <c r="T62" s="17">
        <f t="shared" si="4"/>
        <v>0</v>
      </c>
    </row>
    <row r="63" spans="1:80" hidden="1" x14ac:dyDescent="0.25">
      <c r="C63" s="93" t="str">
        <f t="shared" si="3"/>
        <v>T2_3</v>
      </c>
      <c r="D63" s="49"/>
      <c r="E63" s="3">
        <f t="shared" si="4"/>
        <v>0</v>
      </c>
      <c r="F63" s="4">
        <f t="shared" si="4"/>
        <v>0</v>
      </c>
      <c r="G63" s="4">
        <f t="shared" si="4"/>
        <v>0</v>
      </c>
      <c r="H63" s="4">
        <f t="shared" si="4"/>
        <v>0</v>
      </c>
      <c r="I63" s="4">
        <f t="shared" si="4"/>
        <v>0</v>
      </c>
      <c r="J63" s="4">
        <f t="shared" si="4"/>
        <v>1</v>
      </c>
      <c r="K63" s="4">
        <f t="shared" si="4"/>
        <v>0</v>
      </c>
      <c r="L63" s="4">
        <f t="shared" si="4"/>
        <v>0</v>
      </c>
      <c r="M63" s="4">
        <f t="shared" si="4"/>
        <v>0</v>
      </c>
      <c r="N63" s="4">
        <f t="shared" si="4"/>
        <v>0</v>
      </c>
      <c r="O63" s="4">
        <f t="shared" si="4"/>
        <v>0</v>
      </c>
      <c r="P63" s="4">
        <f t="shared" si="4"/>
        <v>0</v>
      </c>
      <c r="Q63" s="4">
        <f t="shared" si="4"/>
        <v>0</v>
      </c>
      <c r="R63" s="4">
        <f t="shared" si="4"/>
        <v>0</v>
      </c>
      <c r="S63" s="4">
        <f t="shared" si="4"/>
        <v>0</v>
      </c>
      <c r="T63" s="17">
        <f t="shared" si="4"/>
        <v>0</v>
      </c>
    </row>
    <row r="64" spans="1:80" hidden="1" x14ac:dyDescent="0.25">
      <c r="C64" s="93" t="str">
        <f t="shared" si="3"/>
        <v>T3_1</v>
      </c>
      <c r="D64" s="49"/>
      <c r="E64" s="3">
        <f t="shared" si="4"/>
        <v>0</v>
      </c>
      <c r="F64" s="4">
        <f t="shared" si="4"/>
        <v>1</v>
      </c>
      <c r="G64" s="4">
        <f t="shared" si="4"/>
        <v>0</v>
      </c>
      <c r="H64" s="4">
        <f t="shared" si="4"/>
        <v>0</v>
      </c>
      <c r="I64" s="4">
        <f t="shared" si="4"/>
        <v>0</v>
      </c>
      <c r="J64" s="4">
        <f t="shared" si="4"/>
        <v>0</v>
      </c>
      <c r="K64" s="4">
        <f t="shared" si="4"/>
        <v>0</v>
      </c>
      <c r="L64" s="4">
        <f t="shared" si="4"/>
        <v>0</v>
      </c>
      <c r="M64" s="4">
        <f t="shared" si="4"/>
        <v>0</v>
      </c>
      <c r="N64" s="4">
        <f t="shared" si="4"/>
        <v>0</v>
      </c>
      <c r="O64" s="4">
        <f t="shared" si="4"/>
        <v>0</v>
      </c>
      <c r="P64" s="4">
        <f t="shared" si="4"/>
        <v>0</v>
      </c>
      <c r="Q64" s="4">
        <f t="shared" si="4"/>
        <v>0</v>
      </c>
      <c r="R64" s="4">
        <f t="shared" si="4"/>
        <v>0</v>
      </c>
      <c r="S64" s="4">
        <f t="shared" si="4"/>
        <v>0</v>
      </c>
      <c r="T64" s="17">
        <f t="shared" si="4"/>
        <v>0</v>
      </c>
    </row>
    <row r="65" spans="3:20" hidden="1" x14ac:dyDescent="0.25">
      <c r="C65" s="93" t="str">
        <f t="shared" si="3"/>
        <v>T3_2</v>
      </c>
      <c r="D65" s="49"/>
      <c r="E65" s="3">
        <f t="shared" si="4"/>
        <v>0</v>
      </c>
      <c r="F65" s="4">
        <f t="shared" si="4"/>
        <v>0</v>
      </c>
      <c r="G65" s="4">
        <f t="shared" si="4"/>
        <v>0</v>
      </c>
      <c r="H65" s="4">
        <f t="shared" si="4"/>
        <v>0</v>
      </c>
      <c r="I65" s="4">
        <f t="shared" si="4"/>
        <v>0</v>
      </c>
      <c r="J65" s="4">
        <f t="shared" si="4"/>
        <v>0</v>
      </c>
      <c r="K65" s="4">
        <f t="shared" si="4"/>
        <v>1</v>
      </c>
      <c r="L65" s="4">
        <f t="shared" si="4"/>
        <v>0</v>
      </c>
      <c r="M65" s="4">
        <f t="shared" si="4"/>
        <v>0</v>
      </c>
      <c r="N65" s="4">
        <f t="shared" si="4"/>
        <v>0</v>
      </c>
      <c r="O65" s="4">
        <f t="shared" si="4"/>
        <v>0</v>
      </c>
      <c r="P65" s="4">
        <f t="shared" si="4"/>
        <v>0</v>
      </c>
      <c r="Q65" s="4">
        <f t="shared" si="4"/>
        <v>0</v>
      </c>
      <c r="R65" s="4">
        <f t="shared" si="4"/>
        <v>0</v>
      </c>
      <c r="S65" s="4">
        <f t="shared" si="4"/>
        <v>0</v>
      </c>
      <c r="T65" s="17">
        <f t="shared" si="4"/>
        <v>0</v>
      </c>
    </row>
    <row r="66" spans="3:20" hidden="1" x14ac:dyDescent="0.25">
      <c r="C66" s="93" t="str">
        <f t="shared" si="3"/>
        <v>T3_3</v>
      </c>
      <c r="D66" s="49"/>
      <c r="E66" s="3">
        <f t="shared" si="4"/>
        <v>0</v>
      </c>
      <c r="F66" s="4">
        <f t="shared" si="4"/>
        <v>0</v>
      </c>
      <c r="G66" s="4">
        <f t="shared" si="4"/>
        <v>0</v>
      </c>
      <c r="H66" s="4">
        <f t="shared" si="4"/>
        <v>0</v>
      </c>
      <c r="I66" s="4">
        <f t="shared" si="4"/>
        <v>0</v>
      </c>
      <c r="J66" s="4">
        <f t="shared" si="4"/>
        <v>1</v>
      </c>
      <c r="K66" s="4">
        <f t="shared" si="4"/>
        <v>0</v>
      </c>
      <c r="L66" s="4">
        <f t="shared" si="4"/>
        <v>0</v>
      </c>
      <c r="M66" s="4">
        <f t="shared" si="4"/>
        <v>0</v>
      </c>
      <c r="N66" s="4">
        <f t="shared" si="4"/>
        <v>0</v>
      </c>
      <c r="O66" s="4">
        <f t="shared" si="4"/>
        <v>0</v>
      </c>
      <c r="P66" s="4">
        <f t="shared" si="4"/>
        <v>0</v>
      </c>
      <c r="Q66" s="4">
        <f t="shared" si="4"/>
        <v>0</v>
      </c>
      <c r="R66" s="4">
        <f t="shared" si="4"/>
        <v>0</v>
      </c>
      <c r="S66" s="4">
        <f t="shared" si="4"/>
        <v>0</v>
      </c>
      <c r="T66" s="17">
        <f t="shared" si="4"/>
        <v>0</v>
      </c>
    </row>
    <row r="67" spans="3:20" hidden="1" x14ac:dyDescent="0.25">
      <c r="C67" s="93" t="str">
        <f t="shared" si="3"/>
        <v>T4_1</v>
      </c>
      <c r="D67" s="49"/>
      <c r="E67" s="3">
        <f t="shared" si="4"/>
        <v>0</v>
      </c>
      <c r="F67" s="4">
        <f t="shared" si="4"/>
        <v>1</v>
      </c>
      <c r="G67" s="4">
        <f t="shared" si="4"/>
        <v>0</v>
      </c>
      <c r="H67" s="4">
        <f t="shared" si="4"/>
        <v>0</v>
      </c>
      <c r="I67" s="4">
        <f t="shared" si="4"/>
        <v>0</v>
      </c>
      <c r="J67" s="4">
        <f t="shared" si="4"/>
        <v>0</v>
      </c>
      <c r="K67" s="4">
        <f t="shared" si="4"/>
        <v>0</v>
      </c>
      <c r="L67" s="4">
        <f t="shared" si="4"/>
        <v>0</v>
      </c>
      <c r="M67" s="4">
        <f t="shared" si="4"/>
        <v>0</v>
      </c>
      <c r="N67" s="4">
        <f t="shared" si="4"/>
        <v>0</v>
      </c>
      <c r="O67" s="4">
        <f t="shared" si="4"/>
        <v>0</v>
      </c>
      <c r="P67" s="4">
        <f t="shared" si="4"/>
        <v>0</v>
      </c>
      <c r="Q67" s="4">
        <f t="shared" si="4"/>
        <v>0</v>
      </c>
      <c r="R67" s="4">
        <f t="shared" si="4"/>
        <v>0</v>
      </c>
      <c r="S67" s="4">
        <f t="shared" si="4"/>
        <v>0</v>
      </c>
      <c r="T67" s="17">
        <f t="shared" si="4"/>
        <v>0</v>
      </c>
    </row>
    <row r="68" spans="3:20" hidden="1" x14ac:dyDescent="0.25">
      <c r="C68" s="93" t="str">
        <f t="shared" si="3"/>
        <v>T4_2</v>
      </c>
      <c r="D68" s="49"/>
      <c r="E68" s="3">
        <f t="shared" si="4"/>
        <v>0</v>
      </c>
      <c r="F68" s="4">
        <f t="shared" si="4"/>
        <v>0</v>
      </c>
      <c r="G68" s="4">
        <f t="shared" si="4"/>
        <v>1</v>
      </c>
      <c r="H68" s="4">
        <f t="shared" si="4"/>
        <v>0</v>
      </c>
      <c r="I68" s="4">
        <f t="shared" si="4"/>
        <v>0</v>
      </c>
      <c r="J68" s="4">
        <f t="shared" si="4"/>
        <v>0</v>
      </c>
      <c r="K68" s="4">
        <f t="shared" si="4"/>
        <v>0</v>
      </c>
      <c r="L68" s="4">
        <f t="shared" si="4"/>
        <v>0</v>
      </c>
      <c r="M68" s="4">
        <f t="shared" si="4"/>
        <v>0</v>
      </c>
      <c r="N68" s="4">
        <f t="shared" si="4"/>
        <v>0</v>
      </c>
      <c r="O68" s="4">
        <f t="shared" si="4"/>
        <v>0</v>
      </c>
      <c r="P68" s="4">
        <f t="shared" si="4"/>
        <v>0</v>
      </c>
      <c r="Q68" s="4">
        <f t="shared" si="4"/>
        <v>0</v>
      </c>
      <c r="R68" s="4">
        <f t="shared" si="4"/>
        <v>0</v>
      </c>
      <c r="S68" s="4">
        <f t="shared" si="4"/>
        <v>0</v>
      </c>
      <c r="T68" s="17">
        <f t="shared" si="4"/>
        <v>0</v>
      </c>
    </row>
    <row r="69" spans="3:20" hidden="1" x14ac:dyDescent="0.25">
      <c r="C69" s="93" t="str">
        <f t="shared" si="3"/>
        <v>T4_3</v>
      </c>
      <c r="D69" s="49"/>
      <c r="E69" s="3">
        <f t="shared" si="4"/>
        <v>0</v>
      </c>
      <c r="F69" s="4">
        <f t="shared" si="4"/>
        <v>0</v>
      </c>
      <c r="G69" s="4">
        <f t="shared" si="4"/>
        <v>0</v>
      </c>
      <c r="H69" s="4">
        <f t="shared" si="4"/>
        <v>0</v>
      </c>
      <c r="I69" s="4">
        <f t="shared" si="4"/>
        <v>0</v>
      </c>
      <c r="J69" s="4">
        <f t="shared" si="4"/>
        <v>0</v>
      </c>
      <c r="K69" s="4">
        <f t="shared" si="4"/>
        <v>1</v>
      </c>
      <c r="L69" s="4">
        <f t="shared" si="4"/>
        <v>0</v>
      </c>
      <c r="M69" s="4">
        <f t="shared" si="4"/>
        <v>0</v>
      </c>
      <c r="N69" s="4">
        <f t="shared" si="4"/>
        <v>0</v>
      </c>
      <c r="O69" s="4">
        <f t="shared" si="4"/>
        <v>0</v>
      </c>
      <c r="P69" s="4">
        <f t="shared" si="4"/>
        <v>0</v>
      </c>
      <c r="Q69" s="4">
        <f t="shared" si="4"/>
        <v>0</v>
      </c>
      <c r="R69" s="4">
        <f t="shared" si="4"/>
        <v>0</v>
      </c>
      <c r="S69" s="4">
        <f t="shared" si="4"/>
        <v>0</v>
      </c>
      <c r="T69" s="17">
        <f t="shared" si="4"/>
        <v>0</v>
      </c>
    </row>
    <row r="70" spans="3:20" hidden="1" x14ac:dyDescent="0.25">
      <c r="C70" s="93" t="str">
        <f t="shared" si="3"/>
        <v>T5_1</v>
      </c>
      <c r="D70" s="49"/>
      <c r="E70" s="3">
        <f t="shared" si="4"/>
        <v>0</v>
      </c>
      <c r="F70" s="4">
        <f t="shared" si="4"/>
        <v>0</v>
      </c>
      <c r="G70" s="4">
        <f t="shared" si="4"/>
        <v>1</v>
      </c>
      <c r="H70" s="4">
        <f t="shared" si="4"/>
        <v>0</v>
      </c>
      <c r="I70" s="4">
        <f t="shared" si="4"/>
        <v>0</v>
      </c>
      <c r="J70" s="4">
        <f t="shared" si="4"/>
        <v>0</v>
      </c>
      <c r="K70" s="4">
        <f t="shared" si="4"/>
        <v>0</v>
      </c>
      <c r="L70" s="4">
        <f t="shared" si="4"/>
        <v>0</v>
      </c>
      <c r="M70" s="4">
        <f t="shared" si="4"/>
        <v>0</v>
      </c>
      <c r="N70" s="4">
        <f t="shared" si="4"/>
        <v>0</v>
      </c>
      <c r="O70" s="4">
        <f t="shared" si="4"/>
        <v>0</v>
      </c>
      <c r="P70" s="4">
        <f t="shared" si="4"/>
        <v>0</v>
      </c>
      <c r="Q70" s="4">
        <f t="shared" si="4"/>
        <v>0</v>
      </c>
      <c r="R70" s="4">
        <f t="shared" si="4"/>
        <v>0</v>
      </c>
      <c r="S70" s="4">
        <f t="shared" si="4"/>
        <v>0</v>
      </c>
      <c r="T70" s="17">
        <f t="shared" si="4"/>
        <v>0</v>
      </c>
    </row>
    <row r="71" spans="3:20" hidden="1" x14ac:dyDescent="0.25">
      <c r="C71" s="93" t="str">
        <f t="shared" si="3"/>
        <v>T5_2</v>
      </c>
      <c r="D71" s="49"/>
      <c r="E71" s="3">
        <f t="shared" si="4"/>
        <v>0</v>
      </c>
      <c r="F71" s="4">
        <f t="shared" si="4"/>
        <v>0</v>
      </c>
      <c r="G71" s="4">
        <f t="shared" si="4"/>
        <v>0</v>
      </c>
      <c r="H71" s="4">
        <f t="shared" si="4"/>
        <v>0</v>
      </c>
      <c r="I71" s="4">
        <f t="shared" si="4"/>
        <v>0</v>
      </c>
      <c r="J71" s="4">
        <f t="shared" si="4"/>
        <v>0</v>
      </c>
      <c r="K71" s="4">
        <f t="shared" si="4"/>
        <v>0</v>
      </c>
      <c r="L71" s="4">
        <f t="shared" si="4"/>
        <v>1</v>
      </c>
      <c r="M71" s="4">
        <f t="shared" si="4"/>
        <v>0</v>
      </c>
      <c r="N71" s="4">
        <f t="shared" si="4"/>
        <v>0</v>
      </c>
      <c r="O71" s="4">
        <f t="shared" si="4"/>
        <v>0</v>
      </c>
      <c r="P71" s="4">
        <f t="shared" si="4"/>
        <v>0</v>
      </c>
      <c r="Q71" s="4">
        <f t="shared" si="4"/>
        <v>0</v>
      </c>
      <c r="R71" s="4">
        <f t="shared" si="4"/>
        <v>0</v>
      </c>
      <c r="S71" s="4">
        <f t="shared" si="4"/>
        <v>0</v>
      </c>
      <c r="T71" s="17">
        <f t="shared" si="4"/>
        <v>0</v>
      </c>
    </row>
    <row r="72" spans="3:20" hidden="1" x14ac:dyDescent="0.25">
      <c r="C72" s="93" t="str">
        <f t="shared" si="3"/>
        <v>T5_3</v>
      </c>
      <c r="D72" s="49"/>
      <c r="E72" s="3">
        <f t="shared" si="4"/>
        <v>0</v>
      </c>
      <c r="F72" s="4">
        <f t="shared" si="4"/>
        <v>0</v>
      </c>
      <c r="G72" s="4">
        <f t="shared" si="4"/>
        <v>0</v>
      </c>
      <c r="H72" s="4">
        <f t="shared" si="4"/>
        <v>0</v>
      </c>
      <c r="I72" s="4">
        <f t="shared" si="4"/>
        <v>0</v>
      </c>
      <c r="J72" s="4">
        <f t="shared" si="4"/>
        <v>0</v>
      </c>
      <c r="K72" s="4">
        <f t="shared" si="4"/>
        <v>1</v>
      </c>
      <c r="L72" s="4">
        <f t="shared" si="4"/>
        <v>0</v>
      </c>
      <c r="M72" s="4">
        <f t="shared" si="4"/>
        <v>0</v>
      </c>
      <c r="N72" s="4">
        <f t="shared" si="4"/>
        <v>0</v>
      </c>
      <c r="O72" s="4">
        <f t="shared" si="4"/>
        <v>0</v>
      </c>
      <c r="P72" s="4">
        <f t="shared" si="4"/>
        <v>0</v>
      </c>
      <c r="Q72" s="4">
        <f t="shared" si="4"/>
        <v>0</v>
      </c>
      <c r="R72" s="4">
        <f t="shared" si="4"/>
        <v>0</v>
      </c>
      <c r="S72" s="4">
        <f t="shared" si="4"/>
        <v>0</v>
      </c>
      <c r="T72" s="17">
        <f t="shared" si="4"/>
        <v>0</v>
      </c>
    </row>
    <row r="73" spans="3:20" hidden="1" x14ac:dyDescent="0.25">
      <c r="C73" s="93" t="str">
        <f t="shared" si="3"/>
        <v>T6_1</v>
      </c>
      <c r="D73" s="49"/>
      <c r="E73" s="3">
        <f t="shared" si="4"/>
        <v>0</v>
      </c>
      <c r="F73" s="4">
        <f t="shared" si="4"/>
        <v>0</v>
      </c>
      <c r="G73" s="4">
        <f t="shared" si="4"/>
        <v>1</v>
      </c>
      <c r="H73" s="4">
        <f t="shared" si="4"/>
        <v>0</v>
      </c>
      <c r="I73" s="4">
        <f t="shared" si="4"/>
        <v>0</v>
      </c>
      <c r="J73" s="4">
        <f t="shared" si="4"/>
        <v>0</v>
      </c>
      <c r="K73" s="4">
        <f t="shared" si="4"/>
        <v>0</v>
      </c>
      <c r="L73" s="4">
        <f t="shared" si="4"/>
        <v>0</v>
      </c>
      <c r="M73" s="4">
        <f t="shared" si="4"/>
        <v>0</v>
      </c>
      <c r="N73" s="4">
        <f t="shared" si="4"/>
        <v>0</v>
      </c>
      <c r="O73" s="4">
        <f t="shared" si="4"/>
        <v>0</v>
      </c>
      <c r="P73" s="4">
        <f t="shared" si="4"/>
        <v>0</v>
      </c>
      <c r="Q73" s="4">
        <f t="shared" si="4"/>
        <v>0</v>
      </c>
      <c r="R73" s="4">
        <f t="shared" si="4"/>
        <v>0</v>
      </c>
      <c r="S73" s="4">
        <f t="shared" si="4"/>
        <v>0</v>
      </c>
      <c r="T73" s="17">
        <f t="shared" ref="T73" si="5">IF(T17="",0,T17)</f>
        <v>0</v>
      </c>
    </row>
    <row r="74" spans="3:20" hidden="1" x14ac:dyDescent="0.25">
      <c r="C74" s="93" t="str">
        <f t="shared" si="3"/>
        <v>T6_2</v>
      </c>
      <c r="D74" s="49"/>
      <c r="E74" s="3">
        <f t="shared" ref="E74:T89" si="6">IF(E18="",0,E18)</f>
        <v>0</v>
      </c>
      <c r="F74" s="4">
        <f t="shared" si="6"/>
        <v>0</v>
      </c>
      <c r="G74" s="4">
        <f t="shared" si="6"/>
        <v>0</v>
      </c>
      <c r="H74" s="4">
        <f t="shared" si="6"/>
        <v>1</v>
      </c>
      <c r="I74" s="4">
        <f t="shared" si="6"/>
        <v>0</v>
      </c>
      <c r="J74" s="4">
        <f t="shared" si="6"/>
        <v>0</v>
      </c>
      <c r="K74" s="4">
        <f t="shared" si="6"/>
        <v>0</v>
      </c>
      <c r="L74" s="4">
        <f t="shared" si="6"/>
        <v>0</v>
      </c>
      <c r="M74" s="4">
        <f t="shared" si="6"/>
        <v>0</v>
      </c>
      <c r="N74" s="4">
        <f t="shared" si="6"/>
        <v>0</v>
      </c>
      <c r="O74" s="4">
        <f t="shared" si="6"/>
        <v>0</v>
      </c>
      <c r="P74" s="4">
        <f t="shared" si="6"/>
        <v>0</v>
      </c>
      <c r="Q74" s="4">
        <f t="shared" si="6"/>
        <v>0</v>
      </c>
      <c r="R74" s="4">
        <f t="shared" si="6"/>
        <v>0</v>
      </c>
      <c r="S74" s="4">
        <f t="shared" si="6"/>
        <v>0</v>
      </c>
      <c r="T74" s="17">
        <f t="shared" si="6"/>
        <v>0</v>
      </c>
    </row>
    <row r="75" spans="3:20" hidden="1" x14ac:dyDescent="0.25">
      <c r="C75" s="93" t="str">
        <f t="shared" si="3"/>
        <v>T6_3</v>
      </c>
      <c r="D75" s="49"/>
      <c r="E75" s="3">
        <f t="shared" si="6"/>
        <v>0</v>
      </c>
      <c r="F75" s="4">
        <f t="shared" si="6"/>
        <v>0</v>
      </c>
      <c r="G75" s="4">
        <f t="shared" si="6"/>
        <v>0</v>
      </c>
      <c r="H75" s="4">
        <f t="shared" si="6"/>
        <v>0</v>
      </c>
      <c r="I75" s="4">
        <f t="shared" si="6"/>
        <v>0</v>
      </c>
      <c r="J75" s="4">
        <f t="shared" si="6"/>
        <v>0</v>
      </c>
      <c r="K75" s="4">
        <f t="shared" si="6"/>
        <v>0</v>
      </c>
      <c r="L75" s="4">
        <f t="shared" si="6"/>
        <v>1</v>
      </c>
      <c r="M75" s="4">
        <f t="shared" si="6"/>
        <v>0</v>
      </c>
      <c r="N75" s="4">
        <f t="shared" si="6"/>
        <v>0</v>
      </c>
      <c r="O75" s="4">
        <f t="shared" si="6"/>
        <v>0</v>
      </c>
      <c r="P75" s="4">
        <f t="shared" si="6"/>
        <v>0</v>
      </c>
      <c r="Q75" s="4">
        <f t="shared" si="6"/>
        <v>0</v>
      </c>
      <c r="R75" s="4">
        <f t="shared" si="6"/>
        <v>0</v>
      </c>
      <c r="S75" s="4">
        <f t="shared" si="6"/>
        <v>0</v>
      </c>
      <c r="T75" s="17">
        <f t="shared" si="6"/>
        <v>0</v>
      </c>
    </row>
    <row r="76" spans="3:20" hidden="1" x14ac:dyDescent="0.25">
      <c r="C76" s="93" t="str">
        <f t="shared" si="3"/>
        <v>T7_1</v>
      </c>
      <c r="D76" s="49"/>
      <c r="E76" s="3">
        <f t="shared" si="6"/>
        <v>0</v>
      </c>
      <c r="F76" s="4">
        <f t="shared" si="6"/>
        <v>0</v>
      </c>
      <c r="G76" s="4">
        <f t="shared" si="6"/>
        <v>0</v>
      </c>
      <c r="H76" s="4">
        <f t="shared" si="6"/>
        <v>0</v>
      </c>
      <c r="I76" s="4">
        <f t="shared" si="6"/>
        <v>1</v>
      </c>
      <c r="J76" s="4">
        <f t="shared" si="6"/>
        <v>0</v>
      </c>
      <c r="K76" s="4">
        <f t="shared" si="6"/>
        <v>0</v>
      </c>
      <c r="L76" s="4">
        <f t="shared" si="6"/>
        <v>0</v>
      </c>
      <c r="M76" s="4">
        <f t="shared" si="6"/>
        <v>0</v>
      </c>
      <c r="N76" s="4">
        <f t="shared" si="6"/>
        <v>0</v>
      </c>
      <c r="O76" s="4">
        <f t="shared" si="6"/>
        <v>0</v>
      </c>
      <c r="P76" s="4">
        <f t="shared" si="6"/>
        <v>0</v>
      </c>
      <c r="Q76" s="4">
        <f t="shared" si="6"/>
        <v>0</v>
      </c>
      <c r="R76" s="4">
        <f t="shared" si="6"/>
        <v>0</v>
      </c>
      <c r="S76" s="4">
        <f t="shared" si="6"/>
        <v>0</v>
      </c>
      <c r="T76" s="17">
        <f t="shared" si="6"/>
        <v>0</v>
      </c>
    </row>
    <row r="77" spans="3:20" hidden="1" x14ac:dyDescent="0.25">
      <c r="C77" s="93" t="str">
        <f t="shared" si="3"/>
        <v>T7_2</v>
      </c>
      <c r="D77" s="49"/>
      <c r="E77" s="3">
        <f t="shared" si="6"/>
        <v>0</v>
      </c>
      <c r="F77" s="4">
        <f t="shared" si="6"/>
        <v>0</v>
      </c>
      <c r="G77" s="4">
        <f t="shared" si="6"/>
        <v>0</v>
      </c>
      <c r="H77" s="4">
        <f t="shared" si="6"/>
        <v>0</v>
      </c>
      <c r="I77" s="4">
        <f t="shared" si="6"/>
        <v>0</v>
      </c>
      <c r="J77" s="4">
        <f t="shared" si="6"/>
        <v>0</v>
      </c>
      <c r="K77" s="4">
        <f t="shared" si="6"/>
        <v>0</v>
      </c>
      <c r="L77" s="4">
        <f t="shared" si="6"/>
        <v>0</v>
      </c>
      <c r="M77" s="4">
        <f t="shared" si="6"/>
        <v>0</v>
      </c>
      <c r="N77" s="4">
        <f t="shared" si="6"/>
        <v>1</v>
      </c>
      <c r="O77" s="4">
        <f t="shared" si="6"/>
        <v>0</v>
      </c>
      <c r="P77" s="4">
        <f t="shared" si="6"/>
        <v>0</v>
      </c>
      <c r="Q77" s="4">
        <f t="shared" si="6"/>
        <v>0</v>
      </c>
      <c r="R77" s="4">
        <f t="shared" si="6"/>
        <v>0</v>
      </c>
      <c r="S77" s="4">
        <f t="shared" si="6"/>
        <v>0</v>
      </c>
      <c r="T77" s="17">
        <f t="shared" si="6"/>
        <v>0</v>
      </c>
    </row>
    <row r="78" spans="3:20" hidden="1" x14ac:dyDescent="0.25">
      <c r="C78" s="93" t="str">
        <f t="shared" si="3"/>
        <v>T7_3</v>
      </c>
      <c r="D78" s="49"/>
      <c r="E78" s="3">
        <f t="shared" si="6"/>
        <v>0</v>
      </c>
      <c r="F78" s="4">
        <f t="shared" si="6"/>
        <v>0</v>
      </c>
      <c r="G78" s="4">
        <f t="shared" si="6"/>
        <v>0</v>
      </c>
      <c r="H78" s="4">
        <f t="shared" si="6"/>
        <v>0</v>
      </c>
      <c r="I78" s="4">
        <f t="shared" si="6"/>
        <v>0</v>
      </c>
      <c r="J78" s="4">
        <f t="shared" si="6"/>
        <v>0</v>
      </c>
      <c r="K78" s="4">
        <f t="shared" si="6"/>
        <v>0</v>
      </c>
      <c r="L78" s="4">
        <f t="shared" si="6"/>
        <v>0</v>
      </c>
      <c r="M78" s="4">
        <f t="shared" si="6"/>
        <v>1</v>
      </c>
      <c r="N78" s="4">
        <f t="shared" si="6"/>
        <v>0</v>
      </c>
      <c r="O78" s="4">
        <f t="shared" si="6"/>
        <v>0</v>
      </c>
      <c r="P78" s="4">
        <f t="shared" si="6"/>
        <v>0</v>
      </c>
      <c r="Q78" s="4">
        <f t="shared" si="6"/>
        <v>0</v>
      </c>
      <c r="R78" s="4">
        <f t="shared" si="6"/>
        <v>0</v>
      </c>
      <c r="S78" s="4">
        <f t="shared" si="6"/>
        <v>0</v>
      </c>
      <c r="T78" s="17">
        <f t="shared" si="6"/>
        <v>0</v>
      </c>
    </row>
    <row r="79" spans="3:20" hidden="1" x14ac:dyDescent="0.25">
      <c r="C79" s="93" t="str">
        <f t="shared" si="3"/>
        <v>T8_1</v>
      </c>
      <c r="D79" s="49"/>
      <c r="E79" s="3">
        <f t="shared" si="6"/>
        <v>0</v>
      </c>
      <c r="F79" s="4">
        <f t="shared" si="6"/>
        <v>0</v>
      </c>
      <c r="G79" s="4">
        <f t="shared" si="6"/>
        <v>0</v>
      </c>
      <c r="H79" s="4">
        <f t="shared" si="6"/>
        <v>0</v>
      </c>
      <c r="I79" s="4">
        <f t="shared" si="6"/>
        <v>1</v>
      </c>
      <c r="J79" s="4">
        <f t="shared" si="6"/>
        <v>0</v>
      </c>
      <c r="K79" s="4">
        <f t="shared" si="6"/>
        <v>0</v>
      </c>
      <c r="L79" s="4">
        <f t="shared" si="6"/>
        <v>0</v>
      </c>
      <c r="M79" s="4">
        <f t="shared" si="6"/>
        <v>0</v>
      </c>
      <c r="N79" s="4">
        <f t="shared" si="6"/>
        <v>0</v>
      </c>
      <c r="O79" s="4">
        <f t="shared" si="6"/>
        <v>0</v>
      </c>
      <c r="P79" s="4">
        <f t="shared" si="6"/>
        <v>0</v>
      </c>
      <c r="Q79" s="4">
        <f t="shared" si="6"/>
        <v>0</v>
      </c>
      <c r="R79" s="4">
        <f t="shared" si="6"/>
        <v>0</v>
      </c>
      <c r="S79" s="4">
        <f t="shared" si="6"/>
        <v>0</v>
      </c>
      <c r="T79" s="17">
        <f t="shared" si="6"/>
        <v>0</v>
      </c>
    </row>
    <row r="80" spans="3:20" hidden="1" x14ac:dyDescent="0.25">
      <c r="C80" s="93" t="str">
        <f t="shared" si="3"/>
        <v>T8_2</v>
      </c>
      <c r="D80" s="49"/>
      <c r="E80" s="3">
        <f t="shared" si="6"/>
        <v>0</v>
      </c>
      <c r="F80" s="4">
        <f t="shared" si="6"/>
        <v>0</v>
      </c>
      <c r="G80" s="4">
        <f t="shared" si="6"/>
        <v>0</v>
      </c>
      <c r="H80" s="4">
        <f t="shared" si="6"/>
        <v>0</v>
      </c>
      <c r="I80" s="4">
        <f t="shared" si="6"/>
        <v>0</v>
      </c>
      <c r="J80" s="4">
        <f t="shared" si="6"/>
        <v>1</v>
      </c>
      <c r="K80" s="4">
        <f t="shared" si="6"/>
        <v>0</v>
      </c>
      <c r="L80" s="4">
        <f t="shared" si="6"/>
        <v>0</v>
      </c>
      <c r="M80" s="4">
        <f t="shared" si="6"/>
        <v>0</v>
      </c>
      <c r="N80" s="4">
        <f t="shared" si="6"/>
        <v>0</v>
      </c>
      <c r="O80" s="4">
        <f t="shared" si="6"/>
        <v>0</v>
      </c>
      <c r="P80" s="4">
        <f t="shared" si="6"/>
        <v>0</v>
      </c>
      <c r="Q80" s="4">
        <f t="shared" si="6"/>
        <v>0</v>
      </c>
      <c r="R80" s="4">
        <f t="shared" si="6"/>
        <v>0</v>
      </c>
      <c r="S80" s="4">
        <f t="shared" si="6"/>
        <v>0</v>
      </c>
      <c r="T80" s="17">
        <f t="shared" si="6"/>
        <v>0</v>
      </c>
    </row>
    <row r="81" spans="3:20" hidden="1" x14ac:dyDescent="0.25">
      <c r="C81" s="93" t="str">
        <f t="shared" si="3"/>
        <v>T8_3</v>
      </c>
      <c r="D81" s="49"/>
      <c r="E81" s="3">
        <f t="shared" si="6"/>
        <v>0</v>
      </c>
      <c r="F81" s="4">
        <f t="shared" si="6"/>
        <v>0</v>
      </c>
      <c r="G81" s="4">
        <f t="shared" si="6"/>
        <v>0</v>
      </c>
      <c r="H81" s="4">
        <f t="shared" si="6"/>
        <v>0</v>
      </c>
      <c r="I81" s="4">
        <f t="shared" si="6"/>
        <v>0</v>
      </c>
      <c r="J81" s="4">
        <f t="shared" si="6"/>
        <v>0</v>
      </c>
      <c r="K81" s="4">
        <f t="shared" si="6"/>
        <v>0</v>
      </c>
      <c r="L81" s="4">
        <f t="shared" si="6"/>
        <v>0</v>
      </c>
      <c r="M81" s="4">
        <f t="shared" si="6"/>
        <v>0</v>
      </c>
      <c r="N81" s="4">
        <f t="shared" si="6"/>
        <v>1</v>
      </c>
      <c r="O81" s="4">
        <f t="shared" si="6"/>
        <v>0</v>
      </c>
      <c r="P81" s="4">
        <f t="shared" si="6"/>
        <v>0</v>
      </c>
      <c r="Q81" s="4">
        <f t="shared" si="6"/>
        <v>0</v>
      </c>
      <c r="R81" s="4">
        <f t="shared" si="6"/>
        <v>0</v>
      </c>
      <c r="S81" s="4">
        <f t="shared" si="6"/>
        <v>0</v>
      </c>
      <c r="T81" s="17">
        <f t="shared" si="6"/>
        <v>0</v>
      </c>
    </row>
    <row r="82" spans="3:20" hidden="1" x14ac:dyDescent="0.25">
      <c r="C82" s="93" t="str">
        <f t="shared" si="3"/>
        <v>T9_1</v>
      </c>
      <c r="D82" s="49"/>
      <c r="E82" s="3">
        <f t="shared" si="6"/>
        <v>0</v>
      </c>
      <c r="F82" s="4">
        <f t="shared" si="6"/>
        <v>0</v>
      </c>
      <c r="G82" s="4">
        <f t="shared" si="6"/>
        <v>0</v>
      </c>
      <c r="H82" s="4">
        <f t="shared" si="6"/>
        <v>0</v>
      </c>
      <c r="I82" s="4">
        <f t="shared" si="6"/>
        <v>0</v>
      </c>
      <c r="J82" s="4">
        <f t="shared" si="6"/>
        <v>1</v>
      </c>
      <c r="K82" s="4">
        <f t="shared" si="6"/>
        <v>0</v>
      </c>
      <c r="L82" s="4">
        <f t="shared" si="6"/>
        <v>0</v>
      </c>
      <c r="M82" s="4">
        <f t="shared" si="6"/>
        <v>0</v>
      </c>
      <c r="N82" s="4">
        <f t="shared" si="6"/>
        <v>0</v>
      </c>
      <c r="O82" s="4">
        <f t="shared" si="6"/>
        <v>0</v>
      </c>
      <c r="P82" s="4">
        <f t="shared" si="6"/>
        <v>0</v>
      </c>
      <c r="Q82" s="4">
        <f t="shared" si="6"/>
        <v>0</v>
      </c>
      <c r="R82" s="4">
        <f t="shared" si="6"/>
        <v>0</v>
      </c>
      <c r="S82" s="4">
        <f t="shared" si="6"/>
        <v>0</v>
      </c>
      <c r="T82" s="17">
        <f t="shared" si="6"/>
        <v>0</v>
      </c>
    </row>
    <row r="83" spans="3:20" hidden="1" x14ac:dyDescent="0.25">
      <c r="C83" s="93" t="str">
        <f t="shared" si="3"/>
        <v>T9_2</v>
      </c>
      <c r="D83" s="49"/>
      <c r="E83" s="3">
        <f t="shared" si="6"/>
        <v>0</v>
      </c>
      <c r="F83" s="4">
        <f t="shared" si="6"/>
        <v>0</v>
      </c>
      <c r="G83" s="4">
        <f t="shared" si="6"/>
        <v>0</v>
      </c>
      <c r="H83" s="4">
        <f t="shared" si="6"/>
        <v>0</v>
      </c>
      <c r="I83" s="4">
        <f t="shared" si="6"/>
        <v>0</v>
      </c>
      <c r="J83" s="4">
        <f t="shared" si="6"/>
        <v>0</v>
      </c>
      <c r="K83" s="4">
        <f t="shared" si="6"/>
        <v>0</v>
      </c>
      <c r="L83" s="4">
        <f t="shared" si="6"/>
        <v>0</v>
      </c>
      <c r="M83" s="4">
        <f t="shared" si="6"/>
        <v>0</v>
      </c>
      <c r="N83" s="4">
        <f t="shared" si="6"/>
        <v>0</v>
      </c>
      <c r="O83" s="4">
        <f t="shared" si="6"/>
        <v>1</v>
      </c>
      <c r="P83" s="4">
        <f t="shared" si="6"/>
        <v>0</v>
      </c>
      <c r="Q83" s="4">
        <f t="shared" si="6"/>
        <v>0</v>
      </c>
      <c r="R83" s="4">
        <f t="shared" si="6"/>
        <v>0</v>
      </c>
      <c r="S83" s="4">
        <f t="shared" si="6"/>
        <v>0</v>
      </c>
      <c r="T83" s="17">
        <f t="shared" si="6"/>
        <v>0</v>
      </c>
    </row>
    <row r="84" spans="3:20" hidden="1" x14ac:dyDescent="0.25">
      <c r="C84" s="93" t="str">
        <f t="shared" si="3"/>
        <v>T9_3</v>
      </c>
      <c r="D84" s="49"/>
      <c r="E84" s="3">
        <f t="shared" si="6"/>
        <v>0</v>
      </c>
      <c r="F84" s="4">
        <f t="shared" si="6"/>
        <v>0</v>
      </c>
      <c r="G84" s="4">
        <f t="shared" si="6"/>
        <v>0</v>
      </c>
      <c r="H84" s="4">
        <f t="shared" si="6"/>
        <v>0</v>
      </c>
      <c r="I84" s="4">
        <f t="shared" si="6"/>
        <v>0</v>
      </c>
      <c r="J84" s="4">
        <f t="shared" si="6"/>
        <v>0</v>
      </c>
      <c r="K84" s="4">
        <f t="shared" si="6"/>
        <v>0</v>
      </c>
      <c r="L84" s="4">
        <f t="shared" si="6"/>
        <v>0</v>
      </c>
      <c r="M84" s="4">
        <f t="shared" si="6"/>
        <v>0</v>
      </c>
      <c r="N84" s="4">
        <f t="shared" si="6"/>
        <v>1</v>
      </c>
      <c r="O84" s="4">
        <f t="shared" si="6"/>
        <v>0</v>
      </c>
      <c r="P84" s="4">
        <f t="shared" si="6"/>
        <v>0</v>
      </c>
      <c r="Q84" s="4">
        <f t="shared" si="6"/>
        <v>0</v>
      </c>
      <c r="R84" s="4">
        <f t="shared" si="6"/>
        <v>0</v>
      </c>
      <c r="S84" s="4">
        <f t="shared" si="6"/>
        <v>0</v>
      </c>
      <c r="T84" s="17">
        <f t="shared" si="6"/>
        <v>0</v>
      </c>
    </row>
    <row r="85" spans="3:20" hidden="1" x14ac:dyDescent="0.25">
      <c r="C85" s="93" t="str">
        <f t="shared" si="3"/>
        <v>T10_1</v>
      </c>
      <c r="D85" s="49"/>
      <c r="E85" s="3">
        <f t="shared" si="6"/>
        <v>0</v>
      </c>
      <c r="F85" s="4">
        <f t="shared" si="6"/>
        <v>0</v>
      </c>
      <c r="G85" s="4">
        <f t="shared" si="6"/>
        <v>0</v>
      </c>
      <c r="H85" s="4">
        <f t="shared" si="6"/>
        <v>0</v>
      </c>
      <c r="I85" s="4">
        <f t="shared" si="6"/>
        <v>0</v>
      </c>
      <c r="J85" s="4">
        <f t="shared" si="6"/>
        <v>1</v>
      </c>
      <c r="K85" s="4">
        <f t="shared" si="6"/>
        <v>0</v>
      </c>
      <c r="L85" s="4">
        <f t="shared" si="6"/>
        <v>0</v>
      </c>
      <c r="M85" s="4">
        <f t="shared" si="6"/>
        <v>0</v>
      </c>
      <c r="N85" s="4">
        <f t="shared" si="6"/>
        <v>0</v>
      </c>
      <c r="O85" s="4">
        <f t="shared" si="6"/>
        <v>0</v>
      </c>
      <c r="P85" s="4">
        <f t="shared" si="6"/>
        <v>0</v>
      </c>
      <c r="Q85" s="4">
        <f t="shared" si="6"/>
        <v>0</v>
      </c>
      <c r="R85" s="4">
        <f t="shared" si="6"/>
        <v>0</v>
      </c>
      <c r="S85" s="4">
        <f t="shared" si="6"/>
        <v>0</v>
      </c>
      <c r="T85" s="17">
        <f t="shared" si="6"/>
        <v>0</v>
      </c>
    </row>
    <row r="86" spans="3:20" hidden="1" x14ac:dyDescent="0.25">
      <c r="C86" s="93" t="str">
        <f t="shared" si="3"/>
        <v>T10_2</v>
      </c>
      <c r="D86" s="49"/>
      <c r="E86" s="3">
        <f t="shared" si="6"/>
        <v>0</v>
      </c>
      <c r="F86" s="4">
        <f t="shared" si="6"/>
        <v>0</v>
      </c>
      <c r="G86" s="4">
        <f t="shared" si="6"/>
        <v>0</v>
      </c>
      <c r="H86" s="4">
        <f t="shared" si="6"/>
        <v>0</v>
      </c>
      <c r="I86" s="4">
        <f t="shared" si="6"/>
        <v>0</v>
      </c>
      <c r="J86" s="4">
        <f t="shared" si="6"/>
        <v>0</v>
      </c>
      <c r="K86" s="4">
        <f t="shared" si="6"/>
        <v>1</v>
      </c>
      <c r="L86" s="4">
        <f t="shared" si="6"/>
        <v>0</v>
      </c>
      <c r="M86" s="4">
        <f t="shared" si="6"/>
        <v>0</v>
      </c>
      <c r="N86" s="4">
        <f t="shared" si="6"/>
        <v>0</v>
      </c>
      <c r="O86" s="4">
        <f t="shared" si="6"/>
        <v>0</v>
      </c>
      <c r="P86" s="4">
        <f t="shared" si="6"/>
        <v>0</v>
      </c>
      <c r="Q86" s="4">
        <f t="shared" si="6"/>
        <v>0</v>
      </c>
      <c r="R86" s="4">
        <f t="shared" si="6"/>
        <v>0</v>
      </c>
      <c r="S86" s="4">
        <f t="shared" si="6"/>
        <v>0</v>
      </c>
      <c r="T86" s="17">
        <f t="shared" si="6"/>
        <v>0</v>
      </c>
    </row>
    <row r="87" spans="3:20" hidden="1" x14ac:dyDescent="0.25">
      <c r="C87" s="93" t="str">
        <f t="shared" si="3"/>
        <v>T10_3</v>
      </c>
      <c r="D87" s="49"/>
      <c r="E87" s="3">
        <f t="shared" si="6"/>
        <v>0</v>
      </c>
      <c r="F87" s="4">
        <f t="shared" si="6"/>
        <v>0</v>
      </c>
      <c r="G87" s="4">
        <f t="shared" si="6"/>
        <v>0</v>
      </c>
      <c r="H87" s="4">
        <f t="shared" si="6"/>
        <v>0</v>
      </c>
      <c r="I87" s="4">
        <f t="shared" si="6"/>
        <v>0</v>
      </c>
      <c r="J87" s="4">
        <f t="shared" si="6"/>
        <v>0</v>
      </c>
      <c r="K87" s="4">
        <f t="shared" si="6"/>
        <v>0</v>
      </c>
      <c r="L87" s="4">
        <f t="shared" si="6"/>
        <v>0</v>
      </c>
      <c r="M87" s="4">
        <f t="shared" si="6"/>
        <v>0</v>
      </c>
      <c r="N87" s="4">
        <f t="shared" si="6"/>
        <v>0</v>
      </c>
      <c r="O87" s="4">
        <f t="shared" si="6"/>
        <v>1</v>
      </c>
      <c r="P87" s="4">
        <f t="shared" si="6"/>
        <v>0</v>
      </c>
      <c r="Q87" s="4">
        <f t="shared" si="6"/>
        <v>0</v>
      </c>
      <c r="R87" s="4">
        <f t="shared" si="6"/>
        <v>0</v>
      </c>
      <c r="S87" s="4">
        <f t="shared" si="6"/>
        <v>0</v>
      </c>
      <c r="T87" s="17">
        <f t="shared" si="6"/>
        <v>0</v>
      </c>
    </row>
    <row r="88" spans="3:20" hidden="1" x14ac:dyDescent="0.25">
      <c r="C88" s="93" t="str">
        <f t="shared" si="3"/>
        <v>T11_1</v>
      </c>
      <c r="D88" s="49"/>
      <c r="E88" s="3">
        <f t="shared" si="6"/>
        <v>0</v>
      </c>
      <c r="F88" s="4">
        <f t="shared" si="6"/>
        <v>0</v>
      </c>
      <c r="G88" s="4">
        <f t="shared" si="6"/>
        <v>0</v>
      </c>
      <c r="H88" s="4">
        <f t="shared" si="6"/>
        <v>0</v>
      </c>
      <c r="I88" s="4">
        <f t="shared" si="6"/>
        <v>0</v>
      </c>
      <c r="J88" s="4">
        <f t="shared" si="6"/>
        <v>0</v>
      </c>
      <c r="K88" s="4">
        <f t="shared" si="6"/>
        <v>1</v>
      </c>
      <c r="L88" s="4">
        <f t="shared" si="6"/>
        <v>0</v>
      </c>
      <c r="M88" s="4">
        <f t="shared" si="6"/>
        <v>0</v>
      </c>
      <c r="N88" s="4">
        <f t="shared" si="6"/>
        <v>0</v>
      </c>
      <c r="O88" s="4">
        <f t="shared" si="6"/>
        <v>0</v>
      </c>
      <c r="P88" s="4">
        <f t="shared" si="6"/>
        <v>0</v>
      </c>
      <c r="Q88" s="4">
        <f t="shared" si="6"/>
        <v>0</v>
      </c>
      <c r="R88" s="4">
        <f t="shared" si="6"/>
        <v>0</v>
      </c>
      <c r="S88" s="4">
        <f t="shared" si="6"/>
        <v>0</v>
      </c>
      <c r="T88" s="17">
        <f t="shared" si="6"/>
        <v>0</v>
      </c>
    </row>
    <row r="89" spans="3:20" hidden="1" x14ac:dyDescent="0.25">
      <c r="C89" s="93" t="str">
        <f t="shared" si="3"/>
        <v>T11_2</v>
      </c>
      <c r="D89" s="49"/>
      <c r="E89" s="3">
        <f t="shared" si="6"/>
        <v>0</v>
      </c>
      <c r="F89" s="4">
        <f t="shared" si="6"/>
        <v>0</v>
      </c>
      <c r="G89" s="4">
        <f t="shared" si="6"/>
        <v>0</v>
      </c>
      <c r="H89" s="4">
        <f t="shared" si="6"/>
        <v>0</v>
      </c>
      <c r="I89" s="4">
        <f t="shared" si="6"/>
        <v>0</v>
      </c>
      <c r="J89" s="4">
        <f t="shared" si="6"/>
        <v>0</v>
      </c>
      <c r="K89" s="4">
        <f t="shared" si="6"/>
        <v>0</v>
      </c>
      <c r="L89" s="4">
        <f t="shared" si="6"/>
        <v>0</v>
      </c>
      <c r="M89" s="4">
        <f t="shared" si="6"/>
        <v>0</v>
      </c>
      <c r="N89" s="4">
        <f t="shared" si="6"/>
        <v>0</v>
      </c>
      <c r="O89" s="4">
        <f t="shared" si="6"/>
        <v>0</v>
      </c>
      <c r="P89" s="4">
        <f t="shared" si="6"/>
        <v>1</v>
      </c>
      <c r="Q89" s="4">
        <f t="shared" si="6"/>
        <v>0</v>
      </c>
      <c r="R89" s="4">
        <f t="shared" si="6"/>
        <v>0</v>
      </c>
      <c r="S89" s="4">
        <f t="shared" si="6"/>
        <v>0</v>
      </c>
      <c r="T89" s="17">
        <f t="shared" ref="T89" si="7">IF(T33="",0,T33)</f>
        <v>0</v>
      </c>
    </row>
    <row r="90" spans="3:20" hidden="1" x14ac:dyDescent="0.25">
      <c r="C90" s="93" t="str">
        <f t="shared" si="3"/>
        <v>T11_3</v>
      </c>
      <c r="D90" s="49"/>
      <c r="E90" s="3">
        <f t="shared" ref="E90:T105" si="8">IF(E34="",0,E34)</f>
        <v>0</v>
      </c>
      <c r="F90" s="4">
        <f t="shared" si="8"/>
        <v>0</v>
      </c>
      <c r="G90" s="4">
        <f t="shared" si="8"/>
        <v>0</v>
      </c>
      <c r="H90" s="4">
        <f t="shared" si="8"/>
        <v>0</v>
      </c>
      <c r="I90" s="4">
        <f t="shared" si="8"/>
        <v>0</v>
      </c>
      <c r="J90" s="4">
        <f t="shared" si="8"/>
        <v>0</v>
      </c>
      <c r="K90" s="4">
        <f t="shared" si="8"/>
        <v>0</v>
      </c>
      <c r="L90" s="4">
        <f t="shared" si="8"/>
        <v>0</v>
      </c>
      <c r="M90" s="4">
        <f t="shared" si="8"/>
        <v>0</v>
      </c>
      <c r="N90" s="4">
        <f t="shared" si="8"/>
        <v>0</v>
      </c>
      <c r="O90" s="4">
        <f t="shared" si="8"/>
        <v>1</v>
      </c>
      <c r="P90" s="4">
        <f t="shared" si="8"/>
        <v>0</v>
      </c>
      <c r="Q90" s="4">
        <f t="shared" si="8"/>
        <v>0</v>
      </c>
      <c r="R90" s="4">
        <f t="shared" si="8"/>
        <v>0</v>
      </c>
      <c r="S90" s="4">
        <f t="shared" si="8"/>
        <v>0</v>
      </c>
      <c r="T90" s="17">
        <f t="shared" si="8"/>
        <v>0</v>
      </c>
    </row>
    <row r="91" spans="3:20" hidden="1" x14ac:dyDescent="0.25">
      <c r="C91" s="93" t="str">
        <f t="shared" si="3"/>
        <v>T12_1</v>
      </c>
      <c r="D91" s="49"/>
      <c r="E91" s="3">
        <f t="shared" si="8"/>
        <v>0</v>
      </c>
      <c r="F91" s="4">
        <f t="shared" si="8"/>
        <v>0</v>
      </c>
      <c r="G91" s="4">
        <f t="shared" si="8"/>
        <v>0</v>
      </c>
      <c r="H91" s="4">
        <f t="shared" si="8"/>
        <v>0</v>
      </c>
      <c r="I91" s="4">
        <f t="shared" si="8"/>
        <v>0</v>
      </c>
      <c r="J91" s="4">
        <f t="shared" si="8"/>
        <v>0</v>
      </c>
      <c r="K91" s="4">
        <f t="shared" si="8"/>
        <v>1</v>
      </c>
      <c r="L91" s="4">
        <f t="shared" si="8"/>
        <v>0</v>
      </c>
      <c r="M91" s="4">
        <f t="shared" si="8"/>
        <v>0</v>
      </c>
      <c r="N91" s="4">
        <f t="shared" si="8"/>
        <v>0</v>
      </c>
      <c r="O91" s="4">
        <f t="shared" si="8"/>
        <v>0</v>
      </c>
      <c r="P91" s="4">
        <f t="shared" si="8"/>
        <v>0</v>
      </c>
      <c r="Q91" s="4">
        <f t="shared" si="8"/>
        <v>0</v>
      </c>
      <c r="R91" s="4">
        <f t="shared" si="8"/>
        <v>0</v>
      </c>
      <c r="S91" s="4">
        <f t="shared" si="8"/>
        <v>0</v>
      </c>
      <c r="T91" s="17">
        <f t="shared" si="8"/>
        <v>0</v>
      </c>
    </row>
    <row r="92" spans="3:20" hidden="1" x14ac:dyDescent="0.25">
      <c r="C92" s="93" t="str">
        <f t="shared" si="3"/>
        <v>T12_2</v>
      </c>
      <c r="D92" s="49"/>
      <c r="E92" s="3">
        <f t="shared" si="8"/>
        <v>0</v>
      </c>
      <c r="F92" s="4">
        <f t="shared" si="8"/>
        <v>0</v>
      </c>
      <c r="G92" s="4">
        <f t="shared" si="8"/>
        <v>0</v>
      </c>
      <c r="H92" s="4">
        <f t="shared" si="8"/>
        <v>0</v>
      </c>
      <c r="I92" s="4">
        <f t="shared" si="8"/>
        <v>0</v>
      </c>
      <c r="J92" s="4">
        <f t="shared" si="8"/>
        <v>0</v>
      </c>
      <c r="K92" s="4">
        <f t="shared" si="8"/>
        <v>0</v>
      </c>
      <c r="L92" s="4">
        <f t="shared" si="8"/>
        <v>1</v>
      </c>
      <c r="M92" s="4">
        <f t="shared" si="8"/>
        <v>0</v>
      </c>
      <c r="N92" s="4">
        <f t="shared" si="8"/>
        <v>0</v>
      </c>
      <c r="O92" s="4">
        <f t="shared" si="8"/>
        <v>0</v>
      </c>
      <c r="P92" s="4">
        <f t="shared" si="8"/>
        <v>0</v>
      </c>
      <c r="Q92" s="4">
        <f t="shared" si="8"/>
        <v>0</v>
      </c>
      <c r="R92" s="4">
        <f t="shared" si="8"/>
        <v>0</v>
      </c>
      <c r="S92" s="4">
        <f t="shared" si="8"/>
        <v>0</v>
      </c>
      <c r="T92" s="17">
        <f t="shared" si="8"/>
        <v>0</v>
      </c>
    </row>
    <row r="93" spans="3:20" hidden="1" x14ac:dyDescent="0.25">
      <c r="C93" s="93" t="str">
        <f t="shared" si="3"/>
        <v>T12_3</v>
      </c>
      <c r="D93" s="49"/>
      <c r="E93" s="3">
        <f t="shared" si="8"/>
        <v>0</v>
      </c>
      <c r="F93" s="4">
        <f t="shared" si="8"/>
        <v>0</v>
      </c>
      <c r="G93" s="4">
        <f t="shared" si="8"/>
        <v>0</v>
      </c>
      <c r="H93" s="4">
        <f t="shared" si="8"/>
        <v>0</v>
      </c>
      <c r="I93" s="4">
        <f t="shared" si="8"/>
        <v>0</v>
      </c>
      <c r="J93" s="4">
        <f t="shared" si="8"/>
        <v>0</v>
      </c>
      <c r="K93" s="4">
        <f t="shared" si="8"/>
        <v>0</v>
      </c>
      <c r="L93" s="4">
        <f t="shared" si="8"/>
        <v>0</v>
      </c>
      <c r="M93" s="4">
        <f t="shared" si="8"/>
        <v>0</v>
      </c>
      <c r="N93" s="4">
        <f t="shared" si="8"/>
        <v>0</v>
      </c>
      <c r="O93" s="4">
        <f t="shared" si="8"/>
        <v>0</v>
      </c>
      <c r="P93" s="4">
        <f t="shared" si="8"/>
        <v>1</v>
      </c>
      <c r="Q93" s="4">
        <f t="shared" si="8"/>
        <v>0</v>
      </c>
      <c r="R93" s="4">
        <f t="shared" si="8"/>
        <v>0</v>
      </c>
      <c r="S93" s="4">
        <f t="shared" si="8"/>
        <v>0</v>
      </c>
      <c r="T93" s="17">
        <f t="shared" si="8"/>
        <v>0</v>
      </c>
    </row>
    <row r="94" spans="3:20" hidden="1" x14ac:dyDescent="0.25">
      <c r="C94" s="93" t="str">
        <f t="shared" si="3"/>
        <v>T13_1</v>
      </c>
      <c r="D94" s="49"/>
      <c r="E94" s="3">
        <f t="shared" si="8"/>
        <v>0</v>
      </c>
      <c r="F94" s="4">
        <f t="shared" si="8"/>
        <v>0</v>
      </c>
      <c r="G94" s="4">
        <f t="shared" si="8"/>
        <v>0</v>
      </c>
      <c r="H94" s="4">
        <f t="shared" si="8"/>
        <v>0</v>
      </c>
      <c r="I94" s="4">
        <f t="shared" si="8"/>
        <v>0</v>
      </c>
      <c r="J94" s="4">
        <f t="shared" si="8"/>
        <v>0</v>
      </c>
      <c r="K94" s="4">
        <f t="shared" si="8"/>
        <v>0</v>
      </c>
      <c r="L94" s="4">
        <f t="shared" si="8"/>
        <v>0</v>
      </c>
      <c r="M94" s="4">
        <f t="shared" si="8"/>
        <v>1</v>
      </c>
      <c r="N94" s="4">
        <f t="shared" si="8"/>
        <v>0</v>
      </c>
      <c r="O94" s="4">
        <f t="shared" si="8"/>
        <v>0</v>
      </c>
      <c r="P94" s="4">
        <f t="shared" si="8"/>
        <v>0</v>
      </c>
      <c r="Q94" s="4">
        <f t="shared" si="8"/>
        <v>0</v>
      </c>
      <c r="R94" s="4">
        <f t="shared" si="8"/>
        <v>0</v>
      </c>
      <c r="S94" s="4">
        <f t="shared" si="8"/>
        <v>0</v>
      </c>
      <c r="T94" s="17">
        <f t="shared" si="8"/>
        <v>0</v>
      </c>
    </row>
    <row r="95" spans="3:20" hidden="1" x14ac:dyDescent="0.25">
      <c r="C95" s="93" t="str">
        <f t="shared" si="3"/>
        <v>T13_2</v>
      </c>
      <c r="D95" s="49"/>
      <c r="E95" s="3">
        <f t="shared" si="8"/>
        <v>0</v>
      </c>
      <c r="F95" s="4">
        <f t="shared" si="8"/>
        <v>0</v>
      </c>
      <c r="G95" s="4">
        <f t="shared" si="8"/>
        <v>0</v>
      </c>
      <c r="H95" s="4">
        <f t="shared" si="8"/>
        <v>0</v>
      </c>
      <c r="I95" s="4">
        <f t="shared" si="8"/>
        <v>0</v>
      </c>
      <c r="J95" s="4">
        <f t="shared" si="8"/>
        <v>0</v>
      </c>
      <c r="K95" s="4">
        <f t="shared" si="8"/>
        <v>0</v>
      </c>
      <c r="L95" s="4">
        <f t="shared" si="8"/>
        <v>0</v>
      </c>
      <c r="M95" s="4">
        <f t="shared" si="8"/>
        <v>0</v>
      </c>
      <c r="N95" s="4">
        <f t="shared" si="8"/>
        <v>0</v>
      </c>
      <c r="O95" s="4">
        <f t="shared" si="8"/>
        <v>0</v>
      </c>
      <c r="P95" s="4">
        <f t="shared" si="8"/>
        <v>0</v>
      </c>
      <c r="Q95" s="4">
        <f t="shared" si="8"/>
        <v>0</v>
      </c>
      <c r="R95" s="4">
        <f t="shared" si="8"/>
        <v>1</v>
      </c>
      <c r="S95" s="4">
        <f t="shared" si="8"/>
        <v>0</v>
      </c>
      <c r="T95" s="17">
        <f t="shared" si="8"/>
        <v>0</v>
      </c>
    </row>
    <row r="96" spans="3:20" hidden="1" x14ac:dyDescent="0.25">
      <c r="C96" s="93" t="str">
        <f t="shared" si="3"/>
        <v>T13_3</v>
      </c>
      <c r="D96" s="49"/>
      <c r="E96" s="3">
        <f t="shared" si="8"/>
        <v>0</v>
      </c>
      <c r="F96" s="4">
        <f t="shared" si="8"/>
        <v>0</v>
      </c>
      <c r="G96" s="4">
        <f t="shared" si="8"/>
        <v>0</v>
      </c>
      <c r="H96" s="4">
        <f t="shared" si="8"/>
        <v>0</v>
      </c>
      <c r="I96" s="4">
        <f t="shared" si="8"/>
        <v>0</v>
      </c>
      <c r="J96" s="4">
        <f t="shared" si="8"/>
        <v>0</v>
      </c>
      <c r="K96" s="4">
        <f t="shared" si="8"/>
        <v>0</v>
      </c>
      <c r="L96" s="4">
        <f t="shared" si="8"/>
        <v>0</v>
      </c>
      <c r="M96" s="4">
        <f t="shared" si="8"/>
        <v>0</v>
      </c>
      <c r="N96" s="4">
        <f t="shared" si="8"/>
        <v>0</v>
      </c>
      <c r="O96" s="4">
        <f t="shared" si="8"/>
        <v>0</v>
      </c>
      <c r="P96" s="4">
        <f t="shared" si="8"/>
        <v>0</v>
      </c>
      <c r="Q96" s="4">
        <f t="shared" si="8"/>
        <v>1</v>
      </c>
      <c r="R96" s="4">
        <f t="shared" si="8"/>
        <v>0</v>
      </c>
      <c r="S96" s="4">
        <f t="shared" si="8"/>
        <v>0</v>
      </c>
      <c r="T96" s="17">
        <f t="shared" si="8"/>
        <v>0</v>
      </c>
    </row>
    <row r="97" spans="3:23" hidden="1" x14ac:dyDescent="0.25">
      <c r="C97" s="93" t="str">
        <f t="shared" si="3"/>
        <v>T14_1</v>
      </c>
      <c r="D97" s="49"/>
      <c r="E97" s="3">
        <f t="shared" si="8"/>
        <v>0</v>
      </c>
      <c r="F97" s="4">
        <f t="shared" si="8"/>
        <v>0</v>
      </c>
      <c r="G97" s="4">
        <f t="shared" si="8"/>
        <v>0</v>
      </c>
      <c r="H97" s="4">
        <f t="shared" si="8"/>
        <v>0</v>
      </c>
      <c r="I97" s="4">
        <f t="shared" si="8"/>
        <v>0</v>
      </c>
      <c r="J97" s="4">
        <f t="shared" si="8"/>
        <v>0</v>
      </c>
      <c r="K97" s="4">
        <f t="shared" si="8"/>
        <v>0</v>
      </c>
      <c r="L97" s="4">
        <f t="shared" si="8"/>
        <v>0</v>
      </c>
      <c r="M97" s="4">
        <f t="shared" si="8"/>
        <v>1</v>
      </c>
      <c r="N97" s="4">
        <f t="shared" si="8"/>
        <v>0</v>
      </c>
      <c r="O97" s="4">
        <f t="shared" si="8"/>
        <v>0</v>
      </c>
      <c r="P97" s="4">
        <f t="shared" si="8"/>
        <v>0</v>
      </c>
      <c r="Q97" s="4">
        <f t="shared" si="8"/>
        <v>0</v>
      </c>
      <c r="R97" s="4">
        <f t="shared" si="8"/>
        <v>0</v>
      </c>
      <c r="S97" s="4">
        <f t="shared" si="8"/>
        <v>0</v>
      </c>
      <c r="T97" s="17">
        <f t="shared" si="8"/>
        <v>0</v>
      </c>
    </row>
    <row r="98" spans="3:23" hidden="1" x14ac:dyDescent="0.25">
      <c r="C98" s="93" t="str">
        <f t="shared" si="3"/>
        <v>T14_2</v>
      </c>
      <c r="D98" s="49"/>
      <c r="E98" s="3">
        <f t="shared" si="8"/>
        <v>0</v>
      </c>
      <c r="F98" s="4">
        <f t="shared" si="8"/>
        <v>0</v>
      </c>
      <c r="G98" s="4">
        <f t="shared" si="8"/>
        <v>0</v>
      </c>
      <c r="H98" s="4">
        <f t="shared" si="8"/>
        <v>0</v>
      </c>
      <c r="I98" s="4">
        <f t="shared" si="8"/>
        <v>0</v>
      </c>
      <c r="J98" s="4">
        <f t="shared" si="8"/>
        <v>0</v>
      </c>
      <c r="K98" s="4">
        <f t="shared" si="8"/>
        <v>0</v>
      </c>
      <c r="L98" s="4">
        <f t="shared" si="8"/>
        <v>0</v>
      </c>
      <c r="M98" s="4">
        <f t="shared" si="8"/>
        <v>0</v>
      </c>
      <c r="N98" s="4">
        <f t="shared" si="8"/>
        <v>1</v>
      </c>
      <c r="O98" s="4">
        <f t="shared" si="8"/>
        <v>0</v>
      </c>
      <c r="P98" s="4">
        <f t="shared" si="8"/>
        <v>0</v>
      </c>
      <c r="Q98" s="4">
        <f t="shared" si="8"/>
        <v>0</v>
      </c>
      <c r="R98" s="4">
        <f t="shared" si="8"/>
        <v>0</v>
      </c>
      <c r="S98" s="4">
        <f t="shared" si="8"/>
        <v>0</v>
      </c>
      <c r="T98" s="17">
        <f t="shared" si="8"/>
        <v>0</v>
      </c>
    </row>
    <row r="99" spans="3:23" hidden="1" x14ac:dyDescent="0.25">
      <c r="C99" s="93" t="str">
        <f t="shared" si="3"/>
        <v>T14_3</v>
      </c>
      <c r="D99" s="49"/>
      <c r="E99" s="3">
        <f t="shared" si="8"/>
        <v>0</v>
      </c>
      <c r="F99" s="4">
        <f t="shared" si="8"/>
        <v>0</v>
      </c>
      <c r="G99" s="4">
        <f t="shared" si="8"/>
        <v>0</v>
      </c>
      <c r="H99" s="4">
        <f t="shared" si="8"/>
        <v>0</v>
      </c>
      <c r="I99" s="4">
        <f t="shared" si="8"/>
        <v>0</v>
      </c>
      <c r="J99" s="4">
        <f t="shared" si="8"/>
        <v>0</v>
      </c>
      <c r="K99" s="4">
        <f t="shared" si="8"/>
        <v>0</v>
      </c>
      <c r="L99" s="4">
        <f t="shared" si="8"/>
        <v>0</v>
      </c>
      <c r="M99" s="4">
        <f t="shared" si="8"/>
        <v>0</v>
      </c>
      <c r="N99" s="4">
        <f t="shared" si="8"/>
        <v>0</v>
      </c>
      <c r="O99" s="4">
        <f t="shared" si="8"/>
        <v>0</v>
      </c>
      <c r="P99" s="4">
        <f t="shared" si="8"/>
        <v>0</v>
      </c>
      <c r="Q99" s="4">
        <f t="shared" si="8"/>
        <v>0</v>
      </c>
      <c r="R99" s="4">
        <f t="shared" si="8"/>
        <v>1</v>
      </c>
      <c r="S99" s="4">
        <f t="shared" si="8"/>
        <v>0</v>
      </c>
      <c r="T99" s="17">
        <f t="shared" si="8"/>
        <v>0</v>
      </c>
    </row>
    <row r="100" spans="3:23" hidden="1" x14ac:dyDescent="0.25">
      <c r="C100" s="93" t="str">
        <f t="shared" si="3"/>
        <v>T15_1</v>
      </c>
      <c r="D100" s="49"/>
      <c r="E100" s="3">
        <f t="shared" si="8"/>
        <v>0</v>
      </c>
      <c r="F100" s="4">
        <f t="shared" si="8"/>
        <v>0</v>
      </c>
      <c r="G100" s="4">
        <f t="shared" si="8"/>
        <v>0</v>
      </c>
      <c r="H100" s="4">
        <f t="shared" si="8"/>
        <v>0</v>
      </c>
      <c r="I100" s="4">
        <f t="shared" si="8"/>
        <v>0</v>
      </c>
      <c r="J100" s="4">
        <f t="shared" si="8"/>
        <v>0</v>
      </c>
      <c r="K100" s="4">
        <f t="shared" si="8"/>
        <v>0</v>
      </c>
      <c r="L100" s="4">
        <f t="shared" si="8"/>
        <v>0</v>
      </c>
      <c r="M100" s="4">
        <f t="shared" si="8"/>
        <v>0</v>
      </c>
      <c r="N100" s="4">
        <f t="shared" si="8"/>
        <v>1</v>
      </c>
      <c r="O100" s="4">
        <f t="shared" si="8"/>
        <v>0</v>
      </c>
      <c r="P100" s="4">
        <f t="shared" si="8"/>
        <v>0</v>
      </c>
      <c r="Q100" s="4">
        <f t="shared" si="8"/>
        <v>0</v>
      </c>
      <c r="R100" s="4">
        <f t="shared" si="8"/>
        <v>0</v>
      </c>
      <c r="S100" s="4">
        <f t="shared" si="8"/>
        <v>0</v>
      </c>
      <c r="T100" s="17">
        <f t="shared" si="8"/>
        <v>0</v>
      </c>
    </row>
    <row r="101" spans="3:23" hidden="1" x14ac:dyDescent="0.25">
      <c r="C101" s="93" t="str">
        <f t="shared" si="3"/>
        <v>T15_2</v>
      </c>
      <c r="D101" s="49"/>
      <c r="E101" s="3">
        <f t="shared" si="8"/>
        <v>0</v>
      </c>
      <c r="F101" s="4">
        <f t="shared" si="8"/>
        <v>0</v>
      </c>
      <c r="G101" s="4">
        <f t="shared" si="8"/>
        <v>0</v>
      </c>
      <c r="H101" s="4">
        <f t="shared" si="8"/>
        <v>0</v>
      </c>
      <c r="I101" s="4">
        <f t="shared" si="8"/>
        <v>0</v>
      </c>
      <c r="J101" s="4">
        <f t="shared" si="8"/>
        <v>0</v>
      </c>
      <c r="K101" s="4">
        <f t="shared" si="8"/>
        <v>0</v>
      </c>
      <c r="L101" s="4">
        <f t="shared" si="8"/>
        <v>0</v>
      </c>
      <c r="M101" s="4">
        <f t="shared" si="8"/>
        <v>0</v>
      </c>
      <c r="N101" s="4">
        <f t="shared" si="8"/>
        <v>0</v>
      </c>
      <c r="O101" s="4">
        <f t="shared" si="8"/>
        <v>0</v>
      </c>
      <c r="P101" s="4">
        <f t="shared" si="8"/>
        <v>0</v>
      </c>
      <c r="Q101" s="4">
        <f t="shared" si="8"/>
        <v>0</v>
      </c>
      <c r="R101" s="4">
        <f t="shared" si="8"/>
        <v>0</v>
      </c>
      <c r="S101" s="4">
        <f t="shared" si="8"/>
        <v>1</v>
      </c>
      <c r="T101" s="17">
        <f t="shared" si="8"/>
        <v>0</v>
      </c>
    </row>
    <row r="102" spans="3:23" hidden="1" x14ac:dyDescent="0.25">
      <c r="C102" s="93" t="str">
        <f t="shared" si="3"/>
        <v>T15_3</v>
      </c>
      <c r="D102" s="49"/>
      <c r="E102" s="3">
        <f t="shared" si="8"/>
        <v>0</v>
      </c>
      <c r="F102" s="4">
        <f t="shared" si="8"/>
        <v>0</v>
      </c>
      <c r="G102" s="4">
        <f t="shared" si="8"/>
        <v>0</v>
      </c>
      <c r="H102" s="4">
        <f t="shared" si="8"/>
        <v>0</v>
      </c>
      <c r="I102" s="4">
        <f t="shared" si="8"/>
        <v>0</v>
      </c>
      <c r="J102" s="4">
        <f t="shared" si="8"/>
        <v>0</v>
      </c>
      <c r="K102" s="4">
        <f t="shared" si="8"/>
        <v>0</v>
      </c>
      <c r="L102" s="4">
        <f t="shared" si="8"/>
        <v>0</v>
      </c>
      <c r="M102" s="4">
        <f t="shared" si="8"/>
        <v>0</v>
      </c>
      <c r="N102" s="4">
        <f t="shared" si="8"/>
        <v>0</v>
      </c>
      <c r="O102" s="4">
        <f t="shared" si="8"/>
        <v>0</v>
      </c>
      <c r="P102" s="4">
        <f t="shared" si="8"/>
        <v>0</v>
      </c>
      <c r="Q102" s="4">
        <f t="shared" si="8"/>
        <v>0</v>
      </c>
      <c r="R102" s="4">
        <f t="shared" si="8"/>
        <v>1</v>
      </c>
      <c r="S102" s="4">
        <f t="shared" si="8"/>
        <v>0</v>
      </c>
      <c r="T102" s="17">
        <f t="shared" si="8"/>
        <v>0</v>
      </c>
    </row>
    <row r="103" spans="3:23" hidden="1" x14ac:dyDescent="0.25">
      <c r="C103" s="93" t="str">
        <f t="shared" si="3"/>
        <v>T16_1</v>
      </c>
      <c r="D103" s="49"/>
      <c r="E103" s="3">
        <f t="shared" si="8"/>
        <v>0</v>
      </c>
      <c r="F103" s="4">
        <f t="shared" si="8"/>
        <v>0</v>
      </c>
      <c r="G103" s="4">
        <f t="shared" si="8"/>
        <v>0</v>
      </c>
      <c r="H103" s="4">
        <f t="shared" si="8"/>
        <v>0</v>
      </c>
      <c r="I103" s="4">
        <f t="shared" si="8"/>
        <v>0</v>
      </c>
      <c r="J103" s="4">
        <f t="shared" si="8"/>
        <v>0</v>
      </c>
      <c r="K103" s="4">
        <f t="shared" si="8"/>
        <v>0</v>
      </c>
      <c r="L103" s="4">
        <f t="shared" si="8"/>
        <v>0</v>
      </c>
      <c r="M103" s="4">
        <f t="shared" si="8"/>
        <v>0</v>
      </c>
      <c r="N103" s="4">
        <f t="shared" si="8"/>
        <v>1</v>
      </c>
      <c r="O103" s="4">
        <f t="shared" si="8"/>
        <v>0</v>
      </c>
      <c r="P103" s="4">
        <f t="shared" si="8"/>
        <v>0</v>
      </c>
      <c r="Q103" s="4">
        <f t="shared" si="8"/>
        <v>0</v>
      </c>
      <c r="R103" s="4">
        <f t="shared" si="8"/>
        <v>0</v>
      </c>
      <c r="S103" s="4">
        <f t="shared" si="8"/>
        <v>0</v>
      </c>
      <c r="T103" s="17">
        <f t="shared" si="8"/>
        <v>0</v>
      </c>
    </row>
    <row r="104" spans="3:23" hidden="1" x14ac:dyDescent="0.25">
      <c r="C104" s="93" t="str">
        <f t="shared" si="3"/>
        <v>T16_2</v>
      </c>
      <c r="D104" s="49"/>
      <c r="E104" s="3">
        <f t="shared" si="8"/>
        <v>0</v>
      </c>
      <c r="F104" s="4">
        <f t="shared" si="8"/>
        <v>0</v>
      </c>
      <c r="G104" s="4">
        <f t="shared" si="8"/>
        <v>0</v>
      </c>
      <c r="H104" s="4">
        <f t="shared" si="8"/>
        <v>0</v>
      </c>
      <c r="I104" s="4">
        <f t="shared" si="8"/>
        <v>0</v>
      </c>
      <c r="J104" s="4">
        <f t="shared" si="8"/>
        <v>0</v>
      </c>
      <c r="K104" s="4">
        <f t="shared" si="8"/>
        <v>0</v>
      </c>
      <c r="L104" s="4">
        <f t="shared" si="8"/>
        <v>0</v>
      </c>
      <c r="M104" s="4">
        <f t="shared" si="8"/>
        <v>0</v>
      </c>
      <c r="N104" s="4">
        <f t="shared" si="8"/>
        <v>0</v>
      </c>
      <c r="O104" s="4">
        <f t="shared" si="8"/>
        <v>1</v>
      </c>
      <c r="P104" s="4">
        <f t="shared" si="8"/>
        <v>0</v>
      </c>
      <c r="Q104" s="4">
        <f t="shared" si="8"/>
        <v>0</v>
      </c>
      <c r="R104" s="4">
        <f t="shared" si="8"/>
        <v>0</v>
      </c>
      <c r="S104" s="4">
        <f t="shared" si="8"/>
        <v>0</v>
      </c>
      <c r="T104" s="17">
        <f t="shared" si="8"/>
        <v>0</v>
      </c>
    </row>
    <row r="105" spans="3:23" hidden="1" x14ac:dyDescent="0.25">
      <c r="C105" s="93" t="str">
        <f t="shared" si="3"/>
        <v>T16_3</v>
      </c>
      <c r="D105" s="49"/>
      <c r="E105" s="3">
        <f t="shared" si="8"/>
        <v>0</v>
      </c>
      <c r="F105" s="4">
        <f t="shared" si="8"/>
        <v>0</v>
      </c>
      <c r="G105" s="4">
        <f t="shared" si="8"/>
        <v>0</v>
      </c>
      <c r="H105" s="4">
        <f t="shared" si="8"/>
        <v>0</v>
      </c>
      <c r="I105" s="4">
        <f t="shared" si="8"/>
        <v>0</v>
      </c>
      <c r="J105" s="4">
        <f t="shared" si="8"/>
        <v>0</v>
      </c>
      <c r="K105" s="4">
        <f t="shared" si="8"/>
        <v>0</v>
      </c>
      <c r="L105" s="4">
        <f t="shared" si="8"/>
        <v>0</v>
      </c>
      <c r="M105" s="4">
        <f t="shared" si="8"/>
        <v>0</v>
      </c>
      <c r="N105" s="4">
        <f t="shared" si="8"/>
        <v>0</v>
      </c>
      <c r="O105" s="4">
        <f t="shared" si="8"/>
        <v>0</v>
      </c>
      <c r="P105" s="4">
        <f t="shared" si="8"/>
        <v>0</v>
      </c>
      <c r="Q105" s="4">
        <f t="shared" si="8"/>
        <v>0</v>
      </c>
      <c r="R105" s="4">
        <f t="shared" si="8"/>
        <v>0</v>
      </c>
      <c r="S105" s="4">
        <f t="shared" si="8"/>
        <v>1</v>
      </c>
      <c r="T105" s="17">
        <f t="shared" ref="T105" si="9">IF(T49="",0,T49)</f>
        <v>0</v>
      </c>
    </row>
    <row r="106" spans="3:23" hidden="1" x14ac:dyDescent="0.25">
      <c r="C106" s="93" t="str">
        <f t="shared" si="3"/>
        <v>T17_1</v>
      </c>
      <c r="D106" s="49"/>
      <c r="E106" s="3">
        <f t="shared" ref="E106:T111" si="10">IF(E50="",0,E50)</f>
        <v>0</v>
      </c>
      <c r="F106" s="4">
        <f t="shared" si="10"/>
        <v>0</v>
      </c>
      <c r="G106" s="4">
        <f t="shared" si="10"/>
        <v>0</v>
      </c>
      <c r="H106" s="4">
        <f t="shared" si="10"/>
        <v>0</v>
      </c>
      <c r="I106" s="4">
        <f t="shared" si="10"/>
        <v>0</v>
      </c>
      <c r="J106" s="4">
        <f t="shared" si="10"/>
        <v>0</v>
      </c>
      <c r="K106" s="4">
        <f t="shared" si="10"/>
        <v>0</v>
      </c>
      <c r="L106" s="4">
        <f t="shared" si="10"/>
        <v>0</v>
      </c>
      <c r="M106" s="4">
        <f t="shared" si="10"/>
        <v>0</v>
      </c>
      <c r="N106" s="4">
        <f t="shared" si="10"/>
        <v>0</v>
      </c>
      <c r="O106" s="4">
        <f t="shared" si="10"/>
        <v>1</v>
      </c>
      <c r="P106" s="4">
        <f t="shared" si="10"/>
        <v>0</v>
      </c>
      <c r="Q106" s="4">
        <f t="shared" si="10"/>
        <v>0</v>
      </c>
      <c r="R106" s="4">
        <f t="shared" si="10"/>
        <v>0</v>
      </c>
      <c r="S106" s="4">
        <f t="shared" si="10"/>
        <v>0</v>
      </c>
      <c r="T106" s="17">
        <f t="shared" si="10"/>
        <v>0</v>
      </c>
    </row>
    <row r="107" spans="3:23" hidden="1" x14ac:dyDescent="0.25">
      <c r="C107" s="93" t="str">
        <f t="shared" si="3"/>
        <v>T17_2</v>
      </c>
      <c r="D107" s="49"/>
      <c r="E107" s="3">
        <f t="shared" si="10"/>
        <v>0</v>
      </c>
      <c r="F107" s="4">
        <f t="shared" si="10"/>
        <v>0</v>
      </c>
      <c r="G107" s="4">
        <f t="shared" si="10"/>
        <v>0</v>
      </c>
      <c r="H107" s="4">
        <f t="shared" si="10"/>
        <v>0</v>
      </c>
      <c r="I107" s="4">
        <f t="shared" si="10"/>
        <v>0</v>
      </c>
      <c r="J107" s="4">
        <f t="shared" si="10"/>
        <v>0</v>
      </c>
      <c r="K107" s="4">
        <f t="shared" si="10"/>
        <v>0</v>
      </c>
      <c r="L107" s="4">
        <f t="shared" si="10"/>
        <v>0</v>
      </c>
      <c r="M107" s="4">
        <f t="shared" si="10"/>
        <v>0</v>
      </c>
      <c r="N107" s="4">
        <f t="shared" si="10"/>
        <v>0</v>
      </c>
      <c r="O107" s="4">
        <f t="shared" si="10"/>
        <v>0</v>
      </c>
      <c r="P107" s="4">
        <f t="shared" si="10"/>
        <v>0</v>
      </c>
      <c r="Q107" s="4">
        <f t="shared" si="10"/>
        <v>0</v>
      </c>
      <c r="R107" s="4">
        <f t="shared" si="10"/>
        <v>0</v>
      </c>
      <c r="S107" s="4">
        <f t="shared" si="10"/>
        <v>0</v>
      </c>
      <c r="T107" s="17">
        <f t="shared" si="10"/>
        <v>1</v>
      </c>
    </row>
    <row r="108" spans="3:23" hidden="1" x14ac:dyDescent="0.25">
      <c r="C108" s="93" t="str">
        <f t="shared" si="3"/>
        <v>T17_3</v>
      </c>
      <c r="D108" s="49"/>
      <c r="E108" s="3">
        <f t="shared" si="10"/>
        <v>0</v>
      </c>
      <c r="F108" s="4">
        <f t="shared" si="10"/>
        <v>0</v>
      </c>
      <c r="G108" s="4">
        <f t="shared" si="10"/>
        <v>0</v>
      </c>
      <c r="H108" s="4">
        <f t="shared" si="10"/>
        <v>0</v>
      </c>
      <c r="I108" s="4">
        <f t="shared" si="10"/>
        <v>0</v>
      </c>
      <c r="J108" s="4">
        <f t="shared" si="10"/>
        <v>0</v>
      </c>
      <c r="K108" s="4">
        <f t="shared" si="10"/>
        <v>0</v>
      </c>
      <c r="L108" s="4">
        <f t="shared" si="10"/>
        <v>0</v>
      </c>
      <c r="M108" s="4">
        <f t="shared" si="10"/>
        <v>0</v>
      </c>
      <c r="N108" s="4">
        <f t="shared" si="10"/>
        <v>0</v>
      </c>
      <c r="O108" s="4">
        <f t="shared" si="10"/>
        <v>0</v>
      </c>
      <c r="P108" s="4">
        <f t="shared" si="10"/>
        <v>0</v>
      </c>
      <c r="Q108" s="4">
        <f t="shared" si="10"/>
        <v>0</v>
      </c>
      <c r="R108" s="4">
        <f t="shared" si="10"/>
        <v>0</v>
      </c>
      <c r="S108" s="4">
        <f t="shared" si="10"/>
        <v>1</v>
      </c>
      <c r="T108" s="17">
        <f t="shared" si="10"/>
        <v>0</v>
      </c>
    </row>
    <row r="109" spans="3:23" hidden="1" x14ac:dyDescent="0.25">
      <c r="C109" s="93" t="str">
        <f t="shared" si="3"/>
        <v>T18_1</v>
      </c>
      <c r="D109" s="49"/>
      <c r="E109" s="3">
        <f t="shared" si="10"/>
        <v>0</v>
      </c>
      <c r="F109" s="4">
        <f t="shared" si="10"/>
        <v>0</v>
      </c>
      <c r="G109" s="4">
        <f t="shared" si="10"/>
        <v>0</v>
      </c>
      <c r="H109" s="4">
        <f t="shared" si="10"/>
        <v>0</v>
      </c>
      <c r="I109" s="4">
        <f t="shared" si="10"/>
        <v>0</v>
      </c>
      <c r="J109" s="4">
        <f t="shared" si="10"/>
        <v>0</v>
      </c>
      <c r="K109" s="4">
        <f t="shared" si="10"/>
        <v>0</v>
      </c>
      <c r="L109" s="4">
        <f t="shared" si="10"/>
        <v>0</v>
      </c>
      <c r="M109" s="4">
        <f t="shared" si="10"/>
        <v>0</v>
      </c>
      <c r="N109" s="4">
        <f t="shared" si="10"/>
        <v>0</v>
      </c>
      <c r="O109" s="4">
        <f t="shared" si="10"/>
        <v>1</v>
      </c>
      <c r="P109" s="4">
        <f t="shared" si="10"/>
        <v>0</v>
      </c>
      <c r="Q109" s="4">
        <f t="shared" si="10"/>
        <v>0</v>
      </c>
      <c r="R109" s="4">
        <f t="shared" si="10"/>
        <v>0</v>
      </c>
      <c r="S109" s="4">
        <f t="shared" si="10"/>
        <v>0</v>
      </c>
      <c r="T109" s="17">
        <f t="shared" si="10"/>
        <v>0</v>
      </c>
    </row>
    <row r="110" spans="3:23" hidden="1" x14ac:dyDescent="0.25">
      <c r="C110" s="93" t="str">
        <f t="shared" si="3"/>
        <v>T18_2</v>
      </c>
      <c r="D110" s="49"/>
      <c r="E110" s="3">
        <f t="shared" si="10"/>
        <v>0</v>
      </c>
      <c r="F110" s="4">
        <f t="shared" si="10"/>
        <v>0</v>
      </c>
      <c r="G110" s="4">
        <f t="shared" si="10"/>
        <v>0</v>
      </c>
      <c r="H110" s="4">
        <f t="shared" si="10"/>
        <v>0</v>
      </c>
      <c r="I110" s="4">
        <f t="shared" si="10"/>
        <v>0</v>
      </c>
      <c r="J110" s="4">
        <f t="shared" si="10"/>
        <v>0</v>
      </c>
      <c r="K110" s="4">
        <f t="shared" si="10"/>
        <v>0</v>
      </c>
      <c r="L110" s="4">
        <f t="shared" si="10"/>
        <v>0</v>
      </c>
      <c r="M110" s="4">
        <f t="shared" si="10"/>
        <v>0</v>
      </c>
      <c r="N110" s="4">
        <f t="shared" si="10"/>
        <v>0</v>
      </c>
      <c r="O110" s="4">
        <f t="shared" si="10"/>
        <v>0</v>
      </c>
      <c r="P110" s="4">
        <f t="shared" si="10"/>
        <v>1</v>
      </c>
      <c r="Q110" s="4">
        <f t="shared" si="10"/>
        <v>0</v>
      </c>
      <c r="R110" s="4">
        <f t="shared" si="10"/>
        <v>0</v>
      </c>
      <c r="S110" s="4">
        <f t="shared" si="10"/>
        <v>0</v>
      </c>
      <c r="T110" s="17">
        <f t="shared" si="10"/>
        <v>0</v>
      </c>
    </row>
    <row r="111" spans="3:23" x14ac:dyDescent="0.25">
      <c r="C111" s="97" t="str">
        <f t="shared" si="3"/>
        <v>T18_3</v>
      </c>
      <c r="D111" s="98"/>
      <c r="E111" s="108">
        <f t="shared" si="10"/>
        <v>0</v>
      </c>
      <c r="F111" s="19">
        <f t="shared" si="10"/>
        <v>0</v>
      </c>
      <c r="G111" s="19">
        <f t="shared" si="10"/>
        <v>0</v>
      </c>
      <c r="H111" s="19">
        <f t="shared" si="10"/>
        <v>0</v>
      </c>
      <c r="I111" s="19">
        <f t="shared" si="10"/>
        <v>0</v>
      </c>
      <c r="J111" s="19">
        <f t="shared" si="10"/>
        <v>0</v>
      </c>
      <c r="K111" s="19">
        <f t="shared" si="10"/>
        <v>0</v>
      </c>
      <c r="L111" s="19">
        <f t="shared" si="10"/>
        <v>0</v>
      </c>
      <c r="M111" s="19">
        <f t="shared" si="10"/>
        <v>0</v>
      </c>
      <c r="N111" s="19">
        <f t="shared" si="10"/>
        <v>0</v>
      </c>
      <c r="O111" s="19">
        <f t="shared" si="10"/>
        <v>0</v>
      </c>
      <c r="P111" s="19">
        <f t="shared" si="10"/>
        <v>0</v>
      </c>
      <c r="Q111" s="19">
        <f t="shared" si="10"/>
        <v>0</v>
      </c>
      <c r="R111" s="19">
        <f t="shared" si="10"/>
        <v>0</v>
      </c>
      <c r="S111" s="19">
        <f t="shared" si="10"/>
        <v>0</v>
      </c>
      <c r="T111" s="20">
        <f t="shared" si="10"/>
        <v>1</v>
      </c>
    </row>
    <row r="112" spans="3:23" x14ac:dyDescent="0.25">
      <c r="W112" s="23" t="s">
        <v>208</v>
      </c>
    </row>
    <row r="113" spans="4:30" x14ac:dyDescent="0.25">
      <c r="E113" t="s">
        <v>0</v>
      </c>
      <c r="F113" t="s">
        <v>1</v>
      </c>
      <c r="G113" t="s">
        <v>2</v>
      </c>
      <c r="H113" t="s">
        <v>3</v>
      </c>
      <c r="I113" t="s">
        <v>4</v>
      </c>
      <c r="J113" t="s">
        <v>5</v>
      </c>
      <c r="K113" t="s">
        <v>6</v>
      </c>
      <c r="L113" t="s">
        <v>7</v>
      </c>
      <c r="M113" t="s">
        <v>8</v>
      </c>
      <c r="N113" t="s">
        <v>164</v>
      </c>
      <c r="O113" t="s">
        <v>165</v>
      </c>
      <c r="P113" t="s">
        <v>166</v>
      </c>
      <c r="Q113" t="s">
        <v>167</v>
      </c>
      <c r="R113" t="s">
        <v>168</v>
      </c>
      <c r="S113" t="s">
        <v>169</v>
      </c>
      <c r="T113" t="s">
        <v>170</v>
      </c>
      <c r="V113" s="23"/>
      <c r="W113" t="s">
        <v>209</v>
      </c>
      <c r="Y113" t="s">
        <v>210</v>
      </c>
      <c r="AA113" s="112" t="s">
        <v>167</v>
      </c>
      <c r="AB113" s="112" t="s">
        <v>168</v>
      </c>
      <c r="AC113" s="112" t="s">
        <v>169</v>
      </c>
      <c r="AD113" s="112" t="s">
        <v>170</v>
      </c>
    </row>
    <row r="114" spans="4:30" x14ac:dyDescent="0.25">
      <c r="D114" s="23" t="s">
        <v>0</v>
      </c>
      <c r="E114" s="10">
        <f t="array" ref="E114:T129">MMULT(MMULT(TRANSPOSE(E58:T111),AA2:CB55),E58:T111)</f>
        <v>8</v>
      </c>
      <c r="F114" s="9">
        <v>-4</v>
      </c>
      <c r="G114" s="4">
        <v>0</v>
      </c>
      <c r="H114" s="4">
        <v>0</v>
      </c>
      <c r="I114" s="4">
        <v>-4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  <c r="P114" s="4">
        <v>0</v>
      </c>
      <c r="Q114" s="4">
        <v>0</v>
      </c>
      <c r="R114" s="4">
        <v>0</v>
      </c>
      <c r="S114" s="4">
        <v>0</v>
      </c>
      <c r="T114" s="5">
        <v>0</v>
      </c>
      <c r="V114" s="23" t="s">
        <v>0</v>
      </c>
      <c r="W114" s="114">
        <v>0</v>
      </c>
      <c r="Y114" s="115">
        <f t="array" ref="Y114:Y129">MMULT(E114:T129,W114:W129)</f>
        <v>-800</v>
      </c>
      <c r="AA114" s="112" t="s">
        <v>8</v>
      </c>
      <c r="AB114" s="117" t="s">
        <v>164</v>
      </c>
      <c r="AC114" s="117" t="s">
        <v>165</v>
      </c>
      <c r="AD114" s="112" t="s">
        <v>166</v>
      </c>
    </row>
    <row r="115" spans="4:30" x14ac:dyDescent="0.25">
      <c r="D115" s="23" t="s">
        <v>1</v>
      </c>
      <c r="E115" s="8">
        <v>-4</v>
      </c>
      <c r="F115" s="11">
        <v>16</v>
      </c>
      <c r="G115" s="9">
        <v>-4</v>
      </c>
      <c r="H115" s="4">
        <v>0</v>
      </c>
      <c r="I115" s="4">
        <v>0</v>
      </c>
      <c r="J115" s="4">
        <v>-8</v>
      </c>
      <c r="K115" s="4">
        <v>0</v>
      </c>
      <c r="L115" s="4">
        <v>0</v>
      </c>
      <c r="M115" s="4">
        <v>0</v>
      </c>
      <c r="N115" s="4">
        <v>0</v>
      </c>
      <c r="O115" s="4">
        <v>0</v>
      </c>
      <c r="P115" s="4">
        <v>0</v>
      </c>
      <c r="Q115" s="4">
        <v>0</v>
      </c>
      <c r="R115" s="4">
        <v>0</v>
      </c>
      <c r="S115" s="4">
        <v>0</v>
      </c>
      <c r="T115" s="5">
        <v>0</v>
      </c>
      <c r="V115" s="23" t="s">
        <v>1</v>
      </c>
      <c r="W115" s="114">
        <v>100</v>
      </c>
      <c r="Y115" s="115">
        <v>-800</v>
      </c>
      <c r="AA115" s="112" t="s">
        <v>4</v>
      </c>
      <c r="AB115" s="117" t="s">
        <v>5</v>
      </c>
      <c r="AC115" s="117" t="s">
        <v>6</v>
      </c>
      <c r="AD115" s="112" t="s">
        <v>7</v>
      </c>
    </row>
    <row r="116" spans="4:30" x14ac:dyDescent="0.25">
      <c r="D116" s="23" t="s">
        <v>2</v>
      </c>
      <c r="E116" s="3">
        <v>0</v>
      </c>
      <c r="F116" s="9">
        <v>-4</v>
      </c>
      <c r="G116" s="11">
        <v>16</v>
      </c>
      <c r="H116" s="9">
        <v>-4</v>
      </c>
      <c r="I116" s="4">
        <v>0</v>
      </c>
      <c r="J116" s="4">
        <v>0</v>
      </c>
      <c r="K116" s="4">
        <v>-8</v>
      </c>
      <c r="L116" s="4">
        <v>0</v>
      </c>
      <c r="M116" s="4">
        <v>0</v>
      </c>
      <c r="N116" s="4">
        <v>0</v>
      </c>
      <c r="O116" s="4">
        <v>0</v>
      </c>
      <c r="P116" s="4">
        <v>0</v>
      </c>
      <c r="Q116" s="4">
        <v>0</v>
      </c>
      <c r="R116" s="4">
        <v>0</v>
      </c>
      <c r="S116" s="4">
        <v>0</v>
      </c>
      <c r="T116" s="5">
        <v>0</v>
      </c>
      <c r="V116" s="23" t="s">
        <v>2</v>
      </c>
      <c r="W116" s="114">
        <v>200</v>
      </c>
      <c r="Y116" s="115">
        <v>-800</v>
      </c>
      <c r="AA116" s="112" t="s">
        <v>0</v>
      </c>
      <c r="AB116" s="112" t="s">
        <v>1</v>
      </c>
      <c r="AC116" s="112" t="s">
        <v>2</v>
      </c>
      <c r="AD116" s="112" t="s">
        <v>3</v>
      </c>
    </row>
    <row r="117" spans="4:30" x14ac:dyDescent="0.25">
      <c r="D117" s="23" t="s">
        <v>3</v>
      </c>
      <c r="E117" s="3">
        <v>0</v>
      </c>
      <c r="F117" s="4">
        <v>0</v>
      </c>
      <c r="G117" s="9">
        <v>-4</v>
      </c>
      <c r="H117" s="11">
        <v>8</v>
      </c>
      <c r="I117" s="9">
        <v>0</v>
      </c>
      <c r="J117" s="4">
        <v>0</v>
      </c>
      <c r="K117" s="4">
        <v>0</v>
      </c>
      <c r="L117" s="4">
        <v>-4</v>
      </c>
      <c r="M117" s="4">
        <v>0</v>
      </c>
      <c r="N117" s="4">
        <v>0</v>
      </c>
      <c r="O117" s="4">
        <v>0</v>
      </c>
      <c r="P117" s="4">
        <v>0</v>
      </c>
      <c r="Q117" s="4">
        <v>0</v>
      </c>
      <c r="R117" s="4">
        <v>0</v>
      </c>
      <c r="S117" s="4">
        <v>0</v>
      </c>
      <c r="T117" s="5">
        <v>0</v>
      </c>
      <c r="V117" s="23" t="s">
        <v>3</v>
      </c>
      <c r="W117" s="114">
        <v>300</v>
      </c>
      <c r="Y117" s="115">
        <v>0</v>
      </c>
    </row>
    <row r="118" spans="4:30" x14ac:dyDescent="0.25">
      <c r="D118" s="23" t="s">
        <v>4</v>
      </c>
      <c r="E118" s="3">
        <v>-4</v>
      </c>
      <c r="F118" s="4">
        <v>0</v>
      </c>
      <c r="G118" s="4">
        <v>0</v>
      </c>
      <c r="H118" s="9">
        <v>0</v>
      </c>
      <c r="I118" s="11">
        <v>16</v>
      </c>
      <c r="J118" s="9">
        <v>-8</v>
      </c>
      <c r="K118" s="4">
        <v>0</v>
      </c>
      <c r="L118" s="4">
        <v>0</v>
      </c>
      <c r="M118" s="4">
        <v>-4</v>
      </c>
      <c r="N118" s="4">
        <v>0</v>
      </c>
      <c r="O118" s="4">
        <v>0</v>
      </c>
      <c r="P118" s="4">
        <v>0</v>
      </c>
      <c r="Q118" s="4">
        <v>0</v>
      </c>
      <c r="R118" s="4">
        <v>0</v>
      </c>
      <c r="S118" s="4">
        <v>0</v>
      </c>
      <c r="T118" s="5">
        <v>0</v>
      </c>
      <c r="V118" s="23" t="s">
        <v>4</v>
      </c>
      <c r="W118" s="59">
        <v>100</v>
      </c>
      <c r="Y118" s="115">
        <v>-800</v>
      </c>
    </row>
    <row r="119" spans="4:30" x14ac:dyDescent="0.25">
      <c r="D119" s="23" t="s">
        <v>5</v>
      </c>
      <c r="E119" s="3">
        <v>0</v>
      </c>
      <c r="F119" s="4">
        <v>-8</v>
      </c>
      <c r="G119" s="4">
        <v>0</v>
      </c>
      <c r="H119" s="4">
        <v>0</v>
      </c>
      <c r="I119" s="9">
        <v>-8</v>
      </c>
      <c r="J119" s="11">
        <v>32</v>
      </c>
      <c r="K119" s="9">
        <v>-8</v>
      </c>
      <c r="L119" s="4">
        <v>0</v>
      </c>
      <c r="M119" s="4">
        <v>0</v>
      </c>
      <c r="N119" s="4">
        <v>-8</v>
      </c>
      <c r="O119" s="4">
        <v>0</v>
      </c>
      <c r="P119" s="4">
        <v>0</v>
      </c>
      <c r="Q119" s="4">
        <v>0</v>
      </c>
      <c r="R119" s="4">
        <v>0</v>
      </c>
      <c r="S119" s="4">
        <v>0</v>
      </c>
      <c r="T119" s="5">
        <v>0</v>
      </c>
      <c r="U119" s="118" t="s">
        <v>211</v>
      </c>
      <c r="V119" s="23" t="s">
        <v>5</v>
      </c>
      <c r="W119" s="119">
        <v>200</v>
      </c>
      <c r="Y119" s="116">
        <v>0</v>
      </c>
    </row>
    <row r="120" spans="4:30" x14ac:dyDescent="0.25">
      <c r="D120" s="23" t="s">
        <v>6</v>
      </c>
      <c r="E120" s="3">
        <v>0</v>
      </c>
      <c r="F120" s="4">
        <v>0</v>
      </c>
      <c r="G120" s="4">
        <v>-8</v>
      </c>
      <c r="H120" s="4">
        <v>0</v>
      </c>
      <c r="I120" s="4">
        <v>0</v>
      </c>
      <c r="J120" s="9">
        <v>-8</v>
      </c>
      <c r="K120" s="11">
        <v>32</v>
      </c>
      <c r="L120" s="9">
        <v>-8</v>
      </c>
      <c r="M120" s="4">
        <v>0</v>
      </c>
      <c r="N120" s="4">
        <v>0</v>
      </c>
      <c r="O120" s="4">
        <v>-8</v>
      </c>
      <c r="P120" s="4">
        <v>0</v>
      </c>
      <c r="Q120" s="4">
        <v>0</v>
      </c>
      <c r="R120" s="4">
        <v>0</v>
      </c>
      <c r="S120" s="4">
        <v>0</v>
      </c>
      <c r="T120" s="5">
        <v>0</v>
      </c>
      <c r="U120" s="118" t="s">
        <v>212</v>
      </c>
      <c r="V120" s="23" t="s">
        <v>6</v>
      </c>
      <c r="W120" s="119">
        <v>300</v>
      </c>
      <c r="Y120" s="116">
        <v>0</v>
      </c>
    </row>
    <row r="121" spans="4:30" x14ac:dyDescent="0.25">
      <c r="D121" s="23" t="s">
        <v>7</v>
      </c>
      <c r="E121" s="3">
        <v>0</v>
      </c>
      <c r="F121" s="4">
        <v>0</v>
      </c>
      <c r="G121" s="4">
        <v>0</v>
      </c>
      <c r="H121" s="4">
        <v>-4</v>
      </c>
      <c r="I121" s="4">
        <v>0</v>
      </c>
      <c r="J121" s="4">
        <v>0</v>
      </c>
      <c r="K121" s="9">
        <v>-8</v>
      </c>
      <c r="L121" s="11">
        <v>16</v>
      </c>
      <c r="M121" s="9">
        <v>0</v>
      </c>
      <c r="N121" s="4">
        <v>0</v>
      </c>
      <c r="O121" s="4">
        <v>0</v>
      </c>
      <c r="P121" s="4">
        <v>-4</v>
      </c>
      <c r="Q121" s="4">
        <v>0</v>
      </c>
      <c r="R121" s="4">
        <v>0</v>
      </c>
      <c r="S121" s="4">
        <v>0</v>
      </c>
      <c r="T121" s="5">
        <v>0</v>
      </c>
      <c r="U121" s="118"/>
      <c r="V121" s="23" t="s">
        <v>7</v>
      </c>
      <c r="W121" s="59">
        <v>400</v>
      </c>
      <c r="Y121" s="115">
        <v>800</v>
      </c>
    </row>
    <row r="122" spans="4:30" x14ac:dyDescent="0.25">
      <c r="D122" s="23" t="s">
        <v>8</v>
      </c>
      <c r="E122" s="3">
        <v>0</v>
      </c>
      <c r="F122" s="4">
        <v>0</v>
      </c>
      <c r="G122" s="4">
        <v>0</v>
      </c>
      <c r="H122" s="4">
        <v>0</v>
      </c>
      <c r="I122" s="4">
        <v>-4</v>
      </c>
      <c r="J122" s="4">
        <v>0</v>
      </c>
      <c r="K122" s="4">
        <v>0</v>
      </c>
      <c r="L122" s="9">
        <v>0</v>
      </c>
      <c r="M122" s="11">
        <v>16</v>
      </c>
      <c r="N122" s="9">
        <v>-8</v>
      </c>
      <c r="O122" s="4">
        <v>0</v>
      </c>
      <c r="P122" s="4">
        <v>0</v>
      </c>
      <c r="Q122" s="4">
        <v>-4</v>
      </c>
      <c r="R122" s="4">
        <v>0</v>
      </c>
      <c r="S122" s="4">
        <v>0</v>
      </c>
      <c r="T122" s="5">
        <v>0</v>
      </c>
      <c r="V122" s="23" t="s">
        <v>8</v>
      </c>
      <c r="W122" s="114">
        <v>200</v>
      </c>
      <c r="Y122" s="115">
        <v>-800</v>
      </c>
    </row>
    <row r="123" spans="4:30" x14ac:dyDescent="0.25">
      <c r="D123" s="23" t="s">
        <v>164</v>
      </c>
      <c r="E123" s="3">
        <v>0</v>
      </c>
      <c r="F123" s="4">
        <v>0</v>
      </c>
      <c r="G123" s="4">
        <v>0</v>
      </c>
      <c r="H123" s="4">
        <v>0</v>
      </c>
      <c r="I123" s="4">
        <v>0</v>
      </c>
      <c r="J123" s="4">
        <v>-8</v>
      </c>
      <c r="K123" s="4">
        <v>0</v>
      </c>
      <c r="L123" s="4">
        <v>0</v>
      </c>
      <c r="M123" s="9">
        <v>-8</v>
      </c>
      <c r="N123" s="11">
        <v>32</v>
      </c>
      <c r="O123" s="9">
        <v>-8</v>
      </c>
      <c r="P123" s="4">
        <v>0</v>
      </c>
      <c r="Q123" s="4">
        <v>0</v>
      </c>
      <c r="R123" s="4">
        <v>-8</v>
      </c>
      <c r="S123" s="4">
        <v>0</v>
      </c>
      <c r="T123" s="5">
        <v>0</v>
      </c>
      <c r="U123" s="118" t="s">
        <v>213</v>
      </c>
      <c r="V123" s="23" t="s">
        <v>164</v>
      </c>
      <c r="W123" s="119">
        <v>300</v>
      </c>
      <c r="Y123" s="116">
        <v>0</v>
      </c>
    </row>
    <row r="124" spans="4:30" x14ac:dyDescent="0.25">
      <c r="D124" s="23" t="s">
        <v>165</v>
      </c>
      <c r="E124" s="3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-8</v>
      </c>
      <c r="L124" s="4">
        <v>0</v>
      </c>
      <c r="M124" s="4">
        <v>0</v>
      </c>
      <c r="N124" s="9">
        <v>-8</v>
      </c>
      <c r="O124" s="11">
        <v>32</v>
      </c>
      <c r="P124" s="9">
        <v>-8</v>
      </c>
      <c r="Q124" s="4">
        <v>0</v>
      </c>
      <c r="R124" s="4">
        <v>0</v>
      </c>
      <c r="S124" s="4">
        <v>-8</v>
      </c>
      <c r="T124" s="5">
        <v>0</v>
      </c>
      <c r="U124" s="118" t="s">
        <v>27</v>
      </c>
      <c r="V124" s="23" t="s">
        <v>165</v>
      </c>
      <c r="W124" s="119">
        <v>400</v>
      </c>
      <c r="Y124" s="116">
        <v>0</v>
      </c>
    </row>
    <row r="125" spans="4:30" x14ac:dyDescent="0.25">
      <c r="D125" s="23" t="s">
        <v>166</v>
      </c>
      <c r="E125" s="3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  <c r="L125" s="4">
        <v>-4</v>
      </c>
      <c r="M125" s="4">
        <v>0</v>
      </c>
      <c r="N125" s="4">
        <v>0</v>
      </c>
      <c r="O125" s="9">
        <v>-8</v>
      </c>
      <c r="P125" s="11">
        <v>16</v>
      </c>
      <c r="Q125" s="9">
        <v>0</v>
      </c>
      <c r="R125" s="4">
        <v>0</v>
      </c>
      <c r="S125" s="4">
        <v>0</v>
      </c>
      <c r="T125" s="5">
        <v>-4</v>
      </c>
      <c r="V125" s="23" t="s">
        <v>166</v>
      </c>
      <c r="W125" s="59">
        <v>500</v>
      </c>
      <c r="Y125" s="115">
        <v>800</v>
      </c>
    </row>
    <row r="126" spans="4:30" x14ac:dyDescent="0.25">
      <c r="D126" s="23" t="s">
        <v>167</v>
      </c>
      <c r="E126" s="3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  <c r="L126" s="4">
        <v>0</v>
      </c>
      <c r="M126" s="4">
        <v>-4</v>
      </c>
      <c r="N126" s="4">
        <v>0</v>
      </c>
      <c r="O126" s="4">
        <v>0</v>
      </c>
      <c r="P126" s="9">
        <v>0</v>
      </c>
      <c r="Q126" s="11">
        <v>8</v>
      </c>
      <c r="R126" s="9">
        <v>-4</v>
      </c>
      <c r="S126" s="4">
        <v>0</v>
      </c>
      <c r="T126" s="5">
        <v>0</v>
      </c>
      <c r="V126" s="23" t="s">
        <v>167</v>
      </c>
      <c r="W126" s="59">
        <v>300</v>
      </c>
      <c r="Y126" s="115">
        <v>0</v>
      </c>
    </row>
    <row r="127" spans="4:30" x14ac:dyDescent="0.25">
      <c r="D127" s="23" t="s">
        <v>168</v>
      </c>
      <c r="E127" s="3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-8</v>
      </c>
      <c r="O127" s="4">
        <v>0</v>
      </c>
      <c r="P127" s="4">
        <v>0</v>
      </c>
      <c r="Q127" s="9">
        <v>-4</v>
      </c>
      <c r="R127" s="11">
        <v>16</v>
      </c>
      <c r="S127" s="9">
        <v>-4</v>
      </c>
      <c r="T127" s="5">
        <v>0</v>
      </c>
      <c r="V127" s="23" t="s">
        <v>168</v>
      </c>
      <c r="W127" s="59">
        <v>400</v>
      </c>
      <c r="Y127" s="115">
        <v>800</v>
      </c>
    </row>
    <row r="128" spans="4:30" x14ac:dyDescent="0.25">
      <c r="D128" s="23" t="s">
        <v>169</v>
      </c>
      <c r="E128" s="3">
        <v>0</v>
      </c>
      <c r="F128" s="4">
        <v>0</v>
      </c>
      <c r="G128" s="4">
        <v>0</v>
      </c>
      <c r="H128" s="4">
        <v>0</v>
      </c>
      <c r="I128" s="4">
        <v>0</v>
      </c>
      <c r="J128" s="4">
        <v>0</v>
      </c>
      <c r="K128" s="4">
        <v>0</v>
      </c>
      <c r="L128" s="4">
        <v>0</v>
      </c>
      <c r="M128" s="4">
        <v>0</v>
      </c>
      <c r="N128" s="4">
        <v>0</v>
      </c>
      <c r="O128" s="4">
        <v>-8</v>
      </c>
      <c r="P128" s="4">
        <v>0</v>
      </c>
      <c r="Q128" s="4">
        <v>0</v>
      </c>
      <c r="R128" s="9">
        <v>-4</v>
      </c>
      <c r="S128" s="11">
        <v>16</v>
      </c>
      <c r="T128" s="113">
        <v>-4</v>
      </c>
      <c r="V128" s="23" t="s">
        <v>169</v>
      </c>
      <c r="W128" s="59">
        <v>500</v>
      </c>
      <c r="Y128" s="115">
        <v>800</v>
      </c>
    </row>
    <row r="129" spans="4:25" x14ac:dyDescent="0.25">
      <c r="D129" s="23" t="s">
        <v>170</v>
      </c>
      <c r="E129" s="3">
        <v>0</v>
      </c>
      <c r="F129" s="4">
        <v>0</v>
      </c>
      <c r="G129" s="4">
        <v>0</v>
      </c>
      <c r="H129" s="4">
        <v>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-4</v>
      </c>
      <c r="Q129" s="4">
        <v>0</v>
      </c>
      <c r="R129" s="4">
        <v>0</v>
      </c>
      <c r="S129" s="9">
        <v>-4</v>
      </c>
      <c r="T129" s="12">
        <v>8</v>
      </c>
      <c r="V129" s="23" t="s">
        <v>170</v>
      </c>
      <c r="W129" s="59">
        <v>600</v>
      </c>
      <c r="Y129" s="115">
        <v>800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CB129"/>
  <sheetViews>
    <sheetView workbookViewId="0">
      <selection activeCell="AA2" sqref="AA2"/>
    </sheetView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5.28515625" customWidth="1"/>
    <col min="31" max="34" width="5.28515625" style="23" customWidth="1"/>
    <col min="35" max="41" width="5.28515625" customWidth="1"/>
    <col min="42" max="88" width="5.140625" customWidth="1"/>
  </cols>
  <sheetData>
    <row r="1" spans="1:80" x14ac:dyDescent="0.25">
      <c r="A1" s="23" t="s">
        <v>161</v>
      </c>
      <c r="B1" s="23" t="s">
        <v>162</v>
      </c>
      <c r="C1" s="23" t="s">
        <v>163</v>
      </c>
      <c r="D1" s="7" t="s">
        <v>27</v>
      </c>
      <c r="E1" s="120" t="s">
        <v>5</v>
      </c>
      <c r="F1" s="120" t="s">
        <v>6</v>
      </c>
      <c r="G1" s="120" t="s">
        <v>164</v>
      </c>
      <c r="H1" s="120" t="s">
        <v>165</v>
      </c>
      <c r="I1" s="23" t="s">
        <v>0</v>
      </c>
      <c r="J1" s="23" t="s">
        <v>1</v>
      </c>
      <c r="K1" s="23" t="s">
        <v>2</v>
      </c>
      <c r="L1" s="23" t="s">
        <v>3</v>
      </c>
      <c r="M1" s="23" t="s">
        <v>4</v>
      </c>
      <c r="N1" s="23" t="s">
        <v>7</v>
      </c>
      <c r="O1" s="23" t="s">
        <v>8</v>
      </c>
      <c r="P1" s="23" t="s">
        <v>166</v>
      </c>
      <c r="Q1" s="23" t="s">
        <v>167</v>
      </c>
      <c r="R1" s="23" t="s">
        <v>168</v>
      </c>
      <c r="S1" s="23" t="s">
        <v>169</v>
      </c>
      <c r="T1" s="23" t="s">
        <v>170</v>
      </c>
      <c r="W1" s="84"/>
      <c r="X1" s="84" t="s">
        <v>28</v>
      </c>
      <c r="Y1" s="84" t="s">
        <v>29</v>
      </c>
      <c r="Z1" s="84" t="s">
        <v>162</v>
      </c>
      <c r="AA1" t="s">
        <v>9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20</v>
      </c>
      <c r="AM1" t="s">
        <v>21</v>
      </c>
      <c r="AN1" t="s">
        <v>22</v>
      </c>
      <c r="AO1" t="s">
        <v>23</v>
      </c>
      <c r="AP1" t="s">
        <v>24</v>
      </c>
      <c r="AQ1" t="s">
        <v>25</v>
      </c>
      <c r="AR1" t="s">
        <v>26</v>
      </c>
      <c r="AS1" t="s">
        <v>171</v>
      </c>
      <c r="AT1" t="s">
        <v>172</v>
      </c>
      <c r="AU1" t="s">
        <v>173</v>
      </c>
      <c r="AV1" t="s">
        <v>174</v>
      </c>
      <c r="AW1" t="s">
        <v>175</v>
      </c>
      <c r="AX1" t="s">
        <v>176</v>
      </c>
      <c r="AY1" t="s">
        <v>177</v>
      </c>
      <c r="AZ1" t="s">
        <v>178</v>
      </c>
      <c r="BA1" t="s">
        <v>179</v>
      </c>
      <c r="BB1" t="s">
        <v>180</v>
      </c>
      <c r="BC1" t="s">
        <v>181</v>
      </c>
      <c r="BD1" t="s">
        <v>182</v>
      </c>
      <c r="BE1" t="s">
        <v>183</v>
      </c>
      <c r="BF1" t="s">
        <v>184</v>
      </c>
      <c r="BG1" t="s">
        <v>185</v>
      </c>
      <c r="BH1" t="s">
        <v>186</v>
      </c>
      <c r="BI1" t="s">
        <v>187</v>
      </c>
      <c r="BJ1" t="s">
        <v>188</v>
      </c>
      <c r="BK1" t="s">
        <v>189</v>
      </c>
      <c r="BL1" t="s">
        <v>190</v>
      </c>
      <c r="BM1" t="s">
        <v>191</v>
      </c>
      <c r="BN1" t="s">
        <v>192</v>
      </c>
      <c r="BO1" t="s">
        <v>193</v>
      </c>
      <c r="BP1" t="s">
        <v>194</v>
      </c>
      <c r="BQ1" t="s">
        <v>195</v>
      </c>
      <c r="BR1" t="s">
        <v>196</v>
      </c>
      <c r="BS1" t="s">
        <v>197</v>
      </c>
      <c r="BT1" t="s">
        <v>198</v>
      </c>
      <c r="BU1" t="s">
        <v>199</v>
      </c>
      <c r="BV1" t="s">
        <v>200</v>
      </c>
      <c r="BW1" t="s">
        <v>201</v>
      </c>
      <c r="BX1" t="s">
        <v>202</v>
      </c>
      <c r="BY1" t="s">
        <v>203</v>
      </c>
      <c r="BZ1" t="s">
        <v>204</v>
      </c>
      <c r="CA1" t="s">
        <v>205</v>
      </c>
      <c r="CB1" t="s">
        <v>206</v>
      </c>
    </row>
    <row r="2" spans="1:80" x14ac:dyDescent="0.25">
      <c r="A2" s="23">
        <v>1</v>
      </c>
      <c r="B2" s="23">
        <v>1</v>
      </c>
      <c r="C2" s="23" t="str">
        <f t="shared" ref="C2:C55" si="0">"T"&amp;A2&amp;"_"&amp;B2</f>
        <v>T1_1</v>
      </c>
      <c r="E2" s="3" t="str">
        <f>IF(VLOOKUP($C2,'2D-Chapra'!$C$2:$T$55,MID(E$1,2,2)+2,0)="","",VLOOKUP($C2,'2D-Chapra'!$C$2:$T$55,MID(E$1,2,2)+2,0))</f>
        <v/>
      </c>
      <c r="F2" s="4" t="str">
        <f>IF(VLOOKUP($C2,'2D-Chapra'!$C$2:$T$55,MID(F$1,2,2)+2,0)="","",VLOOKUP($C2,'2D-Chapra'!$C$2:$T$55,MID(F$1,2,2)+2,0))</f>
        <v/>
      </c>
      <c r="G2" s="4" t="str">
        <f>IF(VLOOKUP($C2,'2D-Chapra'!$C$2:$T$55,MID(G$1,2,2)+2,0)="","",VLOOKUP($C2,'2D-Chapra'!$C$2:$T$55,MID(G$1,2,2)+2,0))</f>
        <v/>
      </c>
      <c r="H2" s="4" t="str">
        <f>IF(VLOOKUP($C2,'2D-Chapra'!$C$2:$T$55,MID(H$1,2,2)+2,0)="","",VLOOKUP($C2,'2D-Chapra'!$C$2:$T$55,MID(H$1,2,2)+2,0))</f>
        <v/>
      </c>
      <c r="I2" s="4">
        <f>IF(VLOOKUP($C2,'2D-Chapra'!$C$2:$T$55,MID(I$1,2,2)+2,0)="","",VLOOKUP($C2,'2D-Chapra'!$C$2:$T$55,MID(I$1,2,2)+2,0))</f>
        <v>1</v>
      </c>
      <c r="J2" s="4" t="str">
        <f>IF(VLOOKUP($C2,'2D-Chapra'!$C$2:$T$55,MID(J$1,2,2)+2,0)="","",VLOOKUP($C2,'2D-Chapra'!$C$2:$T$55,MID(J$1,2,2)+2,0))</f>
        <v/>
      </c>
      <c r="K2" s="4" t="str">
        <f>IF(VLOOKUP($C2,'2D-Chapra'!$C$2:$T$55,MID(K$1,2,2)+2,0)="","",VLOOKUP($C2,'2D-Chapra'!$C$2:$T$55,MID(K$1,2,2)+2,0))</f>
        <v/>
      </c>
      <c r="L2" s="4" t="str">
        <f>IF(VLOOKUP($C2,'2D-Chapra'!$C$2:$T$55,MID(L$1,2,2)+2,0)="","",VLOOKUP($C2,'2D-Chapra'!$C$2:$T$55,MID(L$1,2,2)+2,0))</f>
        <v/>
      </c>
      <c r="M2" s="4" t="str">
        <f>IF(VLOOKUP($C2,'2D-Chapra'!$C$2:$T$55,MID(M$1,2,2)+2,0)="","",VLOOKUP($C2,'2D-Chapra'!$C$2:$T$55,MID(M$1,2,2)+2,0))</f>
        <v/>
      </c>
      <c r="N2" s="4" t="str">
        <f>IF(VLOOKUP($C2,'2D-Chapra'!$C$2:$T$55,MID(N$1,2,2)+2,0)="","",VLOOKUP($C2,'2D-Chapra'!$C$2:$T$55,MID(N$1,2,2)+2,0))</f>
        <v/>
      </c>
      <c r="O2" s="4" t="str">
        <f>IF(VLOOKUP($C2,'2D-Chapra'!$C$2:$T$55,MID(O$1,2,2)+2,0)="","",VLOOKUP($C2,'2D-Chapra'!$C$2:$T$55,MID(O$1,2,2)+2,0))</f>
        <v/>
      </c>
      <c r="P2" s="4" t="str">
        <f>IF(VLOOKUP($C2,'2D-Chapra'!$C$2:$T$55,MID(P$1,2,2)+2,0)="","",VLOOKUP($C2,'2D-Chapra'!$C$2:$T$55,MID(P$1,2,2)+2,0))</f>
        <v/>
      </c>
      <c r="Q2" s="4" t="str">
        <f>IF(VLOOKUP($C2,'2D-Chapra'!$C$2:$T$55,MID(Q$1,2,2)+2,0)="","",VLOOKUP($C2,'2D-Chapra'!$C$2:$T$55,MID(Q$1,2,2)+2,0))</f>
        <v/>
      </c>
      <c r="R2" s="4" t="str">
        <f>IF(VLOOKUP($C2,'2D-Chapra'!$C$2:$T$55,MID(R$1,2,2)+2,0)="","",VLOOKUP($C2,'2D-Chapra'!$C$2:$T$55,MID(R$1,2,2)+2,0))</f>
        <v/>
      </c>
      <c r="S2" s="4" t="str">
        <f>IF(VLOOKUP($C2,'2D-Chapra'!$C$2:$T$55,MID(S$1,2,2)+2,0)="","",VLOOKUP($C2,'2D-Chapra'!$C$2:$T$55,MID(S$1,2,2)+2,0))</f>
        <v/>
      </c>
      <c r="T2" s="5" t="str">
        <f>IF(VLOOKUP($C2,'2D-Chapra'!$C$2:$T$55,MID(T$1,2,2)+2,0)="","",VLOOKUP($C2,'2D-Chapra'!$C$2:$T$55,MID(T$1,2,2)+2,0))</f>
        <v/>
      </c>
      <c r="W2" s="85">
        <v>1</v>
      </c>
      <c r="X2" s="86">
        <v>-3</v>
      </c>
      <c r="Y2" s="87">
        <v>-3</v>
      </c>
      <c r="Z2" s="88" t="s">
        <v>9</v>
      </c>
      <c r="AA2" s="89">
        <f>$Y4^2-2*$Y3*$Y4+$Y3^2+$X4^2-2*$X3*$X4+$X3^2</f>
        <v>4</v>
      </c>
      <c r="AB2" s="90">
        <f>AA3</f>
        <v>0</v>
      </c>
      <c r="AC2" s="91">
        <f>AA4</f>
        <v>-4</v>
      </c>
      <c r="AD2" s="13">
        <v>0</v>
      </c>
      <c r="AE2" s="14">
        <v>0</v>
      </c>
      <c r="AF2" s="15">
        <v>0</v>
      </c>
      <c r="AG2" s="13">
        <v>0</v>
      </c>
      <c r="AH2" s="14">
        <v>0</v>
      </c>
      <c r="AI2" s="15">
        <v>0</v>
      </c>
      <c r="AJ2" s="13">
        <v>0</v>
      </c>
      <c r="AK2" s="14">
        <v>0</v>
      </c>
      <c r="AL2" s="15">
        <v>0</v>
      </c>
      <c r="AM2" s="13">
        <v>0</v>
      </c>
      <c r="AN2" s="14">
        <v>0</v>
      </c>
      <c r="AO2" s="15">
        <v>0</v>
      </c>
      <c r="AP2" s="13">
        <v>0</v>
      </c>
      <c r="AQ2" s="14">
        <v>0</v>
      </c>
      <c r="AR2" s="15">
        <v>0</v>
      </c>
      <c r="AS2" s="13">
        <v>0</v>
      </c>
      <c r="AT2" s="14">
        <v>0</v>
      </c>
      <c r="AU2" s="15">
        <v>0</v>
      </c>
      <c r="AV2" s="13">
        <v>0</v>
      </c>
      <c r="AW2" s="14">
        <v>0</v>
      </c>
      <c r="AX2" s="15">
        <v>0</v>
      </c>
      <c r="AY2" s="13">
        <v>0</v>
      </c>
      <c r="AZ2" s="14">
        <v>0</v>
      </c>
      <c r="BA2" s="15">
        <v>0</v>
      </c>
      <c r="BB2" s="13">
        <v>0</v>
      </c>
      <c r="BC2" s="14">
        <v>0</v>
      </c>
      <c r="BD2" s="15">
        <v>0</v>
      </c>
      <c r="BE2" s="13">
        <v>0</v>
      </c>
      <c r="BF2" s="14">
        <v>0</v>
      </c>
      <c r="BG2" s="15">
        <v>0</v>
      </c>
      <c r="BH2" s="13">
        <v>0</v>
      </c>
      <c r="BI2" s="14">
        <v>0</v>
      </c>
      <c r="BJ2" s="15">
        <v>0</v>
      </c>
      <c r="BK2" s="13">
        <v>0</v>
      </c>
      <c r="BL2" s="14">
        <v>0</v>
      </c>
      <c r="BM2" s="15">
        <v>0</v>
      </c>
      <c r="BN2" s="13">
        <v>0</v>
      </c>
      <c r="BO2" s="14">
        <v>0</v>
      </c>
      <c r="BP2" s="15">
        <v>0</v>
      </c>
      <c r="BQ2" s="13">
        <v>0</v>
      </c>
      <c r="BR2" s="14">
        <v>0</v>
      </c>
      <c r="BS2" s="15">
        <v>0</v>
      </c>
      <c r="BT2" s="13">
        <v>0</v>
      </c>
      <c r="BU2" s="14">
        <v>0</v>
      </c>
      <c r="BV2" s="15">
        <v>0</v>
      </c>
      <c r="BW2" s="13">
        <v>0</v>
      </c>
      <c r="BX2" s="14">
        <v>0</v>
      </c>
      <c r="BY2" s="15">
        <v>0</v>
      </c>
      <c r="BZ2" s="13">
        <v>0</v>
      </c>
      <c r="CA2" s="14">
        <v>0</v>
      </c>
      <c r="CB2" s="92">
        <v>0</v>
      </c>
    </row>
    <row r="3" spans="1:80" x14ac:dyDescent="0.25">
      <c r="A3" s="23">
        <v>1</v>
      </c>
      <c r="B3" s="23">
        <v>2</v>
      </c>
      <c r="C3" s="23" t="str">
        <f t="shared" si="0"/>
        <v>T1_2</v>
      </c>
      <c r="E3" s="3">
        <f>IF(VLOOKUP($C3,'2D-Chapra'!$C$2:$T$55,MID(E$1,2,2)+2,0)="","",VLOOKUP($C3,'2D-Chapra'!$C$2:$T$55,MID(E$1,2,2)+2,0))</f>
        <v>1</v>
      </c>
      <c r="F3" s="4" t="str">
        <f>IF(VLOOKUP($C3,'2D-Chapra'!$C$2:$T$55,MID(F$1,2,2)+2,0)="","",VLOOKUP($C3,'2D-Chapra'!$C$2:$T$55,MID(F$1,2,2)+2,0))</f>
        <v/>
      </c>
      <c r="G3" s="4" t="str">
        <f>IF(VLOOKUP($C3,'2D-Chapra'!$C$2:$T$55,MID(G$1,2,2)+2,0)="","",VLOOKUP($C3,'2D-Chapra'!$C$2:$T$55,MID(G$1,2,2)+2,0))</f>
        <v/>
      </c>
      <c r="H3" s="4" t="str">
        <f>IF(VLOOKUP($C3,'2D-Chapra'!$C$2:$T$55,MID(H$1,2,2)+2,0)="","",VLOOKUP($C3,'2D-Chapra'!$C$2:$T$55,MID(H$1,2,2)+2,0))</f>
        <v/>
      </c>
      <c r="I3" s="4" t="str">
        <f>IF(VLOOKUP($C3,'2D-Chapra'!$C$2:$T$55,MID(I$1,2,2)+2,0)="","",VLOOKUP($C3,'2D-Chapra'!$C$2:$T$55,MID(I$1,2,2)+2,0))</f>
        <v/>
      </c>
      <c r="J3" s="4" t="str">
        <f>IF(VLOOKUP($C3,'2D-Chapra'!$C$2:$T$55,MID(J$1,2,2)+2,0)="","",VLOOKUP($C3,'2D-Chapra'!$C$2:$T$55,MID(J$1,2,2)+2,0))</f>
        <v/>
      </c>
      <c r="K3" s="4" t="str">
        <f>IF(VLOOKUP($C3,'2D-Chapra'!$C$2:$T$55,MID(K$1,2,2)+2,0)="","",VLOOKUP($C3,'2D-Chapra'!$C$2:$T$55,MID(K$1,2,2)+2,0))</f>
        <v/>
      </c>
      <c r="L3" s="4" t="str">
        <f>IF(VLOOKUP($C3,'2D-Chapra'!$C$2:$T$55,MID(L$1,2,2)+2,0)="","",VLOOKUP($C3,'2D-Chapra'!$C$2:$T$55,MID(L$1,2,2)+2,0))</f>
        <v/>
      </c>
      <c r="M3" s="4" t="str">
        <f>IF(VLOOKUP($C3,'2D-Chapra'!$C$2:$T$55,MID(M$1,2,2)+2,0)="","",VLOOKUP($C3,'2D-Chapra'!$C$2:$T$55,MID(M$1,2,2)+2,0))</f>
        <v/>
      </c>
      <c r="N3" s="4" t="str">
        <f>IF(VLOOKUP($C3,'2D-Chapra'!$C$2:$T$55,MID(N$1,2,2)+2,0)="","",VLOOKUP($C3,'2D-Chapra'!$C$2:$T$55,MID(N$1,2,2)+2,0))</f>
        <v/>
      </c>
      <c r="O3" s="4" t="str">
        <f>IF(VLOOKUP($C3,'2D-Chapra'!$C$2:$T$55,MID(O$1,2,2)+2,0)="","",VLOOKUP($C3,'2D-Chapra'!$C$2:$T$55,MID(O$1,2,2)+2,0))</f>
        <v/>
      </c>
      <c r="P3" s="4" t="str">
        <f>IF(VLOOKUP($C3,'2D-Chapra'!$C$2:$T$55,MID(P$1,2,2)+2,0)="","",VLOOKUP($C3,'2D-Chapra'!$C$2:$T$55,MID(P$1,2,2)+2,0))</f>
        <v/>
      </c>
      <c r="Q3" s="4" t="str">
        <f>IF(VLOOKUP($C3,'2D-Chapra'!$C$2:$T$55,MID(Q$1,2,2)+2,0)="","",VLOOKUP($C3,'2D-Chapra'!$C$2:$T$55,MID(Q$1,2,2)+2,0))</f>
        <v/>
      </c>
      <c r="R3" s="4" t="str">
        <f>IF(VLOOKUP($C3,'2D-Chapra'!$C$2:$T$55,MID(R$1,2,2)+2,0)="","",VLOOKUP($C3,'2D-Chapra'!$C$2:$T$55,MID(R$1,2,2)+2,0))</f>
        <v/>
      </c>
      <c r="S3" s="4" t="str">
        <f>IF(VLOOKUP($C3,'2D-Chapra'!$C$2:$T$55,MID(S$1,2,2)+2,0)="","",VLOOKUP($C3,'2D-Chapra'!$C$2:$T$55,MID(S$1,2,2)+2,0))</f>
        <v/>
      </c>
      <c r="T3" s="5" t="str">
        <f>IF(VLOOKUP($C3,'2D-Chapra'!$C$2:$T$55,MID(T$1,2,2)+2,0)="","",VLOOKUP($C3,'2D-Chapra'!$C$2:$T$55,MID(T$1,2,2)+2,0))</f>
        <v/>
      </c>
      <c r="W3" s="93">
        <v>1</v>
      </c>
      <c r="X3" s="49">
        <v>-1</v>
      </c>
      <c r="Y3" s="94">
        <v>-1</v>
      </c>
      <c r="Z3" s="95" t="s">
        <v>10</v>
      </c>
      <c r="AA3" s="10">
        <f>-($Y4^2)+($Y3+$Y2)*$Y4-($Y2*$Y3)-($X4^2)+($X3+$X2)*$X4-($X2*$X3)</f>
        <v>0</v>
      </c>
      <c r="AB3" s="11">
        <f>$Y4^2-2*$Y2*$Y4+$Y2^2+$X4^2-2*$X2*$X4+$X2^2</f>
        <v>4</v>
      </c>
      <c r="AC3" s="96">
        <f>AB4</f>
        <v>-4</v>
      </c>
      <c r="AD3" s="16">
        <v>0</v>
      </c>
      <c r="AE3" s="4">
        <v>0</v>
      </c>
      <c r="AF3" s="17">
        <v>0</v>
      </c>
      <c r="AG3" s="16">
        <v>0</v>
      </c>
      <c r="AH3" s="4">
        <v>0</v>
      </c>
      <c r="AI3" s="17">
        <v>0</v>
      </c>
      <c r="AJ3" s="16">
        <v>0</v>
      </c>
      <c r="AK3" s="4">
        <v>0</v>
      </c>
      <c r="AL3" s="17">
        <v>0</v>
      </c>
      <c r="AM3" s="16">
        <v>0</v>
      </c>
      <c r="AN3" s="4">
        <v>0</v>
      </c>
      <c r="AO3" s="17">
        <v>0</v>
      </c>
      <c r="AP3" s="16">
        <v>0</v>
      </c>
      <c r="AQ3" s="4">
        <v>0</v>
      </c>
      <c r="AR3" s="17">
        <v>0</v>
      </c>
      <c r="AS3" s="16">
        <v>0</v>
      </c>
      <c r="AT3" s="4">
        <v>0</v>
      </c>
      <c r="AU3" s="17">
        <v>0</v>
      </c>
      <c r="AV3" s="16">
        <v>0</v>
      </c>
      <c r="AW3" s="4">
        <v>0</v>
      </c>
      <c r="AX3" s="17">
        <v>0</v>
      </c>
      <c r="AY3" s="16">
        <v>0</v>
      </c>
      <c r="AZ3" s="4">
        <v>0</v>
      </c>
      <c r="BA3" s="17">
        <v>0</v>
      </c>
      <c r="BB3" s="16">
        <v>0</v>
      </c>
      <c r="BC3" s="4">
        <v>0</v>
      </c>
      <c r="BD3" s="17">
        <v>0</v>
      </c>
      <c r="BE3" s="16">
        <v>0</v>
      </c>
      <c r="BF3" s="4">
        <v>0</v>
      </c>
      <c r="BG3" s="17">
        <v>0</v>
      </c>
      <c r="BH3" s="16">
        <v>0</v>
      </c>
      <c r="BI3" s="4">
        <v>0</v>
      </c>
      <c r="BJ3" s="17">
        <v>0</v>
      </c>
      <c r="BK3" s="16">
        <v>0</v>
      </c>
      <c r="BL3" s="4">
        <v>0</v>
      </c>
      <c r="BM3" s="17">
        <v>0</v>
      </c>
      <c r="BN3" s="16">
        <v>0</v>
      </c>
      <c r="BO3" s="4">
        <v>0</v>
      </c>
      <c r="BP3" s="17">
        <v>0</v>
      </c>
      <c r="BQ3" s="16">
        <v>0</v>
      </c>
      <c r="BR3" s="4">
        <v>0</v>
      </c>
      <c r="BS3" s="17">
        <v>0</v>
      </c>
      <c r="BT3" s="16">
        <v>0</v>
      </c>
      <c r="BU3" s="4">
        <v>0</v>
      </c>
      <c r="BV3" s="17">
        <v>0</v>
      </c>
      <c r="BW3" s="16">
        <v>0</v>
      </c>
      <c r="BX3" s="4">
        <v>0</v>
      </c>
      <c r="BY3" s="17">
        <v>0</v>
      </c>
      <c r="BZ3" s="16">
        <v>0</v>
      </c>
      <c r="CA3" s="4">
        <v>0</v>
      </c>
      <c r="CB3" s="5">
        <v>0</v>
      </c>
    </row>
    <row r="4" spans="1:80" x14ac:dyDescent="0.25">
      <c r="A4" s="23">
        <v>1</v>
      </c>
      <c r="B4" s="23">
        <v>3</v>
      </c>
      <c r="C4" s="23" t="str">
        <f t="shared" si="0"/>
        <v>T1_3</v>
      </c>
      <c r="E4" s="3" t="str">
        <f>IF(VLOOKUP($C4,'2D-Chapra'!$C$2:$T$55,MID(E$1,2,2)+2,0)="","",VLOOKUP($C4,'2D-Chapra'!$C$2:$T$55,MID(E$1,2,2)+2,0))</f>
        <v/>
      </c>
      <c r="F4" s="4" t="str">
        <f>IF(VLOOKUP($C4,'2D-Chapra'!$C$2:$T$55,MID(F$1,2,2)+2,0)="","",VLOOKUP($C4,'2D-Chapra'!$C$2:$T$55,MID(F$1,2,2)+2,0))</f>
        <v/>
      </c>
      <c r="G4" s="4" t="str">
        <f>IF(VLOOKUP($C4,'2D-Chapra'!$C$2:$T$55,MID(G$1,2,2)+2,0)="","",VLOOKUP($C4,'2D-Chapra'!$C$2:$T$55,MID(G$1,2,2)+2,0))</f>
        <v/>
      </c>
      <c r="H4" s="4" t="str">
        <f>IF(VLOOKUP($C4,'2D-Chapra'!$C$2:$T$55,MID(H$1,2,2)+2,0)="","",VLOOKUP($C4,'2D-Chapra'!$C$2:$T$55,MID(H$1,2,2)+2,0))</f>
        <v/>
      </c>
      <c r="I4" s="4" t="str">
        <f>IF(VLOOKUP($C4,'2D-Chapra'!$C$2:$T$55,MID(I$1,2,2)+2,0)="","",VLOOKUP($C4,'2D-Chapra'!$C$2:$T$55,MID(I$1,2,2)+2,0))</f>
        <v/>
      </c>
      <c r="J4" s="4" t="str">
        <f>IF(VLOOKUP($C4,'2D-Chapra'!$C$2:$T$55,MID(J$1,2,2)+2,0)="","",VLOOKUP($C4,'2D-Chapra'!$C$2:$T$55,MID(J$1,2,2)+2,0))</f>
        <v/>
      </c>
      <c r="K4" s="4" t="str">
        <f>IF(VLOOKUP($C4,'2D-Chapra'!$C$2:$T$55,MID(K$1,2,2)+2,0)="","",VLOOKUP($C4,'2D-Chapra'!$C$2:$T$55,MID(K$1,2,2)+2,0))</f>
        <v/>
      </c>
      <c r="L4" s="4" t="str">
        <f>IF(VLOOKUP($C4,'2D-Chapra'!$C$2:$T$55,MID(L$1,2,2)+2,0)="","",VLOOKUP($C4,'2D-Chapra'!$C$2:$T$55,MID(L$1,2,2)+2,0))</f>
        <v/>
      </c>
      <c r="M4" s="4">
        <f>IF(VLOOKUP($C4,'2D-Chapra'!$C$2:$T$55,MID(M$1,2,2)+2,0)="","",VLOOKUP($C4,'2D-Chapra'!$C$2:$T$55,MID(M$1,2,2)+2,0))</f>
        <v>1</v>
      </c>
      <c r="N4" s="4" t="str">
        <f>IF(VLOOKUP($C4,'2D-Chapra'!$C$2:$T$55,MID(N$1,2,2)+2,0)="","",VLOOKUP($C4,'2D-Chapra'!$C$2:$T$55,MID(N$1,2,2)+2,0))</f>
        <v/>
      </c>
      <c r="O4" s="4" t="str">
        <f>IF(VLOOKUP($C4,'2D-Chapra'!$C$2:$T$55,MID(O$1,2,2)+2,0)="","",VLOOKUP($C4,'2D-Chapra'!$C$2:$T$55,MID(O$1,2,2)+2,0))</f>
        <v/>
      </c>
      <c r="P4" s="4" t="str">
        <f>IF(VLOOKUP($C4,'2D-Chapra'!$C$2:$T$55,MID(P$1,2,2)+2,0)="","",VLOOKUP($C4,'2D-Chapra'!$C$2:$T$55,MID(P$1,2,2)+2,0))</f>
        <v/>
      </c>
      <c r="Q4" s="4" t="str">
        <f>IF(VLOOKUP($C4,'2D-Chapra'!$C$2:$T$55,MID(Q$1,2,2)+2,0)="","",VLOOKUP($C4,'2D-Chapra'!$C$2:$T$55,MID(Q$1,2,2)+2,0))</f>
        <v/>
      </c>
      <c r="R4" s="4" t="str">
        <f>IF(VLOOKUP($C4,'2D-Chapra'!$C$2:$T$55,MID(R$1,2,2)+2,0)="","",VLOOKUP($C4,'2D-Chapra'!$C$2:$T$55,MID(R$1,2,2)+2,0))</f>
        <v/>
      </c>
      <c r="S4" s="4" t="str">
        <f>IF(VLOOKUP($C4,'2D-Chapra'!$C$2:$T$55,MID(S$1,2,2)+2,0)="","",VLOOKUP($C4,'2D-Chapra'!$C$2:$T$55,MID(S$1,2,2)+2,0))</f>
        <v/>
      </c>
      <c r="T4" s="5" t="str">
        <f>IF(VLOOKUP($C4,'2D-Chapra'!$C$2:$T$55,MID(T$1,2,2)+2,0)="","",VLOOKUP($C4,'2D-Chapra'!$C$2:$T$55,MID(T$1,2,2)+2,0))</f>
        <v/>
      </c>
      <c r="W4" s="97">
        <v>1</v>
      </c>
      <c r="X4" s="98">
        <v>-3</v>
      </c>
      <c r="Y4" s="99">
        <v>-1</v>
      </c>
      <c r="Z4" s="100" t="s">
        <v>11</v>
      </c>
      <c r="AA4" s="101">
        <f>($Y3-$Y2)*$Y4-$Y3^2+$Y2*$Y3+($X3-$X2)*$X4-$X3^2+$X2*$X3</f>
        <v>-4</v>
      </c>
      <c r="AB4" s="102">
        <f>($Y2-$Y3)*$Y4+$Y2*$Y3-$Y2^2+($X2-$X3)*$X4+$X2*$X3-$X2^2</f>
        <v>-4</v>
      </c>
      <c r="AC4" s="103">
        <f>$Y3^2-2*$Y2*$Y3+$Y2^2+$X3^2-2*$X2*$X3+$X2^2</f>
        <v>8</v>
      </c>
      <c r="AD4" s="18">
        <v>0</v>
      </c>
      <c r="AE4" s="19">
        <v>0</v>
      </c>
      <c r="AF4" s="20">
        <v>0</v>
      </c>
      <c r="AG4" s="18">
        <v>0</v>
      </c>
      <c r="AH4" s="19">
        <v>0</v>
      </c>
      <c r="AI4" s="20">
        <v>0</v>
      </c>
      <c r="AJ4" s="18">
        <v>0</v>
      </c>
      <c r="AK4" s="19">
        <v>0</v>
      </c>
      <c r="AL4" s="20">
        <v>0</v>
      </c>
      <c r="AM4" s="18">
        <v>0</v>
      </c>
      <c r="AN4" s="19">
        <v>0</v>
      </c>
      <c r="AO4" s="20">
        <v>0</v>
      </c>
      <c r="AP4" s="18">
        <v>0</v>
      </c>
      <c r="AQ4" s="19">
        <v>0</v>
      </c>
      <c r="AR4" s="20">
        <v>0</v>
      </c>
      <c r="AS4" s="18">
        <v>0</v>
      </c>
      <c r="AT4" s="19">
        <v>0</v>
      </c>
      <c r="AU4" s="20">
        <v>0</v>
      </c>
      <c r="AV4" s="18">
        <v>0</v>
      </c>
      <c r="AW4" s="19">
        <v>0</v>
      </c>
      <c r="AX4" s="20">
        <v>0</v>
      </c>
      <c r="AY4" s="18">
        <v>0</v>
      </c>
      <c r="AZ4" s="19">
        <v>0</v>
      </c>
      <c r="BA4" s="20">
        <v>0</v>
      </c>
      <c r="BB4" s="18">
        <v>0</v>
      </c>
      <c r="BC4" s="19">
        <v>0</v>
      </c>
      <c r="BD4" s="20">
        <v>0</v>
      </c>
      <c r="BE4" s="18">
        <v>0</v>
      </c>
      <c r="BF4" s="19">
        <v>0</v>
      </c>
      <c r="BG4" s="20">
        <v>0</v>
      </c>
      <c r="BH4" s="18">
        <v>0</v>
      </c>
      <c r="BI4" s="19">
        <v>0</v>
      </c>
      <c r="BJ4" s="20">
        <v>0</v>
      </c>
      <c r="BK4" s="18">
        <v>0</v>
      </c>
      <c r="BL4" s="19">
        <v>0</v>
      </c>
      <c r="BM4" s="20">
        <v>0</v>
      </c>
      <c r="BN4" s="18">
        <v>0</v>
      </c>
      <c r="BO4" s="19">
        <v>0</v>
      </c>
      <c r="BP4" s="20">
        <v>0</v>
      </c>
      <c r="BQ4" s="18">
        <v>0</v>
      </c>
      <c r="BR4" s="19">
        <v>0</v>
      </c>
      <c r="BS4" s="20">
        <v>0</v>
      </c>
      <c r="BT4" s="18">
        <v>0</v>
      </c>
      <c r="BU4" s="19">
        <v>0</v>
      </c>
      <c r="BV4" s="20">
        <v>0</v>
      </c>
      <c r="BW4" s="18">
        <v>0</v>
      </c>
      <c r="BX4" s="19">
        <v>0</v>
      </c>
      <c r="BY4" s="20">
        <v>0</v>
      </c>
      <c r="BZ4" s="18">
        <v>0</v>
      </c>
      <c r="CA4" s="19">
        <v>0</v>
      </c>
      <c r="CB4" s="104">
        <v>0</v>
      </c>
    </row>
    <row r="5" spans="1:80" x14ac:dyDescent="0.25">
      <c r="A5" s="23">
        <f t="shared" ref="A5:A55" si="1">IF(B4=3,A4+1,A4)</f>
        <v>2</v>
      </c>
      <c r="B5" s="23">
        <f t="shared" ref="B5:B55" si="2">IF(B4=3,1,B4+1)</f>
        <v>1</v>
      </c>
      <c r="C5" s="23" t="str">
        <f t="shared" si="0"/>
        <v>T2_1</v>
      </c>
      <c r="E5" s="3" t="str">
        <f>IF(VLOOKUP($C5,'2D-Chapra'!$C$2:$T$55,MID(E$1,2,2)+2,0)="","",VLOOKUP($C5,'2D-Chapra'!$C$2:$T$55,MID(E$1,2,2)+2,0))</f>
        <v/>
      </c>
      <c r="F5" s="4" t="str">
        <f>IF(VLOOKUP($C5,'2D-Chapra'!$C$2:$T$55,MID(F$1,2,2)+2,0)="","",VLOOKUP($C5,'2D-Chapra'!$C$2:$T$55,MID(F$1,2,2)+2,0))</f>
        <v/>
      </c>
      <c r="G5" s="4" t="str">
        <f>IF(VLOOKUP($C5,'2D-Chapra'!$C$2:$T$55,MID(G$1,2,2)+2,0)="","",VLOOKUP($C5,'2D-Chapra'!$C$2:$T$55,MID(G$1,2,2)+2,0))</f>
        <v/>
      </c>
      <c r="H5" s="4" t="str">
        <f>IF(VLOOKUP($C5,'2D-Chapra'!$C$2:$T$55,MID(H$1,2,2)+2,0)="","",VLOOKUP($C5,'2D-Chapra'!$C$2:$T$55,MID(H$1,2,2)+2,0))</f>
        <v/>
      </c>
      <c r="I5" s="4">
        <f>IF(VLOOKUP($C5,'2D-Chapra'!$C$2:$T$55,MID(I$1,2,2)+2,0)="","",VLOOKUP($C5,'2D-Chapra'!$C$2:$T$55,MID(I$1,2,2)+2,0))</f>
        <v>1</v>
      </c>
      <c r="J5" s="4" t="str">
        <f>IF(VLOOKUP($C5,'2D-Chapra'!$C$2:$T$55,MID(J$1,2,2)+2,0)="","",VLOOKUP($C5,'2D-Chapra'!$C$2:$T$55,MID(J$1,2,2)+2,0))</f>
        <v/>
      </c>
      <c r="K5" s="4" t="str">
        <f>IF(VLOOKUP($C5,'2D-Chapra'!$C$2:$T$55,MID(K$1,2,2)+2,0)="","",VLOOKUP($C5,'2D-Chapra'!$C$2:$T$55,MID(K$1,2,2)+2,0))</f>
        <v/>
      </c>
      <c r="L5" s="4" t="str">
        <f>IF(VLOOKUP($C5,'2D-Chapra'!$C$2:$T$55,MID(L$1,2,2)+2,0)="","",VLOOKUP($C5,'2D-Chapra'!$C$2:$T$55,MID(L$1,2,2)+2,0))</f>
        <v/>
      </c>
      <c r="M5" s="4" t="str">
        <f>IF(VLOOKUP($C5,'2D-Chapra'!$C$2:$T$55,MID(M$1,2,2)+2,0)="","",VLOOKUP($C5,'2D-Chapra'!$C$2:$T$55,MID(M$1,2,2)+2,0))</f>
        <v/>
      </c>
      <c r="N5" s="4" t="str">
        <f>IF(VLOOKUP($C5,'2D-Chapra'!$C$2:$T$55,MID(N$1,2,2)+2,0)="","",VLOOKUP($C5,'2D-Chapra'!$C$2:$T$55,MID(N$1,2,2)+2,0))</f>
        <v/>
      </c>
      <c r="O5" s="4" t="str">
        <f>IF(VLOOKUP($C5,'2D-Chapra'!$C$2:$T$55,MID(O$1,2,2)+2,0)="","",VLOOKUP($C5,'2D-Chapra'!$C$2:$T$55,MID(O$1,2,2)+2,0))</f>
        <v/>
      </c>
      <c r="P5" s="4" t="str">
        <f>IF(VLOOKUP($C5,'2D-Chapra'!$C$2:$T$55,MID(P$1,2,2)+2,0)="","",VLOOKUP($C5,'2D-Chapra'!$C$2:$T$55,MID(P$1,2,2)+2,0))</f>
        <v/>
      </c>
      <c r="Q5" s="4" t="str">
        <f>IF(VLOOKUP($C5,'2D-Chapra'!$C$2:$T$55,MID(Q$1,2,2)+2,0)="","",VLOOKUP($C5,'2D-Chapra'!$C$2:$T$55,MID(Q$1,2,2)+2,0))</f>
        <v/>
      </c>
      <c r="R5" s="4" t="str">
        <f>IF(VLOOKUP($C5,'2D-Chapra'!$C$2:$T$55,MID(R$1,2,2)+2,0)="","",VLOOKUP($C5,'2D-Chapra'!$C$2:$T$55,MID(R$1,2,2)+2,0))</f>
        <v/>
      </c>
      <c r="S5" s="4" t="str">
        <f>IF(VLOOKUP($C5,'2D-Chapra'!$C$2:$T$55,MID(S$1,2,2)+2,0)="","",VLOOKUP($C5,'2D-Chapra'!$C$2:$T$55,MID(S$1,2,2)+2,0))</f>
        <v/>
      </c>
      <c r="T5" s="5" t="str">
        <f>IF(VLOOKUP($C5,'2D-Chapra'!$C$2:$T$55,MID(T$1,2,2)+2,0)="","",VLOOKUP($C5,'2D-Chapra'!$C$2:$T$55,MID(T$1,2,2)+2,0))</f>
        <v/>
      </c>
      <c r="W5" s="85">
        <v>1</v>
      </c>
      <c r="X5" s="86">
        <v>-3</v>
      </c>
      <c r="Y5" s="87">
        <v>-3</v>
      </c>
      <c r="Z5" s="88" t="s">
        <v>12</v>
      </c>
      <c r="AA5" s="105">
        <v>0</v>
      </c>
      <c r="AB5" s="14">
        <v>0</v>
      </c>
      <c r="AC5" s="15">
        <v>0</v>
      </c>
      <c r="AD5" s="106">
        <f>$Y7^2-2*$Y6*$Y7+$Y6^2+$X7^2-2*$X6*$X7+$X6^2</f>
        <v>4</v>
      </c>
      <c r="AE5" s="90">
        <f>AD6</f>
        <v>-4</v>
      </c>
      <c r="AF5" s="91">
        <f>AD7</f>
        <v>0</v>
      </c>
      <c r="AG5" s="13">
        <v>0</v>
      </c>
      <c r="AH5" s="14">
        <v>0</v>
      </c>
      <c r="AI5" s="15">
        <v>0</v>
      </c>
      <c r="AJ5" s="13">
        <v>0</v>
      </c>
      <c r="AK5" s="14">
        <v>0</v>
      </c>
      <c r="AL5" s="15">
        <v>0</v>
      </c>
      <c r="AM5" s="13">
        <v>0</v>
      </c>
      <c r="AN5" s="14">
        <v>0</v>
      </c>
      <c r="AO5" s="15">
        <v>0</v>
      </c>
      <c r="AP5" s="13">
        <v>0</v>
      </c>
      <c r="AQ5" s="14">
        <v>0</v>
      </c>
      <c r="AR5" s="15">
        <v>0</v>
      </c>
      <c r="AS5" s="13">
        <v>0</v>
      </c>
      <c r="AT5" s="14">
        <v>0</v>
      </c>
      <c r="AU5" s="15">
        <v>0</v>
      </c>
      <c r="AV5" s="13">
        <v>0</v>
      </c>
      <c r="AW5" s="14">
        <v>0</v>
      </c>
      <c r="AX5" s="15">
        <v>0</v>
      </c>
      <c r="AY5" s="13">
        <v>0</v>
      </c>
      <c r="AZ5" s="14">
        <v>0</v>
      </c>
      <c r="BA5" s="15">
        <v>0</v>
      </c>
      <c r="BB5" s="13">
        <v>0</v>
      </c>
      <c r="BC5" s="14">
        <v>0</v>
      </c>
      <c r="BD5" s="15">
        <v>0</v>
      </c>
      <c r="BE5" s="13">
        <v>0</v>
      </c>
      <c r="BF5" s="14">
        <v>0</v>
      </c>
      <c r="BG5" s="15">
        <v>0</v>
      </c>
      <c r="BH5" s="13">
        <v>0</v>
      </c>
      <c r="BI5" s="14">
        <v>0</v>
      </c>
      <c r="BJ5" s="15">
        <v>0</v>
      </c>
      <c r="BK5" s="13">
        <v>0</v>
      </c>
      <c r="BL5" s="14">
        <v>0</v>
      </c>
      <c r="BM5" s="15">
        <v>0</v>
      </c>
      <c r="BN5" s="13">
        <v>0</v>
      </c>
      <c r="BO5" s="14">
        <v>0</v>
      </c>
      <c r="BP5" s="15">
        <v>0</v>
      </c>
      <c r="BQ5" s="13">
        <v>0</v>
      </c>
      <c r="BR5" s="14">
        <v>0</v>
      </c>
      <c r="BS5" s="15">
        <v>0</v>
      </c>
      <c r="BT5" s="13">
        <v>0</v>
      </c>
      <c r="BU5" s="14">
        <v>0</v>
      </c>
      <c r="BV5" s="15">
        <v>0</v>
      </c>
      <c r="BW5" s="13">
        <v>0</v>
      </c>
      <c r="BX5" s="14">
        <v>0</v>
      </c>
      <c r="BY5" s="15">
        <v>0</v>
      </c>
      <c r="BZ5" s="13">
        <v>0</v>
      </c>
      <c r="CA5" s="14">
        <v>0</v>
      </c>
      <c r="CB5" s="92">
        <v>0</v>
      </c>
    </row>
    <row r="6" spans="1:80" x14ac:dyDescent="0.25">
      <c r="A6" s="23">
        <f t="shared" si="1"/>
        <v>2</v>
      </c>
      <c r="B6" s="23">
        <f t="shared" si="2"/>
        <v>2</v>
      </c>
      <c r="C6" s="23" t="str">
        <f t="shared" si="0"/>
        <v>T2_2</v>
      </c>
      <c r="E6" s="3" t="str">
        <f>IF(VLOOKUP($C6,'2D-Chapra'!$C$2:$T$55,MID(E$1,2,2)+2,0)="","",VLOOKUP($C6,'2D-Chapra'!$C$2:$T$55,MID(E$1,2,2)+2,0))</f>
        <v/>
      </c>
      <c r="F6" s="4" t="str">
        <f>IF(VLOOKUP($C6,'2D-Chapra'!$C$2:$T$55,MID(F$1,2,2)+2,0)="","",VLOOKUP($C6,'2D-Chapra'!$C$2:$T$55,MID(F$1,2,2)+2,0))</f>
        <v/>
      </c>
      <c r="G6" s="4" t="str">
        <f>IF(VLOOKUP($C6,'2D-Chapra'!$C$2:$T$55,MID(G$1,2,2)+2,0)="","",VLOOKUP($C6,'2D-Chapra'!$C$2:$T$55,MID(G$1,2,2)+2,0))</f>
        <v/>
      </c>
      <c r="H6" s="4" t="str">
        <f>IF(VLOOKUP($C6,'2D-Chapra'!$C$2:$T$55,MID(H$1,2,2)+2,0)="","",VLOOKUP($C6,'2D-Chapra'!$C$2:$T$55,MID(H$1,2,2)+2,0))</f>
        <v/>
      </c>
      <c r="I6" s="4" t="str">
        <f>IF(VLOOKUP($C6,'2D-Chapra'!$C$2:$T$55,MID(I$1,2,2)+2,0)="","",VLOOKUP($C6,'2D-Chapra'!$C$2:$T$55,MID(I$1,2,2)+2,0))</f>
        <v/>
      </c>
      <c r="J6" s="4">
        <f>IF(VLOOKUP($C6,'2D-Chapra'!$C$2:$T$55,MID(J$1,2,2)+2,0)="","",VLOOKUP($C6,'2D-Chapra'!$C$2:$T$55,MID(J$1,2,2)+2,0))</f>
        <v>1</v>
      </c>
      <c r="K6" s="4" t="str">
        <f>IF(VLOOKUP($C6,'2D-Chapra'!$C$2:$T$55,MID(K$1,2,2)+2,0)="","",VLOOKUP($C6,'2D-Chapra'!$C$2:$T$55,MID(K$1,2,2)+2,0))</f>
        <v/>
      </c>
      <c r="L6" s="4" t="str">
        <f>IF(VLOOKUP($C6,'2D-Chapra'!$C$2:$T$55,MID(L$1,2,2)+2,0)="","",VLOOKUP($C6,'2D-Chapra'!$C$2:$T$55,MID(L$1,2,2)+2,0))</f>
        <v/>
      </c>
      <c r="M6" s="4" t="str">
        <f>IF(VLOOKUP($C6,'2D-Chapra'!$C$2:$T$55,MID(M$1,2,2)+2,0)="","",VLOOKUP($C6,'2D-Chapra'!$C$2:$T$55,MID(M$1,2,2)+2,0))</f>
        <v/>
      </c>
      <c r="N6" s="4" t="str">
        <f>IF(VLOOKUP($C6,'2D-Chapra'!$C$2:$T$55,MID(N$1,2,2)+2,0)="","",VLOOKUP($C6,'2D-Chapra'!$C$2:$T$55,MID(N$1,2,2)+2,0))</f>
        <v/>
      </c>
      <c r="O6" s="4" t="str">
        <f>IF(VLOOKUP($C6,'2D-Chapra'!$C$2:$T$55,MID(O$1,2,2)+2,0)="","",VLOOKUP($C6,'2D-Chapra'!$C$2:$T$55,MID(O$1,2,2)+2,0))</f>
        <v/>
      </c>
      <c r="P6" s="4" t="str">
        <f>IF(VLOOKUP($C6,'2D-Chapra'!$C$2:$T$55,MID(P$1,2,2)+2,0)="","",VLOOKUP($C6,'2D-Chapra'!$C$2:$T$55,MID(P$1,2,2)+2,0))</f>
        <v/>
      </c>
      <c r="Q6" s="4" t="str">
        <f>IF(VLOOKUP($C6,'2D-Chapra'!$C$2:$T$55,MID(Q$1,2,2)+2,0)="","",VLOOKUP($C6,'2D-Chapra'!$C$2:$T$55,MID(Q$1,2,2)+2,0))</f>
        <v/>
      </c>
      <c r="R6" s="4" t="str">
        <f>IF(VLOOKUP($C6,'2D-Chapra'!$C$2:$T$55,MID(R$1,2,2)+2,0)="","",VLOOKUP($C6,'2D-Chapra'!$C$2:$T$55,MID(R$1,2,2)+2,0))</f>
        <v/>
      </c>
      <c r="S6" s="4" t="str">
        <f>IF(VLOOKUP($C6,'2D-Chapra'!$C$2:$T$55,MID(S$1,2,2)+2,0)="","",VLOOKUP($C6,'2D-Chapra'!$C$2:$T$55,MID(S$1,2,2)+2,0))</f>
        <v/>
      </c>
      <c r="T6" s="5" t="str">
        <f>IF(VLOOKUP($C6,'2D-Chapra'!$C$2:$T$55,MID(T$1,2,2)+2,0)="","",VLOOKUP($C6,'2D-Chapra'!$C$2:$T$55,MID(T$1,2,2)+2,0))</f>
        <v/>
      </c>
      <c r="W6" s="93">
        <v>1</v>
      </c>
      <c r="X6" s="49">
        <v>-1</v>
      </c>
      <c r="Y6" s="94">
        <v>-3</v>
      </c>
      <c r="Z6" s="95" t="s">
        <v>13</v>
      </c>
      <c r="AA6" s="3">
        <v>0</v>
      </c>
      <c r="AB6" s="4">
        <v>0</v>
      </c>
      <c r="AC6" s="17">
        <v>0</v>
      </c>
      <c r="AD6" s="107">
        <f>-($Y7^2)+($Y6+$Y5)*$Y7-($Y5*$Y6)-($X7^2)+($X6+$X5)*$X7-($X5*$X6)</f>
        <v>-4</v>
      </c>
      <c r="AE6" s="11">
        <f>$Y7^2-2*$Y5*$Y7+$Y5^2+$X7^2-2*$X5*$X7+$X5^2</f>
        <v>8</v>
      </c>
      <c r="AF6" s="96">
        <f>AE7</f>
        <v>-4</v>
      </c>
      <c r="AG6" s="16">
        <v>0</v>
      </c>
      <c r="AH6" s="4">
        <v>0</v>
      </c>
      <c r="AI6" s="17">
        <v>0</v>
      </c>
      <c r="AJ6" s="16">
        <v>0</v>
      </c>
      <c r="AK6" s="4">
        <v>0</v>
      </c>
      <c r="AL6" s="17">
        <v>0</v>
      </c>
      <c r="AM6" s="16">
        <v>0</v>
      </c>
      <c r="AN6" s="4">
        <v>0</v>
      </c>
      <c r="AO6" s="17">
        <v>0</v>
      </c>
      <c r="AP6" s="16">
        <v>0</v>
      </c>
      <c r="AQ6" s="4">
        <v>0</v>
      </c>
      <c r="AR6" s="17">
        <v>0</v>
      </c>
      <c r="AS6" s="16">
        <v>0</v>
      </c>
      <c r="AT6" s="4">
        <v>0</v>
      </c>
      <c r="AU6" s="17">
        <v>0</v>
      </c>
      <c r="AV6" s="16">
        <v>0</v>
      </c>
      <c r="AW6" s="4">
        <v>0</v>
      </c>
      <c r="AX6" s="17">
        <v>0</v>
      </c>
      <c r="AY6" s="16">
        <v>0</v>
      </c>
      <c r="AZ6" s="4">
        <v>0</v>
      </c>
      <c r="BA6" s="17">
        <v>0</v>
      </c>
      <c r="BB6" s="16">
        <v>0</v>
      </c>
      <c r="BC6" s="4">
        <v>0</v>
      </c>
      <c r="BD6" s="17">
        <v>0</v>
      </c>
      <c r="BE6" s="16">
        <v>0</v>
      </c>
      <c r="BF6" s="4">
        <v>0</v>
      </c>
      <c r="BG6" s="17">
        <v>0</v>
      </c>
      <c r="BH6" s="16">
        <v>0</v>
      </c>
      <c r="BI6" s="4">
        <v>0</v>
      </c>
      <c r="BJ6" s="17">
        <v>0</v>
      </c>
      <c r="BK6" s="16">
        <v>0</v>
      </c>
      <c r="BL6" s="4">
        <v>0</v>
      </c>
      <c r="BM6" s="17">
        <v>0</v>
      </c>
      <c r="BN6" s="16">
        <v>0</v>
      </c>
      <c r="BO6" s="4">
        <v>0</v>
      </c>
      <c r="BP6" s="17">
        <v>0</v>
      </c>
      <c r="BQ6" s="16">
        <v>0</v>
      </c>
      <c r="BR6" s="4">
        <v>0</v>
      </c>
      <c r="BS6" s="17">
        <v>0</v>
      </c>
      <c r="BT6" s="16">
        <v>0</v>
      </c>
      <c r="BU6" s="4">
        <v>0</v>
      </c>
      <c r="BV6" s="17">
        <v>0</v>
      </c>
      <c r="BW6" s="16">
        <v>0</v>
      </c>
      <c r="BX6" s="4">
        <v>0</v>
      </c>
      <c r="BY6" s="17">
        <v>0</v>
      </c>
      <c r="BZ6" s="16">
        <v>0</v>
      </c>
      <c r="CA6" s="4">
        <v>0</v>
      </c>
      <c r="CB6" s="5">
        <v>0</v>
      </c>
    </row>
    <row r="7" spans="1:80" x14ac:dyDescent="0.25">
      <c r="A7" s="23">
        <f t="shared" si="1"/>
        <v>2</v>
      </c>
      <c r="B7" s="23">
        <f t="shared" si="2"/>
        <v>3</v>
      </c>
      <c r="C7" s="23" t="str">
        <f t="shared" si="0"/>
        <v>T2_3</v>
      </c>
      <c r="E7" s="3">
        <f>IF(VLOOKUP($C7,'2D-Chapra'!$C$2:$T$55,MID(E$1,2,2)+2,0)="","",VLOOKUP($C7,'2D-Chapra'!$C$2:$T$55,MID(E$1,2,2)+2,0))</f>
        <v>1</v>
      </c>
      <c r="F7" s="4" t="str">
        <f>IF(VLOOKUP($C7,'2D-Chapra'!$C$2:$T$55,MID(F$1,2,2)+2,0)="","",VLOOKUP($C7,'2D-Chapra'!$C$2:$T$55,MID(F$1,2,2)+2,0))</f>
        <v/>
      </c>
      <c r="G7" s="4" t="str">
        <f>IF(VLOOKUP($C7,'2D-Chapra'!$C$2:$T$55,MID(G$1,2,2)+2,0)="","",VLOOKUP($C7,'2D-Chapra'!$C$2:$T$55,MID(G$1,2,2)+2,0))</f>
        <v/>
      </c>
      <c r="H7" s="4" t="str">
        <f>IF(VLOOKUP($C7,'2D-Chapra'!$C$2:$T$55,MID(H$1,2,2)+2,0)="","",VLOOKUP($C7,'2D-Chapra'!$C$2:$T$55,MID(H$1,2,2)+2,0))</f>
        <v/>
      </c>
      <c r="I7" s="4" t="str">
        <f>IF(VLOOKUP($C7,'2D-Chapra'!$C$2:$T$55,MID(I$1,2,2)+2,0)="","",VLOOKUP($C7,'2D-Chapra'!$C$2:$T$55,MID(I$1,2,2)+2,0))</f>
        <v/>
      </c>
      <c r="J7" s="4" t="str">
        <f>IF(VLOOKUP($C7,'2D-Chapra'!$C$2:$T$55,MID(J$1,2,2)+2,0)="","",VLOOKUP($C7,'2D-Chapra'!$C$2:$T$55,MID(J$1,2,2)+2,0))</f>
        <v/>
      </c>
      <c r="K7" s="4" t="str">
        <f>IF(VLOOKUP($C7,'2D-Chapra'!$C$2:$T$55,MID(K$1,2,2)+2,0)="","",VLOOKUP($C7,'2D-Chapra'!$C$2:$T$55,MID(K$1,2,2)+2,0))</f>
        <v/>
      </c>
      <c r="L7" s="4" t="str">
        <f>IF(VLOOKUP($C7,'2D-Chapra'!$C$2:$T$55,MID(L$1,2,2)+2,0)="","",VLOOKUP($C7,'2D-Chapra'!$C$2:$T$55,MID(L$1,2,2)+2,0))</f>
        <v/>
      </c>
      <c r="M7" s="4" t="str">
        <f>IF(VLOOKUP($C7,'2D-Chapra'!$C$2:$T$55,MID(M$1,2,2)+2,0)="","",VLOOKUP($C7,'2D-Chapra'!$C$2:$T$55,MID(M$1,2,2)+2,0))</f>
        <v/>
      </c>
      <c r="N7" s="4" t="str">
        <f>IF(VLOOKUP($C7,'2D-Chapra'!$C$2:$T$55,MID(N$1,2,2)+2,0)="","",VLOOKUP($C7,'2D-Chapra'!$C$2:$T$55,MID(N$1,2,2)+2,0))</f>
        <v/>
      </c>
      <c r="O7" s="4" t="str">
        <f>IF(VLOOKUP($C7,'2D-Chapra'!$C$2:$T$55,MID(O$1,2,2)+2,0)="","",VLOOKUP($C7,'2D-Chapra'!$C$2:$T$55,MID(O$1,2,2)+2,0))</f>
        <v/>
      </c>
      <c r="P7" s="4" t="str">
        <f>IF(VLOOKUP($C7,'2D-Chapra'!$C$2:$T$55,MID(P$1,2,2)+2,0)="","",VLOOKUP($C7,'2D-Chapra'!$C$2:$T$55,MID(P$1,2,2)+2,0))</f>
        <v/>
      </c>
      <c r="Q7" s="4" t="str">
        <f>IF(VLOOKUP($C7,'2D-Chapra'!$C$2:$T$55,MID(Q$1,2,2)+2,0)="","",VLOOKUP($C7,'2D-Chapra'!$C$2:$T$55,MID(Q$1,2,2)+2,0))</f>
        <v/>
      </c>
      <c r="R7" s="4" t="str">
        <f>IF(VLOOKUP($C7,'2D-Chapra'!$C$2:$T$55,MID(R$1,2,2)+2,0)="","",VLOOKUP($C7,'2D-Chapra'!$C$2:$T$55,MID(R$1,2,2)+2,0))</f>
        <v/>
      </c>
      <c r="S7" s="4" t="str">
        <f>IF(VLOOKUP($C7,'2D-Chapra'!$C$2:$T$55,MID(S$1,2,2)+2,0)="","",VLOOKUP($C7,'2D-Chapra'!$C$2:$T$55,MID(S$1,2,2)+2,0))</f>
        <v/>
      </c>
      <c r="T7" s="5" t="str">
        <f>IF(VLOOKUP($C7,'2D-Chapra'!$C$2:$T$55,MID(T$1,2,2)+2,0)="","",VLOOKUP($C7,'2D-Chapra'!$C$2:$T$55,MID(T$1,2,2)+2,0))</f>
        <v/>
      </c>
      <c r="W7" s="97">
        <v>1</v>
      </c>
      <c r="X7" s="98">
        <v>-1</v>
      </c>
      <c r="Y7" s="99">
        <v>-1</v>
      </c>
      <c r="Z7" s="100" t="s">
        <v>14</v>
      </c>
      <c r="AA7" s="108">
        <v>0</v>
      </c>
      <c r="AB7" s="19">
        <v>0</v>
      </c>
      <c r="AC7" s="20">
        <v>0</v>
      </c>
      <c r="AD7" s="109">
        <f>($Y6-$Y5)*$Y7-$Y6^2+$Y5*$Y6+($X6-$X5)*$X7-$X6^2+$X5*$X6</f>
        <v>0</v>
      </c>
      <c r="AE7" s="102">
        <f>($Y5-$Y6)*$Y7+$Y5*$Y6-$Y5^2+($X5-$X6)*$X7+$X5*$X6-$X5^2</f>
        <v>-4</v>
      </c>
      <c r="AF7" s="103">
        <f>$Y6^2-2*$Y5*$Y6+$Y5^2+$X6^2-2*$X5*$X6+$X5^2</f>
        <v>4</v>
      </c>
      <c r="AG7" s="18">
        <v>0</v>
      </c>
      <c r="AH7" s="19">
        <v>0</v>
      </c>
      <c r="AI7" s="20">
        <v>0</v>
      </c>
      <c r="AJ7" s="18">
        <v>0</v>
      </c>
      <c r="AK7" s="19">
        <v>0</v>
      </c>
      <c r="AL7" s="20">
        <v>0</v>
      </c>
      <c r="AM7" s="18">
        <v>0</v>
      </c>
      <c r="AN7" s="19">
        <v>0</v>
      </c>
      <c r="AO7" s="20">
        <v>0</v>
      </c>
      <c r="AP7" s="18">
        <v>0</v>
      </c>
      <c r="AQ7" s="19">
        <v>0</v>
      </c>
      <c r="AR7" s="20">
        <v>0</v>
      </c>
      <c r="AS7" s="18">
        <v>0</v>
      </c>
      <c r="AT7" s="19">
        <v>0</v>
      </c>
      <c r="AU7" s="20">
        <v>0</v>
      </c>
      <c r="AV7" s="18">
        <v>0</v>
      </c>
      <c r="AW7" s="19">
        <v>0</v>
      </c>
      <c r="AX7" s="20">
        <v>0</v>
      </c>
      <c r="AY7" s="18">
        <v>0</v>
      </c>
      <c r="AZ7" s="19">
        <v>0</v>
      </c>
      <c r="BA7" s="20">
        <v>0</v>
      </c>
      <c r="BB7" s="18">
        <v>0</v>
      </c>
      <c r="BC7" s="19">
        <v>0</v>
      </c>
      <c r="BD7" s="20">
        <v>0</v>
      </c>
      <c r="BE7" s="18">
        <v>0</v>
      </c>
      <c r="BF7" s="19">
        <v>0</v>
      </c>
      <c r="BG7" s="20">
        <v>0</v>
      </c>
      <c r="BH7" s="18">
        <v>0</v>
      </c>
      <c r="BI7" s="19">
        <v>0</v>
      </c>
      <c r="BJ7" s="20">
        <v>0</v>
      </c>
      <c r="BK7" s="18">
        <v>0</v>
      </c>
      <c r="BL7" s="19">
        <v>0</v>
      </c>
      <c r="BM7" s="20">
        <v>0</v>
      </c>
      <c r="BN7" s="18">
        <v>0</v>
      </c>
      <c r="BO7" s="19">
        <v>0</v>
      </c>
      <c r="BP7" s="20">
        <v>0</v>
      </c>
      <c r="BQ7" s="18">
        <v>0</v>
      </c>
      <c r="BR7" s="19">
        <v>0</v>
      </c>
      <c r="BS7" s="20">
        <v>0</v>
      </c>
      <c r="BT7" s="18">
        <v>0</v>
      </c>
      <c r="BU7" s="19">
        <v>0</v>
      </c>
      <c r="BV7" s="20">
        <v>0</v>
      </c>
      <c r="BW7" s="18">
        <v>0</v>
      </c>
      <c r="BX7" s="19">
        <v>0</v>
      </c>
      <c r="BY7" s="20">
        <v>0</v>
      </c>
      <c r="BZ7" s="18">
        <v>0</v>
      </c>
      <c r="CA7" s="19">
        <v>0</v>
      </c>
      <c r="CB7" s="104">
        <v>0</v>
      </c>
    </row>
    <row r="8" spans="1:80" x14ac:dyDescent="0.25">
      <c r="A8" s="23">
        <f t="shared" si="1"/>
        <v>3</v>
      </c>
      <c r="B8" s="23">
        <f t="shared" si="2"/>
        <v>1</v>
      </c>
      <c r="C8" s="23" t="str">
        <f t="shared" si="0"/>
        <v>T3_1</v>
      </c>
      <c r="E8" s="3" t="str">
        <f>IF(VLOOKUP($C8,'2D-Chapra'!$C$2:$T$55,MID(E$1,2,2)+2,0)="","",VLOOKUP($C8,'2D-Chapra'!$C$2:$T$55,MID(E$1,2,2)+2,0))</f>
        <v/>
      </c>
      <c r="F8" s="4" t="str">
        <f>IF(VLOOKUP($C8,'2D-Chapra'!$C$2:$T$55,MID(F$1,2,2)+2,0)="","",VLOOKUP($C8,'2D-Chapra'!$C$2:$T$55,MID(F$1,2,2)+2,0))</f>
        <v/>
      </c>
      <c r="G8" s="4" t="str">
        <f>IF(VLOOKUP($C8,'2D-Chapra'!$C$2:$T$55,MID(G$1,2,2)+2,0)="","",VLOOKUP($C8,'2D-Chapra'!$C$2:$T$55,MID(G$1,2,2)+2,0))</f>
        <v/>
      </c>
      <c r="H8" s="4" t="str">
        <f>IF(VLOOKUP($C8,'2D-Chapra'!$C$2:$T$55,MID(H$1,2,2)+2,0)="","",VLOOKUP($C8,'2D-Chapra'!$C$2:$T$55,MID(H$1,2,2)+2,0))</f>
        <v/>
      </c>
      <c r="I8" s="4" t="str">
        <f>IF(VLOOKUP($C8,'2D-Chapra'!$C$2:$T$55,MID(I$1,2,2)+2,0)="","",VLOOKUP($C8,'2D-Chapra'!$C$2:$T$55,MID(I$1,2,2)+2,0))</f>
        <v/>
      </c>
      <c r="J8" s="4">
        <f>IF(VLOOKUP($C8,'2D-Chapra'!$C$2:$T$55,MID(J$1,2,2)+2,0)="","",VLOOKUP($C8,'2D-Chapra'!$C$2:$T$55,MID(J$1,2,2)+2,0))</f>
        <v>1</v>
      </c>
      <c r="K8" s="4" t="str">
        <f>IF(VLOOKUP($C8,'2D-Chapra'!$C$2:$T$55,MID(K$1,2,2)+2,0)="","",VLOOKUP($C8,'2D-Chapra'!$C$2:$T$55,MID(K$1,2,2)+2,0))</f>
        <v/>
      </c>
      <c r="L8" s="4" t="str">
        <f>IF(VLOOKUP($C8,'2D-Chapra'!$C$2:$T$55,MID(L$1,2,2)+2,0)="","",VLOOKUP($C8,'2D-Chapra'!$C$2:$T$55,MID(L$1,2,2)+2,0))</f>
        <v/>
      </c>
      <c r="M8" s="4" t="str">
        <f>IF(VLOOKUP($C8,'2D-Chapra'!$C$2:$T$55,MID(M$1,2,2)+2,0)="","",VLOOKUP($C8,'2D-Chapra'!$C$2:$T$55,MID(M$1,2,2)+2,0))</f>
        <v/>
      </c>
      <c r="N8" s="4" t="str">
        <f>IF(VLOOKUP($C8,'2D-Chapra'!$C$2:$T$55,MID(N$1,2,2)+2,0)="","",VLOOKUP($C8,'2D-Chapra'!$C$2:$T$55,MID(N$1,2,2)+2,0))</f>
        <v/>
      </c>
      <c r="O8" s="4" t="str">
        <f>IF(VLOOKUP($C8,'2D-Chapra'!$C$2:$T$55,MID(O$1,2,2)+2,0)="","",VLOOKUP($C8,'2D-Chapra'!$C$2:$T$55,MID(O$1,2,2)+2,0))</f>
        <v/>
      </c>
      <c r="P8" s="4" t="str">
        <f>IF(VLOOKUP($C8,'2D-Chapra'!$C$2:$T$55,MID(P$1,2,2)+2,0)="","",VLOOKUP($C8,'2D-Chapra'!$C$2:$T$55,MID(P$1,2,2)+2,0))</f>
        <v/>
      </c>
      <c r="Q8" s="4" t="str">
        <f>IF(VLOOKUP($C8,'2D-Chapra'!$C$2:$T$55,MID(Q$1,2,2)+2,0)="","",VLOOKUP($C8,'2D-Chapra'!$C$2:$T$55,MID(Q$1,2,2)+2,0))</f>
        <v/>
      </c>
      <c r="R8" s="4" t="str">
        <f>IF(VLOOKUP($C8,'2D-Chapra'!$C$2:$T$55,MID(R$1,2,2)+2,0)="","",VLOOKUP($C8,'2D-Chapra'!$C$2:$T$55,MID(R$1,2,2)+2,0))</f>
        <v/>
      </c>
      <c r="S8" s="4" t="str">
        <f>IF(VLOOKUP($C8,'2D-Chapra'!$C$2:$T$55,MID(S$1,2,2)+2,0)="","",VLOOKUP($C8,'2D-Chapra'!$C$2:$T$55,MID(S$1,2,2)+2,0))</f>
        <v/>
      </c>
      <c r="T8" s="5" t="str">
        <f>IF(VLOOKUP($C8,'2D-Chapra'!$C$2:$T$55,MID(T$1,2,2)+2,0)="","",VLOOKUP($C8,'2D-Chapra'!$C$2:$T$55,MID(T$1,2,2)+2,0))</f>
        <v/>
      </c>
      <c r="W8" s="85">
        <v>1</v>
      </c>
      <c r="X8" s="86">
        <v>-1</v>
      </c>
      <c r="Y8" s="87">
        <v>-3</v>
      </c>
      <c r="Z8" s="88" t="s">
        <v>15</v>
      </c>
      <c r="AA8" s="105">
        <v>0</v>
      </c>
      <c r="AB8" s="14">
        <v>0</v>
      </c>
      <c r="AC8" s="15">
        <v>0</v>
      </c>
      <c r="AD8" s="13">
        <v>0</v>
      </c>
      <c r="AE8" s="14">
        <v>0</v>
      </c>
      <c r="AF8" s="15">
        <v>0</v>
      </c>
      <c r="AG8" s="106">
        <f>$Y10^2-2*$Y9*$Y10+$Y9^2+$X10^2-2*$X9*$X10+$X9^2</f>
        <v>4</v>
      </c>
      <c r="AH8" s="90">
        <f>AG9</f>
        <v>0</v>
      </c>
      <c r="AI8" s="91">
        <f>AG10</f>
        <v>-4</v>
      </c>
      <c r="AJ8" s="13">
        <v>0</v>
      </c>
      <c r="AK8" s="14">
        <v>0</v>
      </c>
      <c r="AL8" s="15">
        <v>0</v>
      </c>
      <c r="AM8" s="13">
        <v>0</v>
      </c>
      <c r="AN8" s="14">
        <v>0</v>
      </c>
      <c r="AO8" s="15">
        <v>0</v>
      </c>
      <c r="AP8" s="13">
        <v>0</v>
      </c>
      <c r="AQ8" s="14">
        <v>0</v>
      </c>
      <c r="AR8" s="15">
        <v>0</v>
      </c>
      <c r="AS8" s="13">
        <v>0</v>
      </c>
      <c r="AT8" s="14">
        <v>0</v>
      </c>
      <c r="AU8" s="15">
        <v>0</v>
      </c>
      <c r="AV8" s="13">
        <v>0</v>
      </c>
      <c r="AW8" s="14">
        <v>0</v>
      </c>
      <c r="AX8" s="15">
        <v>0</v>
      </c>
      <c r="AY8" s="13">
        <v>0</v>
      </c>
      <c r="AZ8" s="14">
        <v>0</v>
      </c>
      <c r="BA8" s="15">
        <v>0</v>
      </c>
      <c r="BB8" s="13">
        <v>0</v>
      </c>
      <c r="BC8" s="14">
        <v>0</v>
      </c>
      <c r="BD8" s="15">
        <v>0</v>
      </c>
      <c r="BE8" s="13">
        <v>0</v>
      </c>
      <c r="BF8" s="14">
        <v>0</v>
      </c>
      <c r="BG8" s="15">
        <v>0</v>
      </c>
      <c r="BH8" s="13">
        <v>0</v>
      </c>
      <c r="BI8" s="14">
        <v>0</v>
      </c>
      <c r="BJ8" s="15">
        <v>0</v>
      </c>
      <c r="BK8" s="13">
        <v>0</v>
      </c>
      <c r="BL8" s="14">
        <v>0</v>
      </c>
      <c r="BM8" s="15">
        <v>0</v>
      </c>
      <c r="BN8" s="13">
        <v>0</v>
      </c>
      <c r="BO8" s="14">
        <v>0</v>
      </c>
      <c r="BP8" s="15">
        <v>0</v>
      </c>
      <c r="BQ8" s="13">
        <v>0</v>
      </c>
      <c r="BR8" s="14">
        <v>0</v>
      </c>
      <c r="BS8" s="15">
        <v>0</v>
      </c>
      <c r="BT8" s="13">
        <v>0</v>
      </c>
      <c r="BU8" s="14">
        <v>0</v>
      </c>
      <c r="BV8" s="15">
        <v>0</v>
      </c>
      <c r="BW8" s="13">
        <v>0</v>
      </c>
      <c r="BX8" s="14">
        <v>0</v>
      </c>
      <c r="BY8" s="15">
        <v>0</v>
      </c>
      <c r="BZ8" s="13">
        <v>0</v>
      </c>
      <c r="CA8" s="14">
        <v>0</v>
      </c>
      <c r="CB8" s="92">
        <v>0</v>
      </c>
    </row>
    <row r="9" spans="1:80" x14ac:dyDescent="0.25">
      <c r="A9" s="23">
        <f t="shared" si="1"/>
        <v>3</v>
      </c>
      <c r="B9" s="23">
        <f t="shared" si="2"/>
        <v>2</v>
      </c>
      <c r="C9" s="23" t="str">
        <f t="shared" si="0"/>
        <v>T3_2</v>
      </c>
      <c r="E9" s="3" t="str">
        <f>IF(VLOOKUP($C9,'2D-Chapra'!$C$2:$T$55,MID(E$1,2,2)+2,0)="","",VLOOKUP($C9,'2D-Chapra'!$C$2:$T$55,MID(E$1,2,2)+2,0))</f>
        <v/>
      </c>
      <c r="F9" s="4">
        <f>IF(VLOOKUP($C9,'2D-Chapra'!$C$2:$T$55,MID(F$1,2,2)+2,0)="","",VLOOKUP($C9,'2D-Chapra'!$C$2:$T$55,MID(F$1,2,2)+2,0))</f>
        <v>1</v>
      </c>
      <c r="G9" s="4" t="str">
        <f>IF(VLOOKUP($C9,'2D-Chapra'!$C$2:$T$55,MID(G$1,2,2)+2,0)="","",VLOOKUP($C9,'2D-Chapra'!$C$2:$T$55,MID(G$1,2,2)+2,0))</f>
        <v/>
      </c>
      <c r="H9" s="4" t="str">
        <f>IF(VLOOKUP($C9,'2D-Chapra'!$C$2:$T$55,MID(H$1,2,2)+2,0)="","",VLOOKUP($C9,'2D-Chapra'!$C$2:$T$55,MID(H$1,2,2)+2,0))</f>
        <v/>
      </c>
      <c r="I9" s="4" t="str">
        <f>IF(VLOOKUP($C9,'2D-Chapra'!$C$2:$T$55,MID(I$1,2,2)+2,0)="","",VLOOKUP($C9,'2D-Chapra'!$C$2:$T$55,MID(I$1,2,2)+2,0))</f>
        <v/>
      </c>
      <c r="J9" s="4" t="str">
        <f>IF(VLOOKUP($C9,'2D-Chapra'!$C$2:$T$55,MID(J$1,2,2)+2,0)="","",VLOOKUP($C9,'2D-Chapra'!$C$2:$T$55,MID(J$1,2,2)+2,0))</f>
        <v/>
      </c>
      <c r="K9" s="4" t="str">
        <f>IF(VLOOKUP($C9,'2D-Chapra'!$C$2:$T$55,MID(K$1,2,2)+2,0)="","",VLOOKUP($C9,'2D-Chapra'!$C$2:$T$55,MID(K$1,2,2)+2,0))</f>
        <v/>
      </c>
      <c r="L9" s="4" t="str">
        <f>IF(VLOOKUP($C9,'2D-Chapra'!$C$2:$T$55,MID(L$1,2,2)+2,0)="","",VLOOKUP($C9,'2D-Chapra'!$C$2:$T$55,MID(L$1,2,2)+2,0))</f>
        <v/>
      </c>
      <c r="M9" s="4" t="str">
        <f>IF(VLOOKUP($C9,'2D-Chapra'!$C$2:$T$55,MID(M$1,2,2)+2,0)="","",VLOOKUP($C9,'2D-Chapra'!$C$2:$T$55,MID(M$1,2,2)+2,0))</f>
        <v/>
      </c>
      <c r="N9" s="4" t="str">
        <f>IF(VLOOKUP($C9,'2D-Chapra'!$C$2:$T$55,MID(N$1,2,2)+2,0)="","",VLOOKUP($C9,'2D-Chapra'!$C$2:$T$55,MID(N$1,2,2)+2,0))</f>
        <v/>
      </c>
      <c r="O9" s="4" t="str">
        <f>IF(VLOOKUP($C9,'2D-Chapra'!$C$2:$T$55,MID(O$1,2,2)+2,0)="","",VLOOKUP($C9,'2D-Chapra'!$C$2:$T$55,MID(O$1,2,2)+2,0))</f>
        <v/>
      </c>
      <c r="P9" s="4" t="str">
        <f>IF(VLOOKUP($C9,'2D-Chapra'!$C$2:$T$55,MID(P$1,2,2)+2,0)="","",VLOOKUP($C9,'2D-Chapra'!$C$2:$T$55,MID(P$1,2,2)+2,0))</f>
        <v/>
      </c>
      <c r="Q9" s="4" t="str">
        <f>IF(VLOOKUP($C9,'2D-Chapra'!$C$2:$T$55,MID(Q$1,2,2)+2,0)="","",VLOOKUP($C9,'2D-Chapra'!$C$2:$T$55,MID(Q$1,2,2)+2,0))</f>
        <v/>
      </c>
      <c r="R9" s="4" t="str">
        <f>IF(VLOOKUP($C9,'2D-Chapra'!$C$2:$T$55,MID(R$1,2,2)+2,0)="","",VLOOKUP($C9,'2D-Chapra'!$C$2:$T$55,MID(R$1,2,2)+2,0))</f>
        <v/>
      </c>
      <c r="S9" s="4" t="str">
        <f>IF(VLOOKUP($C9,'2D-Chapra'!$C$2:$T$55,MID(S$1,2,2)+2,0)="","",VLOOKUP($C9,'2D-Chapra'!$C$2:$T$55,MID(S$1,2,2)+2,0))</f>
        <v/>
      </c>
      <c r="T9" s="5" t="str">
        <f>IF(VLOOKUP($C9,'2D-Chapra'!$C$2:$T$55,MID(T$1,2,2)+2,0)="","",VLOOKUP($C9,'2D-Chapra'!$C$2:$T$55,MID(T$1,2,2)+2,0))</f>
        <v/>
      </c>
      <c r="W9" s="93">
        <v>1</v>
      </c>
      <c r="X9" s="49">
        <v>1</v>
      </c>
      <c r="Y9" s="94">
        <v>-1</v>
      </c>
      <c r="Z9" s="95" t="s">
        <v>16</v>
      </c>
      <c r="AA9" s="3">
        <v>0</v>
      </c>
      <c r="AB9" s="4">
        <v>0</v>
      </c>
      <c r="AC9" s="17">
        <v>0</v>
      </c>
      <c r="AD9" s="16">
        <v>0</v>
      </c>
      <c r="AE9" s="4">
        <v>0</v>
      </c>
      <c r="AF9" s="17">
        <v>0</v>
      </c>
      <c r="AG9" s="107">
        <f>-($Y10^2)+($Y9+$Y8)*$Y10-($Y8*$Y9)-($X10^2)+($X9+$X8)*$X10-($X8*$X9)</f>
        <v>0</v>
      </c>
      <c r="AH9" s="11">
        <f>$Y10^2-2*$Y8*$Y10+$Y8^2+$X10^2-2*$X8*$X10+$X8^2</f>
        <v>4</v>
      </c>
      <c r="AI9" s="96">
        <f>AH10</f>
        <v>-4</v>
      </c>
      <c r="AJ9" s="16">
        <v>0</v>
      </c>
      <c r="AK9" s="4">
        <v>0</v>
      </c>
      <c r="AL9" s="17">
        <v>0</v>
      </c>
      <c r="AM9" s="16">
        <v>0</v>
      </c>
      <c r="AN9" s="4">
        <v>0</v>
      </c>
      <c r="AO9" s="17">
        <v>0</v>
      </c>
      <c r="AP9" s="16">
        <v>0</v>
      </c>
      <c r="AQ9" s="4">
        <v>0</v>
      </c>
      <c r="AR9" s="17">
        <v>0</v>
      </c>
      <c r="AS9" s="16">
        <v>0</v>
      </c>
      <c r="AT9" s="4">
        <v>0</v>
      </c>
      <c r="AU9" s="17">
        <v>0</v>
      </c>
      <c r="AV9" s="16">
        <v>0</v>
      </c>
      <c r="AW9" s="4">
        <v>0</v>
      </c>
      <c r="AX9" s="17">
        <v>0</v>
      </c>
      <c r="AY9" s="16">
        <v>0</v>
      </c>
      <c r="AZ9" s="4">
        <v>0</v>
      </c>
      <c r="BA9" s="17">
        <v>0</v>
      </c>
      <c r="BB9" s="16">
        <v>0</v>
      </c>
      <c r="BC9" s="4">
        <v>0</v>
      </c>
      <c r="BD9" s="17">
        <v>0</v>
      </c>
      <c r="BE9" s="16">
        <v>0</v>
      </c>
      <c r="BF9" s="4">
        <v>0</v>
      </c>
      <c r="BG9" s="17">
        <v>0</v>
      </c>
      <c r="BH9" s="16">
        <v>0</v>
      </c>
      <c r="BI9" s="4">
        <v>0</v>
      </c>
      <c r="BJ9" s="17">
        <v>0</v>
      </c>
      <c r="BK9" s="16">
        <v>0</v>
      </c>
      <c r="BL9" s="4">
        <v>0</v>
      </c>
      <c r="BM9" s="17">
        <v>0</v>
      </c>
      <c r="BN9" s="16">
        <v>0</v>
      </c>
      <c r="BO9" s="4">
        <v>0</v>
      </c>
      <c r="BP9" s="17">
        <v>0</v>
      </c>
      <c r="BQ9" s="16">
        <v>0</v>
      </c>
      <c r="BR9" s="4">
        <v>0</v>
      </c>
      <c r="BS9" s="17">
        <v>0</v>
      </c>
      <c r="BT9" s="16">
        <v>0</v>
      </c>
      <c r="BU9" s="4">
        <v>0</v>
      </c>
      <c r="BV9" s="17">
        <v>0</v>
      </c>
      <c r="BW9" s="16">
        <v>0</v>
      </c>
      <c r="BX9" s="4">
        <v>0</v>
      </c>
      <c r="BY9" s="17">
        <v>0</v>
      </c>
      <c r="BZ9" s="16">
        <v>0</v>
      </c>
      <c r="CA9" s="4">
        <v>0</v>
      </c>
      <c r="CB9" s="5">
        <v>0</v>
      </c>
    </row>
    <row r="10" spans="1:80" x14ac:dyDescent="0.25">
      <c r="A10" s="23">
        <f t="shared" si="1"/>
        <v>3</v>
      </c>
      <c r="B10" s="23">
        <f t="shared" si="2"/>
        <v>3</v>
      </c>
      <c r="C10" s="23" t="str">
        <f t="shared" si="0"/>
        <v>T3_3</v>
      </c>
      <c r="E10" s="3">
        <f>IF(VLOOKUP($C10,'2D-Chapra'!$C$2:$T$55,MID(E$1,2,2)+2,0)="","",VLOOKUP($C10,'2D-Chapra'!$C$2:$T$55,MID(E$1,2,2)+2,0))</f>
        <v>1</v>
      </c>
      <c r="F10" s="4" t="str">
        <f>IF(VLOOKUP($C10,'2D-Chapra'!$C$2:$T$55,MID(F$1,2,2)+2,0)="","",VLOOKUP($C10,'2D-Chapra'!$C$2:$T$55,MID(F$1,2,2)+2,0))</f>
        <v/>
      </c>
      <c r="G10" s="4" t="str">
        <f>IF(VLOOKUP($C10,'2D-Chapra'!$C$2:$T$55,MID(G$1,2,2)+2,0)="","",VLOOKUP($C10,'2D-Chapra'!$C$2:$T$55,MID(G$1,2,2)+2,0))</f>
        <v/>
      </c>
      <c r="H10" s="4" t="str">
        <f>IF(VLOOKUP($C10,'2D-Chapra'!$C$2:$T$55,MID(H$1,2,2)+2,0)="","",VLOOKUP($C10,'2D-Chapra'!$C$2:$T$55,MID(H$1,2,2)+2,0))</f>
        <v/>
      </c>
      <c r="I10" s="4" t="str">
        <f>IF(VLOOKUP($C10,'2D-Chapra'!$C$2:$T$55,MID(I$1,2,2)+2,0)="","",VLOOKUP($C10,'2D-Chapra'!$C$2:$T$55,MID(I$1,2,2)+2,0))</f>
        <v/>
      </c>
      <c r="J10" s="4" t="str">
        <f>IF(VLOOKUP($C10,'2D-Chapra'!$C$2:$T$55,MID(J$1,2,2)+2,0)="","",VLOOKUP($C10,'2D-Chapra'!$C$2:$T$55,MID(J$1,2,2)+2,0))</f>
        <v/>
      </c>
      <c r="K10" s="4" t="str">
        <f>IF(VLOOKUP($C10,'2D-Chapra'!$C$2:$T$55,MID(K$1,2,2)+2,0)="","",VLOOKUP($C10,'2D-Chapra'!$C$2:$T$55,MID(K$1,2,2)+2,0))</f>
        <v/>
      </c>
      <c r="L10" s="4" t="str">
        <f>IF(VLOOKUP($C10,'2D-Chapra'!$C$2:$T$55,MID(L$1,2,2)+2,0)="","",VLOOKUP($C10,'2D-Chapra'!$C$2:$T$55,MID(L$1,2,2)+2,0))</f>
        <v/>
      </c>
      <c r="M10" s="4" t="str">
        <f>IF(VLOOKUP($C10,'2D-Chapra'!$C$2:$T$55,MID(M$1,2,2)+2,0)="","",VLOOKUP($C10,'2D-Chapra'!$C$2:$T$55,MID(M$1,2,2)+2,0))</f>
        <v/>
      </c>
      <c r="N10" s="4" t="str">
        <f>IF(VLOOKUP($C10,'2D-Chapra'!$C$2:$T$55,MID(N$1,2,2)+2,0)="","",VLOOKUP($C10,'2D-Chapra'!$C$2:$T$55,MID(N$1,2,2)+2,0))</f>
        <v/>
      </c>
      <c r="O10" s="4" t="str">
        <f>IF(VLOOKUP($C10,'2D-Chapra'!$C$2:$T$55,MID(O$1,2,2)+2,0)="","",VLOOKUP($C10,'2D-Chapra'!$C$2:$T$55,MID(O$1,2,2)+2,0))</f>
        <v/>
      </c>
      <c r="P10" s="4" t="str">
        <f>IF(VLOOKUP($C10,'2D-Chapra'!$C$2:$T$55,MID(P$1,2,2)+2,0)="","",VLOOKUP($C10,'2D-Chapra'!$C$2:$T$55,MID(P$1,2,2)+2,0))</f>
        <v/>
      </c>
      <c r="Q10" s="4" t="str">
        <f>IF(VLOOKUP($C10,'2D-Chapra'!$C$2:$T$55,MID(Q$1,2,2)+2,0)="","",VLOOKUP($C10,'2D-Chapra'!$C$2:$T$55,MID(Q$1,2,2)+2,0))</f>
        <v/>
      </c>
      <c r="R10" s="4" t="str">
        <f>IF(VLOOKUP($C10,'2D-Chapra'!$C$2:$T$55,MID(R$1,2,2)+2,0)="","",VLOOKUP($C10,'2D-Chapra'!$C$2:$T$55,MID(R$1,2,2)+2,0))</f>
        <v/>
      </c>
      <c r="S10" s="4" t="str">
        <f>IF(VLOOKUP($C10,'2D-Chapra'!$C$2:$T$55,MID(S$1,2,2)+2,0)="","",VLOOKUP($C10,'2D-Chapra'!$C$2:$T$55,MID(S$1,2,2)+2,0))</f>
        <v/>
      </c>
      <c r="T10" s="5" t="str">
        <f>IF(VLOOKUP($C10,'2D-Chapra'!$C$2:$T$55,MID(T$1,2,2)+2,0)="","",VLOOKUP($C10,'2D-Chapra'!$C$2:$T$55,MID(T$1,2,2)+2,0))</f>
        <v/>
      </c>
      <c r="W10" s="97">
        <v>1</v>
      </c>
      <c r="X10" s="98">
        <v>-1</v>
      </c>
      <c r="Y10" s="99">
        <v>-1</v>
      </c>
      <c r="Z10" s="100" t="s">
        <v>17</v>
      </c>
      <c r="AA10" s="108">
        <v>0</v>
      </c>
      <c r="AB10" s="19">
        <v>0</v>
      </c>
      <c r="AC10" s="20">
        <v>0</v>
      </c>
      <c r="AD10" s="18">
        <v>0</v>
      </c>
      <c r="AE10" s="19">
        <v>0</v>
      </c>
      <c r="AF10" s="20">
        <v>0</v>
      </c>
      <c r="AG10" s="109">
        <f>($Y9-$Y8)*$Y10-$Y9^2+$Y8*$Y9+($X9-$X8)*$X10-$X9^2+$X8*$X9</f>
        <v>-4</v>
      </c>
      <c r="AH10" s="102">
        <f>($Y8-$Y9)*$Y10+$Y8*$Y9-$Y8^2+($X8-$X9)*$X10+$X8*$X9-$X8^2</f>
        <v>-4</v>
      </c>
      <c r="AI10" s="103">
        <f>$Y9^2-2*$Y8*$Y9+$Y8^2+$X9^2-2*$X8*$X9+$X8^2</f>
        <v>8</v>
      </c>
      <c r="AJ10" s="18">
        <v>0</v>
      </c>
      <c r="AK10" s="19">
        <v>0</v>
      </c>
      <c r="AL10" s="20">
        <v>0</v>
      </c>
      <c r="AM10" s="18">
        <v>0</v>
      </c>
      <c r="AN10" s="19">
        <v>0</v>
      </c>
      <c r="AO10" s="20">
        <v>0</v>
      </c>
      <c r="AP10" s="18">
        <v>0</v>
      </c>
      <c r="AQ10" s="19">
        <v>0</v>
      </c>
      <c r="AR10" s="20">
        <v>0</v>
      </c>
      <c r="AS10" s="18">
        <v>0</v>
      </c>
      <c r="AT10" s="19">
        <v>0</v>
      </c>
      <c r="AU10" s="20">
        <v>0</v>
      </c>
      <c r="AV10" s="18">
        <v>0</v>
      </c>
      <c r="AW10" s="19">
        <v>0</v>
      </c>
      <c r="AX10" s="20">
        <v>0</v>
      </c>
      <c r="AY10" s="18">
        <v>0</v>
      </c>
      <c r="AZ10" s="19">
        <v>0</v>
      </c>
      <c r="BA10" s="20">
        <v>0</v>
      </c>
      <c r="BB10" s="18">
        <v>0</v>
      </c>
      <c r="BC10" s="19">
        <v>0</v>
      </c>
      <c r="BD10" s="20">
        <v>0</v>
      </c>
      <c r="BE10" s="18">
        <v>0</v>
      </c>
      <c r="BF10" s="19">
        <v>0</v>
      </c>
      <c r="BG10" s="20">
        <v>0</v>
      </c>
      <c r="BH10" s="18">
        <v>0</v>
      </c>
      <c r="BI10" s="19">
        <v>0</v>
      </c>
      <c r="BJ10" s="20">
        <v>0</v>
      </c>
      <c r="BK10" s="18">
        <v>0</v>
      </c>
      <c r="BL10" s="19">
        <v>0</v>
      </c>
      <c r="BM10" s="20">
        <v>0</v>
      </c>
      <c r="BN10" s="18">
        <v>0</v>
      </c>
      <c r="BO10" s="19">
        <v>0</v>
      </c>
      <c r="BP10" s="20">
        <v>0</v>
      </c>
      <c r="BQ10" s="18">
        <v>0</v>
      </c>
      <c r="BR10" s="19">
        <v>0</v>
      </c>
      <c r="BS10" s="20">
        <v>0</v>
      </c>
      <c r="BT10" s="18">
        <v>0</v>
      </c>
      <c r="BU10" s="19">
        <v>0</v>
      </c>
      <c r="BV10" s="20">
        <v>0</v>
      </c>
      <c r="BW10" s="18">
        <v>0</v>
      </c>
      <c r="BX10" s="19">
        <v>0</v>
      </c>
      <c r="BY10" s="20">
        <v>0</v>
      </c>
      <c r="BZ10" s="18">
        <v>0</v>
      </c>
      <c r="CA10" s="19">
        <v>0</v>
      </c>
      <c r="CB10" s="104">
        <v>0</v>
      </c>
    </row>
    <row r="11" spans="1:80" x14ac:dyDescent="0.25">
      <c r="A11" s="23">
        <f t="shared" si="1"/>
        <v>4</v>
      </c>
      <c r="B11" s="23">
        <f t="shared" si="2"/>
        <v>1</v>
      </c>
      <c r="C11" s="23" t="str">
        <f t="shared" si="0"/>
        <v>T4_1</v>
      </c>
      <c r="E11" s="3" t="str">
        <f>IF(VLOOKUP($C11,'2D-Chapra'!$C$2:$T$55,MID(E$1,2,2)+2,0)="","",VLOOKUP($C11,'2D-Chapra'!$C$2:$T$55,MID(E$1,2,2)+2,0))</f>
        <v/>
      </c>
      <c r="F11" s="4" t="str">
        <f>IF(VLOOKUP($C11,'2D-Chapra'!$C$2:$T$55,MID(F$1,2,2)+2,0)="","",VLOOKUP($C11,'2D-Chapra'!$C$2:$T$55,MID(F$1,2,2)+2,0))</f>
        <v/>
      </c>
      <c r="G11" s="4" t="str">
        <f>IF(VLOOKUP($C11,'2D-Chapra'!$C$2:$T$55,MID(G$1,2,2)+2,0)="","",VLOOKUP($C11,'2D-Chapra'!$C$2:$T$55,MID(G$1,2,2)+2,0))</f>
        <v/>
      </c>
      <c r="H11" s="4" t="str">
        <f>IF(VLOOKUP($C11,'2D-Chapra'!$C$2:$T$55,MID(H$1,2,2)+2,0)="","",VLOOKUP($C11,'2D-Chapra'!$C$2:$T$55,MID(H$1,2,2)+2,0))</f>
        <v/>
      </c>
      <c r="I11" s="4" t="str">
        <f>IF(VLOOKUP($C11,'2D-Chapra'!$C$2:$T$55,MID(I$1,2,2)+2,0)="","",VLOOKUP($C11,'2D-Chapra'!$C$2:$T$55,MID(I$1,2,2)+2,0))</f>
        <v/>
      </c>
      <c r="J11" s="4">
        <f>IF(VLOOKUP($C11,'2D-Chapra'!$C$2:$T$55,MID(J$1,2,2)+2,0)="","",VLOOKUP($C11,'2D-Chapra'!$C$2:$T$55,MID(J$1,2,2)+2,0))</f>
        <v>1</v>
      </c>
      <c r="K11" s="4" t="str">
        <f>IF(VLOOKUP($C11,'2D-Chapra'!$C$2:$T$55,MID(K$1,2,2)+2,0)="","",VLOOKUP($C11,'2D-Chapra'!$C$2:$T$55,MID(K$1,2,2)+2,0))</f>
        <v/>
      </c>
      <c r="L11" s="4" t="str">
        <f>IF(VLOOKUP($C11,'2D-Chapra'!$C$2:$T$55,MID(L$1,2,2)+2,0)="","",VLOOKUP($C11,'2D-Chapra'!$C$2:$T$55,MID(L$1,2,2)+2,0))</f>
        <v/>
      </c>
      <c r="M11" s="4" t="str">
        <f>IF(VLOOKUP($C11,'2D-Chapra'!$C$2:$T$55,MID(M$1,2,2)+2,0)="","",VLOOKUP($C11,'2D-Chapra'!$C$2:$T$55,MID(M$1,2,2)+2,0))</f>
        <v/>
      </c>
      <c r="N11" s="4" t="str">
        <f>IF(VLOOKUP($C11,'2D-Chapra'!$C$2:$T$55,MID(N$1,2,2)+2,0)="","",VLOOKUP($C11,'2D-Chapra'!$C$2:$T$55,MID(N$1,2,2)+2,0))</f>
        <v/>
      </c>
      <c r="O11" s="4" t="str">
        <f>IF(VLOOKUP($C11,'2D-Chapra'!$C$2:$T$55,MID(O$1,2,2)+2,0)="","",VLOOKUP($C11,'2D-Chapra'!$C$2:$T$55,MID(O$1,2,2)+2,0))</f>
        <v/>
      </c>
      <c r="P11" s="4" t="str">
        <f>IF(VLOOKUP($C11,'2D-Chapra'!$C$2:$T$55,MID(P$1,2,2)+2,0)="","",VLOOKUP($C11,'2D-Chapra'!$C$2:$T$55,MID(P$1,2,2)+2,0))</f>
        <v/>
      </c>
      <c r="Q11" s="4" t="str">
        <f>IF(VLOOKUP($C11,'2D-Chapra'!$C$2:$T$55,MID(Q$1,2,2)+2,0)="","",VLOOKUP($C11,'2D-Chapra'!$C$2:$T$55,MID(Q$1,2,2)+2,0))</f>
        <v/>
      </c>
      <c r="R11" s="4" t="str">
        <f>IF(VLOOKUP($C11,'2D-Chapra'!$C$2:$T$55,MID(R$1,2,2)+2,0)="","",VLOOKUP($C11,'2D-Chapra'!$C$2:$T$55,MID(R$1,2,2)+2,0))</f>
        <v/>
      </c>
      <c r="S11" s="4" t="str">
        <f>IF(VLOOKUP($C11,'2D-Chapra'!$C$2:$T$55,MID(S$1,2,2)+2,0)="","",VLOOKUP($C11,'2D-Chapra'!$C$2:$T$55,MID(S$1,2,2)+2,0))</f>
        <v/>
      </c>
      <c r="T11" s="5" t="str">
        <f>IF(VLOOKUP($C11,'2D-Chapra'!$C$2:$T$55,MID(T$1,2,2)+2,0)="","",VLOOKUP($C11,'2D-Chapra'!$C$2:$T$55,MID(T$1,2,2)+2,0))</f>
        <v/>
      </c>
      <c r="W11" s="85">
        <v>1</v>
      </c>
      <c r="X11" s="86">
        <v>-1</v>
      </c>
      <c r="Y11" s="87">
        <v>-3</v>
      </c>
      <c r="Z11" s="88" t="s">
        <v>18</v>
      </c>
      <c r="AA11" s="105">
        <v>0</v>
      </c>
      <c r="AB11" s="14">
        <v>0</v>
      </c>
      <c r="AC11" s="15">
        <v>0</v>
      </c>
      <c r="AD11" s="13">
        <v>0</v>
      </c>
      <c r="AE11" s="14">
        <v>0</v>
      </c>
      <c r="AF11" s="15">
        <v>0</v>
      </c>
      <c r="AG11" s="13">
        <v>0</v>
      </c>
      <c r="AH11" s="14">
        <v>0</v>
      </c>
      <c r="AI11" s="15">
        <v>0</v>
      </c>
      <c r="AJ11" s="106">
        <f>$Y13^2-2*$Y12*$Y13+$Y12^2+$X13^2-2*$X12*$X13+$X12^2</f>
        <v>4</v>
      </c>
      <c r="AK11" s="90">
        <f>AJ12</f>
        <v>-4</v>
      </c>
      <c r="AL11" s="91">
        <f>AJ13</f>
        <v>0</v>
      </c>
      <c r="AM11" s="13">
        <v>0</v>
      </c>
      <c r="AN11" s="14">
        <v>0</v>
      </c>
      <c r="AO11" s="15">
        <v>0</v>
      </c>
      <c r="AP11" s="13">
        <v>0</v>
      </c>
      <c r="AQ11" s="14">
        <v>0</v>
      </c>
      <c r="AR11" s="15">
        <v>0</v>
      </c>
      <c r="AS11" s="13">
        <v>0</v>
      </c>
      <c r="AT11" s="14">
        <v>0</v>
      </c>
      <c r="AU11" s="15">
        <v>0</v>
      </c>
      <c r="AV11" s="13">
        <v>0</v>
      </c>
      <c r="AW11" s="14">
        <v>0</v>
      </c>
      <c r="AX11" s="15">
        <v>0</v>
      </c>
      <c r="AY11" s="13">
        <v>0</v>
      </c>
      <c r="AZ11" s="14">
        <v>0</v>
      </c>
      <c r="BA11" s="15">
        <v>0</v>
      </c>
      <c r="BB11" s="13">
        <v>0</v>
      </c>
      <c r="BC11" s="14">
        <v>0</v>
      </c>
      <c r="BD11" s="15">
        <v>0</v>
      </c>
      <c r="BE11" s="13">
        <v>0</v>
      </c>
      <c r="BF11" s="14">
        <v>0</v>
      </c>
      <c r="BG11" s="15">
        <v>0</v>
      </c>
      <c r="BH11" s="13">
        <v>0</v>
      </c>
      <c r="BI11" s="14">
        <v>0</v>
      </c>
      <c r="BJ11" s="15">
        <v>0</v>
      </c>
      <c r="BK11" s="13">
        <v>0</v>
      </c>
      <c r="BL11" s="14">
        <v>0</v>
      </c>
      <c r="BM11" s="15">
        <v>0</v>
      </c>
      <c r="BN11" s="13">
        <v>0</v>
      </c>
      <c r="BO11" s="14">
        <v>0</v>
      </c>
      <c r="BP11" s="15">
        <v>0</v>
      </c>
      <c r="BQ11" s="13">
        <v>0</v>
      </c>
      <c r="BR11" s="14">
        <v>0</v>
      </c>
      <c r="BS11" s="15">
        <v>0</v>
      </c>
      <c r="BT11" s="13">
        <v>0</v>
      </c>
      <c r="BU11" s="14">
        <v>0</v>
      </c>
      <c r="BV11" s="15">
        <v>0</v>
      </c>
      <c r="BW11" s="13">
        <v>0</v>
      </c>
      <c r="BX11" s="14">
        <v>0</v>
      </c>
      <c r="BY11" s="15">
        <v>0</v>
      </c>
      <c r="BZ11" s="13">
        <v>0</v>
      </c>
      <c r="CA11" s="14">
        <v>0</v>
      </c>
      <c r="CB11" s="92">
        <v>0</v>
      </c>
    </row>
    <row r="12" spans="1:80" x14ac:dyDescent="0.25">
      <c r="A12" s="23">
        <f t="shared" si="1"/>
        <v>4</v>
      </c>
      <c r="B12" s="23">
        <f t="shared" si="2"/>
        <v>2</v>
      </c>
      <c r="C12" s="23" t="str">
        <f t="shared" si="0"/>
        <v>T4_2</v>
      </c>
      <c r="E12" s="3" t="str">
        <f>IF(VLOOKUP($C12,'2D-Chapra'!$C$2:$T$55,MID(E$1,2,2)+2,0)="","",VLOOKUP($C12,'2D-Chapra'!$C$2:$T$55,MID(E$1,2,2)+2,0))</f>
        <v/>
      </c>
      <c r="F12" s="4" t="str">
        <f>IF(VLOOKUP($C12,'2D-Chapra'!$C$2:$T$55,MID(F$1,2,2)+2,0)="","",VLOOKUP($C12,'2D-Chapra'!$C$2:$T$55,MID(F$1,2,2)+2,0))</f>
        <v/>
      </c>
      <c r="G12" s="4" t="str">
        <f>IF(VLOOKUP($C12,'2D-Chapra'!$C$2:$T$55,MID(G$1,2,2)+2,0)="","",VLOOKUP($C12,'2D-Chapra'!$C$2:$T$55,MID(G$1,2,2)+2,0))</f>
        <v/>
      </c>
      <c r="H12" s="4" t="str">
        <f>IF(VLOOKUP($C12,'2D-Chapra'!$C$2:$T$55,MID(H$1,2,2)+2,0)="","",VLOOKUP($C12,'2D-Chapra'!$C$2:$T$55,MID(H$1,2,2)+2,0))</f>
        <v/>
      </c>
      <c r="I12" s="4" t="str">
        <f>IF(VLOOKUP($C12,'2D-Chapra'!$C$2:$T$55,MID(I$1,2,2)+2,0)="","",VLOOKUP($C12,'2D-Chapra'!$C$2:$T$55,MID(I$1,2,2)+2,0))</f>
        <v/>
      </c>
      <c r="J12" s="4" t="str">
        <f>IF(VLOOKUP($C12,'2D-Chapra'!$C$2:$T$55,MID(J$1,2,2)+2,0)="","",VLOOKUP($C12,'2D-Chapra'!$C$2:$T$55,MID(J$1,2,2)+2,0))</f>
        <v/>
      </c>
      <c r="K12" s="4">
        <f>IF(VLOOKUP($C12,'2D-Chapra'!$C$2:$T$55,MID(K$1,2,2)+2,0)="","",VLOOKUP($C12,'2D-Chapra'!$C$2:$T$55,MID(K$1,2,2)+2,0))</f>
        <v>1</v>
      </c>
      <c r="L12" s="4" t="str">
        <f>IF(VLOOKUP($C12,'2D-Chapra'!$C$2:$T$55,MID(L$1,2,2)+2,0)="","",VLOOKUP($C12,'2D-Chapra'!$C$2:$T$55,MID(L$1,2,2)+2,0))</f>
        <v/>
      </c>
      <c r="M12" s="4" t="str">
        <f>IF(VLOOKUP($C12,'2D-Chapra'!$C$2:$T$55,MID(M$1,2,2)+2,0)="","",VLOOKUP($C12,'2D-Chapra'!$C$2:$T$55,MID(M$1,2,2)+2,0))</f>
        <v/>
      </c>
      <c r="N12" s="4" t="str">
        <f>IF(VLOOKUP($C12,'2D-Chapra'!$C$2:$T$55,MID(N$1,2,2)+2,0)="","",VLOOKUP($C12,'2D-Chapra'!$C$2:$T$55,MID(N$1,2,2)+2,0))</f>
        <v/>
      </c>
      <c r="O12" s="4" t="str">
        <f>IF(VLOOKUP($C12,'2D-Chapra'!$C$2:$T$55,MID(O$1,2,2)+2,0)="","",VLOOKUP($C12,'2D-Chapra'!$C$2:$T$55,MID(O$1,2,2)+2,0))</f>
        <v/>
      </c>
      <c r="P12" s="4" t="str">
        <f>IF(VLOOKUP($C12,'2D-Chapra'!$C$2:$T$55,MID(P$1,2,2)+2,0)="","",VLOOKUP($C12,'2D-Chapra'!$C$2:$T$55,MID(P$1,2,2)+2,0))</f>
        <v/>
      </c>
      <c r="Q12" s="4" t="str">
        <f>IF(VLOOKUP($C12,'2D-Chapra'!$C$2:$T$55,MID(Q$1,2,2)+2,0)="","",VLOOKUP($C12,'2D-Chapra'!$C$2:$T$55,MID(Q$1,2,2)+2,0))</f>
        <v/>
      </c>
      <c r="R12" s="4" t="str">
        <f>IF(VLOOKUP($C12,'2D-Chapra'!$C$2:$T$55,MID(R$1,2,2)+2,0)="","",VLOOKUP($C12,'2D-Chapra'!$C$2:$T$55,MID(R$1,2,2)+2,0))</f>
        <v/>
      </c>
      <c r="S12" s="4" t="str">
        <f>IF(VLOOKUP($C12,'2D-Chapra'!$C$2:$T$55,MID(S$1,2,2)+2,0)="","",VLOOKUP($C12,'2D-Chapra'!$C$2:$T$55,MID(S$1,2,2)+2,0))</f>
        <v/>
      </c>
      <c r="T12" s="5" t="str">
        <f>IF(VLOOKUP($C12,'2D-Chapra'!$C$2:$T$55,MID(T$1,2,2)+2,0)="","",VLOOKUP($C12,'2D-Chapra'!$C$2:$T$55,MID(T$1,2,2)+2,0))</f>
        <v/>
      </c>
      <c r="W12" s="93">
        <v>1</v>
      </c>
      <c r="X12" s="49">
        <v>1</v>
      </c>
      <c r="Y12" s="94">
        <v>-3</v>
      </c>
      <c r="Z12" s="95" t="s">
        <v>19</v>
      </c>
      <c r="AA12" s="3">
        <v>0</v>
      </c>
      <c r="AB12" s="4">
        <v>0</v>
      </c>
      <c r="AC12" s="17">
        <v>0</v>
      </c>
      <c r="AD12" s="16">
        <v>0</v>
      </c>
      <c r="AE12" s="4">
        <v>0</v>
      </c>
      <c r="AF12" s="17">
        <v>0</v>
      </c>
      <c r="AG12" s="16">
        <v>0</v>
      </c>
      <c r="AH12" s="4">
        <v>0</v>
      </c>
      <c r="AI12" s="17">
        <v>0</v>
      </c>
      <c r="AJ12" s="107">
        <f>-($Y13^2)+($Y12+$Y11)*$Y13-($Y11*$Y12)-($X13^2)+($X12+$X11)*$X13-($X11*$X12)</f>
        <v>-4</v>
      </c>
      <c r="AK12" s="11">
        <f>$Y13^2-2*$Y11*$Y13+$Y11^2+$X13^2-2*$X11*$X13+$X11^2</f>
        <v>8</v>
      </c>
      <c r="AL12" s="96">
        <f>AK13</f>
        <v>-4</v>
      </c>
      <c r="AM12" s="16">
        <v>0</v>
      </c>
      <c r="AN12" s="4">
        <v>0</v>
      </c>
      <c r="AO12" s="17">
        <v>0</v>
      </c>
      <c r="AP12" s="16">
        <v>0</v>
      </c>
      <c r="AQ12" s="4">
        <v>0</v>
      </c>
      <c r="AR12" s="17">
        <v>0</v>
      </c>
      <c r="AS12" s="16">
        <v>0</v>
      </c>
      <c r="AT12" s="4">
        <v>0</v>
      </c>
      <c r="AU12" s="17">
        <v>0</v>
      </c>
      <c r="AV12" s="16">
        <v>0</v>
      </c>
      <c r="AW12" s="4">
        <v>0</v>
      </c>
      <c r="AX12" s="17">
        <v>0</v>
      </c>
      <c r="AY12" s="16">
        <v>0</v>
      </c>
      <c r="AZ12" s="4">
        <v>0</v>
      </c>
      <c r="BA12" s="17">
        <v>0</v>
      </c>
      <c r="BB12" s="16">
        <v>0</v>
      </c>
      <c r="BC12" s="4">
        <v>0</v>
      </c>
      <c r="BD12" s="17">
        <v>0</v>
      </c>
      <c r="BE12" s="16">
        <v>0</v>
      </c>
      <c r="BF12" s="4">
        <v>0</v>
      </c>
      <c r="BG12" s="17">
        <v>0</v>
      </c>
      <c r="BH12" s="16">
        <v>0</v>
      </c>
      <c r="BI12" s="4">
        <v>0</v>
      </c>
      <c r="BJ12" s="17">
        <v>0</v>
      </c>
      <c r="BK12" s="16">
        <v>0</v>
      </c>
      <c r="BL12" s="4">
        <v>0</v>
      </c>
      <c r="BM12" s="17">
        <v>0</v>
      </c>
      <c r="BN12" s="16">
        <v>0</v>
      </c>
      <c r="BO12" s="4">
        <v>0</v>
      </c>
      <c r="BP12" s="17">
        <v>0</v>
      </c>
      <c r="BQ12" s="16">
        <v>0</v>
      </c>
      <c r="BR12" s="4">
        <v>0</v>
      </c>
      <c r="BS12" s="17">
        <v>0</v>
      </c>
      <c r="BT12" s="16">
        <v>0</v>
      </c>
      <c r="BU12" s="4">
        <v>0</v>
      </c>
      <c r="BV12" s="17">
        <v>0</v>
      </c>
      <c r="BW12" s="16">
        <v>0</v>
      </c>
      <c r="BX12" s="4">
        <v>0</v>
      </c>
      <c r="BY12" s="17">
        <v>0</v>
      </c>
      <c r="BZ12" s="16">
        <v>0</v>
      </c>
      <c r="CA12" s="4">
        <v>0</v>
      </c>
      <c r="CB12" s="5">
        <v>0</v>
      </c>
    </row>
    <row r="13" spans="1:80" x14ac:dyDescent="0.25">
      <c r="A13" s="23">
        <f t="shared" si="1"/>
        <v>4</v>
      </c>
      <c r="B13" s="23">
        <f t="shared" si="2"/>
        <v>3</v>
      </c>
      <c r="C13" s="23" t="str">
        <f t="shared" si="0"/>
        <v>T4_3</v>
      </c>
      <c r="E13" s="3" t="str">
        <f>IF(VLOOKUP($C13,'2D-Chapra'!$C$2:$T$55,MID(E$1,2,2)+2,0)="","",VLOOKUP($C13,'2D-Chapra'!$C$2:$T$55,MID(E$1,2,2)+2,0))</f>
        <v/>
      </c>
      <c r="F13" s="4">
        <f>IF(VLOOKUP($C13,'2D-Chapra'!$C$2:$T$55,MID(F$1,2,2)+2,0)="","",VLOOKUP($C13,'2D-Chapra'!$C$2:$T$55,MID(F$1,2,2)+2,0))</f>
        <v>1</v>
      </c>
      <c r="G13" s="4" t="str">
        <f>IF(VLOOKUP($C13,'2D-Chapra'!$C$2:$T$55,MID(G$1,2,2)+2,0)="","",VLOOKUP($C13,'2D-Chapra'!$C$2:$T$55,MID(G$1,2,2)+2,0))</f>
        <v/>
      </c>
      <c r="H13" s="4" t="str">
        <f>IF(VLOOKUP($C13,'2D-Chapra'!$C$2:$T$55,MID(H$1,2,2)+2,0)="","",VLOOKUP($C13,'2D-Chapra'!$C$2:$T$55,MID(H$1,2,2)+2,0))</f>
        <v/>
      </c>
      <c r="I13" s="4" t="str">
        <f>IF(VLOOKUP($C13,'2D-Chapra'!$C$2:$T$55,MID(I$1,2,2)+2,0)="","",VLOOKUP($C13,'2D-Chapra'!$C$2:$T$55,MID(I$1,2,2)+2,0))</f>
        <v/>
      </c>
      <c r="J13" s="4" t="str">
        <f>IF(VLOOKUP($C13,'2D-Chapra'!$C$2:$T$55,MID(J$1,2,2)+2,0)="","",VLOOKUP($C13,'2D-Chapra'!$C$2:$T$55,MID(J$1,2,2)+2,0))</f>
        <v/>
      </c>
      <c r="K13" s="4" t="str">
        <f>IF(VLOOKUP($C13,'2D-Chapra'!$C$2:$T$55,MID(K$1,2,2)+2,0)="","",VLOOKUP($C13,'2D-Chapra'!$C$2:$T$55,MID(K$1,2,2)+2,0))</f>
        <v/>
      </c>
      <c r="L13" s="4" t="str">
        <f>IF(VLOOKUP($C13,'2D-Chapra'!$C$2:$T$55,MID(L$1,2,2)+2,0)="","",VLOOKUP($C13,'2D-Chapra'!$C$2:$T$55,MID(L$1,2,2)+2,0))</f>
        <v/>
      </c>
      <c r="M13" s="4" t="str">
        <f>IF(VLOOKUP($C13,'2D-Chapra'!$C$2:$T$55,MID(M$1,2,2)+2,0)="","",VLOOKUP($C13,'2D-Chapra'!$C$2:$T$55,MID(M$1,2,2)+2,0))</f>
        <v/>
      </c>
      <c r="N13" s="4" t="str">
        <f>IF(VLOOKUP($C13,'2D-Chapra'!$C$2:$T$55,MID(N$1,2,2)+2,0)="","",VLOOKUP($C13,'2D-Chapra'!$C$2:$T$55,MID(N$1,2,2)+2,0))</f>
        <v/>
      </c>
      <c r="O13" s="4" t="str">
        <f>IF(VLOOKUP($C13,'2D-Chapra'!$C$2:$T$55,MID(O$1,2,2)+2,0)="","",VLOOKUP($C13,'2D-Chapra'!$C$2:$T$55,MID(O$1,2,2)+2,0))</f>
        <v/>
      </c>
      <c r="P13" s="4" t="str">
        <f>IF(VLOOKUP($C13,'2D-Chapra'!$C$2:$T$55,MID(P$1,2,2)+2,0)="","",VLOOKUP($C13,'2D-Chapra'!$C$2:$T$55,MID(P$1,2,2)+2,0))</f>
        <v/>
      </c>
      <c r="Q13" s="4" t="str">
        <f>IF(VLOOKUP($C13,'2D-Chapra'!$C$2:$T$55,MID(Q$1,2,2)+2,0)="","",VLOOKUP($C13,'2D-Chapra'!$C$2:$T$55,MID(Q$1,2,2)+2,0))</f>
        <v/>
      </c>
      <c r="R13" s="4" t="str">
        <f>IF(VLOOKUP($C13,'2D-Chapra'!$C$2:$T$55,MID(R$1,2,2)+2,0)="","",VLOOKUP($C13,'2D-Chapra'!$C$2:$T$55,MID(R$1,2,2)+2,0))</f>
        <v/>
      </c>
      <c r="S13" s="4" t="str">
        <f>IF(VLOOKUP($C13,'2D-Chapra'!$C$2:$T$55,MID(S$1,2,2)+2,0)="","",VLOOKUP($C13,'2D-Chapra'!$C$2:$T$55,MID(S$1,2,2)+2,0))</f>
        <v/>
      </c>
      <c r="T13" s="5" t="str">
        <f>IF(VLOOKUP($C13,'2D-Chapra'!$C$2:$T$55,MID(T$1,2,2)+2,0)="","",VLOOKUP($C13,'2D-Chapra'!$C$2:$T$55,MID(T$1,2,2)+2,0))</f>
        <v/>
      </c>
      <c r="W13" s="97">
        <v>1</v>
      </c>
      <c r="X13" s="98">
        <v>1</v>
      </c>
      <c r="Y13" s="99">
        <v>-1</v>
      </c>
      <c r="Z13" s="100" t="s">
        <v>20</v>
      </c>
      <c r="AA13" s="108">
        <v>0</v>
      </c>
      <c r="AB13" s="19">
        <v>0</v>
      </c>
      <c r="AC13" s="20">
        <v>0</v>
      </c>
      <c r="AD13" s="18">
        <v>0</v>
      </c>
      <c r="AE13" s="19">
        <v>0</v>
      </c>
      <c r="AF13" s="20">
        <v>0</v>
      </c>
      <c r="AG13" s="18">
        <v>0</v>
      </c>
      <c r="AH13" s="19">
        <v>0</v>
      </c>
      <c r="AI13" s="20">
        <v>0</v>
      </c>
      <c r="AJ13" s="109">
        <f>($Y12-$Y11)*$Y13-$Y12^2+$Y11*$Y12+($X12-$X11)*$X13-$X12^2+$X11*$X12</f>
        <v>0</v>
      </c>
      <c r="AK13" s="102">
        <f>($Y11-$Y12)*$Y13+$Y11*$Y12-$Y11^2+($X11-$X12)*$X13+$X11*$X12-$X11^2</f>
        <v>-4</v>
      </c>
      <c r="AL13" s="103">
        <f>$Y12^2-2*$Y11*$Y12+$Y11^2+$X12^2-2*$X11*$X12+$X11^2</f>
        <v>4</v>
      </c>
      <c r="AM13" s="18">
        <v>0</v>
      </c>
      <c r="AN13" s="19">
        <v>0</v>
      </c>
      <c r="AO13" s="20">
        <v>0</v>
      </c>
      <c r="AP13" s="18">
        <v>0</v>
      </c>
      <c r="AQ13" s="19">
        <v>0</v>
      </c>
      <c r="AR13" s="20">
        <v>0</v>
      </c>
      <c r="AS13" s="18">
        <v>0</v>
      </c>
      <c r="AT13" s="19">
        <v>0</v>
      </c>
      <c r="AU13" s="20">
        <v>0</v>
      </c>
      <c r="AV13" s="18">
        <v>0</v>
      </c>
      <c r="AW13" s="19">
        <v>0</v>
      </c>
      <c r="AX13" s="20">
        <v>0</v>
      </c>
      <c r="AY13" s="18">
        <v>0</v>
      </c>
      <c r="AZ13" s="19">
        <v>0</v>
      </c>
      <c r="BA13" s="20">
        <v>0</v>
      </c>
      <c r="BB13" s="18">
        <v>0</v>
      </c>
      <c r="BC13" s="19">
        <v>0</v>
      </c>
      <c r="BD13" s="20">
        <v>0</v>
      </c>
      <c r="BE13" s="18">
        <v>0</v>
      </c>
      <c r="BF13" s="19">
        <v>0</v>
      </c>
      <c r="BG13" s="20">
        <v>0</v>
      </c>
      <c r="BH13" s="18">
        <v>0</v>
      </c>
      <c r="BI13" s="19">
        <v>0</v>
      </c>
      <c r="BJ13" s="20">
        <v>0</v>
      </c>
      <c r="BK13" s="18">
        <v>0</v>
      </c>
      <c r="BL13" s="19">
        <v>0</v>
      </c>
      <c r="BM13" s="20">
        <v>0</v>
      </c>
      <c r="BN13" s="18">
        <v>0</v>
      </c>
      <c r="BO13" s="19">
        <v>0</v>
      </c>
      <c r="BP13" s="20">
        <v>0</v>
      </c>
      <c r="BQ13" s="18">
        <v>0</v>
      </c>
      <c r="BR13" s="19">
        <v>0</v>
      </c>
      <c r="BS13" s="20">
        <v>0</v>
      </c>
      <c r="BT13" s="18">
        <v>0</v>
      </c>
      <c r="BU13" s="19">
        <v>0</v>
      </c>
      <c r="BV13" s="20">
        <v>0</v>
      </c>
      <c r="BW13" s="18">
        <v>0</v>
      </c>
      <c r="BX13" s="19">
        <v>0</v>
      </c>
      <c r="BY13" s="20">
        <v>0</v>
      </c>
      <c r="BZ13" s="18">
        <v>0</v>
      </c>
      <c r="CA13" s="19">
        <v>0</v>
      </c>
      <c r="CB13" s="104">
        <v>0</v>
      </c>
    </row>
    <row r="14" spans="1:80" x14ac:dyDescent="0.25">
      <c r="A14" s="23">
        <f t="shared" si="1"/>
        <v>5</v>
      </c>
      <c r="B14" s="23">
        <f t="shared" si="2"/>
        <v>1</v>
      </c>
      <c r="C14" s="23" t="str">
        <f t="shared" si="0"/>
        <v>T5_1</v>
      </c>
      <c r="E14" s="3" t="str">
        <f>IF(VLOOKUP($C14,'2D-Chapra'!$C$2:$T$55,MID(E$1,2,2)+2,0)="","",VLOOKUP($C14,'2D-Chapra'!$C$2:$T$55,MID(E$1,2,2)+2,0))</f>
        <v/>
      </c>
      <c r="F14" s="4" t="str">
        <f>IF(VLOOKUP($C14,'2D-Chapra'!$C$2:$T$55,MID(F$1,2,2)+2,0)="","",VLOOKUP($C14,'2D-Chapra'!$C$2:$T$55,MID(F$1,2,2)+2,0))</f>
        <v/>
      </c>
      <c r="G14" s="4" t="str">
        <f>IF(VLOOKUP($C14,'2D-Chapra'!$C$2:$T$55,MID(G$1,2,2)+2,0)="","",VLOOKUP($C14,'2D-Chapra'!$C$2:$T$55,MID(G$1,2,2)+2,0))</f>
        <v/>
      </c>
      <c r="H14" s="4" t="str">
        <f>IF(VLOOKUP($C14,'2D-Chapra'!$C$2:$T$55,MID(H$1,2,2)+2,0)="","",VLOOKUP($C14,'2D-Chapra'!$C$2:$T$55,MID(H$1,2,2)+2,0))</f>
        <v/>
      </c>
      <c r="I14" s="4" t="str">
        <f>IF(VLOOKUP($C14,'2D-Chapra'!$C$2:$T$55,MID(I$1,2,2)+2,0)="","",VLOOKUP($C14,'2D-Chapra'!$C$2:$T$55,MID(I$1,2,2)+2,0))</f>
        <v/>
      </c>
      <c r="J14" s="4" t="str">
        <f>IF(VLOOKUP($C14,'2D-Chapra'!$C$2:$T$55,MID(J$1,2,2)+2,0)="","",VLOOKUP($C14,'2D-Chapra'!$C$2:$T$55,MID(J$1,2,2)+2,0))</f>
        <v/>
      </c>
      <c r="K14" s="4">
        <f>IF(VLOOKUP($C14,'2D-Chapra'!$C$2:$T$55,MID(K$1,2,2)+2,0)="","",VLOOKUP($C14,'2D-Chapra'!$C$2:$T$55,MID(K$1,2,2)+2,0))</f>
        <v>1</v>
      </c>
      <c r="L14" s="4" t="str">
        <f>IF(VLOOKUP($C14,'2D-Chapra'!$C$2:$T$55,MID(L$1,2,2)+2,0)="","",VLOOKUP($C14,'2D-Chapra'!$C$2:$T$55,MID(L$1,2,2)+2,0))</f>
        <v/>
      </c>
      <c r="M14" s="4" t="str">
        <f>IF(VLOOKUP($C14,'2D-Chapra'!$C$2:$T$55,MID(M$1,2,2)+2,0)="","",VLOOKUP($C14,'2D-Chapra'!$C$2:$T$55,MID(M$1,2,2)+2,0))</f>
        <v/>
      </c>
      <c r="N14" s="4" t="str">
        <f>IF(VLOOKUP($C14,'2D-Chapra'!$C$2:$T$55,MID(N$1,2,2)+2,0)="","",VLOOKUP($C14,'2D-Chapra'!$C$2:$T$55,MID(N$1,2,2)+2,0))</f>
        <v/>
      </c>
      <c r="O14" s="4" t="str">
        <f>IF(VLOOKUP($C14,'2D-Chapra'!$C$2:$T$55,MID(O$1,2,2)+2,0)="","",VLOOKUP($C14,'2D-Chapra'!$C$2:$T$55,MID(O$1,2,2)+2,0))</f>
        <v/>
      </c>
      <c r="P14" s="4" t="str">
        <f>IF(VLOOKUP($C14,'2D-Chapra'!$C$2:$T$55,MID(P$1,2,2)+2,0)="","",VLOOKUP($C14,'2D-Chapra'!$C$2:$T$55,MID(P$1,2,2)+2,0))</f>
        <v/>
      </c>
      <c r="Q14" s="4" t="str">
        <f>IF(VLOOKUP($C14,'2D-Chapra'!$C$2:$T$55,MID(Q$1,2,2)+2,0)="","",VLOOKUP($C14,'2D-Chapra'!$C$2:$T$55,MID(Q$1,2,2)+2,0))</f>
        <v/>
      </c>
      <c r="R14" s="4" t="str">
        <f>IF(VLOOKUP($C14,'2D-Chapra'!$C$2:$T$55,MID(R$1,2,2)+2,0)="","",VLOOKUP($C14,'2D-Chapra'!$C$2:$T$55,MID(R$1,2,2)+2,0))</f>
        <v/>
      </c>
      <c r="S14" s="4" t="str">
        <f>IF(VLOOKUP($C14,'2D-Chapra'!$C$2:$T$55,MID(S$1,2,2)+2,0)="","",VLOOKUP($C14,'2D-Chapra'!$C$2:$T$55,MID(S$1,2,2)+2,0))</f>
        <v/>
      </c>
      <c r="T14" s="5" t="str">
        <f>IF(VLOOKUP($C14,'2D-Chapra'!$C$2:$T$55,MID(T$1,2,2)+2,0)="","",VLOOKUP($C14,'2D-Chapra'!$C$2:$T$55,MID(T$1,2,2)+2,0))</f>
        <v/>
      </c>
      <c r="W14" s="85">
        <v>1</v>
      </c>
      <c r="X14" s="86">
        <v>1</v>
      </c>
      <c r="Y14" s="87">
        <v>-3</v>
      </c>
      <c r="Z14" s="88" t="s">
        <v>21</v>
      </c>
      <c r="AA14" s="105">
        <v>0</v>
      </c>
      <c r="AB14" s="14">
        <v>0</v>
      </c>
      <c r="AC14" s="15">
        <v>0</v>
      </c>
      <c r="AD14" s="13">
        <v>0</v>
      </c>
      <c r="AE14" s="14">
        <v>0</v>
      </c>
      <c r="AF14" s="15">
        <v>0</v>
      </c>
      <c r="AG14" s="13">
        <v>0</v>
      </c>
      <c r="AH14" s="14">
        <v>0</v>
      </c>
      <c r="AI14" s="15">
        <v>0</v>
      </c>
      <c r="AJ14" s="13">
        <v>0</v>
      </c>
      <c r="AK14" s="14">
        <v>0</v>
      </c>
      <c r="AL14" s="15">
        <v>0</v>
      </c>
      <c r="AM14" s="106">
        <f>$Y16^2-2*$Y15*$Y16+$Y15^2+$X16^2-2*$X15*$X16+$X15^2</f>
        <v>4</v>
      </c>
      <c r="AN14" s="90">
        <f>AM15</f>
        <v>0</v>
      </c>
      <c r="AO14" s="91">
        <f>AM16</f>
        <v>-4</v>
      </c>
      <c r="AP14" s="13">
        <v>0</v>
      </c>
      <c r="AQ14" s="14">
        <v>0</v>
      </c>
      <c r="AR14" s="15">
        <v>0</v>
      </c>
      <c r="AS14" s="13">
        <v>0</v>
      </c>
      <c r="AT14" s="14">
        <v>0</v>
      </c>
      <c r="AU14" s="15">
        <v>0</v>
      </c>
      <c r="AV14" s="13">
        <v>0</v>
      </c>
      <c r="AW14" s="14">
        <v>0</v>
      </c>
      <c r="AX14" s="15">
        <v>0</v>
      </c>
      <c r="AY14" s="13">
        <v>0</v>
      </c>
      <c r="AZ14" s="14">
        <v>0</v>
      </c>
      <c r="BA14" s="15">
        <v>0</v>
      </c>
      <c r="BB14" s="13">
        <v>0</v>
      </c>
      <c r="BC14" s="14">
        <v>0</v>
      </c>
      <c r="BD14" s="15">
        <v>0</v>
      </c>
      <c r="BE14" s="13">
        <v>0</v>
      </c>
      <c r="BF14" s="14">
        <v>0</v>
      </c>
      <c r="BG14" s="15">
        <v>0</v>
      </c>
      <c r="BH14" s="13">
        <v>0</v>
      </c>
      <c r="BI14" s="14">
        <v>0</v>
      </c>
      <c r="BJ14" s="15">
        <v>0</v>
      </c>
      <c r="BK14" s="13">
        <v>0</v>
      </c>
      <c r="BL14" s="14">
        <v>0</v>
      </c>
      <c r="BM14" s="15">
        <v>0</v>
      </c>
      <c r="BN14" s="13">
        <v>0</v>
      </c>
      <c r="BO14" s="14">
        <v>0</v>
      </c>
      <c r="BP14" s="15">
        <v>0</v>
      </c>
      <c r="BQ14" s="13">
        <v>0</v>
      </c>
      <c r="BR14" s="14">
        <v>0</v>
      </c>
      <c r="BS14" s="15">
        <v>0</v>
      </c>
      <c r="BT14" s="13">
        <v>0</v>
      </c>
      <c r="BU14" s="14">
        <v>0</v>
      </c>
      <c r="BV14" s="15">
        <v>0</v>
      </c>
      <c r="BW14" s="13">
        <v>0</v>
      </c>
      <c r="BX14" s="14">
        <v>0</v>
      </c>
      <c r="BY14" s="15">
        <v>0</v>
      </c>
      <c r="BZ14" s="13">
        <v>0</v>
      </c>
      <c r="CA14" s="14">
        <v>0</v>
      </c>
      <c r="CB14" s="92">
        <v>0</v>
      </c>
    </row>
    <row r="15" spans="1:80" x14ac:dyDescent="0.25">
      <c r="A15" s="23">
        <f t="shared" si="1"/>
        <v>5</v>
      </c>
      <c r="B15" s="23">
        <f t="shared" si="2"/>
        <v>2</v>
      </c>
      <c r="C15" s="23" t="str">
        <f t="shared" si="0"/>
        <v>T5_2</v>
      </c>
      <c r="E15" s="3" t="str">
        <f>IF(VLOOKUP($C15,'2D-Chapra'!$C$2:$T$55,MID(E$1,2,2)+2,0)="","",VLOOKUP($C15,'2D-Chapra'!$C$2:$T$55,MID(E$1,2,2)+2,0))</f>
        <v/>
      </c>
      <c r="F15" s="4" t="str">
        <f>IF(VLOOKUP($C15,'2D-Chapra'!$C$2:$T$55,MID(F$1,2,2)+2,0)="","",VLOOKUP($C15,'2D-Chapra'!$C$2:$T$55,MID(F$1,2,2)+2,0))</f>
        <v/>
      </c>
      <c r="G15" s="4" t="str">
        <f>IF(VLOOKUP($C15,'2D-Chapra'!$C$2:$T$55,MID(G$1,2,2)+2,0)="","",VLOOKUP($C15,'2D-Chapra'!$C$2:$T$55,MID(G$1,2,2)+2,0))</f>
        <v/>
      </c>
      <c r="H15" s="4" t="str">
        <f>IF(VLOOKUP($C15,'2D-Chapra'!$C$2:$T$55,MID(H$1,2,2)+2,0)="","",VLOOKUP($C15,'2D-Chapra'!$C$2:$T$55,MID(H$1,2,2)+2,0))</f>
        <v/>
      </c>
      <c r="I15" s="4" t="str">
        <f>IF(VLOOKUP($C15,'2D-Chapra'!$C$2:$T$55,MID(I$1,2,2)+2,0)="","",VLOOKUP($C15,'2D-Chapra'!$C$2:$T$55,MID(I$1,2,2)+2,0))</f>
        <v/>
      </c>
      <c r="J15" s="4" t="str">
        <f>IF(VLOOKUP($C15,'2D-Chapra'!$C$2:$T$55,MID(J$1,2,2)+2,0)="","",VLOOKUP($C15,'2D-Chapra'!$C$2:$T$55,MID(J$1,2,2)+2,0))</f>
        <v/>
      </c>
      <c r="K15" s="4" t="str">
        <f>IF(VLOOKUP($C15,'2D-Chapra'!$C$2:$T$55,MID(K$1,2,2)+2,0)="","",VLOOKUP($C15,'2D-Chapra'!$C$2:$T$55,MID(K$1,2,2)+2,0))</f>
        <v/>
      </c>
      <c r="L15" s="4" t="str">
        <f>IF(VLOOKUP($C15,'2D-Chapra'!$C$2:$T$55,MID(L$1,2,2)+2,0)="","",VLOOKUP($C15,'2D-Chapra'!$C$2:$T$55,MID(L$1,2,2)+2,0))</f>
        <v/>
      </c>
      <c r="M15" s="4" t="str">
        <f>IF(VLOOKUP($C15,'2D-Chapra'!$C$2:$T$55,MID(M$1,2,2)+2,0)="","",VLOOKUP($C15,'2D-Chapra'!$C$2:$T$55,MID(M$1,2,2)+2,0))</f>
        <v/>
      </c>
      <c r="N15" s="4">
        <f>IF(VLOOKUP($C15,'2D-Chapra'!$C$2:$T$55,MID(N$1,2,2)+2,0)="","",VLOOKUP($C15,'2D-Chapra'!$C$2:$T$55,MID(N$1,2,2)+2,0))</f>
        <v>1</v>
      </c>
      <c r="O15" s="4" t="str">
        <f>IF(VLOOKUP($C15,'2D-Chapra'!$C$2:$T$55,MID(O$1,2,2)+2,0)="","",VLOOKUP($C15,'2D-Chapra'!$C$2:$T$55,MID(O$1,2,2)+2,0))</f>
        <v/>
      </c>
      <c r="P15" s="4" t="str">
        <f>IF(VLOOKUP($C15,'2D-Chapra'!$C$2:$T$55,MID(P$1,2,2)+2,0)="","",VLOOKUP($C15,'2D-Chapra'!$C$2:$T$55,MID(P$1,2,2)+2,0))</f>
        <v/>
      </c>
      <c r="Q15" s="4" t="str">
        <f>IF(VLOOKUP($C15,'2D-Chapra'!$C$2:$T$55,MID(Q$1,2,2)+2,0)="","",VLOOKUP($C15,'2D-Chapra'!$C$2:$T$55,MID(Q$1,2,2)+2,0))</f>
        <v/>
      </c>
      <c r="R15" s="4" t="str">
        <f>IF(VLOOKUP($C15,'2D-Chapra'!$C$2:$T$55,MID(R$1,2,2)+2,0)="","",VLOOKUP($C15,'2D-Chapra'!$C$2:$T$55,MID(R$1,2,2)+2,0))</f>
        <v/>
      </c>
      <c r="S15" s="4" t="str">
        <f>IF(VLOOKUP($C15,'2D-Chapra'!$C$2:$T$55,MID(S$1,2,2)+2,0)="","",VLOOKUP($C15,'2D-Chapra'!$C$2:$T$55,MID(S$1,2,2)+2,0))</f>
        <v/>
      </c>
      <c r="T15" s="5" t="str">
        <f>IF(VLOOKUP($C15,'2D-Chapra'!$C$2:$T$55,MID(T$1,2,2)+2,0)="","",VLOOKUP($C15,'2D-Chapra'!$C$2:$T$55,MID(T$1,2,2)+2,0))</f>
        <v/>
      </c>
      <c r="W15" s="93">
        <v>1</v>
      </c>
      <c r="X15" s="49">
        <v>3</v>
      </c>
      <c r="Y15" s="94">
        <v>-1</v>
      </c>
      <c r="Z15" s="95" t="s">
        <v>22</v>
      </c>
      <c r="AA15" s="3">
        <v>0</v>
      </c>
      <c r="AB15" s="4">
        <v>0</v>
      </c>
      <c r="AC15" s="17">
        <v>0</v>
      </c>
      <c r="AD15" s="16">
        <v>0</v>
      </c>
      <c r="AE15" s="4">
        <v>0</v>
      </c>
      <c r="AF15" s="17">
        <v>0</v>
      </c>
      <c r="AG15" s="16">
        <v>0</v>
      </c>
      <c r="AH15" s="4">
        <v>0</v>
      </c>
      <c r="AI15" s="17">
        <v>0</v>
      </c>
      <c r="AJ15" s="16">
        <v>0</v>
      </c>
      <c r="AK15" s="4">
        <v>0</v>
      </c>
      <c r="AL15" s="17">
        <v>0</v>
      </c>
      <c r="AM15" s="107">
        <f>-($Y16^2)+($Y15+$Y14)*$Y16-($Y14*$Y15)-($X16^2)+($X15+$X14)*$X16-($X14*$X15)</f>
        <v>0</v>
      </c>
      <c r="AN15" s="11">
        <f>$Y16^2-2*$Y14*$Y16+$Y14^2+$X16^2-2*$X14*$X16+$X14^2</f>
        <v>4</v>
      </c>
      <c r="AO15" s="96">
        <f>AN16</f>
        <v>-4</v>
      </c>
      <c r="AP15" s="16">
        <v>0</v>
      </c>
      <c r="AQ15" s="4">
        <v>0</v>
      </c>
      <c r="AR15" s="17">
        <v>0</v>
      </c>
      <c r="AS15" s="16">
        <v>0</v>
      </c>
      <c r="AT15" s="4">
        <v>0</v>
      </c>
      <c r="AU15" s="17">
        <v>0</v>
      </c>
      <c r="AV15" s="16">
        <v>0</v>
      </c>
      <c r="AW15" s="4">
        <v>0</v>
      </c>
      <c r="AX15" s="17">
        <v>0</v>
      </c>
      <c r="AY15" s="16">
        <v>0</v>
      </c>
      <c r="AZ15" s="4">
        <v>0</v>
      </c>
      <c r="BA15" s="17">
        <v>0</v>
      </c>
      <c r="BB15" s="16">
        <v>0</v>
      </c>
      <c r="BC15" s="4">
        <v>0</v>
      </c>
      <c r="BD15" s="17">
        <v>0</v>
      </c>
      <c r="BE15" s="16">
        <v>0</v>
      </c>
      <c r="BF15" s="4">
        <v>0</v>
      </c>
      <c r="BG15" s="17">
        <v>0</v>
      </c>
      <c r="BH15" s="16">
        <v>0</v>
      </c>
      <c r="BI15" s="4">
        <v>0</v>
      </c>
      <c r="BJ15" s="17">
        <v>0</v>
      </c>
      <c r="BK15" s="16">
        <v>0</v>
      </c>
      <c r="BL15" s="4">
        <v>0</v>
      </c>
      <c r="BM15" s="17">
        <v>0</v>
      </c>
      <c r="BN15" s="16">
        <v>0</v>
      </c>
      <c r="BO15" s="4">
        <v>0</v>
      </c>
      <c r="BP15" s="17">
        <v>0</v>
      </c>
      <c r="BQ15" s="16">
        <v>0</v>
      </c>
      <c r="BR15" s="4">
        <v>0</v>
      </c>
      <c r="BS15" s="17">
        <v>0</v>
      </c>
      <c r="BT15" s="16">
        <v>0</v>
      </c>
      <c r="BU15" s="4">
        <v>0</v>
      </c>
      <c r="BV15" s="17">
        <v>0</v>
      </c>
      <c r="BW15" s="16">
        <v>0</v>
      </c>
      <c r="BX15" s="4">
        <v>0</v>
      </c>
      <c r="BY15" s="17">
        <v>0</v>
      </c>
      <c r="BZ15" s="16">
        <v>0</v>
      </c>
      <c r="CA15" s="4">
        <v>0</v>
      </c>
      <c r="CB15" s="5">
        <v>0</v>
      </c>
    </row>
    <row r="16" spans="1:80" x14ac:dyDescent="0.25">
      <c r="A16" s="23">
        <f t="shared" si="1"/>
        <v>5</v>
      </c>
      <c r="B16" s="23">
        <f t="shared" si="2"/>
        <v>3</v>
      </c>
      <c r="C16" s="23" t="str">
        <f t="shared" si="0"/>
        <v>T5_3</v>
      </c>
      <c r="E16" s="3" t="str">
        <f>IF(VLOOKUP($C16,'2D-Chapra'!$C$2:$T$55,MID(E$1,2,2)+2,0)="","",VLOOKUP($C16,'2D-Chapra'!$C$2:$T$55,MID(E$1,2,2)+2,0))</f>
        <v/>
      </c>
      <c r="F16" s="4">
        <f>IF(VLOOKUP($C16,'2D-Chapra'!$C$2:$T$55,MID(F$1,2,2)+2,0)="","",VLOOKUP($C16,'2D-Chapra'!$C$2:$T$55,MID(F$1,2,2)+2,0))</f>
        <v>1</v>
      </c>
      <c r="G16" s="4" t="str">
        <f>IF(VLOOKUP($C16,'2D-Chapra'!$C$2:$T$55,MID(G$1,2,2)+2,0)="","",VLOOKUP($C16,'2D-Chapra'!$C$2:$T$55,MID(G$1,2,2)+2,0))</f>
        <v/>
      </c>
      <c r="H16" s="4" t="str">
        <f>IF(VLOOKUP($C16,'2D-Chapra'!$C$2:$T$55,MID(H$1,2,2)+2,0)="","",VLOOKUP($C16,'2D-Chapra'!$C$2:$T$55,MID(H$1,2,2)+2,0))</f>
        <v/>
      </c>
      <c r="I16" s="4" t="str">
        <f>IF(VLOOKUP($C16,'2D-Chapra'!$C$2:$T$55,MID(I$1,2,2)+2,0)="","",VLOOKUP($C16,'2D-Chapra'!$C$2:$T$55,MID(I$1,2,2)+2,0))</f>
        <v/>
      </c>
      <c r="J16" s="4" t="str">
        <f>IF(VLOOKUP($C16,'2D-Chapra'!$C$2:$T$55,MID(J$1,2,2)+2,0)="","",VLOOKUP($C16,'2D-Chapra'!$C$2:$T$55,MID(J$1,2,2)+2,0))</f>
        <v/>
      </c>
      <c r="K16" s="4" t="str">
        <f>IF(VLOOKUP($C16,'2D-Chapra'!$C$2:$T$55,MID(K$1,2,2)+2,0)="","",VLOOKUP($C16,'2D-Chapra'!$C$2:$T$55,MID(K$1,2,2)+2,0))</f>
        <v/>
      </c>
      <c r="L16" s="4" t="str">
        <f>IF(VLOOKUP($C16,'2D-Chapra'!$C$2:$T$55,MID(L$1,2,2)+2,0)="","",VLOOKUP($C16,'2D-Chapra'!$C$2:$T$55,MID(L$1,2,2)+2,0))</f>
        <v/>
      </c>
      <c r="M16" s="4" t="str">
        <f>IF(VLOOKUP($C16,'2D-Chapra'!$C$2:$T$55,MID(M$1,2,2)+2,0)="","",VLOOKUP($C16,'2D-Chapra'!$C$2:$T$55,MID(M$1,2,2)+2,0))</f>
        <v/>
      </c>
      <c r="N16" s="4" t="str">
        <f>IF(VLOOKUP($C16,'2D-Chapra'!$C$2:$T$55,MID(N$1,2,2)+2,0)="","",VLOOKUP($C16,'2D-Chapra'!$C$2:$T$55,MID(N$1,2,2)+2,0))</f>
        <v/>
      </c>
      <c r="O16" s="4" t="str">
        <f>IF(VLOOKUP($C16,'2D-Chapra'!$C$2:$T$55,MID(O$1,2,2)+2,0)="","",VLOOKUP($C16,'2D-Chapra'!$C$2:$T$55,MID(O$1,2,2)+2,0))</f>
        <v/>
      </c>
      <c r="P16" s="4" t="str">
        <f>IF(VLOOKUP($C16,'2D-Chapra'!$C$2:$T$55,MID(P$1,2,2)+2,0)="","",VLOOKUP($C16,'2D-Chapra'!$C$2:$T$55,MID(P$1,2,2)+2,0))</f>
        <v/>
      </c>
      <c r="Q16" s="4" t="str">
        <f>IF(VLOOKUP($C16,'2D-Chapra'!$C$2:$T$55,MID(Q$1,2,2)+2,0)="","",VLOOKUP($C16,'2D-Chapra'!$C$2:$T$55,MID(Q$1,2,2)+2,0))</f>
        <v/>
      </c>
      <c r="R16" s="4" t="str">
        <f>IF(VLOOKUP($C16,'2D-Chapra'!$C$2:$T$55,MID(R$1,2,2)+2,0)="","",VLOOKUP($C16,'2D-Chapra'!$C$2:$T$55,MID(R$1,2,2)+2,0))</f>
        <v/>
      </c>
      <c r="S16" s="4" t="str">
        <f>IF(VLOOKUP($C16,'2D-Chapra'!$C$2:$T$55,MID(S$1,2,2)+2,0)="","",VLOOKUP($C16,'2D-Chapra'!$C$2:$T$55,MID(S$1,2,2)+2,0))</f>
        <v/>
      </c>
      <c r="T16" s="5" t="str">
        <f>IF(VLOOKUP($C16,'2D-Chapra'!$C$2:$T$55,MID(T$1,2,2)+2,0)="","",VLOOKUP($C16,'2D-Chapra'!$C$2:$T$55,MID(T$1,2,2)+2,0))</f>
        <v/>
      </c>
      <c r="W16" s="97">
        <v>1</v>
      </c>
      <c r="X16" s="98">
        <v>1</v>
      </c>
      <c r="Y16" s="99">
        <v>-1</v>
      </c>
      <c r="Z16" s="100" t="s">
        <v>23</v>
      </c>
      <c r="AA16" s="108">
        <v>0</v>
      </c>
      <c r="AB16" s="19">
        <v>0</v>
      </c>
      <c r="AC16" s="20">
        <v>0</v>
      </c>
      <c r="AD16" s="18">
        <v>0</v>
      </c>
      <c r="AE16" s="19">
        <v>0</v>
      </c>
      <c r="AF16" s="20">
        <v>0</v>
      </c>
      <c r="AG16" s="18">
        <v>0</v>
      </c>
      <c r="AH16" s="19">
        <v>0</v>
      </c>
      <c r="AI16" s="20">
        <v>0</v>
      </c>
      <c r="AJ16" s="18">
        <v>0</v>
      </c>
      <c r="AK16" s="19">
        <v>0</v>
      </c>
      <c r="AL16" s="20">
        <v>0</v>
      </c>
      <c r="AM16" s="109">
        <f>($Y15-$Y14)*$Y16-$Y15^2+$Y14*$Y15+($X15-$X14)*$X16-$X15^2+$X14*$X15</f>
        <v>-4</v>
      </c>
      <c r="AN16" s="102">
        <f>($Y14-$Y15)*$Y16+$Y14*$Y15-$Y14^2+($X14-$X15)*$X16+$X14*$X15-$X14^2</f>
        <v>-4</v>
      </c>
      <c r="AO16" s="103">
        <f>$Y15^2-2*$Y14*$Y15+$Y14^2+$X15^2-2*$X14*$X15+$X14^2</f>
        <v>8</v>
      </c>
      <c r="AP16" s="18">
        <v>0</v>
      </c>
      <c r="AQ16" s="19">
        <v>0</v>
      </c>
      <c r="AR16" s="20">
        <v>0</v>
      </c>
      <c r="AS16" s="18">
        <v>0</v>
      </c>
      <c r="AT16" s="19">
        <v>0</v>
      </c>
      <c r="AU16" s="20">
        <v>0</v>
      </c>
      <c r="AV16" s="18">
        <v>0</v>
      </c>
      <c r="AW16" s="19">
        <v>0</v>
      </c>
      <c r="AX16" s="20">
        <v>0</v>
      </c>
      <c r="AY16" s="18">
        <v>0</v>
      </c>
      <c r="AZ16" s="19">
        <v>0</v>
      </c>
      <c r="BA16" s="20">
        <v>0</v>
      </c>
      <c r="BB16" s="18">
        <v>0</v>
      </c>
      <c r="BC16" s="19">
        <v>0</v>
      </c>
      <c r="BD16" s="20">
        <v>0</v>
      </c>
      <c r="BE16" s="18">
        <v>0</v>
      </c>
      <c r="BF16" s="19">
        <v>0</v>
      </c>
      <c r="BG16" s="20">
        <v>0</v>
      </c>
      <c r="BH16" s="18">
        <v>0</v>
      </c>
      <c r="BI16" s="19">
        <v>0</v>
      </c>
      <c r="BJ16" s="20">
        <v>0</v>
      </c>
      <c r="BK16" s="18">
        <v>0</v>
      </c>
      <c r="BL16" s="19">
        <v>0</v>
      </c>
      <c r="BM16" s="20">
        <v>0</v>
      </c>
      <c r="BN16" s="18">
        <v>0</v>
      </c>
      <c r="BO16" s="19">
        <v>0</v>
      </c>
      <c r="BP16" s="20">
        <v>0</v>
      </c>
      <c r="BQ16" s="18">
        <v>0</v>
      </c>
      <c r="BR16" s="19">
        <v>0</v>
      </c>
      <c r="BS16" s="20">
        <v>0</v>
      </c>
      <c r="BT16" s="18">
        <v>0</v>
      </c>
      <c r="BU16" s="19">
        <v>0</v>
      </c>
      <c r="BV16" s="20">
        <v>0</v>
      </c>
      <c r="BW16" s="18">
        <v>0</v>
      </c>
      <c r="BX16" s="19">
        <v>0</v>
      </c>
      <c r="BY16" s="20">
        <v>0</v>
      </c>
      <c r="BZ16" s="18">
        <v>0</v>
      </c>
      <c r="CA16" s="19">
        <v>0</v>
      </c>
      <c r="CB16" s="104">
        <v>0</v>
      </c>
    </row>
    <row r="17" spans="1:80" x14ac:dyDescent="0.25">
      <c r="A17" s="23">
        <f t="shared" si="1"/>
        <v>6</v>
      </c>
      <c r="B17" s="23">
        <f t="shared" si="2"/>
        <v>1</v>
      </c>
      <c r="C17" s="23" t="str">
        <f t="shared" si="0"/>
        <v>T6_1</v>
      </c>
      <c r="E17" s="3" t="str">
        <f>IF(VLOOKUP($C17,'2D-Chapra'!$C$2:$T$55,MID(E$1,2,2)+2,0)="","",VLOOKUP($C17,'2D-Chapra'!$C$2:$T$55,MID(E$1,2,2)+2,0))</f>
        <v/>
      </c>
      <c r="F17" s="4" t="str">
        <f>IF(VLOOKUP($C17,'2D-Chapra'!$C$2:$T$55,MID(F$1,2,2)+2,0)="","",VLOOKUP($C17,'2D-Chapra'!$C$2:$T$55,MID(F$1,2,2)+2,0))</f>
        <v/>
      </c>
      <c r="G17" s="4" t="str">
        <f>IF(VLOOKUP($C17,'2D-Chapra'!$C$2:$T$55,MID(G$1,2,2)+2,0)="","",VLOOKUP($C17,'2D-Chapra'!$C$2:$T$55,MID(G$1,2,2)+2,0))</f>
        <v/>
      </c>
      <c r="H17" s="4" t="str">
        <f>IF(VLOOKUP($C17,'2D-Chapra'!$C$2:$T$55,MID(H$1,2,2)+2,0)="","",VLOOKUP($C17,'2D-Chapra'!$C$2:$T$55,MID(H$1,2,2)+2,0))</f>
        <v/>
      </c>
      <c r="I17" s="4" t="str">
        <f>IF(VLOOKUP($C17,'2D-Chapra'!$C$2:$T$55,MID(I$1,2,2)+2,0)="","",VLOOKUP($C17,'2D-Chapra'!$C$2:$T$55,MID(I$1,2,2)+2,0))</f>
        <v/>
      </c>
      <c r="J17" s="4" t="str">
        <f>IF(VLOOKUP($C17,'2D-Chapra'!$C$2:$T$55,MID(J$1,2,2)+2,0)="","",VLOOKUP($C17,'2D-Chapra'!$C$2:$T$55,MID(J$1,2,2)+2,0))</f>
        <v/>
      </c>
      <c r="K17" s="4">
        <f>IF(VLOOKUP($C17,'2D-Chapra'!$C$2:$T$55,MID(K$1,2,2)+2,0)="","",VLOOKUP($C17,'2D-Chapra'!$C$2:$T$55,MID(K$1,2,2)+2,0))</f>
        <v>1</v>
      </c>
      <c r="L17" s="4" t="str">
        <f>IF(VLOOKUP($C17,'2D-Chapra'!$C$2:$T$55,MID(L$1,2,2)+2,0)="","",VLOOKUP($C17,'2D-Chapra'!$C$2:$T$55,MID(L$1,2,2)+2,0))</f>
        <v/>
      </c>
      <c r="M17" s="4" t="str">
        <f>IF(VLOOKUP($C17,'2D-Chapra'!$C$2:$T$55,MID(M$1,2,2)+2,0)="","",VLOOKUP($C17,'2D-Chapra'!$C$2:$T$55,MID(M$1,2,2)+2,0))</f>
        <v/>
      </c>
      <c r="N17" s="4" t="str">
        <f>IF(VLOOKUP($C17,'2D-Chapra'!$C$2:$T$55,MID(N$1,2,2)+2,0)="","",VLOOKUP($C17,'2D-Chapra'!$C$2:$T$55,MID(N$1,2,2)+2,0))</f>
        <v/>
      </c>
      <c r="O17" s="4" t="str">
        <f>IF(VLOOKUP($C17,'2D-Chapra'!$C$2:$T$55,MID(O$1,2,2)+2,0)="","",VLOOKUP($C17,'2D-Chapra'!$C$2:$T$55,MID(O$1,2,2)+2,0))</f>
        <v/>
      </c>
      <c r="P17" s="4" t="str">
        <f>IF(VLOOKUP($C17,'2D-Chapra'!$C$2:$T$55,MID(P$1,2,2)+2,0)="","",VLOOKUP($C17,'2D-Chapra'!$C$2:$T$55,MID(P$1,2,2)+2,0))</f>
        <v/>
      </c>
      <c r="Q17" s="4" t="str">
        <f>IF(VLOOKUP($C17,'2D-Chapra'!$C$2:$T$55,MID(Q$1,2,2)+2,0)="","",VLOOKUP($C17,'2D-Chapra'!$C$2:$T$55,MID(Q$1,2,2)+2,0))</f>
        <v/>
      </c>
      <c r="R17" s="4" t="str">
        <f>IF(VLOOKUP($C17,'2D-Chapra'!$C$2:$T$55,MID(R$1,2,2)+2,0)="","",VLOOKUP($C17,'2D-Chapra'!$C$2:$T$55,MID(R$1,2,2)+2,0))</f>
        <v/>
      </c>
      <c r="S17" s="4" t="str">
        <f>IF(VLOOKUP($C17,'2D-Chapra'!$C$2:$T$55,MID(S$1,2,2)+2,0)="","",VLOOKUP($C17,'2D-Chapra'!$C$2:$T$55,MID(S$1,2,2)+2,0))</f>
        <v/>
      </c>
      <c r="T17" s="5" t="str">
        <f>IF(VLOOKUP($C17,'2D-Chapra'!$C$2:$T$55,MID(T$1,2,2)+2,0)="","",VLOOKUP($C17,'2D-Chapra'!$C$2:$T$55,MID(T$1,2,2)+2,0))</f>
        <v/>
      </c>
      <c r="W17" s="85">
        <v>1</v>
      </c>
      <c r="X17" s="86">
        <v>1</v>
      </c>
      <c r="Y17" s="87">
        <v>-3</v>
      </c>
      <c r="Z17" s="88" t="s">
        <v>24</v>
      </c>
      <c r="AA17" s="105">
        <v>0</v>
      </c>
      <c r="AB17" s="14">
        <v>0</v>
      </c>
      <c r="AC17" s="15">
        <v>0</v>
      </c>
      <c r="AD17" s="13">
        <v>0</v>
      </c>
      <c r="AE17" s="14">
        <v>0</v>
      </c>
      <c r="AF17" s="15">
        <v>0</v>
      </c>
      <c r="AG17" s="13">
        <v>0</v>
      </c>
      <c r="AH17" s="14">
        <v>0</v>
      </c>
      <c r="AI17" s="15">
        <v>0</v>
      </c>
      <c r="AJ17" s="13">
        <v>0</v>
      </c>
      <c r="AK17" s="14">
        <v>0</v>
      </c>
      <c r="AL17" s="15">
        <v>0</v>
      </c>
      <c r="AM17" s="13">
        <v>0</v>
      </c>
      <c r="AN17" s="14">
        <v>0</v>
      </c>
      <c r="AO17" s="15">
        <v>0</v>
      </c>
      <c r="AP17" s="106">
        <f>$Y19^2-2*$Y18*$Y19+$Y18^2+$X19^2-2*$X18*$X19+$X18^2</f>
        <v>4</v>
      </c>
      <c r="AQ17" s="90">
        <f>AP18</f>
        <v>-4</v>
      </c>
      <c r="AR17" s="91">
        <f>AP19</f>
        <v>0</v>
      </c>
      <c r="AS17" s="13">
        <v>0</v>
      </c>
      <c r="AT17" s="14">
        <v>0</v>
      </c>
      <c r="AU17" s="15">
        <v>0</v>
      </c>
      <c r="AV17" s="13">
        <v>0</v>
      </c>
      <c r="AW17" s="14">
        <v>0</v>
      </c>
      <c r="AX17" s="15">
        <v>0</v>
      </c>
      <c r="AY17" s="13">
        <v>0</v>
      </c>
      <c r="AZ17" s="14">
        <v>0</v>
      </c>
      <c r="BA17" s="15">
        <v>0</v>
      </c>
      <c r="BB17" s="13">
        <v>0</v>
      </c>
      <c r="BC17" s="14">
        <v>0</v>
      </c>
      <c r="BD17" s="15">
        <v>0</v>
      </c>
      <c r="BE17" s="13">
        <v>0</v>
      </c>
      <c r="BF17" s="14">
        <v>0</v>
      </c>
      <c r="BG17" s="15">
        <v>0</v>
      </c>
      <c r="BH17" s="13">
        <v>0</v>
      </c>
      <c r="BI17" s="14">
        <v>0</v>
      </c>
      <c r="BJ17" s="15">
        <v>0</v>
      </c>
      <c r="BK17" s="13">
        <v>0</v>
      </c>
      <c r="BL17" s="14">
        <v>0</v>
      </c>
      <c r="BM17" s="15">
        <v>0</v>
      </c>
      <c r="BN17" s="13">
        <v>0</v>
      </c>
      <c r="BO17" s="14">
        <v>0</v>
      </c>
      <c r="BP17" s="15">
        <v>0</v>
      </c>
      <c r="BQ17" s="13">
        <v>0</v>
      </c>
      <c r="BR17" s="14">
        <v>0</v>
      </c>
      <c r="BS17" s="15">
        <v>0</v>
      </c>
      <c r="BT17" s="13">
        <v>0</v>
      </c>
      <c r="BU17" s="14">
        <v>0</v>
      </c>
      <c r="BV17" s="15">
        <v>0</v>
      </c>
      <c r="BW17" s="13">
        <v>0</v>
      </c>
      <c r="BX17" s="14">
        <v>0</v>
      </c>
      <c r="BY17" s="15">
        <v>0</v>
      </c>
      <c r="BZ17" s="13">
        <v>0</v>
      </c>
      <c r="CA17" s="14">
        <v>0</v>
      </c>
      <c r="CB17" s="92">
        <v>0</v>
      </c>
    </row>
    <row r="18" spans="1:80" x14ac:dyDescent="0.25">
      <c r="A18" s="23">
        <f t="shared" si="1"/>
        <v>6</v>
      </c>
      <c r="B18" s="23">
        <f t="shared" si="2"/>
        <v>2</v>
      </c>
      <c r="C18" s="23" t="str">
        <f t="shared" si="0"/>
        <v>T6_2</v>
      </c>
      <c r="E18" s="3" t="str">
        <f>IF(VLOOKUP($C18,'2D-Chapra'!$C$2:$T$55,MID(E$1,2,2)+2,0)="","",VLOOKUP($C18,'2D-Chapra'!$C$2:$T$55,MID(E$1,2,2)+2,0))</f>
        <v/>
      </c>
      <c r="F18" s="4" t="str">
        <f>IF(VLOOKUP($C18,'2D-Chapra'!$C$2:$T$55,MID(F$1,2,2)+2,0)="","",VLOOKUP($C18,'2D-Chapra'!$C$2:$T$55,MID(F$1,2,2)+2,0))</f>
        <v/>
      </c>
      <c r="G18" s="4" t="str">
        <f>IF(VLOOKUP($C18,'2D-Chapra'!$C$2:$T$55,MID(G$1,2,2)+2,0)="","",VLOOKUP($C18,'2D-Chapra'!$C$2:$T$55,MID(G$1,2,2)+2,0))</f>
        <v/>
      </c>
      <c r="H18" s="4" t="str">
        <f>IF(VLOOKUP($C18,'2D-Chapra'!$C$2:$T$55,MID(H$1,2,2)+2,0)="","",VLOOKUP($C18,'2D-Chapra'!$C$2:$T$55,MID(H$1,2,2)+2,0))</f>
        <v/>
      </c>
      <c r="I18" s="4" t="str">
        <f>IF(VLOOKUP($C18,'2D-Chapra'!$C$2:$T$55,MID(I$1,2,2)+2,0)="","",VLOOKUP($C18,'2D-Chapra'!$C$2:$T$55,MID(I$1,2,2)+2,0))</f>
        <v/>
      </c>
      <c r="J18" s="4" t="str">
        <f>IF(VLOOKUP($C18,'2D-Chapra'!$C$2:$T$55,MID(J$1,2,2)+2,0)="","",VLOOKUP($C18,'2D-Chapra'!$C$2:$T$55,MID(J$1,2,2)+2,0))</f>
        <v/>
      </c>
      <c r="K18" s="4" t="str">
        <f>IF(VLOOKUP($C18,'2D-Chapra'!$C$2:$T$55,MID(K$1,2,2)+2,0)="","",VLOOKUP($C18,'2D-Chapra'!$C$2:$T$55,MID(K$1,2,2)+2,0))</f>
        <v/>
      </c>
      <c r="L18" s="4">
        <f>IF(VLOOKUP($C18,'2D-Chapra'!$C$2:$T$55,MID(L$1,2,2)+2,0)="","",VLOOKUP($C18,'2D-Chapra'!$C$2:$T$55,MID(L$1,2,2)+2,0))</f>
        <v>1</v>
      </c>
      <c r="M18" s="4" t="str">
        <f>IF(VLOOKUP($C18,'2D-Chapra'!$C$2:$T$55,MID(M$1,2,2)+2,0)="","",VLOOKUP($C18,'2D-Chapra'!$C$2:$T$55,MID(M$1,2,2)+2,0))</f>
        <v/>
      </c>
      <c r="N18" s="4" t="str">
        <f>IF(VLOOKUP($C18,'2D-Chapra'!$C$2:$T$55,MID(N$1,2,2)+2,0)="","",VLOOKUP($C18,'2D-Chapra'!$C$2:$T$55,MID(N$1,2,2)+2,0))</f>
        <v/>
      </c>
      <c r="O18" s="4" t="str">
        <f>IF(VLOOKUP($C18,'2D-Chapra'!$C$2:$T$55,MID(O$1,2,2)+2,0)="","",VLOOKUP($C18,'2D-Chapra'!$C$2:$T$55,MID(O$1,2,2)+2,0))</f>
        <v/>
      </c>
      <c r="P18" s="4" t="str">
        <f>IF(VLOOKUP($C18,'2D-Chapra'!$C$2:$T$55,MID(P$1,2,2)+2,0)="","",VLOOKUP($C18,'2D-Chapra'!$C$2:$T$55,MID(P$1,2,2)+2,0))</f>
        <v/>
      </c>
      <c r="Q18" s="4" t="str">
        <f>IF(VLOOKUP($C18,'2D-Chapra'!$C$2:$T$55,MID(Q$1,2,2)+2,0)="","",VLOOKUP($C18,'2D-Chapra'!$C$2:$T$55,MID(Q$1,2,2)+2,0))</f>
        <v/>
      </c>
      <c r="R18" s="4" t="str">
        <f>IF(VLOOKUP($C18,'2D-Chapra'!$C$2:$T$55,MID(R$1,2,2)+2,0)="","",VLOOKUP($C18,'2D-Chapra'!$C$2:$T$55,MID(R$1,2,2)+2,0))</f>
        <v/>
      </c>
      <c r="S18" s="4" t="str">
        <f>IF(VLOOKUP($C18,'2D-Chapra'!$C$2:$T$55,MID(S$1,2,2)+2,0)="","",VLOOKUP($C18,'2D-Chapra'!$C$2:$T$55,MID(S$1,2,2)+2,0))</f>
        <v/>
      </c>
      <c r="T18" s="5" t="str">
        <f>IF(VLOOKUP($C18,'2D-Chapra'!$C$2:$T$55,MID(T$1,2,2)+2,0)="","",VLOOKUP($C18,'2D-Chapra'!$C$2:$T$55,MID(T$1,2,2)+2,0))</f>
        <v/>
      </c>
      <c r="W18" s="93">
        <v>1</v>
      </c>
      <c r="X18" s="49">
        <v>3</v>
      </c>
      <c r="Y18" s="94">
        <v>-3</v>
      </c>
      <c r="Z18" s="95" t="s">
        <v>25</v>
      </c>
      <c r="AA18" s="3">
        <v>0</v>
      </c>
      <c r="AB18" s="4">
        <v>0</v>
      </c>
      <c r="AC18" s="17">
        <v>0</v>
      </c>
      <c r="AD18" s="16">
        <v>0</v>
      </c>
      <c r="AE18" s="4">
        <v>0</v>
      </c>
      <c r="AF18" s="17">
        <v>0</v>
      </c>
      <c r="AG18" s="16">
        <v>0</v>
      </c>
      <c r="AH18" s="4">
        <v>0</v>
      </c>
      <c r="AI18" s="17">
        <v>0</v>
      </c>
      <c r="AJ18" s="16">
        <v>0</v>
      </c>
      <c r="AK18" s="4">
        <v>0</v>
      </c>
      <c r="AL18" s="17">
        <v>0</v>
      </c>
      <c r="AM18" s="16">
        <v>0</v>
      </c>
      <c r="AN18" s="4">
        <v>0</v>
      </c>
      <c r="AO18" s="17">
        <v>0</v>
      </c>
      <c r="AP18" s="107">
        <f>-($Y19^2)+($Y18+$Y17)*$Y19-($Y17*$Y18)-($X19^2)+($X18+$X17)*$X19-($X17*$X18)</f>
        <v>-4</v>
      </c>
      <c r="AQ18" s="11">
        <f>$Y19^2-2*$Y17*$Y19+$Y17^2+$X19^2-2*$X17*$X19+$X17^2</f>
        <v>8</v>
      </c>
      <c r="AR18" s="96">
        <f>AQ19</f>
        <v>-4</v>
      </c>
      <c r="AS18" s="16">
        <v>0</v>
      </c>
      <c r="AT18" s="4">
        <v>0</v>
      </c>
      <c r="AU18" s="17">
        <v>0</v>
      </c>
      <c r="AV18" s="16">
        <v>0</v>
      </c>
      <c r="AW18" s="4">
        <v>0</v>
      </c>
      <c r="AX18" s="17">
        <v>0</v>
      </c>
      <c r="AY18" s="16">
        <v>0</v>
      </c>
      <c r="AZ18" s="4">
        <v>0</v>
      </c>
      <c r="BA18" s="17">
        <v>0</v>
      </c>
      <c r="BB18" s="16">
        <v>0</v>
      </c>
      <c r="BC18" s="4">
        <v>0</v>
      </c>
      <c r="BD18" s="17">
        <v>0</v>
      </c>
      <c r="BE18" s="16">
        <v>0</v>
      </c>
      <c r="BF18" s="4">
        <v>0</v>
      </c>
      <c r="BG18" s="17">
        <v>0</v>
      </c>
      <c r="BH18" s="16">
        <v>0</v>
      </c>
      <c r="BI18" s="4">
        <v>0</v>
      </c>
      <c r="BJ18" s="17">
        <v>0</v>
      </c>
      <c r="BK18" s="16">
        <v>0</v>
      </c>
      <c r="BL18" s="4">
        <v>0</v>
      </c>
      <c r="BM18" s="17">
        <v>0</v>
      </c>
      <c r="BN18" s="16">
        <v>0</v>
      </c>
      <c r="BO18" s="4">
        <v>0</v>
      </c>
      <c r="BP18" s="17">
        <v>0</v>
      </c>
      <c r="BQ18" s="16">
        <v>0</v>
      </c>
      <c r="BR18" s="4">
        <v>0</v>
      </c>
      <c r="BS18" s="17">
        <v>0</v>
      </c>
      <c r="BT18" s="16">
        <v>0</v>
      </c>
      <c r="BU18" s="4">
        <v>0</v>
      </c>
      <c r="BV18" s="17">
        <v>0</v>
      </c>
      <c r="BW18" s="16">
        <v>0</v>
      </c>
      <c r="BX18" s="4">
        <v>0</v>
      </c>
      <c r="BY18" s="17">
        <v>0</v>
      </c>
      <c r="BZ18" s="16">
        <v>0</v>
      </c>
      <c r="CA18" s="4">
        <v>0</v>
      </c>
      <c r="CB18" s="5">
        <v>0</v>
      </c>
    </row>
    <row r="19" spans="1:80" x14ac:dyDescent="0.25">
      <c r="A19" s="23">
        <f t="shared" si="1"/>
        <v>6</v>
      </c>
      <c r="B19" s="23">
        <f t="shared" si="2"/>
        <v>3</v>
      </c>
      <c r="C19" s="23" t="str">
        <f t="shared" si="0"/>
        <v>T6_3</v>
      </c>
      <c r="E19" s="3" t="str">
        <f>IF(VLOOKUP($C19,'2D-Chapra'!$C$2:$T$55,MID(E$1,2,2)+2,0)="","",VLOOKUP($C19,'2D-Chapra'!$C$2:$T$55,MID(E$1,2,2)+2,0))</f>
        <v/>
      </c>
      <c r="F19" s="4" t="str">
        <f>IF(VLOOKUP($C19,'2D-Chapra'!$C$2:$T$55,MID(F$1,2,2)+2,0)="","",VLOOKUP($C19,'2D-Chapra'!$C$2:$T$55,MID(F$1,2,2)+2,0))</f>
        <v/>
      </c>
      <c r="G19" s="4" t="str">
        <f>IF(VLOOKUP($C19,'2D-Chapra'!$C$2:$T$55,MID(G$1,2,2)+2,0)="","",VLOOKUP($C19,'2D-Chapra'!$C$2:$T$55,MID(G$1,2,2)+2,0))</f>
        <v/>
      </c>
      <c r="H19" s="4" t="str">
        <f>IF(VLOOKUP($C19,'2D-Chapra'!$C$2:$T$55,MID(H$1,2,2)+2,0)="","",VLOOKUP($C19,'2D-Chapra'!$C$2:$T$55,MID(H$1,2,2)+2,0))</f>
        <v/>
      </c>
      <c r="I19" s="4" t="str">
        <f>IF(VLOOKUP($C19,'2D-Chapra'!$C$2:$T$55,MID(I$1,2,2)+2,0)="","",VLOOKUP($C19,'2D-Chapra'!$C$2:$T$55,MID(I$1,2,2)+2,0))</f>
        <v/>
      </c>
      <c r="J19" s="4" t="str">
        <f>IF(VLOOKUP($C19,'2D-Chapra'!$C$2:$T$55,MID(J$1,2,2)+2,0)="","",VLOOKUP($C19,'2D-Chapra'!$C$2:$T$55,MID(J$1,2,2)+2,0))</f>
        <v/>
      </c>
      <c r="K19" s="4" t="str">
        <f>IF(VLOOKUP($C19,'2D-Chapra'!$C$2:$T$55,MID(K$1,2,2)+2,0)="","",VLOOKUP($C19,'2D-Chapra'!$C$2:$T$55,MID(K$1,2,2)+2,0))</f>
        <v/>
      </c>
      <c r="L19" s="4" t="str">
        <f>IF(VLOOKUP($C19,'2D-Chapra'!$C$2:$T$55,MID(L$1,2,2)+2,0)="","",VLOOKUP($C19,'2D-Chapra'!$C$2:$T$55,MID(L$1,2,2)+2,0))</f>
        <v/>
      </c>
      <c r="M19" s="4" t="str">
        <f>IF(VLOOKUP($C19,'2D-Chapra'!$C$2:$T$55,MID(M$1,2,2)+2,0)="","",VLOOKUP($C19,'2D-Chapra'!$C$2:$T$55,MID(M$1,2,2)+2,0))</f>
        <v/>
      </c>
      <c r="N19" s="4">
        <f>IF(VLOOKUP($C19,'2D-Chapra'!$C$2:$T$55,MID(N$1,2,2)+2,0)="","",VLOOKUP($C19,'2D-Chapra'!$C$2:$T$55,MID(N$1,2,2)+2,0))</f>
        <v>1</v>
      </c>
      <c r="O19" s="4" t="str">
        <f>IF(VLOOKUP($C19,'2D-Chapra'!$C$2:$T$55,MID(O$1,2,2)+2,0)="","",VLOOKUP($C19,'2D-Chapra'!$C$2:$T$55,MID(O$1,2,2)+2,0))</f>
        <v/>
      </c>
      <c r="P19" s="4" t="str">
        <f>IF(VLOOKUP($C19,'2D-Chapra'!$C$2:$T$55,MID(P$1,2,2)+2,0)="","",VLOOKUP($C19,'2D-Chapra'!$C$2:$T$55,MID(P$1,2,2)+2,0))</f>
        <v/>
      </c>
      <c r="Q19" s="4" t="str">
        <f>IF(VLOOKUP($C19,'2D-Chapra'!$C$2:$T$55,MID(Q$1,2,2)+2,0)="","",VLOOKUP($C19,'2D-Chapra'!$C$2:$T$55,MID(Q$1,2,2)+2,0))</f>
        <v/>
      </c>
      <c r="R19" s="4" t="str">
        <f>IF(VLOOKUP($C19,'2D-Chapra'!$C$2:$T$55,MID(R$1,2,2)+2,0)="","",VLOOKUP($C19,'2D-Chapra'!$C$2:$T$55,MID(R$1,2,2)+2,0))</f>
        <v/>
      </c>
      <c r="S19" s="4" t="str">
        <f>IF(VLOOKUP($C19,'2D-Chapra'!$C$2:$T$55,MID(S$1,2,2)+2,0)="","",VLOOKUP($C19,'2D-Chapra'!$C$2:$T$55,MID(S$1,2,2)+2,0))</f>
        <v/>
      </c>
      <c r="T19" s="5" t="str">
        <f>IF(VLOOKUP($C19,'2D-Chapra'!$C$2:$T$55,MID(T$1,2,2)+2,0)="","",VLOOKUP($C19,'2D-Chapra'!$C$2:$T$55,MID(T$1,2,2)+2,0))</f>
        <v/>
      </c>
      <c r="W19" s="97">
        <v>1</v>
      </c>
      <c r="X19" s="98">
        <v>3</v>
      </c>
      <c r="Y19" s="99">
        <v>-1</v>
      </c>
      <c r="Z19" s="100" t="s">
        <v>26</v>
      </c>
      <c r="AA19" s="108">
        <v>0</v>
      </c>
      <c r="AB19" s="19">
        <v>0</v>
      </c>
      <c r="AC19" s="20">
        <v>0</v>
      </c>
      <c r="AD19" s="18">
        <v>0</v>
      </c>
      <c r="AE19" s="19">
        <v>0</v>
      </c>
      <c r="AF19" s="20">
        <v>0</v>
      </c>
      <c r="AG19" s="18">
        <v>0</v>
      </c>
      <c r="AH19" s="19">
        <v>0</v>
      </c>
      <c r="AI19" s="20">
        <v>0</v>
      </c>
      <c r="AJ19" s="18">
        <v>0</v>
      </c>
      <c r="AK19" s="19">
        <v>0</v>
      </c>
      <c r="AL19" s="20">
        <v>0</v>
      </c>
      <c r="AM19" s="18">
        <v>0</v>
      </c>
      <c r="AN19" s="19">
        <v>0</v>
      </c>
      <c r="AO19" s="20">
        <v>0</v>
      </c>
      <c r="AP19" s="109">
        <f>($Y18-$Y17)*$Y19-$Y18^2+$Y17*$Y18+($X18-$X17)*$X19-$X18^2+$X17*$X18</f>
        <v>0</v>
      </c>
      <c r="AQ19" s="102">
        <f>($Y17-$Y18)*$Y19+$Y17*$Y18-$Y17^2+($X17-$X18)*$X19+$X17*$X18-$X17^2</f>
        <v>-4</v>
      </c>
      <c r="AR19" s="103">
        <f>$Y18^2-2*$Y17*$Y18+$Y17^2+$X18^2-2*$X17*$X18+$X17^2</f>
        <v>4</v>
      </c>
      <c r="AS19" s="18">
        <v>0</v>
      </c>
      <c r="AT19" s="19">
        <v>0</v>
      </c>
      <c r="AU19" s="20">
        <v>0</v>
      </c>
      <c r="AV19" s="18">
        <v>0</v>
      </c>
      <c r="AW19" s="19">
        <v>0</v>
      </c>
      <c r="AX19" s="20">
        <v>0</v>
      </c>
      <c r="AY19" s="18">
        <v>0</v>
      </c>
      <c r="AZ19" s="19">
        <v>0</v>
      </c>
      <c r="BA19" s="20">
        <v>0</v>
      </c>
      <c r="BB19" s="18">
        <v>0</v>
      </c>
      <c r="BC19" s="19">
        <v>0</v>
      </c>
      <c r="BD19" s="20">
        <v>0</v>
      </c>
      <c r="BE19" s="18">
        <v>0</v>
      </c>
      <c r="BF19" s="19">
        <v>0</v>
      </c>
      <c r="BG19" s="20">
        <v>0</v>
      </c>
      <c r="BH19" s="18">
        <v>0</v>
      </c>
      <c r="BI19" s="19">
        <v>0</v>
      </c>
      <c r="BJ19" s="20">
        <v>0</v>
      </c>
      <c r="BK19" s="18">
        <v>0</v>
      </c>
      <c r="BL19" s="19">
        <v>0</v>
      </c>
      <c r="BM19" s="20">
        <v>0</v>
      </c>
      <c r="BN19" s="18">
        <v>0</v>
      </c>
      <c r="BO19" s="19">
        <v>0</v>
      </c>
      <c r="BP19" s="20">
        <v>0</v>
      </c>
      <c r="BQ19" s="18">
        <v>0</v>
      </c>
      <c r="BR19" s="19">
        <v>0</v>
      </c>
      <c r="BS19" s="20">
        <v>0</v>
      </c>
      <c r="BT19" s="18">
        <v>0</v>
      </c>
      <c r="BU19" s="19">
        <v>0</v>
      </c>
      <c r="BV19" s="20">
        <v>0</v>
      </c>
      <c r="BW19" s="18">
        <v>0</v>
      </c>
      <c r="BX19" s="19">
        <v>0</v>
      </c>
      <c r="BY19" s="20">
        <v>0</v>
      </c>
      <c r="BZ19" s="18">
        <v>0</v>
      </c>
      <c r="CA19" s="19">
        <v>0</v>
      </c>
      <c r="CB19" s="104">
        <v>0</v>
      </c>
    </row>
    <row r="20" spans="1:80" x14ac:dyDescent="0.25">
      <c r="A20" s="23">
        <f t="shared" si="1"/>
        <v>7</v>
      </c>
      <c r="B20" s="23">
        <f t="shared" si="2"/>
        <v>1</v>
      </c>
      <c r="C20" s="23" t="str">
        <f t="shared" si="0"/>
        <v>T7_1</v>
      </c>
      <c r="E20" s="3" t="str">
        <f>IF(VLOOKUP($C20,'2D-Chapra'!$C$2:$T$55,MID(E$1,2,2)+2,0)="","",VLOOKUP($C20,'2D-Chapra'!$C$2:$T$55,MID(E$1,2,2)+2,0))</f>
        <v/>
      </c>
      <c r="F20" s="4" t="str">
        <f>IF(VLOOKUP($C20,'2D-Chapra'!$C$2:$T$55,MID(F$1,2,2)+2,0)="","",VLOOKUP($C20,'2D-Chapra'!$C$2:$T$55,MID(F$1,2,2)+2,0))</f>
        <v/>
      </c>
      <c r="G20" s="4" t="str">
        <f>IF(VLOOKUP($C20,'2D-Chapra'!$C$2:$T$55,MID(G$1,2,2)+2,0)="","",VLOOKUP($C20,'2D-Chapra'!$C$2:$T$55,MID(G$1,2,2)+2,0))</f>
        <v/>
      </c>
      <c r="H20" s="4" t="str">
        <f>IF(VLOOKUP($C20,'2D-Chapra'!$C$2:$T$55,MID(H$1,2,2)+2,0)="","",VLOOKUP($C20,'2D-Chapra'!$C$2:$T$55,MID(H$1,2,2)+2,0))</f>
        <v/>
      </c>
      <c r="I20" s="4" t="str">
        <f>IF(VLOOKUP($C20,'2D-Chapra'!$C$2:$T$55,MID(I$1,2,2)+2,0)="","",VLOOKUP($C20,'2D-Chapra'!$C$2:$T$55,MID(I$1,2,2)+2,0))</f>
        <v/>
      </c>
      <c r="J20" s="4" t="str">
        <f>IF(VLOOKUP($C20,'2D-Chapra'!$C$2:$T$55,MID(J$1,2,2)+2,0)="","",VLOOKUP($C20,'2D-Chapra'!$C$2:$T$55,MID(J$1,2,2)+2,0))</f>
        <v/>
      </c>
      <c r="K20" s="4" t="str">
        <f>IF(VLOOKUP($C20,'2D-Chapra'!$C$2:$T$55,MID(K$1,2,2)+2,0)="","",VLOOKUP($C20,'2D-Chapra'!$C$2:$T$55,MID(K$1,2,2)+2,0))</f>
        <v/>
      </c>
      <c r="L20" s="4" t="str">
        <f>IF(VLOOKUP($C20,'2D-Chapra'!$C$2:$T$55,MID(L$1,2,2)+2,0)="","",VLOOKUP($C20,'2D-Chapra'!$C$2:$T$55,MID(L$1,2,2)+2,0))</f>
        <v/>
      </c>
      <c r="M20" s="4">
        <f>IF(VLOOKUP($C20,'2D-Chapra'!$C$2:$T$55,MID(M$1,2,2)+2,0)="","",VLOOKUP($C20,'2D-Chapra'!$C$2:$T$55,MID(M$1,2,2)+2,0))</f>
        <v>1</v>
      </c>
      <c r="N20" s="4" t="str">
        <f>IF(VLOOKUP($C20,'2D-Chapra'!$C$2:$T$55,MID(N$1,2,2)+2,0)="","",VLOOKUP($C20,'2D-Chapra'!$C$2:$T$55,MID(N$1,2,2)+2,0))</f>
        <v/>
      </c>
      <c r="O20" s="4" t="str">
        <f>IF(VLOOKUP($C20,'2D-Chapra'!$C$2:$T$55,MID(O$1,2,2)+2,0)="","",VLOOKUP($C20,'2D-Chapra'!$C$2:$T$55,MID(O$1,2,2)+2,0))</f>
        <v/>
      </c>
      <c r="P20" s="4" t="str">
        <f>IF(VLOOKUP($C20,'2D-Chapra'!$C$2:$T$55,MID(P$1,2,2)+2,0)="","",VLOOKUP($C20,'2D-Chapra'!$C$2:$T$55,MID(P$1,2,2)+2,0))</f>
        <v/>
      </c>
      <c r="Q20" s="4" t="str">
        <f>IF(VLOOKUP($C20,'2D-Chapra'!$C$2:$T$55,MID(Q$1,2,2)+2,0)="","",VLOOKUP($C20,'2D-Chapra'!$C$2:$T$55,MID(Q$1,2,2)+2,0))</f>
        <v/>
      </c>
      <c r="R20" s="4" t="str">
        <f>IF(VLOOKUP($C20,'2D-Chapra'!$C$2:$T$55,MID(R$1,2,2)+2,0)="","",VLOOKUP($C20,'2D-Chapra'!$C$2:$T$55,MID(R$1,2,2)+2,0))</f>
        <v/>
      </c>
      <c r="S20" s="4" t="str">
        <f>IF(VLOOKUP($C20,'2D-Chapra'!$C$2:$T$55,MID(S$1,2,2)+2,0)="","",VLOOKUP($C20,'2D-Chapra'!$C$2:$T$55,MID(S$1,2,2)+2,0))</f>
        <v/>
      </c>
      <c r="T20" s="5" t="str">
        <f>IF(VLOOKUP($C20,'2D-Chapra'!$C$2:$T$55,MID(T$1,2,2)+2,0)="","",VLOOKUP($C20,'2D-Chapra'!$C$2:$T$55,MID(T$1,2,2)+2,0))</f>
        <v/>
      </c>
      <c r="W20" s="85">
        <v>1</v>
      </c>
      <c r="X20" s="86">
        <v>-3</v>
      </c>
      <c r="Y20" s="87">
        <v>-1</v>
      </c>
      <c r="Z20" s="88" t="s">
        <v>171</v>
      </c>
      <c r="AA20" s="105">
        <v>0</v>
      </c>
      <c r="AB20" s="14">
        <v>0</v>
      </c>
      <c r="AC20" s="15">
        <v>0</v>
      </c>
      <c r="AD20" s="13">
        <v>0</v>
      </c>
      <c r="AE20" s="14">
        <v>0</v>
      </c>
      <c r="AF20" s="15">
        <v>0</v>
      </c>
      <c r="AG20" s="13">
        <v>0</v>
      </c>
      <c r="AH20" s="14">
        <v>0</v>
      </c>
      <c r="AI20" s="15">
        <v>0</v>
      </c>
      <c r="AJ20" s="13">
        <v>0</v>
      </c>
      <c r="AK20" s="14">
        <v>0</v>
      </c>
      <c r="AL20" s="15">
        <v>0</v>
      </c>
      <c r="AM20" s="13">
        <v>0</v>
      </c>
      <c r="AN20" s="14">
        <v>0</v>
      </c>
      <c r="AO20" s="15">
        <v>0</v>
      </c>
      <c r="AP20" s="13">
        <v>0</v>
      </c>
      <c r="AQ20" s="14">
        <v>0</v>
      </c>
      <c r="AR20" s="15">
        <v>0</v>
      </c>
      <c r="AS20" s="106">
        <f>$Y22^2-2*$Y21*$Y22+$Y21^2+$X22^2-2*$X21*$X22+$X21^2</f>
        <v>4</v>
      </c>
      <c r="AT20" s="90">
        <f>AS21</f>
        <v>0</v>
      </c>
      <c r="AU20" s="91">
        <f>AS22</f>
        <v>-4</v>
      </c>
      <c r="AV20" s="13">
        <v>0</v>
      </c>
      <c r="AW20" s="14">
        <v>0</v>
      </c>
      <c r="AX20" s="15">
        <v>0</v>
      </c>
      <c r="AY20" s="13">
        <v>0</v>
      </c>
      <c r="AZ20" s="14">
        <v>0</v>
      </c>
      <c r="BA20" s="15">
        <v>0</v>
      </c>
      <c r="BB20" s="13">
        <v>0</v>
      </c>
      <c r="BC20" s="14">
        <v>0</v>
      </c>
      <c r="BD20" s="15">
        <v>0</v>
      </c>
      <c r="BE20" s="13">
        <v>0</v>
      </c>
      <c r="BF20" s="14">
        <v>0</v>
      </c>
      <c r="BG20" s="15">
        <v>0</v>
      </c>
      <c r="BH20" s="13">
        <v>0</v>
      </c>
      <c r="BI20" s="14">
        <v>0</v>
      </c>
      <c r="BJ20" s="15">
        <v>0</v>
      </c>
      <c r="BK20" s="13">
        <v>0</v>
      </c>
      <c r="BL20" s="14">
        <v>0</v>
      </c>
      <c r="BM20" s="15">
        <v>0</v>
      </c>
      <c r="BN20" s="13">
        <v>0</v>
      </c>
      <c r="BO20" s="14">
        <v>0</v>
      </c>
      <c r="BP20" s="15">
        <v>0</v>
      </c>
      <c r="BQ20" s="13">
        <v>0</v>
      </c>
      <c r="BR20" s="14">
        <v>0</v>
      </c>
      <c r="BS20" s="15">
        <v>0</v>
      </c>
      <c r="BT20" s="13">
        <v>0</v>
      </c>
      <c r="BU20" s="14">
        <v>0</v>
      </c>
      <c r="BV20" s="15">
        <v>0</v>
      </c>
      <c r="BW20" s="13">
        <v>0</v>
      </c>
      <c r="BX20" s="14">
        <v>0</v>
      </c>
      <c r="BY20" s="15">
        <v>0</v>
      </c>
      <c r="BZ20" s="13">
        <v>0</v>
      </c>
      <c r="CA20" s="14">
        <v>0</v>
      </c>
      <c r="CB20" s="92">
        <v>0</v>
      </c>
    </row>
    <row r="21" spans="1:80" x14ac:dyDescent="0.25">
      <c r="A21" s="23">
        <f t="shared" si="1"/>
        <v>7</v>
      </c>
      <c r="B21" s="23">
        <f t="shared" si="2"/>
        <v>2</v>
      </c>
      <c r="C21" s="23" t="str">
        <f t="shared" si="0"/>
        <v>T7_2</v>
      </c>
      <c r="E21" s="3" t="str">
        <f>IF(VLOOKUP($C21,'2D-Chapra'!$C$2:$T$55,MID(E$1,2,2)+2,0)="","",VLOOKUP($C21,'2D-Chapra'!$C$2:$T$55,MID(E$1,2,2)+2,0))</f>
        <v/>
      </c>
      <c r="F21" s="4" t="str">
        <f>IF(VLOOKUP($C21,'2D-Chapra'!$C$2:$T$55,MID(F$1,2,2)+2,0)="","",VLOOKUP($C21,'2D-Chapra'!$C$2:$T$55,MID(F$1,2,2)+2,0))</f>
        <v/>
      </c>
      <c r="G21" s="4">
        <f>IF(VLOOKUP($C21,'2D-Chapra'!$C$2:$T$55,MID(G$1,2,2)+2,0)="","",VLOOKUP($C21,'2D-Chapra'!$C$2:$T$55,MID(G$1,2,2)+2,0))</f>
        <v>1</v>
      </c>
      <c r="H21" s="4" t="str">
        <f>IF(VLOOKUP($C21,'2D-Chapra'!$C$2:$T$55,MID(H$1,2,2)+2,0)="","",VLOOKUP($C21,'2D-Chapra'!$C$2:$T$55,MID(H$1,2,2)+2,0))</f>
        <v/>
      </c>
      <c r="I21" s="4" t="str">
        <f>IF(VLOOKUP($C21,'2D-Chapra'!$C$2:$T$55,MID(I$1,2,2)+2,0)="","",VLOOKUP($C21,'2D-Chapra'!$C$2:$T$55,MID(I$1,2,2)+2,0))</f>
        <v/>
      </c>
      <c r="J21" s="4" t="str">
        <f>IF(VLOOKUP($C21,'2D-Chapra'!$C$2:$T$55,MID(J$1,2,2)+2,0)="","",VLOOKUP($C21,'2D-Chapra'!$C$2:$T$55,MID(J$1,2,2)+2,0))</f>
        <v/>
      </c>
      <c r="K21" s="4" t="str">
        <f>IF(VLOOKUP($C21,'2D-Chapra'!$C$2:$T$55,MID(K$1,2,2)+2,0)="","",VLOOKUP($C21,'2D-Chapra'!$C$2:$T$55,MID(K$1,2,2)+2,0))</f>
        <v/>
      </c>
      <c r="L21" s="4" t="str">
        <f>IF(VLOOKUP($C21,'2D-Chapra'!$C$2:$T$55,MID(L$1,2,2)+2,0)="","",VLOOKUP($C21,'2D-Chapra'!$C$2:$T$55,MID(L$1,2,2)+2,0))</f>
        <v/>
      </c>
      <c r="M21" s="4" t="str">
        <f>IF(VLOOKUP($C21,'2D-Chapra'!$C$2:$T$55,MID(M$1,2,2)+2,0)="","",VLOOKUP($C21,'2D-Chapra'!$C$2:$T$55,MID(M$1,2,2)+2,0))</f>
        <v/>
      </c>
      <c r="N21" s="4" t="str">
        <f>IF(VLOOKUP($C21,'2D-Chapra'!$C$2:$T$55,MID(N$1,2,2)+2,0)="","",VLOOKUP($C21,'2D-Chapra'!$C$2:$T$55,MID(N$1,2,2)+2,0))</f>
        <v/>
      </c>
      <c r="O21" s="4" t="str">
        <f>IF(VLOOKUP($C21,'2D-Chapra'!$C$2:$T$55,MID(O$1,2,2)+2,0)="","",VLOOKUP($C21,'2D-Chapra'!$C$2:$T$55,MID(O$1,2,2)+2,0))</f>
        <v/>
      </c>
      <c r="P21" s="4" t="str">
        <f>IF(VLOOKUP($C21,'2D-Chapra'!$C$2:$T$55,MID(P$1,2,2)+2,0)="","",VLOOKUP($C21,'2D-Chapra'!$C$2:$T$55,MID(P$1,2,2)+2,0))</f>
        <v/>
      </c>
      <c r="Q21" s="4" t="str">
        <f>IF(VLOOKUP($C21,'2D-Chapra'!$C$2:$T$55,MID(Q$1,2,2)+2,0)="","",VLOOKUP($C21,'2D-Chapra'!$C$2:$T$55,MID(Q$1,2,2)+2,0))</f>
        <v/>
      </c>
      <c r="R21" s="4" t="str">
        <f>IF(VLOOKUP($C21,'2D-Chapra'!$C$2:$T$55,MID(R$1,2,2)+2,0)="","",VLOOKUP($C21,'2D-Chapra'!$C$2:$T$55,MID(R$1,2,2)+2,0))</f>
        <v/>
      </c>
      <c r="S21" s="4" t="str">
        <f>IF(VLOOKUP($C21,'2D-Chapra'!$C$2:$T$55,MID(S$1,2,2)+2,0)="","",VLOOKUP($C21,'2D-Chapra'!$C$2:$T$55,MID(S$1,2,2)+2,0))</f>
        <v/>
      </c>
      <c r="T21" s="5" t="str">
        <f>IF(VLOOKUP($C21,'2D-Chapra'!$C$2:$T$55,MID(T$1,2,2)+2,0)="","",VLOOKUP($C21,'2D-Chapra'!$C$2:$T$55,MID(T$1,2,2)+2,0))</f>
        <v/>
      </c>
      <c r="W21" s="93">
        <v>1</v>
      </c>
      <c r="X21" s="49">
        <v>-1</v>
      </c>
      <c r="Y21" s="94">
        <v>1</v>
      </c>
      <c r="Z21" s="95" t="s">
        <v>172</v>
      </c>
      <c r="AA21" s="3">
        <v>0</v>
      </c>
      <c r="AB21" s="4">
        <v>0</v>
      </c>
      <c r="AC21" s="17">
        <v>0</v>
      </c>
      <c r="AD21" s="16">
        <v>0</v>
      </c>
      <c r="AE21" s="4">
        <v>0</v>
      </c>
      <c r="AF21" s="17">
        <v>0</v>
      </c>
      <c r="AG21" s="16">
        <v>0</v>
      </c>
      <c r="AH21" s="4">
        <v>0</v>
      </c>
      <c r="AI21" s="17">
        <v>0</v>
      </c>
      <c r="AJ21" s="16">
        <v>0</v>
      </c>
      <c r="AK21" s="4">
        <v>0</v>
      </c>
      <c r="AL21" s="17">
        <v>0</v>
      </c>
      <c r="AM21" s="16">
        <v>0</v>
      </c>
      <c r="AN21" s="4">
        <v>0</v>
      </c>
      <c r="AO21" s="17">
        <v>0</v>
      </c>
      <c r="AP21" s="16">
        <v>0</v>
      </c>
      <c r="AQ21" s="4">
        <v>0</v>
      </c>
      <c r="AR21" s="17">
        <v>0</v>
      </c>
      <c r="AS21" s="107">
        <f>-($Y22^2)+($Y21+$Y20)*$Y22-($Y20*$Y21)-($X22^2)+($X21+$X20)*$X22-($X20*$X21)</f>
        <v>0</v>
      </c>
      <c r="AT21" s="11">
        <f>$Y22^2-2*$Y20*$Y22+$Y20^2+$X22^2-2*$X20*$X22+$X20^2</f>
        <v>4</v>
      </c>
      <c r="AU21" s="96">
        <f>AT22</f>
        <v>-4</v>
      </c>
      <c r="AV21" s="16">
        <v>0</v>
      </c>
      <c r="AW21" s="4">
        <v>0</v>
      </c>
      <c r="AX21" s="17">
        <v>0</v>
      </c>
      <c r="AY21" s="16">
        <v>0</v>
      </c>
      <c r="AZ21" s="4">
        <v>0</v>
      </c>
      <c r="BA21" s="17">
        <v>0</v>
      </c>
      <c r="BB21" s="16">
        <v>0</v>
      </c>
      <c r="BC21" s="4">
        <v>0</v>
      </c>
      <c r="BD21" s="17">
        <v>0</v>
      </c>
      <c r="BE21" s="16">
        <v>0</v>
      </c>
      <c r="BF21" s="4">
        <v>0</v>
      </c>
      <c r="BG21" s="17">
        <v>0</v>
      </c>
      <c r="BH21" s="16">
        <v>0</v>
      </c>
      <c r="BI21" s="4">
        <v>0</v>
      </c>
      <c r="BJ21" s="17">
        <v>0</v>
      </c>
      <c r="BK21" s="16">
        <v>0</v>
      </c>
      <c r="BL21" s="4">
        <v>0</v>
      </c>
      <c r="BM21" s="17">
        <v>0</v>
      </c>
      <c r="BN21" s="16">
        <v>0</v>
      </c>
      <c r="BO21" s="4">
        <v>0</v>
      </c>
      <c r="BP21" s="17">
        <v>0</v>
      </c>
      <c r="BQ21" s="16">
        <v>0</v>
      </c>
      <c r="BR21" s="4">
        <v>0</v>
      </c>
      <c r="BS21" s="17">
        <v>0</v>
      </c>
      <c r="BT21" s="16">
        <v>0</v>
      </c>
      <c r="BU21" s="4">
        <v>0</v>
      </c>
      <c r="BV21" s="17">
        <v>0</v>
      </c>
      <c r="BW21" s="16">
        <v>0</v>
      </c>
      <c r="BX21" s="4">
        <v>0</v>
      </c>
      <c r="BY21" s="17">
        <v>0</v>
      </c>
      <c r="BZ21" s="16">
        <v>0</v>
      </c>
      <c r="CA21" s="4">
        <v>0</v>
      </c>
      <c r="CB21" s="5">
        <v>0</v>
      </c>
    </row>
    <row r="22" spans="1:80" x14ac:dyDescent="0.25">
      <c r="A22" s="23">
        <f t="shared" si="1"/>
        <v>7</v>
      </c>
      <c r="B22" s="23">
        <f t="shared" si="2"/>
        <v>3</v>
      </c>
      <c r="C22" s="23" t="str">
        <f t="shared" si="0"/>
        <v>T7_3</v>
      </c>
      <c r="E22" s="3" t="str">
        <f>IF(VLOOKUP($C22,'2D-Chapra'!$C$2:$T$55,MID(E$1,2,2)+2,0)="","",VLOOKUP($C22,'2D-Chapra'!$C$2:$T$55,MID(E$1,2,2)+2,0))</f>
        <v/>
      </c>
      <c r="F22" s="4" t="str">
        <f>IF(VLOOKUP($C22,'2D-Chapra'!$C$2:$T$55,MID(F$1,2,2)+2,0)="","",VLOOKUP($C22,'2D-Chapra'!$C$2:$T$55,MID(F$1,2,2)+2,0))</f>
        <v/>
      </c>
      <c r="G22" s="4" t="str">
        <f>IF(VLOOKUP($C22,'2D-Chapra'!$C$2:$T$55,MID(G$1,2,2)+2,0)="","",VLOOKUP($C22,'2D-Chapra'!$C$2:$T$55,MID(G$1,2,2)+2,0))</f>
        <v/>
      </c>
      <c r="H22" s="4" t="str">
        <f>IF(VLOOKUP($C22,'2D-Chapra'!$C$2:$T$55,MID(H$1,2,2)+2,0)="","",VLOOKUP($C22,'2D-Chapra'!$C$2:$T$55,MID(H$1,2,2)+2,0))</f>
        <v/>
      </c>
      <c r="I22" s="4" t="str">
        <f>IF(VLOOKUP($C22,'2D-Chapra'!$C$2:$T$55,MID(I$1,2,2)+2,0)="","",VLOOKUP($C22,'2D-Chapra'!$C$2:$T$55,MID(I$1,2,2)+2,0))</f>
        <v/>
      </c>
      <c r="J22" s="4" t="str">
        <f>IF(VLOOKUP($C22,'2D-Chapra'!$C$2:$T$55,MID(J$1,2,2)+2,0)="","",VLOOKUP($C22,'2D-Chapra'!$C$2:$T$55,MID(J$1,2,2)+2,0))</f>
        <v/>
      </c>
      <c r="K22" s="4" t="str">
        <f>IF(VLOOKUP($C22,'2D-Chapra'!$C$2:$T$55,MID(K$1,2,2)+2,0)="","",VLOOKUP($C22,'2D-Chapra'!$C$2:$T$55,MID(K$1,2,2)+2,0))</f>
        <v/>
      </c>
      <c r="L22" s="4" t="str">
        <f>IF(VLOOKUP($C22,'2D-Chapra'!$C$2:$T$55,MID(L$1,2,2)+2,0)="","",VLOOKUP($C22,'2D-Chapra'!$C$2:$T$55,MID(L$1,2,2)+2,0))</f>
        <v/>
      </c>
      <c r="M22" s="4" t="str">
        <f>IF(VLOOKUP($C22,'2D-Chapra'!$C$2:$T$55,MID(M$1,2,2)+2,0)="","",VLOOKUP($C22,'2D-Chapra'!$C$2:$T$55,MID(M$1,2,2)+2,0))</f>
        <v/>
      </c>
      <c r="N22" s="4" t="str">
        <f>IF(VLOOKUP($C22,'2D-Chapra'!$C$2:$T$55,MID(N$1,2,2)+2,0)="","",VLOOKUP($C22,'2D-Chapra'!$C$2:$T$55,MID(N$1,2,2)+2,0))</f>
        <v/>
      </c>
      <c r="O22" s="4">
        <f>IF(VLOOKUP($C22,'2D-Chapra'!$C$2:$T$55,MID(O$1,2,2)+2,0)="","",VLOOKUP($C22,'2D-Chapra'!$C$2:$T$55,MID(O$1,2,2)+2,0))</f>
        <v>1</v>
      </c>
      <c r="P22" s="4" t="str">
        <f>IF(VLOOKUP($C22,'2D-Chapra'!$C$2:$T$55,MID(P$1,2,2)+2,0)="","",VLOOKUP($C22,'2D-Chapra'!$C$2:$T$55,MID(P$1,2,2)+2,0))</f>
        <v/>
      </c>
      <c r="Q22" s="4" t="str">
        <f>IF(VLOOKUP($C22,'2D-Chapra'!$C$2:$T$55,MID(Q$1,2,2)+2,0)="","",VLOOKUP($C22,'2D-Chapra'!$C$2:$T$55,MID(Q$1,2,2)+2,0))</f>
        <v/>
      </c>
      <c r="R22" s="4" t="str">
        <f>IF(VLOOKUP($C22,'2D-Chapra'!$C$2:$T$55,MID(R$1,2,2)+2,0)="","",VLOOKUP($C22,'2D-Chapra'!$C$2:$T$55,MID(R$1,2,2)+2,0))</f>
        <v/>
      </c>
      <c r="S22" s="4" t="str">
        <f>IF(VLOOKUP($C22,'2D-Chapra'!$C$2:$T$55,MID(S$1,2,2)+2,0)="","",VLOOKUP($C22,'2D-Chapra'!$C$2:$T$55,MID(S$1,2,2)+2,0))</f>
        <v/>
      </c>
      <c r="T22" s="5" t="str">
        <f>IF(VLOOKUP($C22,'2D-Chapra'!$C$2:$T$55,MID(T$1,2,2)+2,0)="","",VLOOKUP($C22,'2D-Chapra'!$C$2:$T$55,MID(T$1,2,2)+2,0))</f>
        <v/>
      </c>
      <c r="W22" s="97">
        <v>1</v>
      </c>
      <c r="X22" s="98">
        <v>-3</v>
      </c>
      <c r="Y22" s="99">
        <v>1</v>
      </c>
      <c r="Z22" s="100" t="s">
        <v>173</v>
      </c>
      <c r="AA22" s="108">
        <v>0</v>
      </c>
      <c r="AB22" s="19">
        <v>0</v>
      </c>
      <c r="AC22" s="20">
        <v>0</v>
      </c>
      <c r="AD22" s="18">
        <v>0</v>
      </c>
      <c r="AE22" s="19">
        <v>0</v>
      </c>
      <c r="AF22" s="20">
        <v>0</v>
      </c>
      <c r="AG22" s="18">
        <v>0</v>
      </c>
      <c r="AH22" s="19">
        <v>0</v>
      </c>
      <c r="AI22" s="20">
        <v>0</v>
      </c>
      <c r="AJ22" s="18">
        <v>0</v>
      </c>
      <c r="AK22" s="19">
        <v>0</v>
      </c>
      <c r="AL22" s="20">
        <v>0</v>
      </c>
      <c r="AM22" s="18">
        <v>0</v>
      </c>
      <c r="AN22" s="19">
        <v>0</v>
      </c>
      <c r="AO22" s="20">
        <v>0</v>
      </c>
      <c r="AP22" s="18">
        <v>0</v>
      </c>
      <c r="AQ22" s="19">
        <v>0</v>
      </c>
      <c r="AR22" s="20">
        <v>0</v>
      </c>
      <c r="AS22" s="109">
        <f>($Y21-$Y20)*$Y22-$Y21^2+$Y20*$Y21+($X21-$X20)*$X22-$X21^2+$X20*$X21</f>
        <v>-4</v>
      </c>
      <c r="AT22" s="102">
        <f>($Y20-$Y21)*$Y22+$Y20*$Y21-$Y20^2+($X20-$X21)*$X22+$X20*$X21-$X20^2</f>
        <v>-4</v>
      </c>
      <c r="AU22" s="103">
        <f>$Y21^2-2*$Y20*$Y21+$Y20^2+$X21^2-2*$X20*$X21+$X20^2</f>
        <v>8</v>
      </c>
      <c r="AV22" s="18">
        <v>0</v>
      </c>
      <c r="AW22" s="19">
        <v>0</v>
      </c>
      <c r="AX22" s="20">
        <v>0</v>
      </c>
      <c r="AY22" s="18">
        <v>0</v>
      </c>
      <c r="AZ22" s="19">
        <v>0</v>
      </c>
      <c r="BA22" s="20">
        <v>0</v>
      </c>
      <c r="BB22" s="18">
        <v>0</v>
      </c>
      <c r="BC22" s="19">
        <v>0</v>
      </c>
      <c r="BD22" s="20">
        <v>0</v>
      </c>
      <c r="BE22" s="18">
        <v>0</v>
      </c>
      <c r="BF22" s="19">
        <v>0</v>
      </c>
      <c r="BG22" s="20">
        <v>0</v>
      </c>
      <c r="BH22" s="18">
        <v>0</v>
      </c>
      <c r="BI22" s="19">
        <v>0</v>
      </c>
      <c r="BJ22" s="20">
        <v>0</v>
      </c>
      <c r="BK22" s="18">
        <v>0</v>
      </c>
      <c r="BL22" s="19">
        <v>0</v>
      </c>
      <c r="BM22" s="20">
        <v>0</v>
      </c>
      <c r="BN22" s="18">
        <v>0</v>
      </c>
      <c r="BO22" s="19">
        <v>0</v>
      </c>
      <c r="BP22" s="20">
        <v>0</v>
      </c>
      <c r="BQ22" s="18">
        <v>0</v>
      </c>
      <c r="BR22" s="19">
        <v>0</v>
      </c>
      <c r="BS22" s="20">
        <v>0</v>
      </c>
      <c r="BT22" s="18">
        <v>0</v>
      </c>
      <c r="BU22" s="19">
        <v>0</v>
      </c>
      <c r="BV22" s="20">
        <v>0</v>
      </c>
      <c r="BW22" s="18">
        <v>0</v>
      </c>
      <c r="BX22" s="19">
        <v>0</v>
      </c>
      <c r="BY22" s="20">
        <v>0</v>
      </c>
      <c r="BZ22" s="18">
        <v>0</v>
      </c>
      <c r="CA22" s="19">
        <v>0</v>
      </c>
      <c r="CB22" s="104">
        <v>0</v>
      </c>
    </row>
    <row r="23" spans="1:80" x14ac:dyDescent="0.25">
      <c r="A23" s="23">
        <f t="shared" si="1"/>
        <v>8</v>
      </c>
      <c r="B23" s="23">
        <f t="shared" si="2"/>
        <v>1</v>
      </c>
      <c r="C23" s="23" t="str">
        <f t="shared" si="0"/>
        <v>T8_1</v>
      </c>
      <c r="E23" s="3" t="str">
        <f>IF(VLOOKUP($C23,'2D-Chapra'!$C$2:$T$55,MID(E$1,2,2)+2,0)="","",VLOOKUP($C23,'2D-Chapra'!$C$2:$T$55,MID(E$1,2,2)+2,0))</f>
        <v/>
      </c>
      <c r="F23" s="4" t="str">
        <f>IF(VLOOKUP($C23,'2D-Chapra'!$C$2:$T$55,MID(F$1,2,2)+2,0)="","",VLOOKUP($C23,'2D-Chapra'!$C$2:$T$55,MID(F$1,2,2)+2,0))</f>
        <v/>
      </c>
      <c r="G23" s="4" t="str">
        <f>IF(VLOOKUP($C23,'2D-Chapra'!$C$2:$T$55,MID(G$1,2,2)+2,0)="","",VLOOKUP($C23,'2D-Chapra'!$C$2:$T$55,MID(G$1,2,2)+2,0))</f>
        <v/>
      </c>
      <c r="H23" s="4" t="str">
        <f>IF(VLOOKUP($C23,'2D-Chapra'!$C$2:$T$55,MID(H$1,2,2)+2,0)="","",VLOOKUP($C23,'2D-Chapra'!$C$2:$T$55,MID(H$1,2,2)+2,0))</f>
        <v/>
      </c>
      <c r="I23" s="4" t="str">
        <f>IF(VLOOKUP($C23,'2D-Chapra'!$C$2:$T$55,MID(I$1,2,2)+2,0)="","",VLOOKUP($C23,'2D-Chapra'!$C$2:$T$55,MID(I$1,2,2)+2,0))</f>
        <v/>
      </c>
      <c r="J23" s="4" t="str">
        <f>IF(VLOOKUP($C23,'2D-Chapra'!$C$2:$T$55,MID(J$1,2,2)+2,0)="","",VLOOKUP($C23,'2D-Chapra'!$C$2:$T$55,MID(J$1,2,2)+2,0))</f>
        <v/>
      </c>
      <c r="K23" s="4" t="str">
        <f>IF(VLOOKUP($C23,'2D-Chapra'!$C$2:$T$55,MID(K$1,2,2)+2,0)="","",VLOOKUP($C23,'2D-Chapra'!$C$2:$T$55,MID(K$1,2,2)+2,0))</f>
        <v/>
      </c>
      <c r="L23" s="4" t="str">
        <f>IF(VLOOKUP($C23,'2D-Chapra'!$C$2:$T$55,MID(L$1,2,2)+2,0)="","",VLOOKUP($C23,'2D-Chapra'!$C$2:$T$55,MID(L$1,2,2)+2,0))</f>
        <v/>
      </c>
      <c r="M23" s="4">
        <f>IF(VLOOKUP($C23,'2D-Chapra'!$C$2:$T$55,MID(M$1,2,2)+2,0)="","",VLOOKUP($C23,'2D-Chapra'!$C$2:$T$55,MID(M$1,2,2)+2,0))</f>
        <v>1</v>
      </c>
      <c r="N23" s="4" t="str">
        <f>IF(VLOOKUP($C23,'2D-Chapra'!$C$2:$T$55,MID(N$1,2,2)+2,0)="","",VLOOKUP($C23,'2D-Chapra'!$C$2:$T$55,MID(N$1,2,2)+2,0))</f>
        <v/>
      </c>
      <c r="O23" s="4" t="str">
        <f>IF(VLOOKUP($C23,'2D-Chapra'!$C$2:$T$55,MID(O$1,2,2)+2,0)="","",VLOOKUP($C23,'2D-Chapra'!$C$2:$T$55,MID(O$1,2,2)+2,0))</f>
        <v/>
      </c>
      <c r="P23" s="4" t="str">
        <f>IF(VLOOKUP($C23,'2D-Chapra'!$C$2:$T$55,MID(P$1,2,2)+2,0)="","",VLOOKUP($C23,'2D-Chapra'!$C$2:$T$55,MID(P$1,2,2)+2,0))</f>
        <v/>
      </c>
      <c r="Q23" s="4" t="str">
        <f>IF(VLOOKUP($C23,'2D-Chapra'!$C$2:$T$55,MID(Q$1,2,2)+2,0)="","",VLOOKUP($C23,'2D-Chapra'!$C$2:$T$55,MID(Q$1,2,2)+2,0))</f>
        <v/>
      </c>
      <c r="R23" s="4" t="str">
        <f>IF(VLOOKUP($C23,'2D-Chapra'!$C$2:$T$55,MID(R$1,2,2)+2,0)="","",VLOOKUP($C23,'2D-Chapra'!$C$2:$T$55,MID(R$1,2,2)+2,0))</f>
        <v/>
      </c>
      <c r="S23" s="4" t="str">
        <f>IF(VLOOKUP($C23,'2D-Chapra'!$C$2:$T$55,MID(S$1,2,2)+2,0)="","",VLOOKUP($C23,'2D-Chapra'!$C$2:$T$55,MID(S$1,2,2)+2,0))</f>
        <v/>
      </c>
      <c r="T23" s="5" t="str">
        <f>IF(VLOOKUP($C23,'2D-Chapra'!$C$2:$T$55,MID(T$1,2,2)+2,0)="","",VLOOKUP($C23,'2D-Chapra'!$C$2:$T$55,MID(T$1,2,2)+2,0))</f>
        <v/>
      </c>
      <c r="W23" s="85">
        <v>1</v>
      </c>
      <c r="X23" s="86">
        <v>-3</v>
      </c>
      <c r="Y23" s="87">
        <v>-1</v>
      </c>
      <c r="Z23" s="88" t="s">
        <v>174</v>
      </c>
      <c r="AA23" s="105">
        <v>0</v>
      </c>
      <c r="AB23" s="14">
        <v>0</v>
      </c>
      <c r="AC23" s="15">
        <v>0</v>
      </c>
      <c r="AD23" s="13">
        <v>0</v>
      </c>
      <c r="AE23" s="14">
        <v>0</v>
      </c>
      <c r="AF23" s="15">
        <v>0</v>
      </c>
      <c r="AG23" s="13">
        <v>0</v>
      </c>
      <c r="AH23" s="14">
        <v>0</v>
      </c>
      <c r="AI23" s="15">
        <v>0</v>
      </c>
      <c r="AJ23" s="13">
        <v>0</v>
      </c>
      <c r="AK23" s="14">
        <v>0</v>
      </c>
      <c r="AL23" s="15">
        <v>0</v>
      </c>
      <c r="AM23" s="13">
        <v>0</v>
      </c>
      <c r="AN23" s="14">
        <v>0</v>
      </c>
      <c r="AO23" s="15">
        <v>0</v>
      </c>
      <c r="AP23" s="13">
        <v>0</v>
      </c>
      <c r="AQ23" s="14">
        <v>0</v>
      </c>
      <c r="AR23" s="15">
        <v>0</v>
      </c>
      <c r="AS23" s="13">
        <v>0</v>
      </c>
      <c r="AT23" s="14">
        <v>0</v>
      </c>
      <c r="AU23" s="15">
        <v>0</v>
      </c>
      <c r="AV23" s="106">
        <f>$Y25^2-2*$Y24*$Y25+$Y24^2+$X25^2-2*$X24*$X25+$X24^2</f>
        <v>4</v>
      </c>
      <c r="AW23" s="90">
        <f>AV24</f>
        <v>-4</v>
      </c>
      <c r="AX23" s="91">
        <f>AV25</f>
        <v>0</v>
      </c>
      <c r="AY23" s="13">
        <v>0</v>
      </c>
      <c r="AZ23" s="14">
        <v>0</v>
      </c>
      <c r="BA23" s="15">
        <v>0</v>
      </c>
      <c r="BB23" s="13">
        <v>0</v>
      </c>
      <c r="BC23" s="14">
        <v>0</v>
      </c>
      <c r="BD23" s="15">
        <v>0</v>
      </c>
      <c r="BE23" s="13">
        <v>0</v>
      </c>
      <c r="BF23" s="14">
        <v>0</v>
      </c>
      <c r="BG23" s="15">
        <v>0</v>
      </c>
      <c r="BH23" s="13">
        <v>0</v>
      </c>
      <c r="BI23" s="14">
        <v>0</v>
      </c>
      <c r="BJ23" s="15">
        <v>0</v>
      </c>
      <c r="BK23" s="13">
        <v>0</v>
      </c>
      <c r="BL23" s="14">
        <v>0</v>
      </c>
      <c r="BM23" s="15">
        <v>0</v>
      </c>
      <c r="BN23" s="13">
        <v>0</v>
      </c>
      <c r="BO23" s="14">
        <v>0</v>
      </c>
      <c r="BP23" s="15">
        <v>0</v>
      </c>
      <c r="BQ23" s="13">
        <v>0</v>
      </c>
      <c r="BR23" s="14">
        <v>0</v>
      </c>
      <c r="BS23" s="15">
        <v>0</v>
      </c>
      <c r="BT23" s="13">
        <v>0</v>
      </c>
      <c r="BU23" s="14">
        <v>0</v>
      </c>
      <c r="BV23" s="15">
        <v>0</v>
      </c>
      <c r="BW23" s="13">
        <v>0</v>
      </c>
      <c r="BX23" s="14">
        <v>0</v>
      </c>
      <c r="BY23" s="15">
        <v>0</v>
      </c>
      <c r="BZ23" s="13">
        <v>0</v>
      </c>
      <c r="CA23" s="14">
        <v>0</v>
      </c>
      <c r="CB23" s="92">
        <v>0</v>
      </c>
    </row>
    <row r="24" spans="1:80" x14ac:dyDescent="0.25">
      <c r="A24" s="23">
        <f t="shared" si="1"/>
        <v>8</v>
      </c>
      <c r="B24" s="23">
        <f t="shared" si="2"/>
        <v>2</v>
      </c>
      <c r="C24" s="23" t="str">
        <f t="shared" si="0"/>
        <v>T8_2</v>
      </c>
      <c r="E24" s="3">
        <f>IF(VLOOKUP($C24,'2D-Chapra'!$C$2:$T$55,MID(E$1,2,2)+2,0)="","",VLOOKUP($C24,'2D-Chapra'!$C$2:$T$55,MID(E$1,2,2)+2,0))</f>
        <v>1</v>
      </c>
      <c r="F24" s="4" t="str">
        <f>IF(VLOOKUP($C24,'2D-Chapra'!$C$2:$T$55,MID(F$1,2,2)+2,0)="","",VLOOKUP($C24,'2D-Chapra'!$C$2:$T$55,MID(F$1,2,2)+2,0))</f>
        <v/>
      </c>
      <c r="G24" s="4" t="str">
        <f>IF(VLOOKUP($C24,'2D-Chapra'!$C$2:$T$55,MID(G$1,2,2)+2,0)="","",VLOOKUP($C24,'2D-Chapra'!$C$2:$T$55,MID(G$1,2,2)+2,0))</f>
        <v/>
      </c>
      <c r="H24" s="4" t="str">
        <f>IF(VLOOKUP($C24,'2D-Chapra'!$C$2:$T$55,MID(H$1,2,2)+2,0)="","",VLOOKUP($C24,'2D-Chapra'!$C$2:$T$55,MID(H$1,2,2)+2,0))</f>
        <v/>
      </c>
      <c r="I24" s="4" t="str">
        <f>IF(VLOOKUP($C24,'2D-Chapra'!$C$2:$T$55,MID(I$1,2,2)+2,0)="","",VLOOKUP($C24,'2D-Chapra'!$C$2:$T$55,MID(I$1,2,2)+2,0))</f>
        <v/>
      </c>
      <c r="J24" s="4" t="str">
        <f>IF(VLOOKUP($C24,'2D-Chapra'!$C$2:$T$55,MID(J$1,2,2)+2,0)="","",VLOOKUP($C24,'2D-Chapra'!$C$2:$T$55,MID(J$1,2,2)+2,0))</f>
        <v/>
      </c>
      <c r="K24" s="4" t="str">
        <f>IF(VLOOKUP($C24,'2D-Chapra'!$C$2:$T$55,MID(K$1,2,2)+2,0)="","",VLOOKUP($C24,'2D-Chapra'!$C$2:$T$55,MID(K$1,2,2)+2,0))</f>
        <v/>
      </c>
      <c r="L24" s="4" t="str">
        <f>IF(VLOOKUP($C24,'2D-Chapra'!$C$2:$T$55,MID(L$1,2,2)+2,0)="","",VLOOKUP($C24,'2D-Chapra'!$C$2:$T$55,MID(L$1,2,2)+2,0))</f>
        <v/>
      </c>
      <c r="M24" s="4" t="str">
        <f>IF(VLOOKUP($C24,'2D-Chapra'!$C$2:$T$55,MID(M$1,2,2)+2,0)="","",VLOOKUP($C24,'2D-Chapra'!$C$2:$T$55,MID(M$1,2,2)+2,0))</f>
        <v/>
      </c>
      <c r="N24" s="4" t="str">
        <f>IF(VLOOKUP($C24,'2D-Chapra'!$C$2:$T$55,MID(N$1,2,2)+2,0)="","",VLOOKUP($C24,'2D-Chapra'!$C$2:$T$55,MID(N$1,2,2)+2,0))</f>
        <v/>
      </c>
      <c r="O24" s="4" t="str">
        <f>IF(VLOOKUP($C24,'2D-Chapra'!$C$2:$T$55,MID(O$1,2,2)+2,0)="","",VLOOKUP($C24,'2D-Chapra'!$C$2:$T$55,MID(O$1,2,2)+2,0))</f>
        <v/>
      </c>
      <c r="P24" s="4" t="str">
        <f>IF(VLOOKUP($C24,'2D-Chapra'!$C$2:$T$55,MID(P$1,2,2)+2,0)="","",VLOOKUP($C24,'2D-Chapra'!$C$2:$T$55,MID(P$1,2,2)+2,0))</f>
        <v/>
      </c>
      <c r="Q24" s="4" t="str">
        <f>IF(VLOOKUP($C24,'2D-Chapra'!$C$2:$T$55,MID(Q$1,2,2)+2,0)="","",VLOOKUP($C24,'2D-Chapra'!$C$2:$T$55,MID(Q$1,2,2)+2,0))</f>
        <v/>
      </c>
      <c r="R24" s="4" t="str">
        <f>IF(VLOOKUP($C24,'2D-Chapra'!$C$2:$T$55,MID(R$1,2,2)+2,0)="","",VLOOKUP($C24,'2D-Chapra'!$C$2:$T$55,MID(R$1,2,2)+2,0))</f>
        <v/>
      </c>
      <c r="S24" s="4" t="str">
        <f>IF(VLOOKUP($C24,'2D-Chapra'!$C$2:$T$55,MID(S$1,2,2)+2,0)="","",VLOOKUP($C24,'2D-Chapra'!$C$2:$T$55,MID(S$1,2,2)+2,0))</f>
        <v/>
      </c>
      <c r="T24" s="5" t="str">
        <f>IF(VLOOKUP($C24,'2D-Chapra'!$C$2:$T$55,MID(T$1,2,2)+2,0)="","",VLOOKUP($C24,'2D-Chapra'!$C$2:$T$55,MID(T$1,2,2)+2,0))</f>
        <v/>
      </c>
      <c r="W24" s="93">
        <v>1</v>
      </c>
      <c r="X24" s="49">
        <v>-1</v>
      </c>
      <c r="Y24" s="94">
        <v>-1</v>
      </c>
      <c r="Z24" s="95" t="s">
        <v>175</v>
      </c>
      <c r="AA24" s="3">
        <v>0</v>
      </c>
      <c r="AB24" s="4">
        <v>0</v>
      </c>
      <c r="AC24" s="17">
        <v>0</v>
      </c>
      <c r="AD24" s="16">
        <v>0</v>
      </c>
      <c r="AE24" s="4">
        <v>0</v>
      </c>
      <c r="AF24" s="17">
        <v>0</v>
      </c>
      <c r="AG24" s="16">
        <v>0</v>
      </c>
      <c r="AH24" s="4">
        <v>0</v>
      </c>
      <c r="AI24" s="17">
        <v>0</v>
      </c>
      <c r="AJ24" s="16">
        <v>0</v>
      </c>
      <c r="AK24" s="4">
        <v>0</v>
      </c>
      <c r="AL24" s="17">
        <v>0</v>
      </c>
      <c r="AM24" s="16">
        <v>0</v>
      </c>
      <c r="AN24" s="4">
        <v>0</v>
      </c>
      <c r="AO24" s="17">
        <v>0</v>
      </c>
      <c r="AP24" s="16">
        <v>0</v>
      </c>
      <c r="AQ24" s="4">
        <v>0</v>
      </c>
      <c r="AR24" s="17">
        <v>0</v>
      </c>
      <c r="AS24" s="16">
        <v>0</v>
      </c>
      <c r="AT24" s="4">
        <v>0</v>
      </c>
      <c r="AU24" s="17">
        <v>0</v>
      </c>
      <c r="AV24" s="107">
        <f>-($Y25^2)+($Y24+$Y23)*$Y25-($Y23*$Y24)-($X25^2)+($X24+$X23)*$X25-($X23*$X24)</f>
        <v>-4</v>
      </c>
      <c r="AW24" s="11">
        <f>$Y25^2-2*$Y23*$Y25+$Y23^2+$X25^2-2*$X23*$X25+$X23^2</f>
        <v>8</v>
      </c>
      <c r="AX24" s="96">
        <f>AW25</f>
        <v>-4</v>
      </c>
      <c r="AY24" s="16">
        <v>0</v>
      </c>
      <c r="AZ24" s="4">
        <v>0</v>
      </c>
      <c r="BA24" s="17">
        <v>0</v>
      </c>
      <c r="BB24" s="16">
        <v>0</v>
      </c>
      <c r="BC24" s="4">
        <v>0</v>
      </c>
      <c r="BD24" s="17">
        <v>0</v>
      </c>
      <c r="BE24" s="16">
        <v>0</v>
      </c>
      <c r="BF24" s="4">
        <v>0</v>
      </c>
      <c r="BG24" s="17">
        <v>0</v>
      </c>
      <c r="BH24" s="16">
        <v>0</v>
      </c>
      <c r="BI24" s="4">
        <v>0</v>
      </c>
      <c r="BJ24" s="17">
        <v>0</v>
      </c>
      <c r="BK24" s="16">
        <v>0</v>
      </c>
      <c r="BL24" s="4">
        <v>0</v>
      </c>
      <c r="BM24" s="17">
        <v>0</v>
      </c>
      <c r="BN24" s="16">
        <v>0</v>
      </c>
      <c r="BO24" s="4">
        <v>0</v>
      </c>
      <c r="BP24" s="17">
        <v>0</v>
      </c>
      <c r="BQ24" s="16">
        <v>0</v>
      </c>
      <c r="BR24" s="4">
        <v>0</v>
      </c>
      <c r="BS24" s="17">
        <v>0</v>
      </c>
      <c r="BT24" s="16">
        <v>0</v>
      </c>
      <c r="BU24" s="4">
        <v>0</v>
      </c>
      <c r="BV24" s="17">
        <v>0</v>
      </c>
      <c r="BW24" s="16">
        <v>0</v>
      </c>
      <c r="BX24" s="4">
        <v>0</v>
      </c>
      <c r="BY24" s="17">
        <v>0</v>
      </c>
      <c r="BZ24" s="16">
        <v>0</v>
      </c>
      <c r="CA24" s="4">
        <v>0</v>
      </c>
      <c r="CB24" s="5">
        <v>0</v>
      </c>
    </row>
    <row r="25" spans="1:80" x14ac:dyDescent="0.25">
      <c r="A25" s="23">
        <f t="shared" si="1"/>
        <v>8</v>
      </c>
      <c r="B25" s="23">
        <f t="shared" si="2"/>
        <v>3</v>
      </c>
      <c r="C25" s="23" t="str">
        <f t="shared" si="0"/>
        <v>T8_3</v>
      </c>
      <c r="E25" s="3" t="str">
        <f>IF(VLOOKUP($C25,'2D-Chapra'!$C$2:$T$55,MID(E$1,2,2)+2,0)="","",VLOOKUP($C25,'2D-Chapra'!$C$2:$T$55,MID(E$1,2,2)+2,0))</f>
        <v/>
      </c>
      <c r="F25" s="4" t="str">
        <f>IF(VLOOKUP($C25,'2D-Chapra'!$C$2:$T$55,MID(F$1,2,2)+2,0)="","",VLOOKUP($C25,'2D-Chapra'!$C$2:$T$55,MID(F$1,2,2)+2,0))</f>
        <v/>
      </c>
      <c r="G25" s="4">
        <f>IF(VLOOKUP($C25,'2D-Chapra'!$C$2:$T$55,MID(G$1,2,2)+2,0)="","",VLOOKUP($C25,'2D-Chapra'!$C$2:$T$55,MID(G$1,2,2)+2,0))</f>
        <v>1</v>
      </c>
      <c r="H25" s="4" t="str">
        <f>IF(VLOOKUP($C25,'2D-Chapra'!$C$2:$T$55,MID(H$1,2,2)+2,0)="","",VLOOKUP($C25,'2D-Chapra'!$C$2:$T$55,MID(H$1,2,2)+2,0))</f>
        <v/>
      </c>
      <c r="I25" s="4" t="str">
        <f>IF(VLOOKUP($C25,'2D-Chapra'!$C$2:$T$55,MID(I$1,2,2)+2,0)="","",VLOOKUP($C25,'2D-Chapra'!$C$2:$T$55,MID(I$1,2,2)+2,0))</f>
        <v/>
      </c>
      <c r="J25" s="4" t="str">
        <f>IF(VLOOKUP($C25,'2D-Chapra'!$C$2:$T$55,MID(J$1,2,2)+2,0)="","",VLOOKUP($C25,'2D-Chapra'!$C$2:$T$55,MID(J$1,2,2)+2,0))</f>
        <v/>
      </c>
      <c r="K25" s="4" t="str">
        <f>IF(VLOOKUP($C25,'2D-Chapra'!$C$2:$T$55,MID(K$1,2,2)+2,0)="","",VLOOKUP($C25,'2D-Chapra'!$C$2:$T$55,MID(K$1,2,2)+2,0))</f>
        <v/>
      </c>
      <c r="L25" s="4" t="str">
        <f>IF(VLOOKUP($C25,'2D-Chapra'!$C$2:$T$55,MID(L$1,2,2)+2,0)="","",VLOOKUP($C25,'2D-Chapra'!$C$2:$T$55,MID(L$1,2,2)+2,0))</f>
        <v/>
      </c>
      <c r="M25" s="4" t="str">
        <f>IF(VLOOKUP($C25,'2D-Chapra'!$C$2:$T$55,MID(M$1,2,2)+2,0)="","",VLOOKUP($C25,'2D-Chapra'!$C$2:$T$55,MID(M$1,2,2)+2,0))</f>
        <v/>
      </c>
      <c r="N25" s="4" t="str">
        <f>IF(VLOOKUP($C25,'2D-Chapra'!$C$2:$T$55,MID(N$1,2,2)+2,0)="","",VLOOKUP($C25,'2D-Chapra'!$C$2:$T$55,MID(N$1,2,2)+2,0))</f>
        <v/>
      </c>
      <c r="O25" s="4" t="str">
        <f>IF(VLOOKUP($C25,'2D-Chapra'!$C$2:$T$55,MID(O$1,2,2)+2,0)="","",VLOOKUP($C25,'2D-Chapra'!$C$2:$T$55,MID(O$1,2,2)+2,0))</f>
        <v/>
      </c>
      <c r="P25" s="4" t="str">
        <f>IF(VLOOKUP($C25,'2D-Chapra'!$C$2:$T$55,MID(P$1,2,2)+2,0)="","",VLOOKUP($C25,'2D-Chapra'!$C$2:$T$55,MID(P$1,2,2)+2,0))</f>
        <v/>
      </c>
      <c r="Q25" s="4" t="str">
        <f>IF(VLOOKUP($C25,'2D-Chapra'!$C$2:$T$55,MID(Q$1,2,2)+2,0)="","",VLOOKUP($C25,'2D-Chapra'!$C$2:$T$55,MID(Q$1,2,2)+2,0))</f>
        <v/>
      </c>
      <c r="R25" s="4" t="str">
        <f>IF(VLOOKUP($C25,'2D-Chapra'!$C$2:$T$55,MID(R$1,2,2)+2,0)="","",VLOOKUP($C25,'2D-Chapra'!$C$2:$T$55,MID(R$1,2,2)+2,0))</f>
        <v/>
      </c>
      <c r="S25" s="4" t="str">
        <f>IF(VLOOKUP($C25,'2D-Chapra'!$C$2:$T$55,MID(S$1,2,2)+2,0)="","",VLOOKUP($C25,'2D-Chapra'!$C$2:$T$55,MID(S$1,2,2)+2,0))</f>
        <v/>
      </c>
      <c r="T25" s="5" t="str">
        <f>IF(VLOOKUP($C25,'2D-Chapra'!$C$2:$T$55,MID(T$1,2,2)+2,0)="","",VLOOKUP($C25,'2D-Chapra'!$C$2:$T$55,MID(T$1,2,2)+2,0))</f>
        <v/>
      </c>
      <c r="W25" s="97">
        <v>1</v>
      </c>
      <c r="X25" s="98">
        <v>-1</v>
      </c>
      <c r="Y25" s="99">
        <v>1</v>
      </c>
      <c r="Z25" s="100" t="s">
        <v>176</v>
      </c>
      <c r="AA25" s="108">
        <v>0</v>
      </c>
      <c r="AB25" s="19">
        <v>0</v>
      </c>
      <c r="AC25" s="20">
        <v>0</v>
      </c>
      <c r="AD25" s="18">
        <v>0</v>
      </c>
      <c r="AE25" s="19">
        <v>0</v>
      </c>
      <c r="AF25" s="20">
        <v>0</v>
      </c>
      <c r="AG25" s="18">
        <v>0</v>
      </c>
      <c r="AH25" s="19">
        <v>0</v>
      </c>
      <c r="AI25" s="20">
        <v>0</v>
      </c>
      <c r="AJ25" s="18">
        <v>0</v>
      </c>
      <c r="AK25" s="19">
        <v>0</v>
      </c>
      <c r="AL25" s="20">
        <v>0</v>
      </c>
      <c r="AM25" s="18">
        <v>0</v>
      </c>
      <c r="AN25" s="19">
        <v>0</v>
      </c>
      <c r="AO25" s="20">
        <v>0</v>
      </c>
      <c r="AP25" s="18">
        <v>0</v>
      </c>
      <c r="AQ25" s="19">
        <v>0</v>
      </c>
      <c r="AR25" s="20">
        <v>0</v>
      </c>
      <c r="AS25" s="18">
        <v>0</v>
      </c>
      <c r="AT25" s="19">
        <v>0</v>
      </c>
      <c r="AU25" s="20">
        <v>0</v>
      </c>
      <c r="AV25" s="109">
        <f>($Y24-$Y23)*$Y25-$Y24^2+$Y23*$Y24+($X24-$X23)*$X25-$X24^2+$X23*$X24</f>
        <v>0</v>
      </c>
      <c r="AW25" s="102">
        <f>($Y23-$Y24)*$Y25+$Y23*$Y24-$Y23^2+($X23-$X24)*$X25+$X23*$X24-$X23^2</f>
        <v>-4</v>
      </c>
      <c r="AX25" s="103">
        <f>$Y24^2-2*$Y23*$Y24+$Y23^2+$X24^2-2*$X23*$X24+$X23^2</f>
        <v>4</v>
      </c>
      <c r="AY25" s="18">
        <v>0</v>
      </c>
      <c r="AZ25" s="19">
        <v>0</v>
      </c>
      <c r="BA25" s="20">
        <v>0</v>
      </c>
      <c r="BB25" s="18">
        <v>0</v>
      </c>
      <c r="BC25" s="19">
        <v>0</v>
      </c>
      <c r="BD25" s="20">
        <v>0</v>
      </c>
      <c r="BE25" s="18">
        <v>0</v>
      </c>
      <c r="BF25" s="19">
        <v>0</v>
      </c>
      <c r="BG25" s="20">
        <v>0</v>
      </c>
      <c r="BH25" s="18">
        <v>0</v>
      </c>
      <c r="BI25" s="19">
        <v>0</v>
      </c>
      <c r="BJ25" s="20">
        <v>0</v>
      </c>
      <c r="BK25" s="18">
        <v>0</v>
      </c>
      <c r="BL25" s="19">
        <v>0</v>
      </c>
      <c r="BM25" s="20">
        <v>0</v>
      </c>
      <c r="BN25" s="18">
        <v>0</v>
      </c>
      <c r="BO25" s="19">
        <v>0</v>
      </c>
      <c r="BP25" s="20">
        <v>0</v>
      </c>
      <c r="BQ25" s="18">
        <v>0</v>
      </c>
      <c r="BR25" s="19">
        <v>0</v>
      </c>
      <c r="BS25" s="20">
        <v>0</v>
      </c>
      <c r="BT25" s="18">
        <v>0</v>
      </c>
      <c r="BU25" s="19">
        <v>0</v>
      </c>
      <c r="BV25" s="20">
        <v>0</v>
      </c>
      <c r="BW25" s="18">
        <v>0</v>
      </c>
      <c r="BX25" s="19">
        <v>0</v>
      </c>
      <c r="BY25" s="20">
        <v>0</v>
      </c>
      <c r="BZ25" s="18">
        <v>0</v>
      </c>
      <c r="CA25" s="19">
        <v>0</v>
      </c>
      <c r="CB25" s="104">
        <v>0</v>
      </c>
    </row>
    <row r="26" spans="1:80" x14ac:dyDescent="0.25">
      <c r="A26" s="23">
        <f t="shared" si="1"/>
        <v>9</v>
      </c>
      <c r="B26" s="23">
        <f t="shared" si="2"/>
        <v>1</v>
      </c>
      <c r="C26" s="23" t="str">
        <f t="shared" si="0"/>
        <v>T9_1</v>
      </c>
      <c r="E26" s="3">
        <f>IF(VLOOKUP($C26,'2D-Chapra'!$C$2:$T$55,MID(E$1,2,2)+2,0)="","",VLOOKUP($C26,'2D-Chapra'!$C$2:$T$55,MID(E$1,2,2)+2,0))</f>
        <v>1</v>
      </c>
      <c r="F26" s="4" t="str">
        <f>IF(VLOOKUP($C26,'2D-Chapra'!$C$2:$T$55,MID(F$1,2,2)+2,0)="","",VLOOKUP($C26,'2D-Chapra'!$C$2:$T$55,MID(F$1,2,2)+2,0))</f>
        <v/>
      </c>
      <c r="G26" s="4" t="str">
        <f>IF(VLOOKUP($C26,'2D-Chapra'!$C$2:$T$55,MID(G$1,2,2)+2,0)="","",VLOOKUP($C26,'2D-Chapra'!$C$2:$T$55,MID(G$1,2,2)+2,0))</f>
        <v/>
      </c>
      <c r="H26" s="4" t="str">
        <f>IF(VLOOKUP($C26,'2D-Chapra'!$C$2:$T$55,MID(H$1,2,2)+2,0)="","",VLOOKUP($C26,'2D-Chapra'!$C$2:$T$55,MID(H$1,2,2)+2,0))</f>
        <v/>
      </c>
      <c r="I26" s="4" t="str">
        <f>IF(VLOOKUP($C26,'2D-Chapra'!$C$2:$T$55,MID(I$1,2,2)+2,0)="","",VLOOKUP($C26,'2D-Chapra'!$C$2:$T$55,MID(I$1,2,2)+2,0))</f>
        <v/>
      </c>
      <c r="J26" s="4" t="str">
        <f>IF(VLOOKUP($C26,'2D-Chapra'!$C$2:$T$55,MID(J$1,2,2)+2,0)="","",VLOOKUP($C26,'2D-Chapra'!$C$2:$T$55,MID(J$1,2,2)+2,0))</f>
        <v/>
      </c>
      <c r="K26" s="4" t="str">
        <f>IF(VLOOKUP($C26,'2D-Chapra'!$C$2:$T$55,MID(K$1,2,2)+2,0)="","",VLOOKUP($C26,'2D-Chapra'!$C$2:$T$55,MID(K$1,2,2)+2,0))</f>
        <v/>
      </c>
      <c r="L26" s="4" t="str">
        <f>IF(VLOOKUP($C26,'2D-Chapra'!$C$2:$T$55,MID(L$1,2,2)+2,0)="","",VLOOKUP($C26,'2D-Chapra'!$C$2:$T$55,MID(L$1,2,2)+2,0))</f>
        <v/>
      </c>
      <c r="M26" s="4" t="str">
        <f>IF(VLOOKUP($C26,'2D-Chapra'!$C$2:$T$55,MID(M$1,2,2)+2,0)="","",VLOOKUP($C26,'2D-Chapra'!$C$2:$T$55,MID(M$1,2,2)+2,0))</f>
        <v/>
      </c>
      <c r="N26" s="4" t="str">
        <f>IF(VLOOKUP($C26,'2D-Chapra'!$C$2:$T$55,MID(N$1,2,2)+2,0)="","",VLOOKUP($C26,'2D-Chapra'!$C$2:$T$55,MID(N$1,2,2)+2,0))</f>
        <v/>
      </c>
      <c r="O26" s="4" t="str">
        <f>IF(VLOOKUP($C26,'2D-Chapra'!$C$2:$T$55,MID(O$1,2,2)+2,0)="","",VLOOKUP($C26,'2D-Chapra'!$C$2:$T$55,MID(O$1,2,2)+2,0))</f>
        <v/>
      </c>
      <c r="P26" s="4" t="str">
        <f>IF(VLOOKUP($C26,'2D-Chapra'!$C$2:$T$55,MID(P$1,2,2)+2,0)="","",VLOOKUP($C26,'2D-Chapra'!$C$2:$T$55,MID(P$1,2,2)+2,0))</f>
        <v/>
      </c>
      <c r="Q26" s="4" t="str">
        <f>IF(VLOOKUP($C26,'2D-Chapra'!$C$2:$T$55,MID(Q$1,2,2)+2,0)="","",VLOOKUP($C26,'2D-Chapra'!$C$2:$T$55,MID(Q$1,2,2)+2,0))</f>
        <v/>
      </c>
      <c r="R26" s="4" t="str">
        <f>IF(VLOOKUP($C26,'2D-Chapra'!$C$2:$T$55,MID(R$1,2,2)+2,0)="","",VLOOKUP($C26,'2D-Chapra'!$C$2:$T$55,MID(R$1,2,2)+2,0))</f>
        <v/>
      </c>
      <c r="S26" s="4" t="str">
        <f>IF(VLOOKUP($C26,'2D-Chapra'!$C$2:$T$55,MID(S$1,2,2)+2,0)="","",VLOOKUP($C26,'2D-Chapra'!$C$2:$T$55,MID(S$1,2,2)+2,0))</f>
        <v/>
      </c>
      <c r="T26" s="5" t="str">
        <f>IF(VLOOKUP($C26,'2D-Chapra'!$C$2:$T$55,MID(T$1,2,2)+2,0)="","",VLOOKUP($C26,'2D-Chapra'!$C$2:$T$55,MID(T$1,2,2)+2,0))</f>
        <v/>
      </c>
      <c r="W26" s="85">
        <v>1</v>
      </c>
      <c r="X26" s="86">
        <v>-1</v>
      </c>
      <c r="Y26" s="87">
        <v>-1</v>
      </c>
      <c r="Z26" s="88" t="s">
        <v>177</v>
      </c>
      <c r="AA26" s="105">
        <v>0</v>
      </c>
      <c r="AB26" s="14">
        <v>0</v>
      </c>
      <c r="AC26" s="15">
        <v>0</v>
      </c>
      <c r="AD26" s="13">
        <v>0</v>
      </c>
      <c r="AE26" s="14">
        <v>0</v>
      </c>
      <c r="AF26" s="15">
        <v>0</v>
      </c>
      <c r="AG26" s="13">
        <v>0</v>
      </c>
      <c r="AH26" s="14">
        <v>0</v>
      </c>
      <c r="AI26" s="15">
        <v>0</v>
      </c>
      <c r="AJ26" s="13">
        <v>0</v>
      </c>
      <c r="AK26" s="14">
        <v>0</v>
      </c>
      <c r="AL26" s="15">
        <v>0</v>
      </c>
      <c r="AM26" s="13">
        <v>0</v>
      </c>
      <c r="AN26" s="14">
        <v>0</v>
      </c>
      <c r="AO26" s="15">
        <v>0</v>
      </c>
      <c r="AP26" s="13">
        <v>0</v>
      </c>
      <c r="AQ26" s="14">
        <v>0</v>
      </c>
      <c r="AR26" s="15">
        <v>0</v>
      </c>
      <c r="AS26" s="13">
        <v>0</v>
      </c>
      <c r="AT26" s="14">
        <v>0</v>
      </c>
      <c r="AU26" s="15">
        <v>0</v>
      </c>
      <c r="AV26" s="13">
        <v>0</v>
      </c>
      <c r="AW26" s="14">
        <v>0</v>
      </c>
      <c r="AX26" s="15">
        <v>0</v>
      </c>
      <c r="AY26" s="106">
        <f>$Y28^2-2*$Y27*$Y28+$Y27^2+$X28^2-2*$X27*$X28+$X27^2</f>
        <v>4</v>
      </c>
      <c r="AZ26" s="90">
        <f>AY27</f>
        <v>0</v>
      </c>
      <c r="BA26" s="91">
        <f>AY28</f>
        <v>-4</v>
      </c>
      <c r="BB26" s="13">
        <v>0</v>
      </c>
      <c r="BC26" s="14">
        <v>0</v>
      </c>
      <c r="BD26" s="15">
        <v>0</v>
      </c>
      <c r="BE26" s="13">
        <v>0</v>
      </c>
      <c r="BF26" s="14">
        <v>0</v>
      </c>
      <c r="BG26" s="15">
        <v>0</v>
      </c>
      <c r="BH26" s="13">
        <v>0</v>
      </c>
      <c r="BI26" s="14">
        <v>0</v>
      </c>
      <c r="BJ26" s="15">
        <v>0</v>
      </c>
      <c r="BK26" s="13">
        <v>0</v>
      </c>
      <c r="BL26" s="14">
        <v>0</v>
      </c>
      <c r="BM26" s="15">
        <v>0</v>
      </c>
      <c r="BN26" s="13">
        <v>0</v>
      </c>
      <c r="BO26" s="14">
        <v>0</v>
      </c>
      <c r="BP26" s="15">
        <v>0</v>
      </c>
      <c r="BQ26" s="13">
        <v>0</v>
      </c>
      <c r="BR26" s="14">
        <v>0</v>
      </c>
      <c r="BS26" s="15">
        <v>0</v>
      </c>
      <c r="BT26" s="13">
        <v>0</v>
      </c>
      <c r="BU26" s="14">
        <v>0</v>
      </c>
      <c r="BV26" s="15">
        <v>0</v>
      </c>
      <c r="BW26" s="13">
        <v>0</v>
      </c>
      <c r="BX26" s="14">
        <v>0</v>
      </c>
      <c r="BY26" s="15">
        <v>0</v>
      </c>
      <c r="BZ26" s="13">
        <v>0</v>
      </c>
      <c r="CA26" s="14">
        <v>0</v>
      </c>
      <c r="CB26" s="92">
        <v>0</v>
      </c>
    </row>
    <row r="27" spans="1:80" x14ac:dyDescent="0.25">
      <c r="A27" s="23">
        <f t="shared" si="1"/>
        <v>9</v>
      </c>
      <c r="B27" s="23">
        <f t="shared" si="2"/>
        <v>2</v>
      </c>
      <c r="C27" s="23" t="str">
        <f t="shared" si="0"/>
        <v>T9_2</v>
      </c>
      <c r="E27" s="3" t="str">
        <f>IF(VLOOKUP($C27,'2D-Chapra'!$C$2:$T$55,MID(E$1,2,2)+2,0)="","",VLOOKUP($C27,'2D-Chapra'!$C$2:$T$55,MID(E$1,2,2)+2,0))</f>
        <v/>
      </c>
      <c r="F27" s="4" t="str">
        <f>IF(VLOOKUP($C27,'2D-Chapra'!$C$2:$T$55,MID(F$1,2,2)+2,0)="","",VLOOKUP($C27,'2D-Chapra'!$C$2:$T$55,MID(F$1,2,2)+2,0))</f>
        <v/>
      </c>
      <c r="G27" s="4" t="str">
        <f>IF(VLOOKUP($C27,'2D-Chapra'!$C$2:$T$55,MID(G$1,2,2)+2,0)="","",VLOOKUP($C27,'2D-Chapra'!$C$2:$T$55,MID(G$1,2,2)+2,0))</f>
        <v/>
      </c>
      <c r="H27" s="4">
        <f>IF(VLOOKUP($C27,'2D-Chapra'!$C$2:$T$55,MID(H$1,2,2)+2,0)="","",VLOOKUP($C27,'2D-Chapra'!$C$2:$T$55,MID(H$1,2,2)+2,0))</f>
        <v>1</v>
      </c>
      <c r="I27" s="4" t="str">
        <f>IF(VLOOKUP($C27,'2D-Chapra'!$C$2:$T$55,MID(I$1,2,2)+2,0)="","",VLOOKUP($C27,'2D-Chapra'!$C$2:$T$55,MID(I$1,2,2)+2,0))</f>
        <v/>
      </c>
      <c r="J27" s="4" t="str">
        <f>IF(VLOOKUP($C27,'2D-Chapra'!$C$2:$T$55,MID(J$1,2,2)+2,0)="","",VLOOKUP($C27,'2D-Chapra'!$C$2:$T$55,MID(J$1,2,2)+2,0))</f>
        <v/>
      </c>
      <c r="K27" s="4" t="str">
        <f>IF(VLOOKUP($C27,'2D-Chapra'!$C$2:$T$55,MID(K$1,2,2)+2,0)="","",VLOOKUP($C27,'2D-Chapra'!$C$2:$T$55,MID(K$1,2,2)+2,0))</f>
        <v/>
      </c>
      <c r="L27" s="4" t="str">
        <f>IF(VLOOKUP($C27,'2D-Chapra'!$C$2:$T$55,MID(L$1,2,2)+2,0)="","",VLOOKUP($C27,'2D-Chapra'!$C$2:$T$55,MID(L$1,2,2)+2,0))</f>
        <v/>
      </c>
      <c r="M27" s="4" t="str">
        <f>IF(VLOOKUP($C27,'2D-Chapra'!$C$2:$T$55,MID(M$1,2,2)+2,0)="","",VLOOKUP($C27,'2D-Chapra'!$C$2:$T$55,MID(M$1,2,2)+2,0))</f>
        <v/>
      </c>
      <c r="N27" s="4" t="str">
        <f>IF(VLOOKUP($C27,'2D-Chapra'!$C$2:$T$55,MID(N$1,2,2)+2,0)="","",VLOOKUP($C27,'2D-Chapra'!$C$2:$T$55,MID(N$1,2,2)+2,0))</f>
        <v/>
      </c>
      <c r="O27" s="4" t="str">
        <f>IF(VLOOKUP($C27,'2D-Chapra'!$C$2:$T$55,MID(O$1,2,2)+2,0)="","",VLOOKUP($C27,'2D-Chapra'!$C$2:$T$55,MID(O$1,2,2)+2,0))</f>
        <v/>
      </c>
      <c r="P27" s="4" t="str">
        <f>IF(VLOOKUP($C27,'2D-Chapra'!$C$2:$T$55,MID(P$1,2,2)+2,0)="","",VLOOKUP($C27,'2D-Chapra'!$C$2:$T$55,MID(P$1,2,2)+2,0))</f>
        <v/>
      </c>
      <c r="Q27" s="4" t="str">
        <f>IF(VLOOKUP($C27,'2D-Chapra'!$C$2:$T$55,MID(Q$1,2,2)+2,0)="","",VLOOKUP($C27,'2D-Chapra'!$C$2:$T$55,MID(Q$1,2,2)+2,0))</f>
        <v/>
      </c>
      <c r="R27" s="4" t="str">
        <f>IF(VLOOKUP($C27,'2D-Chapra'!$C$2:$T$55,MID(R$1,2,2)+2,0)="","",VLOOKUP($C27,'2D-Chapra'!$C$2:$T$55,MID(R$1,2,2)+2,0))</f>
        <v/>
      </c>
      <c r="S27" s="4" t="str">
        <f>IF(VLOOKUP($C27,'2D-Chapra'!$C$2:$T$55,MID(S$1,2,2)+2,0)="","",VLOOKUP($C27,'2D-Chapra'!$C$2:$T$55,MID(S$1,2,2)+2,0))</f>
        <v/>
      </c>
      <c r="T27" s="5" t="str">
        <f>IF(VLOOKUP($C27,'2D-Chapra'!$C$2:$T$55,MID(T$1,2,2)+2,0)="","",VLOOKUP($C27,'2D-Chapra'!$C$2:$T$55,MID(T$1,2,2)+2,0))</f>
        <v/>
      </c>
      <c r="W27" s="93">
        <v>1</v>
      </c>
      <c r="X27" s="49">
        <v>1</v>
      </c>
      <c r="Y27" s="94">
        <v>1</v>
      </c>
      <c r="Z27" s="95" t="s">
        <v>178</v>
      </c>
      <c r="AA27" s="3">
        <v>0</v>
      </c>
      <c r="AB27" s="4">
        <v>0</v>
      </c>
      <c r="AC27" s="17">
        <v>0</v>
      </c>
      <c r="AD27" s="16">
        <v>0</v>
      </c>
      <c r="AE27" s="4">
        <v>0</v>
      </c>
      <c r="AF27" s="17">
        <v>0</v>
      </c>
      <c r="AG27" s="16">
        <v>0</v>
      </c>
      <c r="AH27" s="4">
        <v>0</v>
      </c>
      <c r="AI27" s="17">
        <v>0</v>
      </c>
      <c r="AJ27" s="16">
        <v>0</v>
      </c>
      <c r="AK27" s="4">
        <v>0</v>
      </c>
      <c r="AL27" s="17">
        <v>0</v>
      </c>
      <c r="AM27" s="16">
        <v>0</v>
      </c>
      <c r="AN27" s="4">
        <v>0</v>
      </c>
      <c r="AO27" s="17">
        <v>0</v>
      </c>
      <c r="AP27" s="16">
        <v>0</v>
      </c>
      <c r="AQ27" s="4">
        <v>0</v>
      </c>
      <c r="AR27" s="17">
        <v>0</v>
      </c>
      <c r="AS27" s="16">
        <v>0</v>
      </c>
      <c r="AT27" s="4">
        <v>0</v>
      </c>
      <c r="AU27" s="17">
        <v>0</v>
      </c>
      <c r="AV27" s="16">
        <v>0</v>
      </c>
      <c r="AW27" s="4">
        <v>0</v>
      </c>
      <c r="AX27" s="17">
        <v>0</v>
      </c>
      <c r="AY27" s="107">
        <f>-($Y28^2)+($Y27+$Y26)*$Y28-($Y26*$Y27)-($X28^2)+($X27+$X26)*$X28-($X26*$X27)</f>
        <v>0</v>
      </c>
      <c r="AZ27" s="11">
        <f>$Y28^2-2*$Y26*$Y28+$Y26^2+$X28^2-2*$X26*$X28+$X26^2</f>
        <v>4</v>
      </c>
      <c r="BA27" s="96">
        <f>AZ28</f>
        <v>-4</v>
      </c>
      <c r="BB27" s="16">
        <v>0</v>
      </c>
      <c r="BC27" s="4">
        <v>0</v>
      </c>
      <c r="BD27" s="17">
        <v>0</v>
      </c>
      <c r="BE27" s="16">
        <v>0</v>
      </c>
      <c r="BF27" s="4">
        <v>0</v>
      </c>
      <c r="BG27" s="17">
        <v>0</v>
      </c>
      <c r="BH27" s="16">
        <v>0</v>
      </c>
      <c r="BI27" s="4">
        <v>0</v>
      </c>
      <c r="BJ27" s="17">
        <v>0</v>
      </c>
      <c r="BK27" s="16">
        <v>0</v>
      </c>
      <c r="BL27" s="4">
        <v>0</v>
      </c>
      <c r="BM27" s="17">
        <v>0</v>
      </c>
      <c r="BN27" s="16">
        <v>0</v>
      </c>
      <c r="BO27" s="4">
        <v>0</v>
      </c>
      <c r="BP27" s="17">
        <v>0</v>
      </c>
      <c r="BQ27" s="16">
        <v>0</v>
      </c>
      <c r="BR27" s="4">
        <v>0</v>
      </c>
      <c r="BS27" s="17">
        <v>0</v>
      </c>
      <c r="BT27" s="16">
        <v>0</v>
      </c>
      <c r="BU27" s="4">
        <v>0</v>
      </c>
      <c r="BV27" s="17">
        <v>0</v>
      </c>
      <c r="BW27" s="16">
        <v>0</v>
      </c>
      <c r="BX27" s="4">
        <v>0</v>
      </c>
      <c r="BY27" s="17">
        <v>0</v>
      </c>
      <c r="BZ27" s="16">
        <v>0</v>
      </c>
      <c r="CA27" s="4">
        <v>0</v>
      </c>
      <c r="CB27" s="5">
        <v>0</v>
      </c>
    </row>
    <row r="28" spans="1:80" x14ac:dyDescent="0.25">
      <c r="A28" s="23">
        <f t="shared" si="1"/>
        <v>9</v>
      </c>
      <c r="B28" s="23">
        <f t="shared" si="2"/>
        <v>3</v>
      </c>
      <c r="C28" s="23" t="str">
        <f t="shared" si="0"/>
        <v>T9_3</v>
      </c>
      <c r="E28" s="3" t="str">
        <f>IF(VLOOKUP($C28,'2D-Chapra'!$C$2:$T$55,MID(E$1,2,2)+2,0)="","",VLOOKUP($C28,'2D-Chapra'!$C$2:$T$55,MID(E$1,2,2)+2,0))</f>
        <v/>
      </c>
      <c r="F28" s="4" t="str">
        <f>IF(VLOOKUP($C28,'2D-Chapra'!$C$2:$T$55,MID(F$1,2,2)+2,0)="","",VLOOKUP($C28,'2D-Chapra'!$C$2:$T$55,MID(F$1,2,2)+2,0))</f>
        <v/>
      </c>
      <c r="G28" s="4">
        <f>IF(VLOOKUP($C28,'2D-Chapra'!$C$2:$T$55,MID(G$1,2,2)+2,0)="","",VLOOKUP($C28,'2D-Chapra'!$C$2:$T$55,MID(G$1,2,2)+2,0))</f>
        <v>1</v>
      </c>
      <c r="H28" s="4" t="str">
        <f>IF(VLOOKUP($C28,'2D-Chapra'!$C$2:$T$55,MID(H$1,2,2)+2,0)="","",VLOOKUP($C28,'2D-Chapra'!$C$2:$T$55,MID(H$1,2,2)+2,0))</f>
        <v/>
      </c>
      <c r="I28" s="4" t="str">
        <f>IF(VLOOKUP($C28,'2D-Chapra'!$C$2:$T$55,MID(I$1,2,2)+2,0)="","",VLOOKUP($C28,'2D-Chapra'!$C$2:$T$55,MID(I$1,2,2)+2,0))</f>
        <v/>
      </c>
      <c r="J28" s="4" t="str">
        <f>IF(VLOOKUP($C28,'2D-Chapra'!$C$2:$T$55,MID(J$1,2,2)+2,0)="","",VLOOKUP($C28,'2D-Chapra'!$C$2:$T$55,MID(J$1,2,2)+2,0))</f>
        <v/>
      </c>
      <c r="K28" s="4" t="str">
        <f>IF(VLOOKUP($C28,'2D-Chapra'!$C$2:$T$55,MID(K$1,2,2)+2,0)="","",VLOOKUP($C28,'2D-Chapra'!$C$2:$T$55,MID(K$1,2,2)+2,0))</f>
        <v/>
      </c>
      <c r="L28" s="4" t="str">
        <f>IF(VLOOKUP($C28,'2D-Chapra'!$C$2:$T$55,MID(L$1,2,2)+2,0)="","",VLOOKUP($C28,'2D-Chapra'!$C$2:$T$55,MID(L$1,2,2)+2,0))</f>
        <v/>
      </c>
      <c r="M28" s="4" t="str">
        <f>IF(VLOOKUP($C28,'2D-Chapra'!$C$2:$T$55,MID(M$1,2,2)+2,0)="","",VLOOKUP($C28,'2D-Chapra'!$C$2:$T$55,MID(M$1,2,2)+2,0))</f>
        <v/>
      </c>
      <c r="N28" s="4" t="str">
        <f>IF(VLOOKUP($C28,'2D-Chapra'!$C$2:$T$55,MID(N$1,2,2)+2,0)="","",VLOOKUP($C28,'2D-Chapra'!$C$2:$T$55,MID(N$1,2,2)+2,0))</f>
        <v/>
      </c>
      <c r="O28" s="4" t="str">
        <f>IF(VLOOKUP($C28,'2D-Chapra'!$C$2:$T$55,MID(O$1,2,2)+2,0)="","",VLOOKUP($C28,'2D-Chapra'!$C$2:$T$55,MID(O$1,2,2)+2,0))</f>
        <v/>
      </c>
      <c r="P28" s="4" t="str">
        <f>IF(VLOOKUP($C28,'2D-Chapra'!$C$2:$T$55,MID(P$1,2,2)+2,0)="","",VLOOKUP($C28,'2D-Chapra'!$C$2:$T$55,MID(P$1,2,2)+2,0))</f>
        <v/>
      </c>
      <c r="Q28" s="4" t="str">
        <f>IF(VLOOKUP($C28,'2D-Chapra'!$C$2:$T$55,MID(Q$1,2,2)+2,0)="","",VLOOKUP($C28,'2D-Chapra'!$C$2:$T$55,MID(Q$1,2,2)+2,0))</f>
        <v/>
      </c>
      <c r="R28" s="4" t="str">
        <f>IF(VLOOKUP($C28,'2D-Chapra'!$C$2:$T$55,MID(R$1,2,2)+2,0)="","",VLOOKUP($C28,'2D-Chapra'!$C$2:$T$55,MID(R$1,2,2)+2,0))</f>
        <v/>
      </c>
      <c r="S28" s="4" t="str">
        <f>IF(VLOOKUP($C28,'2D-Chapra'!$C$2:$T$55,MID(S$1,2,2)+2,0)="","",VLOOKUP($C28,'2D-Chapra'!$C$2:$T$55,MID(S$1,2,2)+2,0))</f>
        <v/>
      </c>
      <c r="T28" s="5" t="str">
        <f>IF(VLOOKUP($C28,'2D-Chapra'!$C$2:$T$55,MID(T$1,2,2)+2,0)="","",VLOOKUP($C28,'2D-Chapra'!$C$2:$T$55,MID(T$1,2,2)+2,0))</f>
        <v/>
      </c>
      <c r="W28" s="97">
        <v>1</v>
      </c>
      <c r="X28" s="98">
        <v>-1</v>
      </c>
      <c r="Y28" s="99">
        <v>1</v>
      </c>
      <c r="Z28" s="100" t="s">
        <v>179</v>
      </c>
      <c r="AA28" s="108">
        <v>0</v>
      </c>
      <c r="AB28" s="19">
        <v>0</v>
      </c>
      <c r="AC28" s="20">
        <v>0</v>
      </c>
      <c r="AD28" s="18">
        <v>0</v>
      </c>
      <c r="AE28" s="19">
        <v>0</v>
      </c>
      <c r="AF28" s="20">
        <v>0</v>
      </c>
      <c r="AG28" s="18">
        <v>0</v>
      </c>
      <c r="AH28" s="19">
        <v>0</v>
      </c>
      <c r="AI28" s="20">
        <v>0</v>
      </c>
      <c r="AJ28" s="18">
        <v>0</v>
      </c>
      <c r="AK28" s="19">
        <v>0</v>
      </c>
      <c r="AL28" s="20">
        <v>0</v>
      </c>
      <c r="AM28" s="18">
        <v>0</v>
      </c>
      <c r="AN28" s="19">
        <v>0</v>
      </c>
      <c r="AO28" s="20">
        <v>0</v>
      </c>
      <c r="AP28" s="18">
        <v>0</v>
      </c>
      <c r="AQ28" s="19">
        <v>0</v>
      </c>
      <c r="AR28" s="20">
        <v>0</v>
      </c>
      <c r="AS28" s="18">
        <v>0</v>
      </c>
      <c r="AT28" s="19">
        <v>0</v>
      </c>
      <c r="AU28" s="20">
        <v>0</v>
      </c>
      <c r="AV28" s="18">
        <v>0</v>
      </c>
      <c r="AW28" s="19">
        <v>0</v>
      </c>
      <c r="AX28" s="20">
        <v>0</v>
      </c>
      <c r="AY28" s="109">
        <f>($Y27-$Y26)*$Y28-$Y27^2+$Y26*$Y27+($X27-$X26)*$X28-$X27^2+$X26*$X27</f>
        <v>-4</v>
      </c>
      <c r="AZ28" s="102">
        <f>($Y26-$Y27)*$Y28+$Y26*$Y27-$Y26^2+($X26-$X27)*$X28+$X26*$X27-$X26^2</f>
        <v>-4</v>
      </c>
      <c r="BA28" s="103">
        <f>$Y27^2-2*$Y26*$Y27+$Y26^2+$X27^2-2*$X26*$X27+$X26^2</f>
        <v>8</v>
      </c>
      <c r="BB28" s="18">
        <v>0</v>
      </c>
      <c r="BC28" s="19">
        <v>0</v>
      </c>
      <c r="BD28" s="20">
        <v>0</v>
      </c>
      <c r="BE28" s="18">
        <v>0</v>
      </c>
      <c r="BF28" s="19">
        <v>0</v>
      </c>
      <c r="BG28" s="20">
        <v>0</v>
      </c>
      <c r="BH28" s="18">
        <v>0</v>
      </c>
      <c r="BI28" s="19">
        <v>0</v>
      </c>
      <c r="BJ28" s="20">
        <v>0</v>
      </c>
      <c r="BK28" s="18">
        <v>0</v>
      </c>
      <c r="BL28" s="19">
        <v>0</v>
      </c>
      <c r="BM28" s="20">
        <v>0</v>
      </c>
      <c r="BN28" s="18">
        <v>0</v>
      </c>
      <c r="BO28" s="19">
        <v>0</v>
      </c>
      <c r="BP28" s="20">
        <v>0</v>
      </c>
      <c r="BQ28" s="18">
        <v>0</v>
      </c>
      <c r="BR28" s="19">
        <v>0</v>
      </c>
      <c r="BS28" s="20">
        <v>0</v>
      </c>
      <c r="BT28" s="18">
        <v>0</v>
      </c>
      <c r="BU28" s="19">
        <v>0</v>
      </c>
      <c r="BV28" s="20">
        <v>0</v>
      </c>
      <c r="BW28" s="18">
        <v>0</v>
      </c>
      <c r="BX28" s="19">
        <v>0</v>
      </c>
      <c r="BY28" s="20">
        <v>0</v>
      </c>
      <c r="BZ28" s="18">
        <v>0</v>
      </c>
      <c r="CA28" s="19">
        <v>0</v>
      </c>
      <c r="CB28" s="104">
        <v>0</v>
      </c>
    </row>
    <row r="29" spans="1:80" x14ac:dyDescent="0.25">
      <c r="A29" s="23">
        <f t="shared" si="1"/>
        <v>10</v>
      </c>
      <c r="B29" s="23">
        <f t="shared" si="2"/>
        <v>1</v>
      </c>
      <c r="C29" s="23" t="str">
        <f t="shared" si="0"/>
        <v>T10_1</v>
      </c>
      <c r="E29" s="3">
        <f>IF(VLOOKUP($C29,'2D-Chapra'!$C$2:$T$55,MID(E$1,2,2)+2,0)="","",VLOOKUP($C29,'2D-Chapra'!$C$2:$T$55,MID(E$1,2,2)+2,0))</f>
        <v>1</v>
      </c>
      <c r="F29" s="4" t="str">
        <f>IF(VLOOKUP($C29,'2D-Chapra'!$C$2:$T$55,MID(F$1,2,2)+2,0)="","",VLOOKUP($C29,'2D-Chapra'!$C$2:$T$55,MID(F$1,2,2)+2,0))</f>
        <v/>
      </c>
      <c r="G29" s="4" t="str">
        <f>IF(VLOOKUP($C29,'2D-Chapra'!$C$2:$T$55,MID(G$1,2,2)+2,0)="","",VLOOKUP($C29,'2D-Chapra'!$C$2:$T$55,MID(G$1,2,2)+2,0))</f>
        <v/>
      </c>
      <c r="H29" s="4" t="str">
        <f>IF(VLOOKUP($C29,'2D-Chapra'!$C$2:$T$55,MID(H$1,2,2)+2,0)="","",VLOOKUP($C29,'2D-Chapra'!$C$2:$T$55,MID(H$1,2,2)+2,0))</f>
        <v/>
      </c>
      <c r="I29" s="4" t="str">
        <f>IF(VLOOKUP($C29,'2D-Chapra'!$C$2:$T$55,MID(I$1,2,2)+2,0)="","",VLOOKUP($C29,'2D-Chapra'!$C$2:$T$55,MID(I$1,2,2)+2,0))</f>
        <v/>
      </c>
      <c r="J29" s="4" t="str">
        <f>IF(VLOOKUP($C29,'2D-Chapra'!$C$2:$T$55,MID(J$1,2,2)+2,0)="","",VLOOKUP($C29,'2D-Chapra'!$C$2:$T$55,MID(J$1,2,2)+2,0))</f>
        <v/>
      </c>
      <c r="K29" s="4" t="str">
        <f>IF(VLOOKUP($C29,'2D-Chapra'!$C$2:$T$55,MID(K$1,2,2)+2,0)="","",VLOOKUP($C29,'2D-Chapra'!$C$2:$T$55,MID(K$1,2,2)+2,0))</f>
        <v/>
      </c>
      <c r="L29" s="4" t="str">
        <f>IF(VLOOKUP($C29,'2D-Chapra'!$C$2:$T$55,MID(L$1,2,2)+2,0)="","",VLOOKUP($C29,'2D-Chapra'!$C$2:$T$55,MID(L$1,2,2)+2,0))</f>
        <v/>
      </c>
      <c r="M29" s="4" t="str">
        <f>IF(VLOOKUP($C29,'2D-Chapra'!$C$2:$T$55,MID(M$1,2,2)+2,0)="","",VLOOKUP($C29,'2D-Chapra'!$C$2:$T$55,MID(M$1,2,2)+2,0))</f>
        <v/>
      </c>
      <c r="N29" s="4" t="str">
        <f>IF(VLOOKUP($C29,'2D-Chapra'!$C$2:$T$55,MID(N$1,2,2)+2,0)="","",VLOOKUP($C29,'2D-Chapra'!$C$2:$T$55,MID(N$1,2,2)+2,0))</f>
        <v/>
      </c>
      <c r="O29" s="4" t="str">
        <f>IF(VLOOKUP($C29,'2D-Chapra'!$C$2:$T$55,MID(O$1,2,2)+2,0)="","",VLOOKUP($C29,'2D-Chapra'!$C$2:$T$55,MID(O$1,2,2)+2,0))</f>
        <v/>
      </c>
      <c r="P29" s="4" t="str">
        <f>IF(VLOOKUP($C29,'2D-Chapra'!$C$2:$T$55,MID(P$1,2,2)+2,0)="","",VLOOKUP($C29,'2D-Chapra'!$C$2:$T$55,MID(P$1,2,2)+2,0))</f>
        <v/>
      </c>
      <c r="Q29" s="4" t="str">
        <f>IF(VLOOKUP($C29,'2D-Chapra'!$C$2:$T$55,MID(Q$1,2,2)+2,0)="","",VLOOKUP($C29,'2D-Chapra'!$C$2:$T$55,MID(Q$1,2,2)+2,0))</f>
        <v/>
      </c>
      <c r="R29" s="4" t="str">
        <f>IF(VLOOKUP($C29,'2D-Chapra'!$C$2:$T$55,MID(R$1,2,2)+2,0)="","",VLOOKUP($C29,'2D-Chapra'!$C$2:$T$55,MID(R$1,2,2)+2,0))</f>
        <v/>
      </c>
      <c r="S29" s="4" t="str">
        <f>IF(VLOOKUP($C29,'2D-Chapra'!$C$2:$T$55,MID(S$1,2,2)+2,0)="","",VLOOKUP($C29,'2D-Chapra'!$C$2:$T$55,MID(S$1,2,2)+2,0))</f>
        <v/>
      </c>
      <c r="T29" s="5" t="str">
        <f>IF(VLOOKUP($C29,'2D-Chapra'!$C$2:$T$55,MID(T$1,2,2)+2,0)="","",VLOOKUP($C29,'2D-Chapra'!$C$2:$T$55,MID(T$1,2,2)+2,0))</f>
        <v/>
      </c>
      <c r="W29" s="85">
        <v>1</v>
      </c>
      <c r="X29" s="86">
        <v>-1</v>
      </c>
      <c r="Y29" s="87">
        <v>-1</v>
      </c>
      <c r="Z29" s="88" t="s">
        <v>180</v>
      </c>
      <c r="AA29" s="105">
        <v>0</v>
      </c>
      <c r="AB29" s="14">
        <v>0</v>
      </c>
      <c r="AC29" s="15">
        <v>0</v>
      </c>
      <c r="AD29" s="13">
        <v>0</v>
      </c>
      <c r="AE29" s="14">
        <v>0</v>
      </c>
      <c r="AF29" s="15">
        <v>0</v>
      </c>
      <c r="AG29" s="13">
        <v>0</v>
      </c>
      <c r="AH29" s="14">
        <v>0</v>
      </c>
      <c r="AI29" s="15">
        <v>0</v>
      </c>
      <c r="AJ29" s="13">
        <v>0</v>
      </c>
      <c r="AK29" s="14">
        <v>0</v>
      </c>
      <c r="AL29" s="15">
        <v>0</v>
      </c>
      <c r="AM29" s="13">
        <v>0</v>
      </c>
      <c r="AN29" s="14">
        <v>0</v>
      </c>
      <c r="AO29" s="15">
        <v>0</v>
      </c>
      <c r="AP29" s="13">
        <v>0</v>
      </c>
      <c r="AQ29" s="14">
        <v>0</v>
      </c>
      <c r="AR29" s="15">
        <v>0</v>
      </c>
      <c r="AS29" s="13">
        <v>0</v>
      </c>
      <c r="AT29" s="14">
        <v>0</v>
      </c>
      <c r="AU29" s="15">
        <v>0</v>
      </c>
      <c r="AV29" s="13">
        <v>0</v>
      </c>
      <c r="AW29" s="14">
        <v>0</v>
      </c>
      <c r="AX29" s="15">
        <v>0</v>
      </c>
      <c r="AY29" s="13">
        <v>0</v>
      </c>
      <c r="AZ29" s="14">
        <v>0</v>
      </c>
      <c r="BA29" s="15">
        <v>0</v>
      </c>
      <c r="BB29" s="106">
        <f>$Y31^2-2*$Y30*$Y31+$Y30^2+$X31^2-2*$X30*$X31+$X30^2</f>
        <v>4</v>
      </c>
      <c r="BC29" s="90">
        <f>BB30</f>
        <v>-4</v>
      </c>
      <c r="BD29" s="91">
        <f>BB31</f>
        <v>0</v>
      </c>
      <c r="BE29" s="13">
        <v>0</v>
      </c>
      <c r="BF29" s="14">
        <v>0</v>
      </c>
      <c r="BG29" s="15">
        <v>0</v>
      </c>
      <c r="BH29" s="13">
        <v>0</v>
      </c>
      <c r="BI29" s="14">
        <v>0</v>
      </c>
      <c r="BJ29" s="15">
        <v>0</v>
      </c>
      <c r="BK29" s="13">
        <v>0</v>
      </c>
      <c r="BL29" s="14">
        <v>0</v>
      </c>
      <c r="BM29" s="15">
        <v>0</v>
      </c>
      <c r="BN29" s="13">
        <v>0</v>
      </c>
      <c r="BO29" s="14">
        <v>0</v>
      </c>
      <c r="BP29" s="15">
        <v>0</v>
      </c>
      <c r="BQ29" s="13">
        <v>0</v>
      </c>
      <c r="BR29" s="14">
        <v>0</v>
      </c>
      <c r="BS29" s="15">
        <v>0</v>
      </c>
      <c r="BT29" s="13">
        <v>0</v>
      </c>
      <c r="BU29" s="14">
        <v>0</v>
      </c>
      <c r="BV29" s="15">
        <v>0</v>
      </c>
      <c r="BW29" s="13">
        <v>0</v>
      </c>
      <c r="BX29" s="14">
        <v>0</v>
      </c>
      <c r="BY29" s="15">
        <v>0</v>
      </c>
      <c r="BZ29" s="13">
        <v>0</v>
      </c>
      <c r="CA29" s="14">
        <v>0</v>
      </c>
      <c r="CB29" s="92">
        <v>0</v>
      </c>
    </row>
    <row r="30" spans="1:80" x14ac:dyDescent="0.25">
      <c r="A30" s="23">
        <f t="shared" si="1"/>
        <v>10</v>
      </c>
      <c r="B30" s="23">
        <f t="shared" si="2"/>
        <v>2</v>
      </c>
      <c r="C30" s="23" t="str">
        <f t="shared" si="0"/>
        <v>T10_2</v>
      </c>
      <c r="E30" s="3" t="str">
        <f>IF(VLOOKUP($C30,'2D-Chapra'!$C$2:$T$55,MID(E$1,2,2)+2,0)="","",VLOOKUP($C30,'2D-Chapra'!$C$2:$T$55,MID(E$1,2,2)+2,0))</f>
        <v/>
      </c>
      <c r="F30" s="4">
        <f>IF(VLOOKUP($C30,'2D-Chapra'!$C$2:$T$55,MID(F$1,2,2)+2,0)="","",VLOOKUP($C30,'2D-Chapra'!$C$2:$T$55,MID(F$1,2,2)+2,0))</f>
        <v>1</v>
      </c>
      <c r="G30" s="4" t="str">
        <f>IF(VLOOKUP($C30,'2D-Chapra'!$C$2:$T$55,MID(G$1,2,2)+2,0)="","",VLOOKUP($C30,'2D-Chapra'!$C$2:$T$55,MID(G$1,2,2)+2,0))</f>
        <v/>
      </c>
      <c r="H30" s="4" t="str">
        <f>IF(VLOOKUP($C30,'2D-Chapra'!$C$2:$T$55,MID(H$1,2,2)+2,0)="","",VLOOKUP($C30,'2D-Chapra'!$C$2:$T$55,MID(H$1,2,2)+2,0))</f>
        <v/>
      </c>
      <c r="I30" s="4" t="str">
        <f>IF(VLOOKUP($C30,'2D-Chapra'!$C$2:$T$55,MID(I$1,2,2)+2,0)="","",VLOOKUP($C30,'2D-Chapra'!$C$2:$T$55,MID(I$1,2,2)+2,0))</f>
        <v/>
      </c>
      <c r="J30" s="4" t="str">
        <f>IF(VLOOKUP($C30,'2D-Chapra'!$C$2:$T$55,MID(J$1,2,2)+2,0)="","",VLOOKUP($C30,'2D-Chapra'!$C$2:$T$55,MID(J$1,2,2)+2,0))</f>
        <v/>
      </c>
      <c r="K30" s="4" t="str">
        <f>IF(VLOOKUP($C30,'2D-Chapra'!$C$2:$T$55,MID(K$1,2,2)+2,0)="","",VLOOKUP($C30,'2D-Chapra'!$C$2:$T$55,MID(K$1,2,2)+2,0))</f>
        <v/>
      </c>
      <c r="L30" s="4" t="str">
        <f>IF(VLOOKUP($C30,'2D-Chapra'!$C$2:$T$55,MID(L$1,2,2)+2,0)="","",VLOOKUP($C30,'2D-Chapra'!$C$2:$T$55,MID(L$1,2,2)+2,0))</f>
        <v/>
      </c>
      <c r="M30" s="4" t="str">
        <f>IF(VLOOKUP($C30,'2D-Chapra'!$C$2:$T$55,MID(M$1,2,2)+2,0)="","",VLOOKUP($C30,'2D-Chapra'!$C$2:$T$55,MID(M$1,2,2)+2,0))</f>
        <v/>
      </c>
      <c r="N30" s="4" t="str">
        <f>IF(VLOOKUP($C30,'2D-Chapra'!$C$2:$T$55,MID(N$1,2,2)+2,0)="","",VLOOKUP($C30,'2D-Chapra'!$C$2:$T$55,MID(N$1,2,2)+2,0))</f>
        <v/>
      </c>
      <c r="O30" s="4" t="str">
        <f>IF(VLOOKUP($C30,'2D-Chapra'!$C$2:$T$55,MID(O$1,2,2)+2,0)="","",VLOOKUP($C30,'2D-Chapra'!$C$2:$T$55,MID(O$1,2,2)+2,0))</f>
        <v/>
      </c>
      <c r="P30" s="4" t="str">
        <f>IF(VLOOKUP($C30,'2D-Chapra'!$C$2:$T$55,MID(P$1,2,2)+2,0)="","",VLOOKUP($C30,'2D-Chapra'!$C$2:$T$55,MID(P$1,2,2)+2,0))</f>
        <v/>
      </c>
      <c r="Q30" s="4" t="str">
        <f>IF(VLOOKUP($C30,'2D-Chapra'!$C$2:$T$55,MID(Q$1,2,2)+2,0)="","",VLOOKUP($C30,'2D-Chapra'!$C$2:$T$55,MID(Q$1,2,2)+2,0))</f>
        <v/>
      </c>
      <c r="R30" s="4" t="str">
        <f>IF(VLOOKUP($C30,'2D-Chapra'!$C$2:$T$55,MID(R$1,2,2)+2,0)="","",VLOOKUP($C30,'2D-Chapra'!$C$2:$T$55,MID(R$1,2,2)+2,0))</f>
        <v/>
      </c>
      <c r="S30" s="4" t="str">
        <f>IF(VLOOKUP($C30,'2D-Chapra'!$C$2:$T$55,MID(S$1,2,2)+2,0)="","",VLOOKUP($C30,'2D-Chapra'!$C$2:$T$55,MID(S$1,2,2)+2,0))</f>
        <v/>
      </c>
      <c r="T30" s="5" t="str">
        <f>IF(VLOOKUP($C30,'2D-Chapra'!$C$2:$T$55,MID(T$1,2,2)+2,0)="","",VLOOKUP($C30,'2D-Chapra'!$C$2:$T$55,MID(T$1,2,2)+2,0))</f>
        <v/>
      </c>
      <c r="W30" s="93">
        <v>1</v>
      </c>
      <c r="X30" s="49">
        <v>1</v>
      </c>
      <c r="Y30" s="94">
        <v>-1</v>
      </c>
      <c r="Z30" s="95" t="s">
        <v>181</v>
      </c>
      <c r="AA30" s="3">
        <v>0</v>
      </c>
      <c r="AB30" s="4">
        <v>0</v>
      </c>
      <c r="AC30" s="17">
        <v>0</v>
      </c>
      <c r="AD30" s="16">
        <v>0</v>
      </c>
      <c r="AE30" s="4">
        <v>0</v>
      </c>
      <c r="AF30" s="17">
        <v>0</v>
      </c>
      <c r="AG30" s="16">
        <v>0</v>
      </c>
      <c r="AH30" s="4">
        <v>0</v>
      </c>
      <c r="AI30" s="17">
        <v>0</v>
      </c>
      <c r="AJ30" s="16">
        <v>0</v>
      </c>
      <c r="AK30" s="4">
        <v>0</v>
      </c>
      <c r="AL30" s="17">
        <v>0</v>
      </c>
      <c r="AM30" s="16">
        <v>0</v>
      </c>
      <c r="AN30" s="4">
        <v>0</v>
      </c>
      <c r="AO30" s="17">
        <v>0</v>
      </c>
      <c r="AP30" s="16">
        <v>0</v>
      </c>
      <c r="AQ30" s="4">
        <v>0</v>
      </c>
      <c r="AR30" s="17">
        <v>0</v>
      </c>
      <c r="AS30" s="16">
        <v>0</v>
      </c>
      <c r="AT30" s="4">
        <v>0</v>
      </c>
      <c r="AU30" s="17">
        <v>0</v>
      </c>
      <c r="AV30" s="16">
        <v>0</v>
      </c>
      <c r="AW30" s="4">
        <v>0</v>
      </c>
      <c r="AX30" s="17">
        <v>0</v>
      </c>
      <c r="AY30" s="16">
        <v>0</v>
      </c>
      <c r="AZ30" s="4">
        <v>0</v>
      </c>
      <c r="BA30" s="17">
        <v>0</v>
      </c>
      <c r="BB30" s="107">
        <f>-($Y31^2)+($Y30+$Y29)*$Y31-($Y29*$Y30)-($X31^2)+($X30+$X29)*$X31-($X29*$X30)</f>
        <v>-4</v>
      </c>
      <c r="BC30" s="11">
        <f>$Y31^2-2*$Y29*$Y31+$Y29^2+$X31^2-2*$X29*$X31+$X29^2</f>
        <v>8</v>
      </c>
      <c r="BD30" s="96">
        <f>BC31</f>
        <v>-4</v>
      </c>
      <c r="BE30" s="16">
        <v>0</v>
      </c>
      <c r="BF30" s="4">
        <v>0</v>
      </c>
      <c r="BG30" s="17">
        <v>0</v>
      </c>
      <c r="BH30" s="16">
        <v>0</v>
      </c>
      <c r="BI30" s="4">
        <v>0</v>
      </c>
      <c r="BJ30" s="17">
        <v>0</v>
      </c>
      <c r="BK30" s="16">
        <v>0</v>
      </c>
      <c r="BL30" s="4">
        <v>0</v>
      </c>
      <c r="BM30" s="17">
        <v>0</v>
      </c>
      <c r="BN30" s="16">
        <v>0</v>
      </c>
      <c r="BO30" s="4">
        <v>0</v>
      </c>
      <c r="BP30" s="17">
        <v>0</v>
      </c>
      <c r="BQ30" s="16">
        <v>0</v>
      </c>
      <c r="BR30" s="4">
        <v>0</v>
      </c>
      <c r="BS30" s="17">
        <v>0</v>
      </c>
      <c r="BT30" s="16">
        <v>0</v>
      </c>
      <c r="BU30" s="4">
        <v>0</v>
      </c>
      <c r="BV30" s="17">
        <v>0</v>
      </c>
      <c r="BW30" s="16">
        <v>0</v>
      </c>
      <c r="BX30" s="4">
        <v>0</v>
      </c>
      <c r="BY30" s="17">
        <v>0</v>
      </c>
      <c r="BZ30" s="16">
        <v>0</v>
      </c>
      <c r="CA30" s="4">
        <v>0</v>
      </c>
      <c r="CB30" s="5">
        <v>0</v>
      </c>
    </row>
    <row r="31" spans="1:80" x14ac:dyDescent="0.25">
      <c r="A31" s="23">
        <f t="shared" si="1"/>
        <v>10</v>
      </c>
      <c r="B31" s="23">
        <f t="shared" si="2"/>
        <v>3</v>
      </c>
      <c r="C31" s="23" t="str">
        <f t="shared" si="0"/>
        <v>T10_3</v>
      </c>
      <c r="E31" s="3" t="str">
        <f>IF(VLOOKUP($C31,'2D-Chapra'!$C$2:$T$55,MID(E$1,2,2)+2,0)="","",VLOOKUP($C31,'2D-Chapra'!$C$2:$T$55,MID(E$1,2,2)+2,0))</f>
        <v/>
      </c>
      <c r="F31" s="4" t="str">
        <f>IF(VLOOKUP($C31,'2D-Chapra'!$C$2:$T$55,MID(F$1,2,2)+2,0)="","",VLOOKUP($C31,'2D-Chapra'!$C$2:$T$55,MID(F$1,2,2)+2,0))</f>
        <v/>
      </c>
      <c r="G31" s="4" t="str">
        <f>IF(VLOOKUP($C31,'2D-Chapra'!$C$2:$T$55,MID(G$1,2,2)+2,0)="","",VLOOKUP($C31,'2D-Chapra'!$C$2:$T$55,MID(G$1,2,2)+2,0))</f>
        <v/>
      </c>
      <c r="H31" s="4">
        <f>IF(VLOOKUP($C31,'2D-Chapra'!$C$2:$T$55,MID(H$1,2,2)+2,0)="","",VLOOKUP($C31,'2D-Chapra'!$C$2:$T$55,MID(H$1,2,2)+2,0))</f>
        <v>1</v>
      </c>
      <c r="I31" s="4" t="str">
        <f>IF(VLOOKUP($C31,'2D-Chapra'!$C$2:$T$55,MID(I$1,2,2)+2,0)="","",VLOOKUP($C31,'2D-Chapra'!$C$2:$T$55,MID(I$1,2,2)+2,0))</f>
        <v/>
      </c>
      <c r="J31" s="4" t="str">
        <f>IF(VLOOKUP($C31,'2D-Chapra'!$C$2:$T$55,MID(J$1,2,2)+2,0)="","",VLOOKUP($C31,'2D-Chapra'!$C$2:$T$55,MID(J$1,2,2)+2,0))</f>
        <v/>
      </c>
      <c r="K31" s="4" t="str">
        <f>IF(VLOOKUP($C31,'2D-Chapra'!$C$2:$T$55,MID(K$1,2,2)+2,0)="","",VLOOKUP($C31,'2D-Chapra'!$C$2:$T$55,MID(K$1,2,2)+2,0))</f>
        <v/>
      </c>
      <c r="L31" s="4" t="str">
        <f>IF(VLOOKUP($C31,'2D-Chapra'!$C$2:$T$55,MID(L$1,2,2)+2,0)="","",VLOOKUP($C31,'2D-Chapra'!$C$2:$T$55,MID(L$1,2,2)+2,0))</f>
        <v/>
      </c>
      <c r="M31" s="4" t="str">
        <f>IF(VLOOKUP($C31,'2D-Chapra'!$C$2:$T$55,MID(M$1,2,2)+2,0)="","",VLOOKUP($C31,'2D-Chapra'!$C$2:$T$55,MID(M$1,2,2)+2,0))</f>
        <v/>
      </c>
      <c r="N31" s="4" t="str">
        <f>IF(VLOOKUP($C31,'2D-Chapra'!$C$2:$T$55,MID(N$1,2,2)+2,0)="","",VLOOKUP($C31,'2D-Chapra'!$C$2:$T$55,MID(N$1,2,2)+2,0))</f>
        <v/>
      </c>
      <c r="O31" s="4" t="str">
        <f>IF(VLOOKUP($C31,'2D-Chapra'!$C$2:$T$55,MID(O$1,2,2)+2,0)="","",VLOOKUP($C31,'2D-Chapra'!$C$2:$T$55,MID(O$1,2,2)+2,0))</f>
        <v/>
      </c>
      <c r="P31" s="4" t="str">
        <f>IF(VLOOKUP($C31,'2D-Chapra'!$C$2:$T$55,MID(P$1,2,2)+2,0)="","",VLOOKUP($C31,'2D-Chapra'!$C$2:$T$55,MID(P$1,2,2)+2,0))</f>
        <v/>
      </c>
      <c r="Q31" s="4" t="str">
        <f>IF(VLOOKUP($C31,'2D-Chapra'!$C$2:$T$55,MID(Q$1,2,2)+2,0)="","",VLOOKUP($C31,'2D-Chapra'!$C$2:$T$55,MID(Q$1,2,2)+2,0))</f>
        <v/>
      </c>
      <c r="R31" s="4" t="str">
        <f>IF(VLOOKUP($C31,'2D-Chapra'!$C$2:$T$55,MID(R$1,2,2)+2,0)="","",VLOOKUP($C31,'2D-Chapra'!$C$2:$T$55,MID(R$1,2,2)+2,0))</f>
        <v/>
      </c>
      <c r="S31" s="4" t="str">
        <f>IF(VLOOKUP($C31,'2D-Chapra'!$C$2:$T$55,MID(S$1,2,2)+2,0)="","",VLOOKUP($C31,'2D-Chapra'!$C$2:$T$55,MID(S$1,2,2)+2,0))</f>
        <v/>
      </c>
      <c r="T31" s="5" t="str">
        <f>IF(VLOOKUP($C31,'2D-Chapra'!$C$2:$T$55,MID(T$1,2,2)+2,0)="","",VLOOKUP($C31,'2D-Chapra'!$C$2:$T$55,MID(T$1,2,2)+2,0))</f>
        <v/>
      </c>
      <c r="W31" s="97">
        <v>1</v>
      </c>
      <c r="X31" s="98">
        <v>1</v>
      </c>
      <c r="Y31" s="99">
        <v>1</v>
      </c>
      <c r="Z31" s="100" t="s">
        <v>182</v>
      </c>
      <c r="AA31" s="108">
        <v>0</v>
      </c>
      <c r="AB31" s="19">
        <v>0</v>
      </c>
      <c r="AC31" s="20">
        <v>0</v>
      </c>
      <c r="AD31" s="18">
        <v>0</v>
      </c>
      <c r="AE31" s="19">
        <v>0</v>
      </c>
      <c r="AF31" s="20">
        <v>0</v>
      </c>
      <c r="AG31" s="18">
        <v>0</v>
      </c>
      <c r="AH31" s="19">
        <v>0</v>
      </c>
      <c r="AI31" s="20">
        <v>0</v>
      </c>
      <c r="AJ31" s="18">
        <v>0</v>
      </c>
      <c r="AK31" s="19">
        <v>0</v>
      </c>
      <c r="AL31" s="20">
        <v>0</v>
      </c>
      <c r="AM31" s="18">
        <v>0</v>
      </c>
      <c r="AN31" s="19">
        <v>0</v>
      </c>
      <c r="AO31" s="20">
        <v>0</v>
      </c>
      <c r="AP31" s="18">
        <v>0</v>
      </c>
      <c r="AQ31" s="19">
        <v>0</v>
      </c>
      <c r="AR31" s="20">
        <v>0</v>
      </c>
      <c r="AS31" s="18">
        <v>0</v>
      </c>
      <c r="AT31" s="19">
        <v>0</v>
      </c>
      <c r="AU31" s="20">
        <v>0</v>
      </c>
      <c r="AV31" s="18">
        <v>0</v>
      </c>
      <c r="AW31" s="19">
        <v>0</v>
      </c>
      <c r="AX31" s="20">
        <v>0</v>
      </c>
      <c r="AY31" s="18">
        <v>0</v>
      </c>
      <c r="AZ31" s="19">
        <v>0</v>
      </c>
      <c r="BA31" s="20">
        <v>0</v>
      </c>
      <c r="BB31" s="109">
        <f>($Y30-$Y29)*$Y31-$Y30^2+$Y29*$Y30+($X30-$X29)*$X31-$X30^2+$X29*$X30</f>
        <v>0</v>
      </c>
      <c r="BC31" s="102">
        <f>($Y29-$Y30)*$Y31+$Y29*$Y30-$Y29^2+($X29-$X30)*$X31+$X29*$X30-$X29^2</f>
        <v>-4</v>
      </c>
      <c r="BD31" s="103">
        <f>$Y30^2-2*$Y29*$Y30+$Y29^2+$X30^2-2*$X29*$X30+$X29^2</f>
        <v>4</v>
      </c>
      <c r="BE31" s="18">
        <v>0</v>
      </c>
      <c r="BF31" s="19">
        <v>0</v>
      </c>
      <c r="BG31" s="20">
        <v>0</v>
      </c>
      <c r="BH31" s="18">
        <v>0</v>
      </c>
      <c r="BI31" s="19">
        <v>0</v>
      </c>
      <c r="BJ31" s="20">
        <v>0</v>
      </c>
      <c r="BK31" s="18">
        <v>0</v>
      </c>
      <c r="BL31" s="19">
        <v>0</v>
      </c>
      <c r="BM31" s="20">
        <v>0</v>
      </c>
      <c r="BN31" s="18">
        <v>0</v>
      </c>
      <c r="BO31" s="19">
        <v>0</v>
      </c>
      <c r="BP31" s="20">
        <v>0</v>
      </c>
      <c r="BQ31" s="18">
        <v>0</v>
      </c>
      <c r="BR31" s="19">
        <v>0</v>
      </c>
      <c r="BS31" s="20">
        <v>0</v>
      </c>
      <c r="BT31" s="18">
        <v>0</v>
      </c>
      <c r="BU31" s="19">
        <v>0</v>
      </c>
      <c r="BV31" s="20">
        <v>0</v>
      </c>
      <c r="BW31" s="18">
        <v>0</v>
      </c>
      <c r="BX31" s="19">
        <v>0</v>
      </c>
      <c r="BY31" s="20">
        <v>0</v>
      </c>
      <c r="BZ31" s="18">
        <v>0</v>
      </c>
      <c r="CA31" s="19">
        <v>0</v>
      </c>
      <c r="CB31" s="104">
        <v>0</v>
      </c>
    </row>
    <row r="32" spans="1:80" x14ac:dyDescent="0.25">
      <c r="A32" s="23">
        <f t="shared" si="1"/>
        <v>11</v>
      </c>
      <c r="B32" s="23">
        <f t="shared" si="2"/>
        <v>1</v>
      </c>
      <c r="C32" s="23" t="str">
        <f t="shared" si="0"/>
        <v>T11_1</v>
      </c>
      <c r="E32" s="3" t="str">
        <f>IF(VLOOKUP($C32,'2D-Chapra'!$C$2:$T$55,MID(E$1,2,2)+2,0)="","",VLOOKUP($C32,'2D-Chapra'!$C$2:$T$55,MID(E$1,2,2)+2,0))</f>
        <v/>
      </c>
      <c r="F32" s="4">
        <f>IF(VLOOKUP($C32,'2D-Chapra'!$C$2:$T$55,MID(F$1,2,2)+2,0)="","",VLOOKUP($C32,'2D-Chapra'!$C$2:$T$55,MID(F$1,2,2)+2,0))</f>
        <v>1</v>
      </c>
      <c r="G32" s="4" t="str">
        <f>IF(VLOOKUP($C32,'2D-Chapra'!$C$2:$T$55,MID(G$1,2,2)+2,0)="","",VLOOKUP($C32,'2D-Chapra'!$C$2:$T$55,MID(G$1,2,2)+2,0))</f>
        <v/>
      </c>
      <c r="H32" s="4" t="str">
        <f>IF(VLOOKUP($C32,'2D-Chapra'!$C$2:$T$55,MID(H$1,2,2)+2,0)="","",VLOOKUP($C32,'2D-Chapra'!$C$2:$T$55,MID(H$1,2,2)+2,0))</f>
        <v/>
      </c>
      <c r="I32" s="4" t="str">
        <f>IF(VLOOKUP($C32,'2D-Chapra'!$C$2:$T$55,MID(I$1,2,2)+2,0)="","",VLOOKUP($C32,'2D-Chapra'!$C$2:$T$55,MID(I$1,2,2)+2,0))</f>
        <v/>
      </c>
      <c r="J32" s="4" t="str">
        <f>IF(VLOOKUP($C32,'2D-Chapra'!$C$2:$T$55,MID(J$1,2,2)+2,0)="","",VLOOKUP($C32,'2D-Chapra'!$C$2:$T$55,MID(J$1,2,2)+2,0))</f>
        <v/>
      </c>
      <c r="K32" s="4" t="str">
        <f>IF(VLOOKUP($C32,'2D-Chapra'!$C$2:$T$55,MID(K$1,2,2)+2,0)="","",VLOOKUP($C32,'2D-Chapra'!$C$2:$T$55,MID(K$1,2,2)+2,0))</f>
        <v/>
      </c>
      <c r="L32" s="4" t="str">
        <f>IF(VLOOKUP($C32,'2D-Chapra'!$C$2:$T$55,MID(L$1,2,2)+2,0)="","",VLOOKUP($C32,'2D-Chapra'!$C$2:$T$55,MID(L$1,2,2)+2,0))</f>
        <v/>
      </c>
      <c r="M32" s="4" t="str">
        <f>IF(VLOOKUP($C32,'2D-Chapra'!$C$2:$T$55,MID(M$1,2,2)+2,0)="","",VLOOKUP($C32,'2D-Chapra'!$C$2:$T$55,MID(M$1,2,2)+2,0))</f>
        <v/>
      </c>
      <c r="N32" s="4" t="str">
        <f>IF(VLOOKUP($C32,'2D-Chapra'!$C$2:$T$55,MID(N$1,2,2)+2,0)="","",VLOOKUP($C32,'2D-Chapra'!$C$2:$T$55,MID(N$1,2,2)+2,0))</f>
        <v/>
      </c>
      <c r="O32" s="4" t="str">
        <f>IF(VLOOKUP($C32,'2D-Chapra'!$C$2:$T$55,MID(O$1,2,2)+2,0)="","",VLOOKUP($C32,'2D-Chapra'!$C$2:$T$55,MID(O$1,2,2)+2,0))</f>
        <v/>
      </c>
      <c r="P32" s="4" t="str">
        <f>IF(VLOOKUP($C32,'2D-Chapra'!$C$2:$T$55,MID(P$1,2,2)+2,0)="","",VLOOKUP($C32,'2D-Chapra'!$C$2:$T$55,MID(P$1,2,2)+2,0))</f>
        <v/>
      </c>
      <c r="Q32" s="4" t="str">
        <f>IF(VLOOKUP($C32,'2D-Chapra'!$C$2:$T$55,MID(Q$1,2,2)+2,0)="","",VLOOKUP($C32,'2D-Chapra'!$C$2:$T$55,MID(Q$1,2,2)+2,0))</f>
        <v/>
      </c>
      <c r="R32" s="4" t="str">
        <f>IF(VLOOKUP($C32,'2D-Chapra'!$C$2:$T$55,MID(R$1,2,2)+2,0)="","",VLOOKUP($C32,'2D-Chapra'!$C$2:$T$55,MID(R$1,2,2)+2,0))</f>
        <v/>
      </c>
      <c r="S32" s="4" t="str">
        <f>IF(VLOOKUP($C32,'2D-Chapra'!$C$2:$T$55,MID(S$1,2,2)+2,0)="","",VLOOKUP($C32,'2D-Chapra'!$C$2:$T$55,MID(S$1,2,2)+2,0))</f>
        <v/>
      </c>
      <c r="T32" s="5" t="str">
        <f>IF(VLOOKUP($C32,'2D-Chapra'!$C$2:$T$55,MID(T$1,2,2)+2,0)="","",VLOOKUP($C32,'2D-Chapra'!$C$2:$T$55,MID(T$1,2,2)+2,0))</f>
        <v/>
      </c>
      <c r="W32" s="85">
        <v>1</v>
      </c>
      <c r="X32" s="86">
        <v>1</v>
      </c>
      <c r="Y32" s="87">
        <v>-1</v>
      </c>
      <c r="Z32" s="88" t="s">
        <v>183</v>
      </c>
      <c r="AA32" s="105">
        <v>0</v>
      </c>
      <c r="AB32" s="14">
        <v>0</v>
      </c>
      <c r="AC32" s="15">
        <v>0</v>
      </c>
      <c r="AD32" s="13">
        <v>0</v>
      </c>
      <c r="AE32" s="14">
        <v>0</v>
      </c>
      <c r="AF32" s="15">
        <v>0</v>
      </c>
      <c r="AG32" s="13">
        <v>0</v>
      </c>
      <c r="AH32" s="14">
        <v>0</v>
      </c>
      <c r="AI32" s="15">
        <v>0</v>
      </c>
      <c r="AJ32" s="13">
        <v>0</v>
      </c>
      <c r="AK32" s="14">
        <v>0</v>
      </c>
      <c r="AL32" s="15">
        <v>0</v>
      </c>
      <c r="AM32" s="13">
        <v>0</v>
      </c>
      <c r="AN32" s="14">
        <v>0</v>
      </c>
      <c r="AO32" s="15">
        <v>0</v>
      </c>
      <c r="AP32" s="13">
        <v>0</v>
      </c>
      <c r="AQ32" s="14">
        <v>0</v>
      </c>
      <c r="AR32" s="15">
        <v>0</v>
      </c>
      <c r="AS32" s="13">
        <v>0</v>
      </c>
      <c r="AT32" s="14">
        <v>0</v>
      </c>
      <c r="AU32" s="15">
        <v>0</v>
      </c>
      <c r="AV32" s="13">
        <v>0</v>
      </c>
      <c r="AW32" s="14">
        <v>0</v>
      </c>
      <c r="AX32" s="15">
        <v>0</v>
      </c>
      <c r="AY32" s="13">
        <v>0</v>
      </c>
      <c r="AZ32" s="14">
        <v>0</v>
      </c>
      <c r="BA32" s="15">
        <v>0</v>
      </c>
      <c r="BB32" s="13">
        <v>0</v>
      </c>
      <c r="BC32" s="14">
        <v>0</v>
      </c>
      <c r="BD32" s="15">
        <v>0</v>
      </c>
      <c r="BE32" s="106">
        <f>$Y34^2-2*$Y33*$Y34+$Y33^2+$X34^2-2*$X33*$X34+$X33^2</f>
        <v>4</v>
      </c>
      <c r="BF32" s="90">
        <f>BE33</f>
        <v>0</v>
      </c>
      <c r="BG32" s="91">
        <f>BE34</f>
        <v>-4</v>
      </c>
      <c r="BH32" s="13">
        <v>0</v>
      </c>
      <c r="BI32" s="14">
        <v>0</v>
      </c>
      <c r="BJ32" s="15">
        <v>0</v>
      </c>
      <c r="BK32" s="13">
        <v>0</v>
      </c>
      <c r="BL32" s="14">
        <v>0</v>
      </c>
      <c r="BM32" s="15">
        <v>0</v>
      </c>
      <c r="BN32" s="13">
        <v>0</v>
      </c>
      <c r="BO32" s="14">
        <v>0</v>
      </c>
      <c r="BP32" s="15">
        <v>0</v>
      </c>
      <c r="BQ32" s="13">
        <v>0</v>
      </c>
      <c r="BR32" s="14">
        <v>0</v>
      </c>
      <c r="BS32" s="15">
        <v>0</v>
      </c>
      <c r="BT32" s="13">
        <v>0</v>
      </c>
      <c r="BU32" s="14">
        <v>0</v>
      </c>
      <c r="BV32" s="15">
        <v>0</v>
      </c>
      <c r="BW32" s="13">
        <v>0</v>
      </c>
      <c r="BX32" s="14">
        <v>0</v>
      </c>
      <c r="BY32" s="15">
        <v>0</v>
      </c>
      <c r="BZ32" s="13">
        <v>0</v>
      </c>
      <c r="CA32" s="14">
        <v>0</v>
      </c>
      <c r="CB32" s="92">
        <v>0</v>
      </c>
    </row>
    <row r="33" spans="1:80" x14ac:dyDescent="0.25">
      <c r="A33" s="23">
        <f t="shared" si="1"/>
        <v>11</v>
      </c>
      <c r="B33" s="23">
        <f t="shared" si="2"/>
        <v>2</v>
      </c>
      <c r="C33" s="23" t="str">
        <f t="shared" si="0"/>
        <v>T11_2</v>
      </c>
      <c r="E33" s="3" t="str">
        <f>IF(VLOOKUP($C33,'2D-Chapra'!$C$2:$T$55,MID(E$1,2,2)+2,0)="","",VLOOKUP($C33,'2D-Chapra'!$C$2:$T$55,MID(E$1,2,2)+2,0))</f>
        <v/>
      </c>
      <c r="F33" s="4" t="str">
        <f>IF(VLOOKUP($C33,'2D-Chapra'!$C$2:$T$55,MID(F$1,2,2)+2,0)="","",VLOOKUP($C33,'2D-Chapra'!$C$2:$T$55,MID(F$1,2,2)+2,0))</f>
        <v/>
      </c>
      <c r="G33" s="4" t="str">
        <f>IF(VLOOKUP($C33,'2D-Chapra'!$C$2:$T$55,MID(G$1,2,2)+2,0)="","",VLOOKUP($C33,'2D-Chapra'!$C$2:$T$55,MID(G$1,2,2)+2,0))</f>
        <v/>
      </c>
      <c r="H33" s="4" t="str">
        <f>IF(VLOOKUP($C33,'2D-Chapra'!$C$2:$T$55,MID(H$1,2,2)+2,0)="","",VLOOKUP($C33,'2D-Chapra'!$C$2:$T$55,MID(H$1,2,2)+2,0))</f>
        <v/>
      </c>
      <c r="I33" s="4" t="str">
        <f>IF(VLOOKUP($C33,'2D-Chapra'!$C$2:$T$55,MID(I$1,2,2)+2,0)="","",VLOOKUP($C33,'2D-Chapra'!$C$2:$T$55,MID(I$1,2,2)+2,0))</f>
        <v/>
      </c>
      <c r="J33" s="4" t="str">
        <f>IF(VLOOKUP($C33,'2D-Chapra'!$C$2:$T$55,MID(J$1,2,2)+2,0)="","",VLOOKUP($C33,'2D-Chapra'!$C$2:$T$55,MID(J$1,2,2)+2,0))</f>
        <v/>
      </c>
      <c r="K33" s="4" t="str">
        <f>IF(VLOOKUP($C33,'2D-Chapra'!$C$2:$T$55,MID(K$1,2,2)+2,0)="","",VLOOKUP($C33,'2D-Chapra'!$C$2:$T$55,MID(K$1,2,2)+2,0))</f>
        <v/>
      </c>
      <c r="L33" s="4" t="str">
        <f>IF(VLOOKUP($C33,'2D-Chapra'!$C$2:$T$55,MID(L$1,2,2)+2,0)="","",VLOOKUP($C33,'2D-Chapra'!$C$2:$T$55,MID(L$1,2,2)+2,0))</f>
        <v/>
      </c>
      <c r="M33" s="4" t="str">
        <f>IF(VLOOKUP($C33,'2D-Chapra'!$C$2:$T$55,MID(M$1,2,2)+2,0)="","",VLOOKUP($C33,'2D-Chapra'!$C$2:$T$55,MID(M$1,2,2)+2,0))</f>
        <v/>
      </c>
      <c r="N33" s="4" t="str">
        <f>IF(VLOOKUP($C33,'2D-Chapra'!$C$2:$T$55,MID(N$1,2,2)+2,0)="","",VLOOKUP($C33,'2D-Chapra'!$C$2:$T$55,MID(N$1,2,2)+2,0))</f>
        <v/>
      </c>
      <c r="O33" s="4" t="str">
        <f>IF(VLOOKUP($C33,'2D-Chapra'!$C$2:$T$55,MID(O$1,2,2)+2,0)="","",VLOOKUP($C33,'2D-Chapra'!$C$2:$T$55,MID(O$1,2,2)+2,0))</f>
        <v/>
      </c>
      <c r="P33" s="4">
        <f>IF(VLOOKUP($C33,'2D-Chapra'!$C$2:$T$55,MID(P$1,2,2)+2,0)="","",VLOOKUP($C33,'2D-Chapra'!$C$2:$T$55,MID(P$1,2,2)+2,0))</f>
        <v>1</v>
      </c>
      <c r="Q33" s="4" t="str">
        <f>IF(VLOOKUP($C33,'2D-Chapra'!$C$2:$T$55,MID(Q$1,2,2)+2,0)="","",VLOOKUP($C33,'2D-Chapra'!$C$2:$T$55,MID(Q$1,2,2)+2,0))</f>
        <v/>
      </c>
      <c r="R33" s="4" t="str">
        <f>IF(VLOOKUP($C33,'2D-Chapra'!$C$2:$T$55,MID(R$1,2,2)+2,0)="","",VLOOKUP($C33,'2D-Chapra'!$C$2:$T$55,MID(R$1,2,2)+2,0))</f>
        <v/>
      </c>
      <c r="S33" s="4" t="str">
        <f>IF(VLOOKUP($C33,'2D-Chapra'!$C$2:$T$55,MID(S$1,2,2)+2,0)="","",VLOOKUP($C33,'2D-Chapra'!$C$2:$T$55,MID(S$1,2,2)+2,0))</f>
        <v/>
      </c>
      <c r="T33" s="5" t="str">
        <f>IF(VLOOKUP($C33,'2D-Chapra'!$C$2:$T$55,MID(T$1,2,2)+2,0)="","",VLOOKUP($C33,'2D-Chapra'!$C$2:$T$55,MID(T$1,2,2)+2,0))</f>
        <v/>
      </c>
      <c r="W33" s="93">
        <v>1</v>
      </c>
      <c r="X33" s="49">
        <v>3</v>
      </c>
      <c r="Y33" s="94">
        <v>1</v>
      </c>
      <c r="Z33" s="95" t="s">
        <v>184</v>
      </c>
      <c r="AA33" s="3">
        <v>0</v>
      </c>
      <c r="AB33" s="4">
        <v>0</v>
      </c>
      <c r="AC33" s="17">
        <v>0</v>
      </c>
      <c r="AD33" s="16">
        <v>0</v>
      </c>
      <c r="AE33" s="4">
        <v>0</v>
      </c>
      <c r="AF33" s="17">
        <v>0</v>
      </c>
      <c r="AG33" s="16">
        <v>0</v>
      </c>
      <c r="AH33" s="4">
        <v>0</v>
      </c>
      <c r="AI33" s="17">
        <v>0</v>
      </c>
      <c r="AJ33" s="16">
        <v>0</v>
      </c>
      <c r="AK33" s="4">
        <v>0</v>
      </c>
      <c r="AL33" s="17">
        <v>0</v>
      </c>
      <c r="AM33" s="16">
        <v>0</v>
      </c>
      <c r="AN33" s="4">
        <v>0</v>
      </c>
      <c r="AO33" s="17">
        <v>0</v>
      </c>
      <c r="AP33" s="16">
        <v>0</v>
      </c>
      <c r="AQ33" s="4">
        <v>0</v>
      </c>
      <c r="AR33" s="17">
        <v>0</v>
      </c>
      <c r="AS33" s="16">
        <v>0</v>
      </c>
      <c r="AT33" s="4">
        <v>0</v>
      </c>
      <c r="AU33" s="17">
        <v>0</v>
      </c>
      <c r="AV33" s="16">
        <v>0</v>
      </c>
      <c r="AW33" s="4">
        <v>0</v>
      </c>
      <c r="AX33" s="17">
        <v>0</v>
      </c>
      <c r="AY33" s="16">
        <v>0</v>
      </c>
      <c r="AZ33" s="4">
        <v>0</v>
      </c>
      <c r="BA33" s="17">
        <v>0</v>
      </c>
      <c r="BB33" s="16">
        <v>0</v>
      </c>
      <c r="BC33" s="4">
        <v>0</v>
      </c>
      <c r="BD33" s="17">
        <v>0</v>
      </c>
      <c r="BE33" s="107">
        <f>-($Y34^2)+($Y33+$Y32)*$Y34-($Y32*$Y33)-($X34^2)+($X33+$X32)*$X34-($X32*$X33)</f>
        <v>0</v>
      </c>
      <c r="BF33" s="11">
        <f>$Y34^2-2*$Y32*$Y34+$Y32^2+$X34^2-2*$X32*$X34+$X32^2</f>
        <v>4</v>
      </c>
      <c r="BG33" s="96">
        <f>BF34</f>
        <v>-4</v>
      </c>
      <c r="BH33" s="16">
        <v>0</v>
      </c>
      <c r="BI33" s="4">
        <v>0</v>
      </c>
      <c r="BJ33" s="17">
        <v>0</v>
      </c>
      <c r="BK33" s="16">
        <v>0</v>
      </c>
      <c r="BL33" s="4">
        <v>0</v>
      </c>
      <c r="BM33" s="17">
        <v>0</v>
      </c>
      <c r="BN33" s="16">
        <v>0</v>
      </c>
      <c r="BO33" s="4">
        <v>0</v>
      </c>
      <c r="BP33" s="17">
        <v>0</v>
      </c>
      <c r="BQ33" s="16">
        <v>0</v>
      </c>
      <c r="BR33" s="4">
        <v>0</v>
      </c>
      <c r="BS33" s="17">
        <v>0</v>
      </c>
      <c r="BT33" s="16">
        <v>0</v>
      </c>
      <c r="BU33" s="4">
        <v>0</v>
      </c>
      <c r="BV33" s="17">
        <v>0</v>
      </c>
      <c r="BW33" s="16">
        <v>0</v>
      </c>
      <c r="BX33" s="4">
        <v>0</v>
      </c>
      <c r="BY33" s="17">
        <v>0</v>
      </c>
      <c r="BZ33" s="16">
        <v>0</v>
      </c>
      <c r="CA33" s="4">
        <v>0</v>
      </c>
      <c r="CB33" s="5">
        <v>0</v>
      </c>
    </row>
    <row r="34" spans="1:80" x14ac:dyDescent="0.25">
      <c r="A34" s="23">
        <f t="shared" si="1"/>
        <v>11</v>
      </c>
      <c r="B34" s="23">
        <f t="shared" si="2"/>
        <v>3</v>
      </c>
      <c r="C34" s="23" t="str">
        <f t="shared" si="0"/>
        <v>T11_3</v>
      </c>
      <c r="E34" s="3" t="str">
        <f>IF(VLOOKUP($C34,'2D-Chapra'!$C$2:$T$55,MID(E$1,2,2)+2,0)="","",VLOOKUP($C34,'2D-Chapra'!$C$2:$T$55,MID(E$1,2,2)+2,0))</f>
        <v/>
      </c>
      <c r="F34" s="4" t="str">
        <f>IF(VLOOKUP($C34,'2D-Chapra'!$C$2:$T$55,MID(F$1,2,2)+2,0)="","",VLOOKUP($C34,'2D-Chapra'!$C$2:$T$55,MID(F$1,2,2)+2,0))</f>
        <v/>
      </c>
      <c r="G34" s="4" t="str">
        <f>IF(VLOOKUP($C34,'2D-Chapra'!$C$2:$T$55,MID(G$1,2,2)+2,0)="","",VLOOKUP($C34,'2D-Chapra'!$C$2:$T$55,MID(G$1,2,2)+2,0))</f>
        <v/>
      </c>
      <c r="H34" s="4">
        <f>IF(VLOOKUP($C34,'2D-Chapra'!$C$2:$T$55,MID(H$1,2,2)+2,0)="","",VLOOKUP($C34,'2D-Chapra'!$C$2:$T$55,MID(H$1,2,2)+2,0))</f>
        <v>1</v>
      </c>
      <c r="I34" s="4" t="str">
        <f>IF(VLOOKUP($C34,'2D-Chapra'!$C$2:$T$55,MID(I$1,2,2)+2,0)="","",VLOOKUP($C34,'2D-Chapra'!$C$2:$T$55,MID(I$1,2,2)+2,0))</f>
        <v/>
      </c>
      <c r="J34" s="4" t="str">
        <f>IF(VLOOKUP($C34,'2D-Chapra'!$C$2:$T$55,MID(J$1,2,2)+2,0)="","",VLOOKUP($C34,'2D-Chapra'!$C$2:$T$55,MID(J$1,2,2)+2,0))</f>
        <v/>
      </c>
      <c r="K34" s="4" t="str">
        <f>IF(VLOOKUP($C34,'2D-Chapra'!$C$2:$T$55,MID(K$1,2,2)+2,0)="","",VLOOKUP($C34,'2D-Chapra'!$C$2:$T$55,MID(K$1,2,2)+2,0))</f>
        <v/>
      </c>
      <c r="L34" s="4" t="str">
        <f>IF(VLOOKUP($C34,'2D-Chapra'!$C$2:$T$55,MID(L$1,2,2)+2,0)="","",VLOOKUP($C34,'2D-Chapra'!$C$2:$T$55,MID(L$1,2,2)+2,0))</f>
        <v/>
      </c>
      <c r="M34" s="4" t="str">
        <f>IF(VLOOKUP($C34,'2D-Chapra'!$C$2:$T$55,MID(M$1,2,2)+2,0)="","",VLOOKUP($C34,'2D-Chapra'!$C$2:$T$55,MID(M$1,2,2)+2,0))</f>
        <v/>
      </c>
      <c r="N34" s="4" t="str">
        <f>IF(VLOOKUP($C34,'2D-Chapra'!$C$2:$T$55,MID(N$1,2,2)+2,0)="","",VLOOKUP($C34,'2D-Chapra'!$C$2:$T$55,MID(N$1,2,2)+2,0))</f>
        <v/>
      </c>
      <c r="O34" s="4" t="str">
        <f>IF(VLOOKUP($C34,'2D-Chapra'!$C$2:$T$55,MID(O$1,2,2)+2,0)="","",VLOOKUP($C34,'2D-Chapra'!$C$2:$T$55,MID(O$1,2,2)+2,0))</f>
        <v/>
      </c>
      <c r="P34" s="4" t="str">
        <f>IF(VLOOKUP($C34,'2D-Chapra'!$C$2:$T$55,MID(P$1,2,2)+2,0)="","",VLOOKUP($C34,'2D-Chapra'!$C$2:$T$55,MID(P$1,2,2)+2,0))</f>
        <v/>
      </c>
      <c r="Q34" s="4" t="str">
        <f>IF(VLOOKUP($C34,'2D-Chapra'!$C$2:$T$55,MID(Q$1,2,2)+2,0)="","",VLOOKUP($C34,'2D-Chapra'!$C$2:$T$55,MID(Q$1,2,2)+2,0))</f>
        <v/>
      </c>
      <c r="R34" s="4" t="str">
        <f>IF(VLOOKUP($C34,'2D-Chapra'!$C$2:$T$55,MID(R$1,2,2)+2,0)="","",VLOOKUP($C34,'2D-Chapra'!$C$2:$T$55,MID(R$1,2,2)+2,0))</f>
        <v/>
      </c>
      <c r="S34" s="4" t="str">
        <f>IF(VLOOKUP($C34,'2D-Chapra'!$C$2:$T$55,MID(S$1,2,2)+2,0)="","",VLOOKUP($C34,'2D-Chapra'!$C$2:$T$55,MID(S$1,2,2)+2,0))</f>
        <v/>
      </c>
      <c r="T34" s="5" t="str">
        <f>IF(VLOOKUP($C34,'2D-Chapra'!$C$2:$T$55,MID(T$1,2,2)+2,0)="","",VLOOKUP($C34,'2D-Chapra'!$C$2:$T$55,MID(T$1,2,2)+2,0))</f>
        <v/>
      </c>
      <c r="W34" s="97">
        <v>1</v>
      </c>
      <c r="X34" s="98">
        <v>1</v>
      </c>
      <c r="Y34" s="99">
        <v>1</v>
      </c>
      <c r="Z34" s="100" t="s">
        <v>185</v>
      </c>
      <c r="AA34" s="108">
        <v>0</v>
      </c>
      <c r="AB34" s="19">
        <v>0</v>
      </c>
      <c r="AC34" s="20">
        <v>0</v>
      </c>
      <c r="AD34" s="18">
        <v>0</v>
      </c>
      <c r="AE34" s="19">
        <v>0</v>
      </c>
      <c r="AF34" s="20">
        <v>0</v>
      </c>
      <c r="AG34" s="18">
        <v>0</v>
      </c>
      <c r="AH34" s="19">
        <v>0</v>
      </c>
      <c r="AI34" s="20">
        <v>0</v>
      </c>
      <c r="AJ34" s="18">
        <v>0</v>
      </c>
      <c r="AK34" s="19">
        <v>0</v>
      </c>
      <c r="AL34" s="20">
        <v>0</v>
      </c>
      <c r="AM34" s="18">
        <v>0</v>
      </c>
      <c r="AN34" s="19">
        <v>0</v>
      </c>
      <c r="AO34" s="20">
        <v>0</v>
      </c>
      <c r="AP34" s="18">
        <v>0</v>
      </c>
      <c r="AQ34" s="19">
        <v>0</v>
      </c>
      <c r="AR34" s="20">
        <v>0</v>
      </c>
      <c r="AS34" s="18">
        <v>0</v>
      </c>
      <c r="AT34" s="19">
        <v>0</v>
      </c>
      <c r="AU34" s="20">
        <v>0</v>
      </c>
      <c r="AV34" s="18">
        <v>0</v>
      </c>
      <c r="AW34" s="19">
        <v>0</v>
      </c>
      <c r="AX34" s="20">
        <v>0</v>
      </c>
      <c r="AY34" s="18">
        <v>0</v>
      </c>
      <c r="AZ34" s="19">
        <v>0</v>
      </c>
      <c r="BA34" s="20">
        <v>0</v>
      </c>
      <c r="BB34" s="18">
        <v>0</v>
      </c>
      <c r="BC34" s="19">
        <v>0</v>
      </c>
      <c r="BD34" s="20">
        <v>0</v>
      </c>
      <c r="BE34" s="109">
        <f>($Y33-$Y32)*$Y34-$Y33^2+$Y32*$Y33+($X33-$X32)*$X34-$X33^2+$X32*$X33</f>
        <v>-4</v>
      </c>
      <c r="BF34" s="102">
        <f>($Y32-$Y33)*$Y34+$Y32*$Y33-$Y32^2+($X32-$X33)*$X34+$X32*$X33-$X32^2</f>
        <v>-4</v>
      </c>
      <c r="BG34" s="103">
        <f>$Y33^2-2*$Y32*$Y33+$Y32^2+$X33^2-2*$X32*$X33+$X32^2</f>
        <v>8</v>
      </c>
      <c r="BH34" s="18">
        <v>0</v>
      </c>
      <c r="BI34" s="19">
        <v>0</v>
      </c>
      <c r="BJ34" s="20">
        <v>0</v>
      </c>
      <c r="BK34" s="18">
        <v>0</v>
      </c>
      <c r="BL34" s="19">
        <v>0</v>
      </c>
      <c r="BM34" s="20">
        <v>0</v>
      </c>
      <c r="BN34" s="18">
        <v>0</v>
      </c>
      <c r="BO34" s="19">
        <v>0</v>
      </c>
      <c r="BP34" s="20">
        <v>0</v>
      </c>
      <c r="BQ34" s="18">
        <v>0</v>
      </c>
      <c r="BR34" s="19">
        <v>0</v>
      </c>
      <c r="BS34" s="20">
        <v>0</v>
      </c>
      <c r="BT34" s="18">
        <v>0</v>
      </c>
      <c r="BU34" s="19">
        <v>0</v>
      </c>
      <c r="BV34" s="20">
        <v>0</v>
      </c>
      <c r="BW34" s="18">
        <v>0</v>
      </c>
      <c r="BX34" s="19">
        <v>0</v>
      </c>
      <c r="BY34" s="20">
        <v>0</v>
      </c>
      <c r="BZ34" s="18">
        <v>0</v>
      </c>
      <c r="CA34" s="19">
        <v>0</v>
      </c>
      <c r="CB34" s="104">
        <v>0</v>
      </c>
    </row>
    <row r="35" spans="1:80" x14ac:dyDescent="0.25">
      <c r="A35" s="23">
        <f t="shared" si="1"/>
        <v>12</v>
      </c>
      <c r="B35" s="23">
        <f t="shared" si="2"/>
        <v>1</v>
      </c>
      <c r="C35" s="23" t="str">
        <f t="shared" si="0"/>
        <v>T12_1</v>
      </c>
      <c r="E35" s="3" t="str">
        <f>IF(VLOOKUP($C35,'2D-Chapra'!$C$2:$T$55,MID(E$1,2,2)+2,0)="","",VLOOKUP($C35,'2D-Chapra'!$C$2:$T$55,MID(E$1,2,2)+2,0))</f>
        <v/>
      </c>
      <c r="F35" s="4">
        <f>IF(VLOOKUP($C35,'2D-Chapra'!$C$2:$T$55,MID(F$1,2,2)+2,0)="","",VLOOKUP($C35,'2D-Chapra'!$C$2:$T$55,MID(F$1,2,2)+2,0))</f>
        <v>1</v>
      </c>
      <c r="G35" s="4" t="str">
        <f>IF(VLOOKUP($C35,'2D-Chapra'!$C$2:$T$55,MID(G$1,2,2)+2,0)="","",VLOOKUP($C35,'2D-Chapra'!$C$2:$T$55,MID(G$1,2,2)+2,0))</f>
        <v/>
      </c>
      <c r="H35" s="4" t="str">
        <f>IF(VLOOKUP($C35,'2D-Chapra'!$C$2:$T$55,MID(H$1,2,2)+2,0)="","",VLOOKUP($C35,'2D-Chapra'!$C$2:$T$55,MID(H$1,2,2)+2,0))</f>
        <v/>
      </c>
      <c r="I35" s="4" t="str">
        <f>IF(VLOOKUP($C35,'2D-Chapra'!$C$2:$T$55,MID(I$1,2,2)+2,0)="","",VLOOKUP($C35,'2D-Chapra'!$C$2:$T$55,MID(I$1,2,2)+2,0))</f>
        <v/>
      </c>
      <c r="J35" s="4" t="str">
        <f>IF(VLOOKUP($C35,'2D-Chapra'!$C$2:$T$55,MID(J$1,2,2)+2,0)="","",VLOOKUP($C35,'2D-Chapra'!$C$2:$T$55,MID(J$1,2,2)+2,0))</f>
        <v/>
      </c>
      <c r="K35" s="4" t="str">
        <f>IF(VLOOKUP($C35,'2D-Chapra'!$C$2:$T$55,MID(K$1,2,2)+2,0)="","",VLOOKUP($C35,'2D-Chapra'!$C$2:$T$55,MID(K$1,2,2)+2,0))</f>
        <v/>
      </c>
      <c r="L35" s="4" t="str">
        <f>IF(VLOOKUP($C35,'2D-Chapra'!$C$2:$T$55,MID(L$1,2,2)+2,0)="","",VLOOKUP($C35,'2D-Chapra'!$C$2:$T$55,MID(L$1,2,2)+2,0))</f>
        <v/>
      </c>
      <c r="M35" s="4" t="str">
        <f>IF(VLOOKUP($C35,'2D-Chapra'!$C$2:$T$55,MID(M$1,2,2)+2,0)="","",VLOOKUP($C35,'2D-Chapra'!$C$2:$T$55,MID(M$1,2,2)+2,0))</f>
        <v/>
      </c>
      <c r="N35" s="4" t="str">
        <f>IF(VLOOKUP($C35,'2D-Chapra'!$C$2:$T$55,MID(N$1,2,2)+2,0)="","",VLOOKUP($C35,'2D-Chapra'!$C$2:$T$55,MID(N$1,2,2)+2,0))</f>
        <v/>
      </c>
      <c r="O35" s="4" t="str">
        <f>IF(VLOOKUP($C35,'2D-Chapra'!$C$2:$T$55,MID(O$1,2,2)+2,0)="","",VLOOKUP($C35,'2D-Chapra'!$C$2:$T$55,MID(O$1,2,2)+2,0))</f>
        <v/>
      </c>
      <c r="P35" s="4" t="str">
        <f>IF(VLOOKUP($C35,'2D-Chapra'!$C$2:$T$55,MID(P$1,2,2)+2,0)="","",VLOOKUP($C35,'2D-Chapra'!$C$2:$T$55,MID(P$1,2,2)+2,0))</f>
        <v/>
      </c>
      <c r="Q35" s="4" t="str">
        <f>IF(VLOOKUP($C35,'2D-Chapra'!$C$2:$T$55,MID(Q$1,2,2)+2,0)="","",VLOOKUP($C35,'2D-Chapra'!$C$2:$T$55,MID(Q$1,2,2)+2,0))</f>
        <v/>
      </c>
      <c r="R35" s="4" t="str">
        <f>IF(VLOOKUP($C35,'2D-Chapra'!$C$2:$T$55,MID(R$1,2,2)+2,0)="","",VLOOKUP($C35,'2D-Chapra'!$C$2:$T$55,MID(R$1,2,2)+2,0))</f>
        <v/>
      </c>
      <c r="S35" s="4" t="str">
        <f>IF(VLOOKUP($C35,'2D-Chapra'!$C$2:$T$55,MID(S$1,2,2)+2,0)="","",VLOOKUP($C35,'2D-Chapra'!$C$2:$T$55,MID(S$1,2,2)+2,0))</f>
        <v/>
      </c>
      <c r="T35" s="5" t="str">
        <f>IF(VLOOKUP($C35,'2D-Chapra'!$C$2:$T$55,MID(T$1,2,2)+2,0)="","",VLOOKUP($C35,'2D-Chapra'!$C$2:$T$55,MID(T$1,2,2)+2,0))</f>
        <v/>
      </c>
      <c r="W35" s="85">
        <v>1</v>
      </c>
      <c r="X35" s="86">
        <v>1</v>
      </c>
      <c r="Y35" s="87">
        <v>-1</v>
      </c>
      <c r="Z35" s="88" t="s">
        <v>186</v>
      </c>
      <c r="AA35" s="105">
        <v>0</v>
      </c>
      <c r="AB35" s="14">
        <v>0</v>
      </c>
      <c r="AC35" s="15">
        <v>0</v>
      </c>
      <c r="AD35" s="13">
        <v>0</v>
      </c>
      <c r="AE35" s="14">
        <v>0</v>
      </c>
      <c r="AF35" s="15">
        <v>0</v>
      </c>
      <c r="AG35" s="13">
        <v>0</v>
      </c>
      <c r="AH35" s="14">
        <v>0</v>
      </c>
      <c r="AI35" s="15">
        <v>0</v>
      </c>
      <c r="AJ35" s="13">
        <v>0</v>
      </c>
      <c r="AK35" s="14">
        <v>0</v>
      </c>
      <c r="AL35" s="15">
        <v>0</v>
      </c>
      <c r="AM35" s="13">
        <v>0</v>
      </c>
      <c r="AN35" s="14">
        <v>0</v>
      </c>
      <c r="AO35" s="15">
        <v>0</v>
      </c>
      <c r="AP35" s="13">
        <v>0</v>
      </c>
      <c r="AQ35" s="14">
        <v>0</v>
      </c>
      <c r="AR35" s="15">
        <v>0</v>
      </c>
      <c r="AS35" s="13">
        <v>0</v>
      </c>
      <c r="AT35" s="14">
        <v>0</v>
      </c>
      <c r="AU35" s="15">
        <v>0</v>
      </c>
      <c r="AV35" s="13">
        <v>0</v>
      </c>
      <c r="AW35" s="14">
        <v>0</v>
      </c>
      <c r="AX35" s="15">
        <v>0</v>
      </c>
      <c r="AY35" s="13">
        <v>0</v>
      </c>
      <c r="AZ35" s="14">
        <v>0</v>
      </c>
      <c r="BA35" s="15">
        <v>0</v>
      </c>
      <c r="BB35" s="13">
        <v>0</v>
      </c>
      <c r="BC35" s="14">
        <v>0</v>
      </c>
      <c r="BD35" s="15">
        <v>0</v>
      </c>
      <c r="BE35" s="13">
        <v>0</v>
      </c>
      <c r="BF35" s="14">
        <v>0</v>
      </c>
      <c r="BG35" s="15">
        <v>0</v>
      </c>
      <c r="BH35" s="106">
        <f>$Y37^2-2*$Y36*$Y37+$Y36^2+$X37^2-2*$X36*$X37+$X36^2</f>
        <v>4</v>
      </c>
      <c r="BI35" s="90">
        <f>BH36</f>
        <v>-4</v>
      </c>
      <c r="BJ35" s="91">
        <f>BH37</f>
        <v>0</v>
      </c>
      <c r="BK35" s="13">
        <v>0</v>
      </c>
      <c r="BL35" s="14">
        <v>0</v>
      </c>
      <c r="BM35" s="15">
        <v>0</v>
      </c>
      <c r="BN35" s="13">
        <v>0</v>
      </c>
      <c r="BO35" s="14">
        <v>0</v>
      </c>
      <c r="BP35" s="15">
        <v>0</v>
      </c>
      <c r="BQ35" s="13">
        <v>0</v>
      </c>
      <c r="BR35" s="14">
        <v>0</v>
      </c>
      <c r="BS35" s="15">
        <v>0</v>
      </c>
      <c r="BT35" s="13">
        <v>0</v>
      </c>
      <c r="BU35" s="14">
        <v>0</v>
      </c>
      <c r="BV35" s="15">
        <v>0</v>
      </c>
      <c r="BW35" s="13">
        <v>0</v>
      </c>
      <c r="BX35" s="14">
        <v>0</v>
      </c>
      <c r="BY35" s="15">
        <v>0</v>
      </c>
      <c r="BZ35" s="13">
        <v>0</v>
      </c>
      <c r="CA35" s="14">
        <v>0</v>
      </c>
      <c r="CB35" s="92">
        <v>0</v>
      </c>
    </row>
    <row r="36" spans="1:80" x14ac:dyDescent="0.25">
      <c r="A36" s="23">
        <f t="shared" si="1"/>
        <v>12</v>
      </c>
      <c r="B36" s="23">
        <f t="shared" si="2"/>
        <v>2</v>
      </c>
      <c r="C36" s="23" t="str">
        <f t="shared" si="0"/>
        <v>T12_2</v>
      </c>
      <c r="E36" s="3" t="str">
        <f>IF(VLOOKUP($C36,'2D-Chapra'!$C$2:$T$55,MID(E$1,2,2)+2,0)="","",VLOOKUP($C36,'2D-Chapra'!$C$2:$T$55,MID(E$1,2,2)+2,0))</f>
        <v/>
      </c>
      <c r="F36" s="4" t="str">
        <f>IF(VLOOKUP($C36,'2D-Chapra'!$C$2:$T$55,MID(F$1,2,2)+2,0)="","",VLOOKUP($C36,'2D-Chapra'!$C$2:$T$55,MID(F$1,2,2)+2,0))</f>
        <v/>
      </c>
      <c r="G36" s="4" t="str">
        <f>IF(VLOOKUP($C36,'2D-Chapra'!$C$2:$T$55,MID(G$1,2,2)+2,0)="","",VLOOKUP($C36,'2D-Chapra'!$C$2:$T$55,MID(G$1,2,2)+2,0))</f>
        <v/>
      </c>
      <c r="H36" s="4" t="str">
        <f>IF(VLOOKUP($C36,'2D-Chapra'!$C$2:$T$55,MID(H$1,2,2)+2,0)="","",VLOOKUP($C36,'2D-Chapra'!$C$2:$T$55,MID(H$1,2,2)+2,0))</f>
        <v/>
      </c>
      <c r="I36" s="4" t="str">
        <f>IF(VLOOKUP($C36,'2D-Chapra'!$C$2:$T$55,MID(I$1,2,2)+2,0)="","",VLOOKUP($C36,'2D-Chapra'!$C$2:$T$55,MID(I$1,2,2)+2,0))</f>
        <v/>
      </c>
      <c r="J36" s="4" t="str">
        <f>IF(VLOOKUP($C36,'2D-Chapra'!$C$2:$T$55,MID(J$1,2,2)+2,0)="","",VLOOKUP($C36,'2D-Chapra'!$C$2:$T$55,MID(J$1,2,2)+2,0))</f>
        <v/>
      </c>
      <c r="K36" s="4" t="str">
        <f>IF(VLOOKUP($C36,'2D-Chapra'!$C$2:$T$55,MID(K$1,2,2)+2,0)="","",VLOOKUP($C36,'2D-Chapra'!$C$2:$T$55,MID(K$1,2,2)+2,0))</f>
        <v/>
      </c>
      <c r="L36" s="4" t="str">
        <f>IF(VLOOKUP($C36,'2D-Chapra'!$C$2:$T$55,MID(L$1,2,2)+2,0)="","",VLOOKUP($C36,'2D-Chapra'!$C$2:$T$55,MID(L$1,2,2)+2,0))</f>
        <v/>
      </c>
      <c r="M36" s="4" t="str">
        <f>IF(VLOOKUP($C36,'2D-Chapra'!$C$2:$T$55,MID(M$1,2,2)+2,0)="","",VLOOKUP($C36,'2D-Chapra'!$C$2:$T$55,MID(M$1,2,2)+2,0))</f>
        <v/>
      </c>
      <c r="N36" s="4">
        <f>IF(VLOOKUP($C36,'2D-Chapra'!$C$2:$T$55,MID(N$1,2,2)+2,0)="","",VLOOKUP($C36,'2D-Chapra'!$C$2:$T$55,MID(N$1,2,2)+2,0))</f>
        <v>1</v>
      </c>
      <c r="O36" s="4" t="str">
        <f>IF(VLOOKUP($C36,'2D-Chapra'!$C$2:$T$55,MID(O$1,2,2)+2,0)="","",VLOOKUP($C36,'2D-Chapra'!$C$2:$T$55,MID(O$1,2,2)+2,0))</f>
        <v/>
      </c>
      <c r="P36" s="4" t="str">
        <f>IF(VLOOKUP($C36,'2D-Chapra'!$C$2:$T$55,MID(P$1,2,2)+2,0)="","",VLOOKUP($C36,'2D-Chapra'!$C$2:$T$55,MID(P$1,2,2)+2,0))</f>
        <v/>
      </c>
      <c r="Q36" s="4" t="str">
        <f>IF(VLOOKUP($C36,'2D-Chapra'!$C$2:$T$55,MID(Q$1,2,2)+2,0)="","",VLOOKUP($C36,'2D-Chapra'!$C$2:$T$55,MID(Q$1,2,2)+2,0))</f>
        <v/>
      </c>
      <c r="R36" s="4" t="str">
        <f>IF(VLOOKUP($C36,'2D-Chapra'!$C$2:$T$55,MID(R$1,2,2)+2,0)="","",VLOOKUP($C36,'2D-Chapra'!$C$2:$T$55,MID(R$1,2,2)+2,0))</f>
        <v/>
      </c>
      <c r="S36" s="4" t="str">
        <f>IF(VLOOKUP($C36,'2D-Chapra'!$C$2:$T$55,MID(S$1,2,2)+2,0)="","",VLOOKUP($C36,'2D-Chapra'!$C$2:$T$55,MID(S$1,2,2)+2,0))</f>
        <v/>
      </c>
      <c r="T36" s="5" t="str">
        <f>IF(VLOOKUP($C36,'2D-Chapra'!$C$2:$T$55,MID(T$1,2,2)+2,0)="","",VLOOKUP($C36,'2D-Chapra'!$C$2:$T$55,MID(T$1,2,2)+2,0))</f>
        <v/>
      </c>
      <c r="W36" s="93">
        <v>1</v>
      </c>
      <c r="X36" s="49">
        <v>3</v>
      </c>
      <c r="Y36" s="94">
        <v>-1</v>
      </c>
      <c r="Z36" s="95" t="s">
        <v>187</v>
      </c>
      <c r="AA36" s="3">
        <v>0</v>
      </c>
      <c r="AB36" s="4">
        <v>0</v>
      </c>
      <c r="AC36" s="17">
        <v>0</v>
      </c>
      <c r="AD36" s="16">
        <v>0</v>
      </c>
      <c r="AE36" s="4">
        <v>0</v>
      </c>
      <c r="AF36" s="17">
        <v>0</v>
      </c>
      <c r="AG36" s="16">
        <v>0</v>
      </c>
      <c r="AH36" s="4">
        <v>0</v>
      </c>
      <c r="AI36" s="17">
        <v>0</v>
      </c>
      <c r="AJ36" s="16">
        <v>0</v>
      </c>
      <c r="AK36" s="4">
        <v>0</v>
      </c>
      <c r="AL36" s="17">
        <v>0</v>
      </c>
      <c r="AM36" s="16">
        <v>0</v>
      </c>
      <c r="AN36" s="4">
        <v>0</v>
      </c>
      <c r="AO36" s="17">
        <v>0</v>
      </c>
      <c r="AP36" s="16">
        <v>0</v>
      </c>
      <c r="AQ36" s="4">
        <v>0</v>
      </c>
      <c r="AR36" s="17">
        <v>0</v>
      </c>
      <c r="AS36" s="16">
        <v>0</v>
      </c>
      <c r="AT36" s="4">
        <v>0</v>
      </c>
      <c r="AU36" s="17">
        <v>0</v>
      </c>
      <c r="AV36" s="16">
        <v>0</v>
      </c>
      <c r="AW36" s="4">
        <v>0</v>
      </c>
      <c r="AX36" s="17">
        <v>0</v>
      </c>
      <c r="AY36" s="16">
        <v>0</v>
      </c>
      <c r="AZ36" s="4">
        <v>0</v>
      </c>
      <c r="BA36" s="17">
        <v>0</v>
      </c>
      <c r="BB36" s="16">
        <v>0</v>
      </c>
      <c r="BC36" s="4">
        <v>0</v>
      </c>
      <c r="BD36" s="17">
        <v>0</v>
      </c>
      <c r="BE36" s="16">
        <v>0</v>
      </c>
      <c r="BF36" s="4">
        <v>0</v>
      </c>
      <c r="BG36" s="17">
        <v>0</v>
      </c>
      <c r="BH36" s="107">
        <f>-($Y37^2)+($Y36+$Y35)*$Y37-($Y35*$Y36)-($X37^2)+($X36+$X35)*$X37-($X35*$X36)</f>
        <v>-4</v>
      </c>
      <c r="BI36" s="11">
        <f>$Y37^2-2*$Y35*$Y37+$Y35^2+$X37^2-2*$X35*$X37+$X35^2</f>
        <v>8</v>
      </c>
      <c r="BJ36" s="96">
        <f>BI37</f>
        <v>-4</v>
      </c>
      <c r="BK36" s="16">
        <v>0</v>
      </c>
      <c r="BL36" s="4">
        <v>0</v>
      </c>
      <c r="BM36" s="17">
        <v>0</v>
      </c>
      <c r="BN36" s="16">
        <v>0</v>
      </c>
      <c r="BO36" s="4">
        <v>0</v>
      </c>
      <c r="BP36" s="17">
        <v>0</v>
      </c>
      <c r="BQ36" s="16">
        <v>0</v>
      </c>
      <c r="BR36" s="4">
        <v>0</v>
      </c>
      <c r="BS36" s="17">
        <v>0</v>
      </c>
      <c r="BT36" s="16">
        <v>0</v>
      </c>
      <c r="BU36" s="4">
        <v>0</v>
      </c>
      <c r="BV36" s="17">
        <v>0</v>
      </c>
      <c r="BW36" s="16">
        <v>0</v>
      </c>
      <c r="BX36" s="4">
        <v>0</v>
      </c>
      <c r="BY36" s="17">
        <v>0</v>
      </c>
      <c r="BZ36" s="16">
        <v>0</v>
      </c>
      <c r="CA36" s="4">
        <v>0</v>
      </c>
      <c r="CB36" s="5">
        <v>0</v>
      </c>
    </row>
    <row r="37" spans="1:80" x14ac:dyDescent="0.25">
      <c r="A37" s="23">
        <f t="shared" si="1"/>
        <v>12</v>
      </c>
      <c r="B37" s="23">
        <f t="shared" si="2"/>
        <v>3</v>
      </c>
      <c r="C37" s="23" t="str">
        <f t="shared" si="0"/>
        <v>T12_3</v>
      </c>
      <c r="E37" s="3" t="str">
        <f>IF(VLOOKUP($C37,'2D-Chapra'!$C$2:$T$55,MID(E$1,2,2)+2,0)="","",VLOOKUP($C37,'2D-Chapra'!$C$2:$T$55,MID(E$1,2,2)+2,0))</f>
        <v/>
      </c>
      <c r="F37" s="4" t="str">
        <f>IF(VLOOKUP($C37,'2D-Chapra'!$C$2:$T$55,MID(F$1,2,2)+2,0)="","",VLOOKUP($C37,'2D-Chapra'!$C$2:$T$55,MID(F$1,2,2)+2,0))</f>
        <v/>
      </c>
      <c r="G37" s="4" t="str">
        <f>IF(VLOOKUP($C37,'2D-Chapra'!$C$2:$T$55,MID(G$1,2,2)+2,0)="","",VLOOKUP($C37,'2D-Chapra'!$C$2:$T$55,MID(G$1,2,2)+2,0))</f>
        <v/>
      </c>
      <c r="H37" s="4" t="str">
        <f>IF(VLOOKUP($C37,'2D-Chapra'!$C$2:$T$55,MID(H$1,2,2)+2,0)="","",VLOOKUP($C37,'2D-Chapra'!$C$2:$T$55,MID(H$1,2,2)+2,0))</f>
        <v/>
      </c>
      <c r="I37" s="4" t="str">
        <f>IF(VLOOKUP($C37,'2D-Chapra'!$C$2:$T$55,MID(I$1,2,2)+2,0)="","",VLOOKUP($C37,'2D-Chapra'!$C$2:$T$55,MID(I$1,2,2)+2,0))</f>
        <v/>
      </c>
      <c r="J37" s="4" t="str">
        <f>IF(VLOOKUP($C37,'2D-Chapra'!$C$2:$T$55,MID(J$1,2,2)+2,0)="","",VLOOKUP($C37,'2D-Chapra'!$C$2:$T$55,MID(J$1,2,2)+2,0))</f>
        <v/>
      </c>
      <c r="K37" s="4" t="str">
        <f>IF(VLOOKUP($C37,'2D-Chapra'!$C$2:$T$55,MID(K$1,2,2)+2,0)="","",VLOOKUP($C37,'2D-Chapra'!$C$2:$T$55,MID(K$1,2,2)+2,0))</f>
        <v/>
      </c>
      <c r="L37" s="4" t="str">
        <f>IF(VLOOKUP($C37,'2D-Chapra'!$C$2:$T$55,MID(L$1,2,2)+2,0)="","",VLOOKUP($C37,'2D-Chapra'!$C$2:$T$55,MID(L$1,2,2)+2,0))</f>
        <v/>
      </c>
      <c r="M37" s="4" t="str">
        <f>IF(VLOOKUP($C37,'2D-Chapra'!$C$2:$T$55,MID(M$1,2,2)+2,0)="","",VLOOKUP($C37,'2D-Chapra'!$C$2:$T$55,MID(M$1,2,2)+2,0))</f>
        <v/>
      </c>
      <c r="N37" s="4" t="str">
        <f>IF(VLOOKUP($C37,'2D-Chapra'!$C$2:$T$55,MID(N$1,2,2)+2,0)="","",VLOOKUP($C37,'2D-Chapra'!$C$2:$T$55,MID(N$1,2,2)+2,0))</f>
        <v/>
      </c>
      <c r="O37" s="4" t="str">
        <f>IF(VLOOKUP($C37,'2D-Chapra'!$C$2:$T$55,MID(O$1,2,2)+2,0)="","",VLOOKUP($C37,'2D-Chapra'!$C$2:$T$55,MID(O$1,2,2)+2,0))</f>
        <v/>
      </c>
      <c r="P37" s="4">
        <f>IF(VLOOKUP($C37,'2D-Chapra'!$C$2:$T$55,MID(P$1,2,2)+2,0)="","",VLOOKUP($C37,'2D-Chapra'!$C$2:$T$55,MID(P$1,2,2)+2,0))</f>
        <v>1</v>
      </c>
      <c r="Q37" s="4" t="str">
        <f>IF(VLOOKUP($C37,'2D-Chapra'!$C$2:$T$55,MID(Q$1,2,2)+2,0)="","",VLOOKUP($C37,'2D-Chapra'!$C$2:$T$55,MID(Q$1,2,2)+2,0))</f>
        <v/>
      </c>
      <c r="R37" s="4" t="str">
        <f>IF(VLOOKUP($C37,'2D-Chapra'!$C$2:$T$55,MID(R$1,2,2)+2,0)="","",VLOOKUP($C37,'2D-Chapra'!$C$2:$T$55,MID(R$1,2,2)+2,0))</f>
        <v/>
      </c>
      <c r="S37" s="4" t="str">
        <f>IF(VLOOKUP($C37,'2D-Chapra'!$C$2:$T$55,MID(S$1,2,2)+2,0)="","",VLOOKUP($C37,'2D-Chapra'!$C$2:$T$55,MID(S$1,2,2)+2,0))</f>
        <v/>
      </c>
      <c r="T37" s="5" t="str">
        <f>IF(VLOOKUP($C37,'2D-Chapra'!$C$2:$T$55,MID(T$1,2,2)+2,0)="","",VLOOKUP($C37,'2D-Chapra'!$C$2:$T$55,MID(T$1,2,2)+2,0))</f>
        <v/>
      </c>
      <c r="W37" s="97">
        <v>1</v>
      </c>
      <c r="X37" s="98">
        <v>3</v>
      </c>
      <c r="Y37" s="99">
        <v>1</v>
      </c>
      <c r="Z37" s="100" t="s">
        <v>188</v>
      </c>
      <c r="AA37" s="108">
        <v>0</v>
      </c>
      <c r="AB37" s="19">
        <v>0</v>
      </c>
      <c r="AC37" s="20">
        <v>0</v>
      </c>
      <c r="AD37" s="18">
        <v>0</v>
      </c>
      <c r="AE37" s="19">
        <v>0</v>
      </c>
      <c r="AF37" s="20">
        <v>0</v>
      </c>
      <c r="AG37" s="18">
        <v>0</v>
      </c>
      <c r="AH37" s="19">
        <v>0</v>
      </c>
      <c r="AI37" s="20">
        <v>0</v>
      </c>
      <c r="AJ37" s="18">
        <v>0</v>
      </c>
      <c r="AK37" s="19">
        <v>0</v>
      </c>
      <c r="AL37" s="20">
        <v>0</v>
      </c>
      <c r="AM37" s="18">
        <v>0</v>
      </c>
      <c r="AN37" s="19">
        <v>0</v>
      </c>
      <c r="AO37" s="20">
        <v>0</v>
      </c>
      <c r="AP37" s="18">
        <v>0</v>
      </c>
      <c r="AQ37" s="19">
        <v>0</v>
      </c>
      <c r="AR37" s="20">
        <v>0</v>
      </c>
      <c r="AS37" s="18">
        <v>0</v>
      </c>
      <c r="AT37" s="19">
        <v>0</v>
      </c>
      <c r="AU37" s="20">
        <v>0</v>
      </c>
      <c r="AV37" s="18">
        <v>0</v>
      </c>
      <c r="AW37" s="19">
        <v>0</v>
      </c>
      <c r="AX37" s="20">
        <v>0</v>
      </c>
      <c r="AY37" s="18">
        <v>0</v>
      </c>
      <c r="AZ37" s="19">
        <v>0</v>
      </c>
      <c r="BA37" s="20">
        <v>0</v>
      </c>
      <c r="BB37" s="18">
        <v>0</v>
      </c>
      <c r="BC37" s="19">
        <v>0</v>
      </c>
      <c r="BD37" s="20">
        <v>0</v>
      </c>
      <c r="BE37" s="18">
        <v>0</v>
      </c>
      <c r="BF37" s="19">
        <v>0</v>
      </c>
      <c r="BG37" s="20">
        <v>0</v>
      </c>
      <c r="BH37" s="109">
        <f>($Y36-$Y35)*$Y37-$Y36^2+$Y35*$Y36+($X36-$X35)*$X37-$X36^2+$X35*$X36</f>
        <v>0</v>
      </c>
      <c r="BI37" s="102">
        <f>($Y35-$Y36)*$Y37+$Y35*$Y36-$Y35^2+($X35-$X36)*$X37+$X35*$X36-$X35^2</f>
        <v>-4</v>
      </c>
      <c r="BJ37" s="103">
        <f>$Y36^2-2*$Y35*$Y36+$Y35^2+$X36^2-2*$X35*$X36+$X35^2</f>
        <v>4</v>
      </c>
      <c r="BK37" s="18">
        <v>0</v>
      </c>
      <c r="BL37" s="19">
        <v>0</v>
      </c>
      <c r="BM37" s="20">
        <v>0</v>
      </c>
      <c r="BN37" s="18">
        <v>0</v>
      </c>
      <c r="BO37" s="19">
        <v>0</v>
      </c>
      <c r="BP37" s="20">
        <v>0</v>
      </c>
      <c r="BQ37" s="18">
        <v>0</v>
      </c>
      <c r="BR37" s="19">
        <v>0</v>
      </c>
      <c r="BS37" s="20">
        <v>0</v>
      </c>
      <c r="BT37" s="18">
        <v>0</v>
      </c>
      <c r="BU37" s="19">
        <v>0</v>
      </c>
      <c r="BV37" s="20">
        <v>0</v>
      </c>
      <c r="BW37" s="18">
        <v>0</v>
      </c>
      <c r="BX37" s="19">
        <v>0</v>
      </c>
      <c r="BY37" s="20">
        <v>0</v>
      </c>
      <c r="BZ37" s="18">
        <v>0</v>
      </c>
      <c r="CA37" s="19">
        <v>0</v>
      </c>
      <c r="CB37" s="104">
        <v>0</v>
      </c>
    </row>
    <row r="38" spans="1:80" x14ac:dyDescent="0.25">
      <c r="A38" s="23">
        <f t="shared" si="1"/>
        <v>13</v>
      </c>
      <c r="B38" s="23">
        <f t="shared" si="2"/>
        <v>1</v>
      </c>
      <c r="C38" s="23" t="str">
        <f t="shared" si="0"/>
        <v>T13_1</v>
      </c>
      <c r="E38" s="3" t="str">
        <f>IF(VLOOKUP($C38,'2D-Chapra'!$C$2:$T$55,MID(E$1,2,2)+2,0)="","",VLOOKUP($C38,'2D-Chapra'!$C$2:$T$55,MID(E$1,2,2)+2,0))</f>
        <v/>
      </c>
      <c r="F38" s="4" t="str">
        <f>IF(VLOOKUP($C38,'2D-Chapra'!$C$2:$T$55,MID(F$1,2,2)+2,0)="","",VLOOKUP($C38,'2D-Chapra'!$C$2:$T$55,MID(F$1,2,2)+2,0))</f>
        <v/>
      </c>
      <c r="G38" s="4" t="str">
        <f>IF(VLOOKUP($C38,'2D-Chapra'!$C$2:$T$55,MID(G$1,2,2)+2,0)="","",VLOOKUP($C38,'2D-Chapra'!$C$2:$T$55,MID(G$1,2,2)+2,0))</f>
        <v/>
      </c>
      <c r="H38" s="4" t="str">
        <f>IF(VLOOKUP($C38,'2D-Chapra'!$C$2:$T$55,MID(H$1,2,2)+2,0)="","",VLOOKUP($C38,'2D-Chapra'!$C$2:$T$55,MID(H$1,2,2)+2,0))</f>
        <v/>
      </c>
      <c r="I38" s="4" t="str">
        <f>IF(VLOOKUP($C38,'2D-Chapra'!$C$2:$T$55,MID(I$1,2,2)+2,0)="","",VLOOKUP($C38,'2D-Chapra'!$C$2:$T$55,MID(I$1,2,2)+2,0))</f>
        <v/>
      </c>
      <c r="J38" s="4" t="str">
        <f>IF(VLOOKUP($C38,'2D-Chapra'!$C$2:$T$55,MID(J$1,2,2)+2,0)="","",VLOOKUP($C38,'2D-Chapra'!$C$2:$T$55,MID(J$1,2,2)+2,0))</f>
        <v/>
      </c>
      <c r="K38" s="4" t="str">
        <f>IF(VLOOKUP($C38,'2D-Chapra'!$C$2:$T$55,MID(K$1,2,2)+2,0)="","",VLOOKUP($C38,'2D-Chapra'!$C$2:$T$55,MID(K$1,2,2)+2,0))</f>
        <v/>
      </c>
      <c r="L38" s="4" t="str">
        <f>IF(VLOOKUP($C38,'2D-Chapra'!$C$2:$T$55,MID(L$1,2,2)+2,0)="","",VLOOKUP($C38,'2D-Chapra'!$C$2:$T$55,MID(L$1,2,2)+2,0))</f>
        <v/>
      </c>
      <c r="M38" s="4" t="str">
        <f>IF(VLOOKUP($C38,'2D-Chapra'!$C$2:$T$55,MID(M$1,2,2)+2,0)="","",VLOOKUP($C38,'2D-Chapra'!$C$2:$T$55,MID(M$1,2,2)+2,0))</f>
        <v/>
      </c>
      <c r="N38" s="4" t="str">
        <f>IF(VLOOKUP($C38,'2D-Chapra'!$C$2:$T$55,MID(N$1,2,2)+2,0)="","",VLOOKUP($C38,'2D-Chapra'!$C$2:$T$55,MID(N$1,2,2)+2,0))</f>
        <v/>
      </c>
      <c r="O38" s="4">
        <f>IF(VLOOKUP($C38,'2D-Chapra'!$C$2:$T$55,MID(O$1,2,2)+2,0)="","",VLOOKUP($C38,'2D-Chapra'!$C$2:$T$55,MID(O$1,2,2)+2,0))</f>
        <v>1</v>
      </c>
      <c r="P38" s="4" t="str">
        <f>IF(VLOOKUP($C38,'2D-Chapra'!$C$2:$T$55,MID(P$1,2,2)+2,0)="","",VLOOKUP($C38,'2D-Chapra'!$C$2:$T$55,MID(P$1,2,2)+2,0))</f>
        <v/>
      </c>
      <c r="Q38" s="4" t="str">
        <f>IF(VLOOKUP($C38,'2D-Chapra'!$C$2:$T$55,MID(Q$1,2,2)+2,0)="","",VLOOKUP($C38,'2D-Chapra'!$C$2:$T$55,MID(Q$1,2,2)+2,0))</f>
        <v/>
      </c>
      <c r="R38" s="4" t="str">
        <f>IF(VLOOKUP($C38,'2D-Chapra'!$C$2:$T$55,MID(R$1,2,2)+2,0)="","",VLOOKUP($C38,'2D-Chapra'!$C$2:$T$55,MID(R$1,2,2)+2,0))</f>
        <v/>
      </c>
      <c r="S38" s="4" t="str">
        <f>IF(VLOOKUP($C38,'2D-Chapra'!$C$2:$T$55,MID(S$1,2,2)+2,0)="","",VLOOKUP($C38,'2D-Chapra'!$C$2:$T$55,MID(S$1,2,2)+2,0))</f>
        <v/>
      </c>
      <c r="T38" s="5" t="str">
        <f>IF(VLOOKUP($C38,'2D-Chapra'!$C$2:$T$55,MID(T$1,2,2)+2,0)="","",VLOOKUP($C38,'2D-Chapra'!$C$2:$T$55,MID(T$1,2,2)+2,0))</f>
        <v/>
      </c>
      <c r="W38" s="85">
        <v>1</v>
      </c>
      <c r="X38" s="86">
        <v>-3</v>
      </c>
      <c r="Y38" s="87">
        <v>1</v>
      </c>
      <c r="Z38" s="88" t="s">
        <v>189</v>
      </c>
      <c r="AA38" s="105">
        <v>0</v>
      </c>
      <c r="AB38" s="14">
        <v>0</v>
      </c>
      <c r="AC38" s="15">
        <v>0</v>
      </c>
      <c r="AD38" s="13">
        <v>0</v>
      </c>
      <c r="AE38" s="14">
        <v>0</v>
      </c>
      <c r="AF38" s="15">
        <v>0</v>
      </c>
      <c r="AG38" s="13">
        <v>0</v>
      </c>
      <c r="AH38" s="14">
        <v>0</v>
      </c>
      <c r="AI38" s="15">
        <v>0</v>
      </c>
      <c r="AJ38" s="13">
        <v>0</v>
      </c>
      <c r="AK38" s="14">
        <v>0</v>
      </c>
      <c r="AL38" s="15">
        <v>0</v>
      </c>
      <c r="AM38" s="13">
        <v>0</v>
      </c>
      <c r="AN38" s="14">
        <v>0</v>
      </c>
      <c r="AO38" s="15">
        <v>0</v>
      </c>
      <c r="AP38" s="13">
        <v>0</v>
      </c>
      <c r="AQ38" s="14">
        <v>0</v>
      </c>
      <c r="AR38" s="15">
        <v>0</v>
      </c>
      <c r="AS38" s="13">
        <v>0</v>
      </c>
      <c r="AT38" s="14">
        <v>0</v>
      </c>
      <c r="AU38" s="15">
        <v>0</v>
      </c>
      <c r="AV38" s="13">
        <v>0</v>
      </c>
      <c r="AW38" s="14">
        <v>0</v>
      </c>
      <c r="AX38" s="15">
        <v>0</v>
      </c>
      <c r="AY38" s="13">
        <v>0</v>
      </c>
      <c r="AZ38" s="14">
        <v>0</v>
      </c>
      <c r="BA38" s="15">
        <v>0</v>
      </c>
      <c r="BB38" s="13">
        <v>0</v>
      </c>
      <c r="BC38" s="14">
        <v>0</v>
      </c>
      <c r="BD38" s="15">
        <v>0</v>
      </c>
      <c r="BE38" s="13">
        <v>0</v>
      </c>
      <c r="BF38" s="14">
        <v>0</v>
      </c>
      <c r="BG38" s="15">
        <v>0</v>
      </c>
      <c r="BH38" s="13">
        <v>0</v>
      </c>
      <c r="BI38" s="14">
        <v>0</v>
      </c>
      <c r="BJ38" s="15">
        <v>0</v>
      </c>
      <c r="BK38" s="106">
        <f>$Y40^2-2*$Y39*$Y40+$Y39^2+$X40^2-2*$X39*$X40+$X39^2</f>
        <v>4</v>
      </c>
      <c r="BL38" s="90">
        <f>BK39</f>
        <v>0</v>
      </c>
      <c r="BM38" s="91">
        <f>BK40</f>
        <v>-4</v>
      </c>
      <c r="BN38" s="13">
        <v>0</v>
      </c>
      <c r="BO38" s="14">
        <v>0</v>
      </c>
      <c r="BP38" s="15">
        <v>0</v>
      </c>
      <c r="BQ38" s="13">
        <v>0</v>
      </c>
      <c r="BR38" s="14">
        <v>0</v>
      </c>
      <c r="BS38" s="15">
        <v>0</v>
      </c>
      <c r="BT38" s="13">
        <v>0</v>
      </c>
      <c r="BU38" s="14">
        <v>0</v>
      </c>
      <c r="BV38" s="15">
        <v>0</v>
      </c>
      <c r="BW38" s="13">
        <v>0</v>
      </c>
      <c r="BX38" s="14">
        <v>0</v>
      </c>
      <c r="BY38" s="15">
        <v>0</v>
      </c>
      <c r="BZ38" s="13">
        <v>0</v>
      </c>
      <c r="CA38" s="14">
        <v>0</v>
      </c>
      <c r="CB38" s="92">
        <v>0</v>
      </c>
    </row>
    <row r="39" spans="1:80" x14ac:dyDescent="0.25">
      <c r="A39" s="23">
        <f t="shared" si="1"/>
        <v>13</v>
      </c>
      <c r="B39" s="23">
        <f t="shared" si="2"/>
        <v>2</v>
      </c>
      <c r="C39" s="23" t="str">
        <f t="shared" si="0"/>
        <v>T13_2</v>
      </c>
      <c r="E39" s="3" t="str">
        <f>IF(VLOOKUP($C39,'2D-Chapra'!$C$2:$T$55,MID(E$1,2,2)+2,0)="","",VLOOKUP($C39,'2D-Chapra'!$C$2:$T$55,MID(E$1,2,2)+2,0))</f>
        <v/>
      </c>
      <c r="F39" s="4" t="str">
        <f>IF(VLOOKUP($C39,'2D-Chapra'!$C$2:$T$55,MID(F$1,2,2)+2,0)="","",VLOOKUP($C39,'2D-Chapra'!$C$2:$T$55,MID(F$1,2,2)+2,0))</f>
        <v/>
      </c>
      <c r="G39" s="4" t="str">
        <f>IF(VLOOKUP($C39,'2D-Chapra'!$C$2:$T$55,MID(G$1,2,2)+2,0)="","",VLOOKUP($C39,'2D-Chapra'!$C$2:$T$55,MID(G$1,2,2)+2,0))</f>
        <v/>
      </c>
      <c r="H39" s="4" t="str">
        <f>IF(VLOOKUP($C39,'2D-Chapra'!$C$2:$T$55,MID(H$1,2,2)+2,0)="","",VLOOKUP($C39,'2D-Chapra'!$C$2:$T$55,MID(H$1,2,2)+2,0))</f>
        <v/>
      </c>
      <c r="I39" s="4" t="str">
        <f>IF(VLOOKUP($C39,'2D-Chapra'!$C$2:$T$55,MID(I$1,2,2)+2,0)="","",VLOOKUP($C39,'2D-Chapra'!$C$2:$T$55,MID(I$1,2,2)+2,0))</f>
        <v/>
      </c>
      <c r="J39" s="4" t="str">
        <f>IF(VLOOKUP($C39,'2D-Chapra'!$C$2:$T$55,MID(J$1,2,2)+2,0)="","",VLOOKUP($C39,'2D-Chapra'!$C$2:$T$55,MID(J$1,2,2)+2,0))</f>
        <v/>
      </c>
      <c r="K39" s="4" t="str">
        <f>IF(VLOOKUP($C39,'2D-Chapra'!$C$2:$T$55,MID(K$1,2,2)+2,0)="","",VLOOKUP($C39,'2D-Chapra'!$C$2:$T$55,MID(K$1,2,2)+2,0))</f>
        <v/>
      </c>
      <c r="L39" s="4" t="str">
        <f>IF(VLOOKUP($C39,'2D-Chapra'!$C$2:$T$55,MID(L$1,2,2)+2,0)="","",VLOOKUP($C39,'2D-Chapra'!$C$2:$T$55,MID(L$1,2,2)+2,0))</f>
        <v/>
      </c>
      <c r="M39" s="4" t="str">
        <f>IF(VLOOKUP($C39,'2D-Chapra'!$C$2:$T$55,MID(M$1,2,2)+2,0)="","",VLOOKUP($C39,'2D-Chapra'!$C$2:$T$55,MID(M$1,2,2)+2,0))</f>
        <v/>
      </c>
      <c r="N39" s="4" t="str">
        <f>IF(VLOOKUP($C39,'2D-Chapra'!$C$2:$T$55,MID(N$1,2,2)+2,0)="","",VLOOKUP($C39,'2D-Chapra'!$C$2:$T$55,MID(N$1,2,2)+2,0))</f>
        <v/>
      </c>
      <c r="O39" s="4" t="str">
        <f>IF(VLOOKUP($C39,'2D-Chapra'!$C$2:$T$55,MID(O$1,2,2)+2,0)="","",VLOOKUP($C39,'2D-Chapra'!$C$2:$T$55,MID(O$1,2,2)+2,0))</f>
        <v/>
      </c>
      <c r="P39" s="4" t="str">
        <f>IF(VLOOKUP($C39,'2D-Chapra'!$C$2:$T$55,MID(P$1,2,2)+2,0)="","",VLOOKUP($C39,'2D-Chapra'!$C$2:$T$55,MID(P$1,2,2)+2,0))</f>
        <v/>
      </c>
      <c r="Q39" s="4" t="str">
        <f>IF(VLOOKUP($C39,'2D-Chapra'!$C$2:$T$55,MID(Q$1,2,2)+2,0)="","",VLOOKUP($C39,'2D-Chapra'!$C$2:$T$55,MID(Q$1,2,2)+2,0))</f>
        <v/>
      </c>
      <c r="R39" s="4">
        <f>IF(VLOOKUP($C39,'2D-Chapra'!$C$2:$T$55,MID(R$1,2,2)+2,0)="","",VLOOKUP($C39,'2D-Chapra'!$C$2:$T$55,MID(R$1,2,2)+2,0))</f>
        <v>1</v>
      </c>
      <c r="S39" s="4" t="str">
        <f>IF(VLOOKUP($C39,'2D-Chapra'!$C$2:$T$55,MID(S$1,2,2)+2,0)="","",VLOOKUP($C39,'2D-Chapra'!$C$2:$T$55,MID(S$1,2,2)+2,0))</f>
        <v/>
      </c>
      <c r="T39" s="5" t="str">
        <f>IF(VLOOKUP($C39,'2D-Chapra'!$C$2:$T$55,MID(T$1,2,2)+2,0)="","",VLOOKUP($C39,'2D-Chapra'!$C$2:$T$55,MID(T$1,2,2)+2,0))</f>
        <v/>
      </c>
      <c r="W39" s="93">
        <v>1</v>
      </c>
      <c r="X39" s="49">
        <v>-1</v>
      </c>
      <c r="Y39" s="94">
        <v>3</v>
      </c>
      <c r="Z39" s="95" t="s">
        <v>190</v>
      </c>
      <c r="AA39" s="3">
        <v>0</v>
      </c>
      <c r="AB39" s="4">
        <v>0</v>
      </c>
      <c r="AC39" s="17">
        <v>0</v>
      </c>
      <c r="AD39" s="16">
        <v>0</v>
      </c>
      <c r="AE39" s="4">
        <v>0</v>
      </c>
      <c r="AF39" s="17">
        <v>0</v>
      </c>
      <c r="AG39" s="16">
        <v>0</v>
      </c>
      <c r="AH39" s="4">
        <v>0</v>
      </c>
      <c r="AI39" s="17">
        <v>0</v>
      </c>
      <c r="AJ39" s="16">
        <v>0</v>
      </c>
      <c r="AK39" s="4">
        <v>0</v>
      </c>
      <c r="AL39" s="17">
        <v>0</v>
      </c>
      <c r="AM39" s="16">
        <v>0</v>
      </c>
      <c r="AN39" s="4">
        <v>0</v>
      </c>
      <c r="AO39" s="17">
        <v>0</v>
      </c>
      <c r="AP39" s="16">
        <v>0</v>
      </c>
      <c r="AQ39" s="4">
        <v>0</v>
      </c>
      <c r="AR39" s="17">
        <v>0</v>
      </c>
      <c r="AS39" s="16">
        <v>0</v>
      </c>
      <c r="AT39" s="4">
        <v>0</v>
      </c>
      <c r="AU39" s="17">
        <v>0</v>
      </c>
      <c r="AV39" s="16">
        <v>0</v>
      </c>
      <c r="AW39" s="4">
        <v>0</v>
      </c>
      <c r="AX39" s="17">
        <v>0</v>
      </c>
      <c r="AY39" s="16">
        <v>0</v>
      </c>
      <c r="AZ39" s="4">
        <v>0</v>
      </c>
      <c r="BA39" s="17">
        <v>0</v>
      </c>
      <c r="BB39" s="16">
        <v>0</v>
      </c>
      <c r="BC39" s="4">
        <v>0</v>
      </c>
      <c r="BD39" s="17">
        <v>0</v>
      </c>
      <c r="BE39" s="16">
        <v>0</v>
      </c>
      <c r="BF39" s="4">
        <v>0</v>
      </c>
      <c r="BG39" s="17">
        <v>0</v>
      </c>
      <c r="BH39" s="16">
        <v>0</v>
      </c>
      <c r="BI39" s="4">
        <v>0</v>
      </c>
      <c r="BJ39" s="17">
        <v>0</v>
      </c>
      <c r="BK39" s="107">
        <f>-($Y40^2)+($Y39+$Y38)*$Y40-($Y38*$Y39)-($X40^2)+($X39+$X38)*$X40-($X38*$X39)</f>
        <v>0</v>
      </c>
      <c r="BL39" s="11">
        <f>$Y40^2-2*$Y38*$Y40+$Y38^2+$X40^2-2*$X38*$X40+$X38^2</f>
        <v>4</v>
      </c>
      <c r="BM39" s="96">
        <f>BL40</f>
        <v>-4</v>
      </c>
      <c r="BN39" s="16">
        <v>0</v>
      </c>
      <c r="BO39" s="4">
        <v>0</v>
      </c>
      <c r="BP39" s="17">
        <v>0</v>
      </c>
      <c r="BQ39" s="16">
        <v>0</v>
      </c>
      <c r="BR39" s="4">
        <v>0</v>
      </c>
      <c r="BS39" s="17">
        <v>0</v>
      </c>
      <c r="BT39" s="16">
        <v>0</v>
      </c>
      <c r="BU39" s="4">
        <v>0</v>
      </c>
      <c r="BV39" s="17">
        <v>0</v>
      </c>
      <c r="BW39" s="16">
        <v>0</v>
      </c>
      <c r="BX39" s="4">
        <v>0</v>
      </c>
      <c r="BY39" s="17">
        <v>0</v>
      </c>
      <c r="BZ39" s="16">
        <v>0</v>
      </c>
      <c r="CA39" s="4">
        <v>0</v>
      </c>
      <c r="CB39" s="5">
        <v>0</v>
      </c>
    </row>
    <row r="40" spans="1:80" x14ac:dyDescent="0.25">
      <c r="A40" s="23">
        <f t="shared" si="1"/>
        <v>13</v>
      </c>
      <c r="B40" s="23">
        <f t="shared" si="2"/>
        <v>3</v>
      </c>
      <c r="C40" s="23" t="str">
        <f t="shared" si="0"/>
        <v>T13_3</v>
      </c>
      <c r="E40" s="3" t="str">
        <f>IF(VLOOKUP($C40,'2D-Chapra'!$C$2:$T$55,MID(E$1,2,2)+2,0)="","",VLOOKUP($C40,'2D-Chapra'!$C$2:$T$55,MID(E$1,2,2)+2,0))</f>
        <v/>
      </c>
      <c r="F40" s="4" t="str">
        <f>IF(VLOOKUP($C40,'2D-Chapra'!$C$2:$T$55,MID(F$1,2,2)+2,0)="","",VLOOKUP($C40,'2D-Chapra'!$C$2:$T$55,MID(F$1,2,2)+2,0))</f>
        <v/>
      </c>
      <c r="G40" s="4" t="str">
        <f>IF(VLOOKUP($C40,'2D-Chapra'!$C$2:$T$55,MID(G$1,2,2)+2,0)="","",VLOOKUP($C40,'2D-Chapra'!$C$2:$T$55,MID(G$1,2,2)+2,0))</f>
        <v/>
      </c>
      <c r="H40" s="4" t="str">
        <f>IF(VLOOKUP($C40,'2D-Chapra'!$C$2:$T$55,MID(H$1,2,2)+2,0)="","",VLOOKUP($C40,'2D-Chapra'!$C$2:$T$55,MID(H$1,2,2)+2,0))</f>
        <v/>
      </c>
      <c r="I40" s="4" t="str">
        <f>IF(VLOOKUP($C40,'2D-Chapra'!$C$2:$T$55,MID(I$1,2,2)+2,0)="","",VLOOKUP($C40,'2D-Chapra'!$C$2:$T$55,MID(I$1,2,2)+2,0))</f>
        <v/>
      </c>
      <c r="J40" s="4" t="str">
        <f>IF(VLOOKUP($C40,'2D-Chapra'!$C$2:$T$55,MID(J$1,2,2)+2,0)="","",VLOOKUP($C40,'2D-Chapra'!$C$2:$T$55,MID(J$1,2,2)+2,0))</f>
        <v/>
      </c>
      <c r="K40" s="4" t="str">
        <f>IF(VLOOKUP($C40,'2D-Chapra'!$C$2:$T$55,MID(K$1,2,2)+2,0)="","",VLOOKUP($C40,'2D-Chapra'!$C$2:$T$55,MID(K$1,2,2)+2,0))</f>
        <v/>
      </c>
      <c r="L40" s="4" t="str">
        <f>IF(VLOOKUP($C40,'2D-Chapra'!$C$2:$T$55,MID(L$1,2,2)+2,0)="","",VLOOKUP($C40,'2D-Chapra'!$C$2:$T$55,MID(L$1,2,2)+2,0))</f>
        <v/>
      </c>
      <c r="M40" s="4" t="str">
        <f>IF(VLOOKUP($C40,'2D-Chapra'!$C$2:$T$55,MID(M$1,2,2)+2,0)="","",VLOOKUP($C40,'2D-Chapra'!$C$2:$T$55,MID(M$1,2,2)+2,0))</f>
        <v/>
      </c>
      <c r="N40" s="4" t="str">
        <f>IF(VLOOKUP($C40,'2D-Chapra'!$C$2:$T$55,MID(N$1,2,2)+2,0)="","",VLOOKUP($C40,'2D-Chapra'!$C$2:$T$55,MID(N$1,2,2)+2,0))</f>
        <v/>
      </c>
      <c r="O40" s="4" t="str">
        <f>IF(VLOOKUP($C40,'2D-Chapra'!$C$2:$T$55,MID(O$1,2,2)+2,0)="","",VLOOKUP($C40,'2D-Chapra'!$C$2:$T$55,MID(O$1,2,2)+2,0))</f>
        <v/>
      </c>
      <c r="P40" s="4" t="str">
        <f>IF(VLOOKUP($C40,'2D-Chapra'!$C$2:$T$55,MID(P$1,2,2)+2,0)="","",VLOOKUP($C40,'2D-Chapra'!$C$2:$T$55,MID(P$1,2,2)+2,0))</f>
        <v/>
      </c>
      <c r="Q40" s="4">
        <f>IF(VLOOKUP($C40,'2D-Chapra'!$C$2:$T$55,MID(Q$1,2,2)+2,0)="","",VLOOKUP($C40,'2D-Chapra'!$C$2:$T$55,MID(Q$1,2,2)+2,0))</f>
        <v>1</v>
      </c>
      <c r="R40" s="4" t="str">
        <f>IF(VLOOKUP($C40,'2D-Chapra'!$C$2:$T$55,MID(R$1,2,2)+2,0)="","",VLOOKUP($C40,'2D-Chapra'!$C$2:$T$55,MID(R$1,2,2)+2,0))</f>
        <v/>
      </c>
      <c r="S40" s="4" t="str">
        <f>IF(VLOOKUP($C40,'2D-Chapra'!$C$2:$T$55,MID(S$1,2,2)+2,0)="","",VLOOKUP($C40,'2D-Chapra'!$C$2:$T$55,MID(S$1,2,2)+2,0))</f>
        <v/>
      </c>
      <c r="T40" s="5" t="str">
        <f>IF(VLOOKUP($C40,'2D-Chapra'!$C$2:$T$55,MID(T$1,2,2)+2,0)="","",VLOOKUP($C40,'2D-Chapra'!$C$2:$T$55,MID(T$1,2,2)+2,0))</f>
        <v/>
      </c>
      <c r="W40" s="97">
        <v>1</v>
      </c>
      <c r="X40" s="98">
        <v>-3</v>
      </c>
      <c r="Y40" s="99">
        <v>3</v>
      </c>
      <c r="Z40" s="100" t="s">
        <v>191</v>
      </c>
      <c r="AA40" s="108">
        <v>0</v>
      </c>
      <c r="AB40" s="19">
        <v>0</v>
      </c>
      <c r="AC40" s="20">
        <v>0</v>
      </c>
      <c r="AD40" s="18">
        <v>0</v>
      </c>
      <c r="AE40" s="19">
        <v>0</v>
      </c>
      <c r="AF40" s="20">
        <v>0</v>
      </c>
      <c r="AG40" s="18">
        <v>0</v>
      </c>
      <c r="AH40" s="19">
        <v>0</v>
      </c>
      <c r="AI40" s="20">
        <v>0</v>
      </c>
      <c r="AJ40" s="18">
        <v>0</v>
      </c>
      <c r="AK40" s="19">
        <v>0</v>
      </c>
      <c r="AL40" s="20">
        <v>0</v>
      </c>
      <c r="AM40" s="18">
        <v>0</v>
      </c>
      <c r="AN40" s="19">
        <v>0</v>
      </c>
      <c r="AO40" s="20">
        <v>0</v>
      </c>
      <c r="AP40" s="18">
        <v>0</v>
      </c>
      <c r="AQ40" s="19">
        <v>0</v>
      </c>
      <c r="AR40" s="20">
        <v>0</v>
      </c>
      <c r="AS40" s="18">
        <v>0</v>
      </c>
      <c r="AT40" s="19">
        <v>0</v>
      </c>
      <c r="AU40" s="20">
        <v>0</v>
      </c>
      <c r="AV40" s="18">
        <v>0</v>
      </c>
      <c r="AW40" s="19">
        <v>0</v>
      </c>
      <c r="AX40" s="20">
        <v>0</v>
      </c>
      <c r="AY40" s="18">
        <v>0</v>
      </c>
      <c r="AZ40" s="19">
        <v>0</v>
      </c>
      <c r="BA40" s="20">
        <v>0</v>
      </c>
      <c r="BB40" s="18">
        <v>0</v>
      </c>
      <c r="BC40" s="19">
        <v>0</v>
      </c>
      <c r="BD40" s="20">
        <v>0</v>
      </c>
      <c r="BE40" s="18">
        <v>0</v>
      </c>
      <c r="BF40" s="19">
        <v>0</v>
      </c>
      <c r="BG40" s="20">
        <v>0</v>
      </c>
      <c r="BH40" s="18">
        <v>0</v>
      </c>
      <c r="BI40" s="19">
        <v>0</v>
      </c>
      <c r="BJ40" s="20">
        <v>0</v>
      </c>
      <c r="BK40" s="109">
        <f>($Y39-$Y38)*$Y40-$Y39^2+$Y38*$Y39+($X39-$X38)*$X40-$X39^2+$X38*$X39</f>
        <v>-4</v>
      </c>
      <c r="BL40" s="102">
        <f>($Y38-$Y39)*$Y40+$Y38*$Y39-$Y38^2+($X38-$X39)*$X40+$X38*$X39-$X38^2</f>
        <v>-4</v>
      </c>
      <c r="BM40" s="103">
        <f>$Y39^2-2*$Y38*$Y39+$Y38^2+$X39^2-2*$X38*$X39+$X38^2</f>
        <v>8</v>
      </c>
      <c r="BN40" s="18">
        <v>0</v>
      </c>
      <c r="BO40" s="19">
        <v>0</v>
      </c>
      <c r="BP40" s="20">
        <v>0</v>
      </c>
      <c r="BQ40" s="18">
        <v>0</v>
      </c>
      <c r="BR40" s="19">
        <v>0</v>
      </c>
      <c r="BS40" s="20">
        <v>0</v>
      </c>
      <c r="BT40" s="18">
        <v>0</v>
      </c>
      <c r="BU40" s="19">
        <v>0</v>
      </c>
      <c r="BV40" s="20">
        <v>0</v>
      </c>
      <c r="BW40" s="18">
        <v>0</v>
      </c>
      <c r="BX40" s="19">
        <v>0</v>
      </c>
      <c r="BY40" s="20">
        <v>0</v>
      </c>
      <c r="BZ40" s="18">
        <v>0</v>
      </c>
      <c r="CA40" s="19">
        <v>0</v>
      </c>
      <c r="CB40" s="104">
        <v>0</v>
      </c>
    </row>
    <row r="41" spans="1:80" x14ac:dyDescent="0.25">
      <c r="A41" s="23">
        <f t="shared" si="1"/>
        <v>14</v>
      </c>
      <c r="B41" s="23">
        <f t="shared" si="2"/>
        <v>1</v>
      </c>
      <c r="C41" s="23" t="str">
        <f t="shared" si="0"/>
        <v>T14_1</v>
      </c>
      <c r="E41" s="3" t="str">
        <f>IF(VLOOKUP($C41,'2D-Chapra'!$C$2:$T$55,MID(E$1,2,2)+2,0)="","",VLOOKUP($C41,'2D-Chapra'!$C$2:$T$55,MID(E$1,2,2)+2,0))</f>
        <v/>
      </c>
      <c r="F41" s="4" t="str">
        <f>IF(VLOOKUP($C41,'2D-Chapra'!$C$2:$T$55,MID(F$1,2,2)+2,0)="","",VLOOKUP($C41,'2D-Chapra'!$C$2:$T$55,MID(F$1,2,2)+2,0))</f>
        <v/>
      </c>
      <c r="G41" s="4" t="str">
        <f>IF(VLOOKUP($C41,'2D-Chapra'!$C$2:$T$55,MID(G$1,2,2)+2,0)="","",VLOOKUP($C41,'2D-Chapra'!$C$2:$T$55,MID(G$1,2,2)+2,0))</f>
        <v/>
      </c>
      <c r="H41" s="4" t="str">
        <f>IF(VLOOKUP($C41,'2D-Chapra'!$C$2:$T$55,MID(H$1,2,2)+2,0)="","",VLOOKUP($C41,'2D-Chapra'!$C$2:$T$55,MID(H$1,2,2)+2,0))</f>
        <v/>
      </c>
      <c r="I41" s="4" t="str">
        <f>IF(VLOOKUP($C41,'2D-Chapra'!$C$2:$T$55,MID(I$1,2,2)+2,0)="","",VLOOKUP($C41,'2D-Chapra'!$C$2:$T$55,MID(I$1,2,2)+2,0))</f>
        <v/>
      </c>
      <c r="J41" s="4" t="str">
        <f>IF(VLOOKUP($C41,'2D-Chapra'!$C$2:$T$55,MID(J$1,2,2)+2,0)="","",VLOOKUP($C41,'2D-Chapra'!$C$2:$T$55,MID(J$1,2,2)+2,0))</f>
        <v/>
      </c>
      <c r="K41" s="4" t="str">
        <f>IF(VLOOKUP($C41,'2D-Chapra'!$C$2:$T$55,MID(K$1,2,2)+2,0)="","",VLOOKUP($C41,'2D-Chapra'!$C$2:$T$55,MID(K$1,2,2)+2,0))</f>
        <v/>
      </c>
      <c r="L41" s="4" t="str">
        <f>IF(VLOOKUP($C41,'2D-Chapra'!$C$2:$T$55,MID(L$1,2,2)+2,0)="","",VLOOKUP($C41,'2D-Chapra'!$C$2:$T$55,MID(L$1,2,2)+2,0))</f>
        <v/>
      </c>
      <c r="M41" s="4" t="str">
        <f>IF(VLOOKUP($C41,'2D-Chapra'!$C$2:$T$55,MID(M$1,2,2)+2,0)="","",VLOOKUP($C41,'2D-Chapra'!$C$2:$T$55,MID(M$1,2,2)+2,0))</f>
        <v/>
      </c>
      <c r="N41" s="4" t="str">
        <f>IF(VLOOKUP($C41,'2D-Chapra'!$C$2:$T$55,MID(N$1,2,2)+2,0)="","",VLOOKUP($C41,'2D-Chapra'!$C$2:$T$55,MID(N$1,2,2)+2,0))</f>
        <v/>
      </c>
      <c r="O41" s="4">
        <f>IF(VLOOKUP($C41,'2D-Chapra'!$C$2:$T$55,MID(O$1,2,2)+2,0)="","",VLOOKUP($C41,'2D-Chapra'!$C$2:$T$55,MID(O$1,2,2)+2,0))</f>
        <v>1</v>
      </c>
      <c r="P41" s="4" t="str">
        <f>IF(VLOOKUP($C41,'2D-Chapra'!$C$2:$T$55,MID(P$1,2,2)+2,0)="","",VLOOKUP($C41,'2D-Chapra'!$C$2:$T$55,MID(P$1,2,2)+2,0))</f>
        <v/>
      </c>
      <c r="Q41" s="4" t="str">
        <f>IF(VLOOKUP($C41,'2D-Chapra'!$C$2:$T$55,MID(Q$1,2,2)+2,0)="","",VLOOKUP($C41,'2D-Chapra'!$C$2:$T$55,MID(Q$1,2,2)+2,0))</f>
        <v/>
      </c>
      <c r="R41" s="4" t="str">
        <f>IF(VLOOKUP($C41,'2D-Chapra'!$C$2:$T$55,MID(R$1,2,2)+2,0)="","",VLOOKUP($C41,'2D-Chapra'!$C$2:$T$55,MID(R$1,2,2)+2,0))</f>
        <v/>
      </c>
      <c r="S41" s="4" t="str">
        <f>IF(VLOOKUP($C41,'2D-Chapra'!$C$2:$T$55,MID(S$1,2,2)+2,0)="","",VLOOKUP($C41,'2D-Chapra'!$C$2:$T$55,MID(S$1,2,2)+2,0))</f>
        <v/>
      </c>
      <c r="T41" s="5" t="str">
        <f>IF(VLOOKUP($C41,'2D-Chapra'!$C$2:$T$55,MID(T$1,2,2)+2,0)="","",VLOOKUP($C41,'2D-Chapra'!$C$2:$T$55,MID(T$1,2,2)+2,0))</f>
        <v/>
      </c>
      <c r="W41" s="85">
        <v>1</v>
      </c>
      <c r="X41" s="86">
        <v>-3</v>
      </c>
      <c r="Y41" s="87">
        <v>1</v>
      </c>
      <c r="Z41" s="88" t="s">
        <v>192</v>
      </c>
      <c r="AA41" s="105">
        <v>0</v>
      </c>
      <c r="AB41" s="14">
        <v>0</v>
      </c>
      <c r="AC41" s="15">
        <v>0</v>
      </c>
      <c r="AD41" s="13">
        <v>0</v>
      </c>
      <c r="AE41" s="14">
        <v>0</v>
      </c>
      <c r="AF41" s="15">
        <v>0</v>
      </c>
      <c r="AG41" s="13">
        <v>0</v>
      </c>
      <c r="AH41" s="14">
        <v>0</v>
      </c>
      <c r="AI41" s="15">
        <v>0</v>
      </c>
      <c r="AJ41" s="13">
        <v>0</v>
      </c>
      <c r="AK41" s="14">
        <v>0</v>
      </c>
      <c r="AL41" s="15">
        <v>0</v>
      </c>
      <c r="AM41" s="13">
        <v>0</v>
      </c>
      <c r="AN41" s="14">
        <v>0</v>
      </c>
      <c r="AO41" s="15">
        <v>0</v>
      </c>
      <c r="AP41" s="13">
        <v>0</v>
      </c>
      <c r="AQ41" s="14">
        <v>0</v>
      </c>
      <c r="AR41" s="15">
        <v>0</v>
      </c>
      <c r="AS41" s="13">
        <v>0</v>
      </c>
      <c r="AT41" s="14">
        <v>0</v>
      </c>
      <c r="AU41" s="15">
        <v>0</v>
      </c>
      <c r="AV41" s="13">
        <v>0</v>
      </c>
      <c r="AW41" s="14">
        <v>0</v>
      </c>
      <c r="AX41" s="15">
        <v>0</v>
      </c>
      <c r="AY41" s="13">
        <v>0</v>
      </c>
      <c r="AZ41" s="14">
        <v>0</v>
      </c>
      <c r="BA41" s="15">
        <v>0</v>
      </c>
      <c r="BB41" s="13">
        <v>0</v>
      </c>
      <c r="BC41" s="14">
        <v>0</v>
      </c>
      <c r="BD41" s="15">
        <v>0</v>
      </c>
      <c r="BE41" s="13">
        <v>0</v>
      </c>
      <c r="BF41" s="14">
        <v>0</v>
      </c>
      <c r="BG41" s="15">
        <v>0</v>
      </c>
      <c r="BH41" s="13">
        <v>0</v>
      </c>
      <c r="BI41" s="14">
        <v>0</v>
      </c>
      <c r="BJ41" s="15">
        <v>0</v>
      </c>
      <c r="BK41" s="13">
        <v>0</v>
      </c>
      <c r="BL41" s="14">
        <v>0</v>
      </c>
      <c r="BM41" s="15">
        <v>0</v>
      </c>
      <c r="BN41" s="106">
        <f>$Y43^2-2*$Y42*$Y43+$Y42^2+$X43^2-2*$X42*$X43+$X42^2</f>
        <v>4</v>
      </c>
      <c r="BO41" s="90">
        <f>BN42</f>
        <v>-4</v>
      </c>
      <c r="BP41" s="91">
        <f>BN43</f>
        <v>0</v>
      </c>
      <c r="BQ41" s="13">
        <v>0</v>
      </c>
      <c r="BR41" s="14">
        <v>0</v>
      </c>
      <c r="BS41" s="15">
        <v>0</v>
      </c>
      <c r="BT41" s="13">
        <v>0</v>
      </c>
      <c r="BU41" s="14">
        <v>0</v>
      </c>
      <c r="BV41" s="15">
        <v>0</v>
      </c>
      <c r="BW41" s="13">
        <v>0</v>
      </c>
      <c r="BX41" s="14">
        <v>0</v>
      </c>
      <c r="BY41" s="15">
        <v>0</v>
      </c>
      <c r="BZ41" s="13">
        <v>0</v>
      </c>
      <c r="CA41" s="14">
        <v>0</v>
      </c>
      <c r="CB41" s="92">
        <v>0</v>
      </c>
    </row>
    <row r="42" spans="1:80" x14ac:dyDescent="0.25">
      <c r="A42" s="23">
        <f t="shared" si="1"/>
        <v>14</v>
      </c>
      <c r="B42" s="23">
        <f t="shared" si="2"/>
        <v>2</v>
      </c>
      <c r="C42" s="23" t="str">
        <f t="shared" si="0"/>
        <v>T14_2</v>
      </c>
      <c r="E42" s="3" t="str">
        <f>IF(VLOOKUP($C42,'2D-Chapra'!$C$2:$T$55,MID(E$1,2,2)+2,0)="","",VLOOKUP($C42,'2D-Chapra'!$C$2:$T$55,MID(E$1,2,2)+2,0))</f>
        <v/>
      </c>
      <c r="F42" s="4" t="str">
        <f>IF(VLOOKUP($C42,'2D-Chapra'!$C$2:$T$55,MID(F$1,2,2)+2,0)="","",VLOOKUP($C42,'2D-Chapra'!$C$2:$T$55,MID(F$1,2,2)+2,0))</f>
        <v/>
      </c>
      <c r="G42" s="4">
        <f>IF(VLOOKUP($C42,'2D-Chapra'!$C$2:$T$55,MID(G$1,2,2)+2,0)="","",VLOOKUP($C42,'2D-Chapra'!$C$2:$T$55,MID(G$1,2,2)+2,0))</f>
        <v>1</v>
      </c>
      <c r="H42" s="4" t="str">
        <f>IF(VLOOKUP($C42,'2D-Chapra'!$C$2:$T$55,MID(H$1,2,2)+2,0)="","",VLOOKUP($C42,'2D-Chapra'!$C$2:$T$55,MID(H$1,2,2)+2,0))</f>
        <v/>
      </c>
      <c r="I42" s="4" t="str">
        <f>IF(VLOOKUP($C42,'2D-Chapra'!$C$2:$T$55,MID(I$1,2,2)+2,0)="","",VLOOKUP($C42,'2D-Chapra'!$C$2:$T$55,MID(I$1,2,2)+2,0))</f>
        <v/>
      </c>
      <c r="J42" s="4" t="str">
        <f>IF(VLOOKUP($C42,'2D-Chapra'!$C$2:$T$55,MID(J$1,2,2)+2,0)="","",VLOOKUP($C42,'2D-Chapra'!$C$2:$T$55,MID(J$1,2,2)+2,0))</f>
        <v/>
      </c>
      <c r="K42" s="4" t="str">
        <f>IF(VLOOKUP($C42,'2D-Chapra'!$C$2:$T$55,MID(K$1,2,2)+2,0)="","",VLOOKUP($C42,'2D-Chapra'!$C$2:$T$55,MID(K$1,2,2)+2,0))</f>
        <v/>
      </c>
      <c r="L42" s="4" t="str">
        <f>IF(VLOOKUP($C42,'2D-Chapra'!$C$2:$T$55,MID(L$1,2,2)+2,0)="","",VLOOKUP($C42,'2D-Chapra'!$C$2:$T$55,MID(L$1,2,2)+2,0))</f>
        <v/>
      </c>
      <c r="M42" s="4" t="str">
        <f>IF(VLOOKUP($C42,'2D-Chapra'!$C$2:$T$55,MID(M$1,2,2)+2,0)="","",VLOOKUP($C42,'2D-Chapra'!$C$2:$T$55,MID(M$1,2,2)+2,0))</f>
        <v/>
      </c>
      <c r="N42" s="4" t="str">
        <f>IF(VLOOKUP($C42,'2D-Chapra'!$C$2:$T$55,MID(N$1,2,2)+2,0)="","",VLOOKUP($C42,'2D-Chapra'!$C$2:$T$55,MID(N$1,2,2)+2,0))</f>
        <v/>
      </c>
      <c r="O42" s="4" t="str">
        <f>IF(VLOOKUP($C42,'2D-Chapra'!$C$2:$T$55,MID(O$1,2,2)+2,0)="","",VLOOKUP($C42,'2D-Chapra'!$C$2:$T$55,MID(O$1,2,2)+2,0))</f>
        <v/>
      </c>
      <c r="P42" s="4" t="str">
        <f>IF(VLOOKUP($C42,'2D-Chapra'!$C$2:$T$55,MID(P$1,2,2)+2,0)="","",VLOOKUP($C42,'2D-Chapra'!$C$2:$T$55,MID(P$1,2,2)+2,0))</f>
        <v/>
      </c>
      <c r="Q42" s="4" t="str">
        <f>IF(VLOOKUP($C42,'2D-Chapra'!$C$2:$T$55,MID(Q$1,2,2)+2,0)="","",VLOOKUP($C42,'2D-Chapra'!$C$2:$T$55,MID(Q$1,2,2)+2,0))</f>
        <v/>
      </c>
      <c r="R42" s="4" t="str">
        <f>IF(VLOOKUP($C42,'2D-Chapra'!$C$2:$T$55,MID(R$1,2,2)+2,0)="","",VLOOKUP($C42,'2D-Chapra'!$C$2:$T$55,MID(R$1,2,2)+2,0))</f>
        <v/>
      </c>
      <c r="S42" s="4" t="str">
        <f>IF(VLOOKUP($C42,'2D-Chapra'!$C$2:$T$55,MID(S$1,2,2)+2,0)="","",VLOOKUP($C42,'2D-Chapra'!$C$2:$T$55,MID(S$1,2,2)+2,0))</f>
        <v/>
      </c>
      <c r="T42" s="5" t="str">
        <f>IF(VLOOKUP($C42,'2D-Chapra'!$C$2:$T$55,MID(T$1,2,2)+2,0)="","",VLOOKUP($C42,'2D-Chapra'!$C$2:$T$55,MID(T$1,2,2)+2,0))</f>
        <v/>
      </c>
      <c r="W42" s="93">
        <v>1</v>
      </c>
      <c r="X42" s="49">
        <v>-1</v>
      </c>
      <c r="Y42" s="94">
        <v>1</v>
      </c>
      <c r="Z42" s="95" t="s">
        <v>193</v>
      </c>
      <c r="AA42" s="3">
        <v>0</v>
      </c>
      <c r="AB42" s="4">
        <v>0</v>
      </c>
      <c r="AC42" s="17">
        <v>0</v>
      </c>
      <c r="AD42" s="16">
        <v>0</v>
      </c>
      <c r="AE42" s="4">
        <v>0</v>
      </c>
      <c r="AF42" s="17">
        <v>0</v>
      </c>
      <c r="AG42" s="16">
        <v>0</v>
      </c>
      <c r="AH42" s="4">
        <v>0</v>
      </c>
      <c r="AI42" s="17">
        <v>0</v>
      </c>
      <c r="AJ42" s="16">
        <v>0</v>
      </c>
      <c r="AK42" s="4">
        <v>0</v>
      </c>
      <c r="AL42" s="17">
        <v>0</v>
      </c>
      <c r="AM42" s="16">
        <v>0</v>
      </c>
      <c r="AN42" s="4">
        <v>0</v>
      </c>
      <c r="AO42" s="17">
        <v>0</v>
      </c>
      <c r="AP42" s="16">
        <v>0</v>
      </c>
      <c r="AQ42" s="4">
        <v>0</v>
      </c>
      <c r="AR42" s="17">
        <v>0</v>
      </c>
      <c r="AS42" s="16">
        <v>0</v>
      </c>
      <c r="AT42" s="4">
        <v>0</v>
      </c>
      <c r="AU42" s="17">
        <v>0</v>
      </c>
      <c r="AV42" s="16">
        <v>0</v>
      </c>
      <c r="AW42" s="4">
        <v>0</v>
      </c>
      <c r="AX42" s="17">
        <v>0</v>
      </c>
      <c r="AY42" s="16">
        <v>0</v>
      </c>
      <c r="AZ42" s="4">
        <v>0</v>
      </c>
      <c r="BA42" s="17">
        <v>0</v>
      </c>
      <c r="BB42" s="16">
        <v>0</v>
      </c>
      <c r="BC42" s="4">
        <v>0</v>
      </c>
      <c r="BD42" s="17">
        <v>0</v>
      </c>
      <c r="BE42" s="16">
        <v>0</v>
      </c>
      <c r="BF42" s="4">
        <v>0</v>
      </c>
      <c r="BG42" s="17">
        <v>0</v>
      </c>
      <c r="BH42" s="16">
        <v>0</v>
      </c>
      <c r="BI42" s="4">
        <v>0</v>
      </c>
      <c r="BJ42" s="17">
        <v>0</v>
      </c>
      <c r="BK42" s="16">
        <v>0</v>
      </c>
      <c r="BL42" s="4">
        <v>0</v>
      </c>
      <c r="BM42" s="17">
        <v>0</v>
      </c>
      <c r="BN42" s="107">
        <f>-($Y43^2)+($Y42+$Y41)*$Y43-($Y41*$Y42)-($X43^2)+($X42+$X41)*$X43-($X41*$X42)</f>
        <v>-4</v>
      </c>
      <c r="BO42" s="11">
        <f>$Y43^2-2*$Y41*$Y43+$Y41^2+$X43^2-2*$X41*$X43+$X41^2</f>
        <v>8</v>
      </c>
      <c r="BP42" s="96">
        <f>BO43</f>
        <v>-4</v>
      </c>
      <c r="BQ42" s="16">
        <v>0</v>
      </c>
      <c r="BR42" s="4">
        <v>0</v>
      </c>
      <c r="BS42" s="17">
        <v>0</v>
      </c>
      <c r="BT42" s="16">
        <v>0</v>
      </c>
      <c r="BU42" s="4">
        <v>0</v>
      </c>
      <c r="BV42" s="17">
        <v>0</v>
      </c>
      <c r="BW42" s="16">
        <v>0</v>
      </c>
      <c r="BX42" s="4">
        <v>0</v>
      </c>
      <c r="BY42" s="17">
        <v>0</v>
      </c>
      <c r="BZ42" s="16">
        <v>0</v>
      </c>
      <c r="CA42" s="4">
        <v>0</v>
      </c>
      <c r="CB42" s="5">
        <v>0</v>
      </c>
    </row>
    <row r="43" spans="1:80" x14ac:dyDescent="0.25">
      <c r="A43" s="23">
        <f t="shared" si="1"/>
        <v>14</v>
      </c>
      <c r="B43" s="23">
        <f t="shared" si="2"/>
        <v>3</v>
      </c>
      <c r="C43" s="23" t="str">
        <f t="shared" si="0"/>
        <v>T14_3</v>
      </c>
      <c r="E43" s="3" t="str">
        <f>IF(VLOOKUP($C43,'2D-Chapra'!$C$2:$T$55,MID(E$1,2,2)+2,0)="","",VLOOKUP($C43,'2D-Chapra'!$C$2:$T$55,MID(E$1,2,2)+2,0))</f>
        <v/>
      </c>
      <c r="F43" s="4" t="str">
        <f>IF(VLOOKUP($C43,'2D-Chapra'!$C$2:$T$55,MID(F$1,2,2)+2,0)="","",VLOOKUP($C43,'2D-Chapra'!$C$2:$T$55,MID(F$1,2,2)+2,0))</f>
        <v/>
      </c>
      <c r="G43" s="4" t="str">
        <f>IF(VLOOKUP($C43,'2D-Chapra'!$C$2:$T$55,MID(G$1,2,2)+2,0)="","",VLOOKUP($C43,'2D-Chapra'!$C$2:$T$55,MID(G$1,2,2)+2,0))</f>
        <v/>
      </c>
      <c r="H43" s="4" t="str">
        <f>IF(VLOOKUP($C43,'2D-Chapra'!$C$2:$T$55,MID(H$1,2,2)+2,0)="","",VLOOKUP($C43,'2D-Chapra'!$C$2:$T$55,MID(H$1,2,2)+2,0))</f>
        <v/>
      </c>
      <c r="I43" s="4" t="str">
        <f>IF(VLOOKUP($C43,'2D-Chapra'!$C$2:$T$55,MID(I$1,2,2)+2,0)="","",VLOOKUP($C43,'2D-Chapra'!$C$2:$T$55,MID(I$1,2,2)+2,0))</f>
        <v/>
      </c>
      <c r="J43" s="4" t="str">
        <f>IF(VLOOKUP($C43,'2D-Chapra'!$C$2:$T$55,MID(J$1,2,2)+2,0)="","",VLOOKUP($C43,'2D-Chapra'!$C$2:$T$55,MID(J$1,2,2)+2,0))</f>
        <v/>
      </c>
      <c r="K43" s="4" t="str">
        <f>IF(VLOOKUP($C43,'2D-Chapra'!$C$2:$T$55,MID(K$1,2,2)+2,0)="","",VLOOKUP($C43,'2D-Chapra'!$C$2:$T$55,MID(K$1,2,2)+2,0))</f>
        <v/>
      </c>
      <c r="L43" s="4" t="str">
        <f>IF(VLOOKUP($C43,'2D-Chapra'!$C$2:$T$55,MID(L$1,2,2)+2,0)="","",VLOOKUP($C43,'2D-Chapra'!$C$2:$T$55,MID(L$1,2,2)+2,0))</f>
        <v/>
      </c>
      <c r="M43" s="4" t="str">
        <f>IF(VLOOKUP($C43,'2D-Chapra'!$C$2:$T$55,MID(M$1,2,2)+2,0)="","",VLOOKUP($C43,'2D-Chapra'!$C$2:$T$55,MID(M$1,2,2)+2,0))</f>
        <v/>
      </c>
      <c r="N43" s="4" t="str">
        <f>IF(VLOOKUP($C43,'2D-Chapra'!$C$2:$T$55,MID(N$1,2,2)+2,0)="","",VLOOKUP($C43,'2D-Chapra'!$C$2:$T$55,MID(N$1,2,2)+2,0))</f>
        <v/>
      </c>
      <c r="O43" s="4" t="str">
        <f>IF(VLOOKUP($C43,'2D-Chapra'!$C$2:$T$55,MID(O$1,2,2)+2,0)="","",VLOOKUP($C43,'2D-Chapra'!$C$2:$T$55,MID(O$1,2,2)+2,0))</f>
        <v/>
      </c>
      <c r="P43" s="4" t="str">
        <f>IF(VLOOKUP($C43,'2D-Chapra'!$C$2:$T$55,MID(P$1,2,2)+2,0)="","",VLOOKUP($C43,'2D-Chapra'!$C$2:$T$55,MID(P$1,2,2)+2,0))</f>
        <v/>
      </c>
      <c r="Q43" s="4" t="str">
        <f>IF(VLOOKUP($C43,'2D-Chapra'!$C$2:$T$55,MID(Q$1,2,2)+2,0)="","",VLOOKUP($C43,'2D-Chapra'!$C$2:$T$55,MID(Q$1,2,2)+2,0))</f>
        <v/>
      </c>
      <c r="R43" s="4">
        <f>IF(VLOOKUP($C43,'2D-Chapra'!$C$2:$T$55,MID(R$1,2,2)+2,0)="","",VLOOKUP($C43,'2D-Chapra'!$C$2:$T$55,MID(R$1,2,2)+2,0))</f>
        <v>1</v>
      </c>
      <c r="S43" s="4" t="str">
        <f>IF(VLOOKUP($C43,'2D-Chapra'!$C$2:$T$55,MID(S$1,2,2)+2,0)="","",VLOOKUP($C43,'2D-Chapra'!$C$2:$T$55,MID(S$1,2,2)+2,0))</f>
        <v/>
      </c>
      <c r="T43" s="5" t="str">
        <f>IF(VLOOKUP($C43,'2D-Chapra'!$C$2:$T$55,MID(T$1,2,2)+2,0)="","",VLOOKUP($C43,'2D-Chapra'!$C$2:$T$55,MID(T$1,2,2)+2,0))</f>
        <v/>
      </c>
      <c r="W43" s="97">
        <v>1</v>
      </c>
      <c r="X43" s="98">
        <v>-1</v>
      </c>
      <c r="Y43" s="99">
        <v>3</v>
      </c>
      <c r="Z43" s="100" t="s">
        <v>194</v>
      </c>
      <c r="AA43" s="108">
        <v>0</v>
      </c>
      <c r="AB43" s="19">
        <v>0</v>
      </c>
      <c r="AC43" s="20">
        <v>0</v>
      </c>
      <c r="AD43" s="18">
        <v>0</v>
      </c>
      <c r="AE43" s="19">
        <v>0</v>
      </c>
      <c r="AF43" s="20">
        <v>0</v>
      </c>
      <c r="AG43" s="18">
        <v>0</v>
      </c>
      <c r="AH43" s="19">
        <v>0</v>
      </c>
      <c r="AI43" s="20">
        <v>0</v>
      </c>
      <c r="AJ43" s="18">
        <v>0</v>
      </c>
      <c r="AK43" s="19">
        <v>0</v>
      </c>
      <c r="AL43" s="20">
        <v>0</v>
      </c>
      <c r="AM43" s="18">
        <v>0</v>
      </c>
      <c r="AN43" s="19">
        <v>0</v>
      </c>
      <c r="AO43" s="20">
        <v>0</v>
      </c>
      <c r="AP43" s="18">
        <v>0</v>
      </c>
      <c r="AQ43" s="19">
        <v>0</v>
      </c>
      <c r="AR43" s="20">
        <v>0</v>
      </c>
      <c r="AS43" s="18">
        <v>0</v>
      </c>
      <c r="AT43" s="19">
        <v>0</v>
      </c>
      <c r="AU43" s="20">
        <v>0</v>
      </c>
      <c r="AV43" s="18">
        <v>0</v>
      </c>
      <c r="AW43" s="19">
        <v>0</v>
      </c>
      <c r="AX43" s="20">
        <v>0</v>
      </c>
      <c r="AY43" s="18">
        <v>0</v>
      </c>
      <c r="AZ43" s="19">
        <v>0</v>
      </c>
      <c r="BA43" s="20">
        <v>0</v>
      </c>
      <c r="BB43" s="18">
        <v>0</v>
      </c>
      <c r="BC43" s="19">
        <v>0</v>
      </c>
      <c r="BD43" s="20">
        <v>0</v>
      </c>
      <c r="BE43" s="18">
        <v>0</v>
      </c>
      <c r="BF43" s="19">
        <v>0</v>
      </c>
      <c r="BG43" s="20">
        <v>0</v>
      </c>
      <c r="BH43" s="18">
        <v>0</v>
      </c>
      <c r="BI43" s="19">
        <v>0</v>
      </c>
      <c r="BJ43" s="20">
        <v>0</v>
      </c>
      <c r="BK43" s="18">
        <v>0</v>
      </c>
      <c r="BL43" s="19">
        <v>0</v>
      </c>
      <c r="BM43" s="20">
        <v>0</v>
      </c>
      <c r="BN43" s="109">
        <f>($Y42-$Y41)*$Y43-$Y42^2+$Y41*$Y42+($X42-$X41)*$X43-$X42^2+$X41*$X42</f>
        <v>0</v>
      </c>
      <c r="BO43" s="102">
        <f>($Y41-$Y42)*$Y43+$Y41*$Y42-$Y41^2+($X41-$X42)*$X43+$X41*$X42-$X41^2</f>
        <v>-4</v>
      </c>
      <c r="BP43" s="103">
        <f>$Y42^2-2*$Y41*$Y42+$Y41^2+$X42^2-2*$X41*$X42+$X41^2</f>
        <v>4</v>
      </c>
      <c r="BQ43" s="18">
        <v>0</v>
      </c>
      <c r="BR43" s="19">
        <v>0</v>
      </c>
      <c r="BS43" s="20">
        <v>0</v>
      </c>
      <c r="BT43" s="18">
        <v>0</v>
      </c>
      <c r="BU43" s="19">
        <v>0</v>
      </c>
      <c r="BV43" s="20">
        <v>0</v>
      </c>
      <c r="BW43" s="18">
        <v>0</v>
      </c>
      <c r="BX43" s="19">
        <v>0</v>
      </c>
      <c r="BY43" s="20">
        <v>0</v>
      </c>
      <c r="BZ43" s="18">
        <v>0</v>
      </c>
      <c r="CA43" s="19">
        <v>0</v>
      </c>
      <c r="CB43" s="104">
        <v>0</v>
      </c>
    </row>
    <row r="44" spans="1:80" x14ac:dyDescent="0.25">
      <c r="A44" s="23">
        <f t="shared" si="1"/>
        <v>15</v>
      </c>
      <c r="B44" s="23">
        <f t="shared" si="2"/>
        <v>1</v>
      </c>
      <c r="C44" s="23" t="str">
        <f t="shared" si="0"/>
        <v>T15_1</v>
      </c>
      <c r="E44" s="3" t="str">
        <f>IF(VLOOKUP($C44,'2D-Chapra'!$C$2:$T$55,MID(E$1,2,2)+2,0)="","",VLOOKUP($C44,'2D-Chapra'!$C$2:$T$55,MID(E$1,2,2)+2,0))</f>
        <v/>
      </c>
      <c r="F44" s="4" t="str">
        <f>IF(VLOOKUP($C44,'2D-Chapra'!$C$2:$T$55,MID(F$1,2,2)+2,0)="","",VLOOKUP($C44,'2D-Chapra'!$C$2:$T$55,MID(F$1,2,2)+2,0))</f>
        <v/>
      </c>
      <c r="G44" s="4">
        <f>IF(VLOOKUP($C44,'2D-Chapra'!$C$2:$T$55,MID(G$1,2,2)+2,0)="","",VLOOKUP($C44,'2D-Chapra'!$C$2:$T$55,MID(G$1,2,2)+2,0))</f>
        <v>1</v>
      </c>
      <c r="H44" s="4" t="str">
        <f>IF(VLOOKUP($C44,'2D-Chapra'!$C$2:$T$55,MID(H$1,2,2)+2,0)="","",VLOOKUP($C44,'2D-Chapra'!$C$2:$T$55,MID(H$1,2,2)+2,0))</f>
        <v/>
      </c>
      <c r="I44" s="4" t="str">
        <f>IF(VLOOKUP($C44,'2D-Chapra'!$C$2:$T$55,MID(I$1,2,2)+2,0)="","",VLOOKUP($C44,'2D-Chapra'!$C$2:$T$55,MID(I$1,2,2)+2,0))</f>
        <v/>
      </c>
      <c r="J44" s="4" t="str">
        <f>IF(VLOOKUP($C44,'2D-Chapra'!$C$2:$T$55,MID(J$1,2,2)+2,0)="","",VLOOKUP($C44,'2D-Chapra'!$C$2:$T$55,MID(J$1,2,2)+2,0))</f>
        <v/>
      </c>
      <c r="K44" s="4" t="str">
        <f>IF(VLOOKUP($C44,'2D-Chapra'!$C$2:$T$55,MID(K$1,2,2)+2,0)="","",VLOOKUP($C44,'2D-Chapra'!$C$2:$T$55,MID(K$1,2,2)+2,0))</f>
        <v/>
      </c>
      <c r="L44" s="4" t="str">
        <f>IF(VLOOKUP($C44,'2D-Chapra'!$C$2:$T$55,MID(L$1,2,2)+2,0)="","",VLOOKUP($C44,'2D-Chapra'!$C$2:$T$55,MID(L$1,2,2)+2,0))</f>
        <v/>
      </c>
      <c r="M44" s="4" t="str">
        <f>IF(VLOOKUP($C44,'2D-Chapra'!$C$2:$T$55,MID(M$1,2,2)+2,0)="","",VLOOKUP($C44,'2D-Chapra'!$C$2:$T$55,MID(M$1,2,2)+2,0))</f>
        <v/>
      </c>
      <c r="N44" s="4" t="str">
        <f>IF(VLOOKUP($C44,'2D-Chapra'!$C$2:$T$55,MID(N$1,2,2)+2,0)="","",VLOOKUP($C44,'2D-Chapra'!$C$2:$T$55,MID(N$1,2,2)+2,0))</f>
        <v/>
      </c>
      <c r="O44" s="4" t="str">
        <f>IF(VLOOKUP($C44,'2D-Chapra'!$C$2:$T$55,MID(O$1,2,2)+2,0)="","",VLOOKUP($C44,'2D-Chapra'!$C$2:$T$55,MID(O$1,2,2)+2,0))</f>
        <v/>
      </c>
      <c r="P44" s="4" t="str">
        <f>IF(VLOOKUP($C44,'2D-Chapra'!$C$2:$T$55,MID(P$1,2,2)+2,0)="","",VLOOKUP($C44,'2D-Chapra'!$C$2:$T$55,MID(P$1,2,2)+2,0))</f>
        <v/>
      </c>
      <c r="Q44" s="4" t="str">
        <f>IF(VLOOKUP($C44,'2D-Chapra'!$C$2:$T$55,MID(Q$1,2,2)+2,0)="","",VLOOKUP($C44,'2D-Chapra'!$C$2:$T$55,MID(Q$1,2,2)+2,0))</f>
        <v/>
      </c>
      <c r="R44" s="4" t="str">
        <f>IF(VLOOKUP($C44,'2D-Chapra'!$C$2:$T$55,MID(R$1,2,2)+2,0)="","",VLOOKUP($C44,'2D-Chapra'!$C$2:$T$55,MID(R$1,2,2)+2,0))</f>
        <v/>
      </c>
      <c r="S44" s="4" t="str">
        <f>IF(VLOOKUP($C44,'2D-Chapra'!$C$2:$T$55,MID(S$1,2,2)+2,0)="","",VLOOKUP($C44,'2D-Chapra'!$C$2:$T$55,MID(S$1,2,2)+2,0))</f>
        <v/>
      </c>
      <c r="T44" s="5" t="str">
        <f>IF(VLOOKUP($C44,'2D-Chapra'!$C$2:$T$55,MID(T$1,2,2)+2,0)="","",VLOOKUP($C44,'2D-Chapra'!$C$2:$T$55,MID(T$1,2,2)+2,0))</f>
        <v/>
      </c>
      <c r="W44" s="85">
        <v>1</v>
      </c>
      <c r="X44" s="86">
        <v>-1</v>
      </c>
      <c r="Y44" s="87">
        <v>1</v>
      </c>
      <c r="Z44" s="88" t="s">
        <v>195</v>
      </c>
      <c r="AA44" s="105">
        <v>0</v>
      </c>
      <c r="AB44" s="14">
        <v>0</v>
      </c>
      <c r="AC44" s="15">
        <v>0</v>
      </c>
      <c r="AD44" s="13">
        <v>0</v>
      </c>
      <c r="AE44" s="14">
        <v>0</v>
      </c>
      <c r="AF44" s="15">
        <v>0</v>
      </c>
      <c r="AG44" s="13">
        <v>0</v>
      </c>
      <c r="AH44" s="14">
        <v>0</v>
      </c>
      <c r="AI44" s="15">
        <v>0</v>
      </c>
      <c r="AJ44" s="13">
        <v>0</v>
      </c>
      <c r="AK44" s="14">
        <v>0</v>
      </c>
      <c r="AL44" s="15">
        <v>0</v>
      </c>
      <c r="AM44" s="13">
        <v>0</v>
      </c>
      <c r="AN44" s="14">
        <v>0</v>
      </c>
      <c r="AO44" s="15">
        <v>0</v>
      </c>
      <c r="AP44" s="13">
        <v>0</v>
      </c>
      <c r="AQ44" s="14">
        <v>0</v>
      </c>
      <c r="AR44" s="15">
        <v>0</v>
      </c>
      <c r="AS44" s="13">
        <v>0</v>
      </c>
      <c r="AT44" s="14">
        <v>0</v>
      </c>
      <c r="AU44" s="15">
        <v>0</v>
      </c>
      <c r="AV44" s="13">
        <v>0</v>
      </c>
      <c r="AW44" s="14">
        <v>0</v>
      </c>
      <c r="AX44" s="15">
        <v>0</v>
      </c>
      <c r="AY44" s="13">
        <v>0</v>
      </c>
      <c r="AZ44" s="14">
        <v>0</v>
      </c>
      <c r="BA44" s="15">
        <v>0</v>
      </c>
      <c r="BB44" s="13">
        <v>0</v>
      </c>
      <c r="BC44" s="14">
        <v>0</v>
      </c>
      <c r="BD44" s="15">
        <v>0</v>
      </c>
      <c r="BE44" s="13">
        <v>0</v>
      </c>
      <c r="BF44" s="14">
        <v>0</v>
      </c>
      <c r="BG44" s="15">
        <v>0</v>
      </c>
      <c r="BH44" s="13">
        <v>0</v>
      </c>
      <c r="BI44" s="14">
        <v>0</v>
      </c>
      <c r="BJ44" s="15">
        <v>0</v>
      </c>
      <c r="BK44" s="13">
        <v>0</v>
      </c>
      <c r="BL44" s="14">
        <v>0</v>
      </c>
      <c r="BM44" s="15">
        <v>0</v>
      </c>
      <c r="BN44" s="13">
        <v>0</v>
      </c>
      <c r="BO44" s="14">
        <v>0</v>
      </c>
      <c r="BP44" s="15">
        <v>0</v>
      </c>
      <c r="BQ44" s="106">
        <f>$Y46^2-2*$Y45*$Y46+$Y45^2+$X46^2-2*$X45*$X46+$X45^2</f>
        <v>4</v>
      </c>
      <c r="BR44" s="90">
        <f>BQ45</f>
        <v>0</v>
      </c>
      <c r="BS44" s="91">
        <f>BQ46</f>
        <v>-4</v>
      </c>
      <c r="BT44" s="13">
        <v>0</v>
      </c>
      <c r="BU44" s="14">
        <v>0</v>
      </c>
      <c r="BV44" s="15">
        <v>0</v>
      </c>
      <c r="BW44" s="13">
        <v>0</v>
      </c>
      <c r="BX44" s="14">
        <v>0</v>
      </c>
      <c r="BY44" s="15">
        <v>0</v>
      </c>
      <c r="BZ44" s="13">
        <v>0</v>
      </c>
      <c r="CA44" s="14">
        <v>0</v>
      </c>
      <c r="CB44" s="92">
        <v>0</v>
      </c>
    </row>
    <row r="45" spans="1:80" x14ac:dyDescent="0.25">
      <c r="A45" s="23">
        <f t="shared" si="1"/>
        <v>15</v>
      </c>
      <c r="B45" s="23">
        <f t="shared" si="2"/>
        <v>2</v>
      </c>
      <c r="C45" s="23" t="str">
        <f t="shared" si="0"/>
        <v>T15_2</v>
      </c>
      <c r="E45" s="3" t="str">
        <f>IF(VLOOKUP($C45,'2D-Chapra'!$C$2:$T$55,MID(E$1,2,2)+2,0)="","",VLOOKUP($C45,'2D-Chapra'!$C$2:$T$55,MID(E$1,2,2)+2,0))</f>
        <v/>
      </c>
      <c r="F45" s="4" t="str">
        <f>IF(VLOOKUP($C45,'2D-Chapra'!$C$2:$T$55,MID(F$1,2,2)+2,0)="","",VLOOKUP($C45,'2D-Chapra'!$C$2:$T$55,MID(F$1,2,2)+2,0))</f>
        <v/>
      </c>
      <c r="G45" s="4" t="str">
        <f>IF(VLOOKUP($C45,'2D-Chapra'!$C$2:$T$55,MID(G$1,2,2)+2,0)="","",VLOOKUP($C45,'2D-Chapra'!$C$2:$T$55,MID(G$1,2,2)+2,0))</f>
        <v/>
      </c>
      <c r="H45" s="4" t="str">
        <f>IF(VLOOKUP($C45,'2D-Chapra'!$C$2:$T$55,MID(H$1,2,2)+2,0)="","",VLOOKUP($C45,'2D-Chapra'!$C$2:$T$55,MID(H$1,2,2)+2,0))</f>
        <v/>
      </c>
      <c r="I45" s="4" t="str">
        <f>IF(VLOOKUP($C45,'2D-Chapra'!$C$2:$T$55,MID(I$1,2,2)+2,0)="","",VLOOKUP($C45,'2D-Chapra'!$C$2:$T$55,MID(I$1,2,2)+2,0))</f>
        <v/>
      </c>
      <c r="J45" s="4" t="str">
        <f>IF(VLOOKUP($C45,'2D-Chapra'!$C$2:$T$55,MID(J$1,2,2)+2,0)="","",VLOOKUP($C45,'2D-Chapra'!$C$2:$T$55,MID(J$1,2,2)+2,0))</f>
        <v/>
      </c>
      <c r="K45" s="4" t="str">
        <f>IF(VLOOKUP($C45,'2D-Chapra'!$C$2:$T$55,MID(K$1,2,2)+2,0)="","",VLOOKUP($C45,'2D-Chapra'!$C$2:$T$55,MID(K$1,2,2)+2,0))</f>
        <v/>
      </c>
      <c r="L45" s="4" t="str">
        <f>IF(VLOOKUP($C45,'2D-Chapra'!$C$2:$T$55,MID(L$1,2,2)+2,0)="","",VLOOKUP($C45,'2D-Chapra'!$C$2:$T$55,MID(L$1,2,2)+2,0))</f>
        <v/>
      </c>
      <c r="M45" s="4" t="str">
        <f>IF(VLOOKUP($C45,'2D-Chapra'!$C$2:$T$55,MID(M$1,2,2)+2,0)="","",VLOOKUP($C45,'2D-Chapra'!$C$2:$T$55,MID(M$1,2,2)+2,0))</f>
        <v/>
      </c>
      <c r="N45" s="4" t="str">
        <f>IF(VLOOKUP($C45,'2D-Chapra'!$C$2:$T$55,MID(N$1,2,2)+2,0)="","",VLOOKUP($C45,'2D-Chapra'!$C$2:$T$55,MID(N$1,2,2)+2,0))</f>
        <v/>
      </c>
      <c r="O45" s="4" t="str">
        <f>IF(VLOOKUP($C45,'2D-Chapra'!$C$2:$T$55,MID(O$1,2,2)+2,0)="","",VLOOKUP($C45,'2D-Chapra'!$C$2:$T$55,MID(O$1,2,2)+2,0))</f>
        <v/>
      </c>
      <c r="P45" s="4" t="str">
        <f>IF(VLOOKUP($C45,'2D-Chapra'!$C$2:$T$55,MID(P$1,2,2)+2,0)="","",VLOOKUP($C45,'2D-Chapra'!$C$2:$T$55,MID(P$1,2,2)+2,0))</f>
        <v/>
      </c>
      <c r="Q45" s="4" t="str">
        <f>IF(VLOOKUP($C45,'2D-Chapra'!$C$2:$T$55,MID(Q$1,2,2)+2,0)="","",VLOOKUP($C45,'2D-Chapra'!$C$2:$T$55,MID(Q$1,2,2)+2,0))</f>
        <v/>
      </c>
      <c r="R45" s="4" t="str">
        <f>IF(VLOOKUP($C45,'2D-Chapra'!$C$2:$T$55,MID(R$1,2,2)+2,0)="","",VLOOKUP($C45,'2D-Chapra'!$C$2:$T$55,MID(R$1,2,2)+2,0))</f>
        <v/>
      </c>
      <c r="S45" s="4">
        <f>IF(VLOOKUP($C45,'2D-Chapra'!$C$2:$T$55,MID(S$1,2,2)+2,0)="","",VLOOKUP($C45,'2D-Chapra'!$C$2:$T$55,MID(S$1,2,2)+2,0))</f>
        <v>1</v>
      </c>
      <c r="T45" s="5" t="str">
        <f>IF(VLOOKUP($C45,'2D-Chapra'!$C$2:$T$55,MID(T$1,2,2)+2,0)="","",VLOOKUP($C45,'2D-Chapra'!$C$2:$T$55,MID(T$1,2,2)+2,0))</f>
        <v/>
      </c>
      <c r="W45" s="93">
        <v>1</v>
      </c>
      <c r="X45" s="49">
        <v>1</v>
      </c>
      <c r="Y45" s="94">
        <v>3</v>
      </c>
      <c r="Z45" s="95" t="s">
        <v>196</v>
      </c>
      <c r="AA45" s="3">
        <v>0</v>
      </c>
      <c r="AB45" s="4">
        <v>0</v>
      </c>
      <c r="AC45" s="17">
        <v>0</v>
      </c>
      <c r="AD45" s="16">
        <v>0</v>
      </c>
      <c r="AE45" s="4">
        <v>0</v>
      </c>
      <c r="AF45" s="17">
        <v>0</v>
      </c>
      <c r="AG45" s="16">
        <v>0</v>
      </c>
      <c r="AH45" s="4">
        <v>0</v>
      </c>
      <c r="AI45" s="17">
        <v>0</v>
      </c>
      <c r="AJ45" s="16">
        <v>0</v>
      </c>
      <c r="AK45" s="4">
        <v>0</v>
      </c>
      <c r="AL45" s="17">
        <v>0</v>
      </c>
      <c r="AM45" s="16">
        <v>0</v>
      </c>
      <c r="AN45" s="4">
        <v>0</v>
      </c>
      <c r="AO45" s="17">
        <v>0</v>
      </c>
      <c r="AP45" s="16">
        <v>0</v>
      </c>
      <c r="AQ45" s="4">
        <v>0</v>
      </c>
      <c r="AR45" s="17">
        <v>0</v>
      </c>
      <c r="AS45" s="16">
        <v>0</v>
      </c>
      <c r="AT45" s="4">
        <v>0</v>
      </c>
      <c r="AU45" s="17">
        <v>0</v>
      </c>
      <c r="AV45" s="16">
        <v>0</v>
      </c>
      <c r="AW45" s="4">
        <v>0</v>
      </c>
      <c r="AX45" s="17">
        <v>0</v>
      </c>
      <c r="AY45" s="16">
        <v>0</v>
      </c>
      <c r="AZ45" s="4">
        <v>0</v>
      </c>
      <c r="BA45" s="17">
        <v>0</v>
      </c>
      <c r="BB45" s="16">
        <v>0</v>
      </c>
      <c r="BC45" s="4">
        <v>0</v>
      </c>
      <c r="BD45" s="17">
        <v>0</v>
      </c>
      <c r="BE45" s="16">
        <v>0</v>
      </c>
      <c r="BF45" s="4">
        <v>0</v>
      </c>
      <c r="BG45" s="17">
        <v>0</v>
      </c>
      <c r="BH45" s="16">
        <v>0</v>
      </c>
      <c r="BI45" s="4">
        <v>0</v>
      </c>
      <c r="BJ45" s="17">
        <v>0</v>
      </c>
      <c r="BK45" s="16">
        <v>0</v>
      </c>
      <c r="BL45" s="4">
        <v>0</v>
      </c>
      <c r="BM45" s="17">
        <v>0</v>
      </c>
      <c r="BN45" s="16">
        <v>0</v>
      </c>
      <c r="BO45" s="4">
        <v>0</v>
      </c>
      <c r="BP45" s="17">
        <v>0</v>
      </c>
      <c r="BQ45" s="107">
        <f>-($Y46^2)+($Y45+$Y44)*$Y46-($Y44*$Y45)-($X46^2)+($X45+$X44)*$X46-($X44*$X45)</f>
        <v>0</v>
      </c>
      <c r="BR45" s="11">
        <f>$Y46^2-2*$Y44*$Y46+$Y44^2+$X46^2-2*$X44*$X46+$X44^2</f>
        <v>4</v>
      </c>
      <c r="BS45" s="96">
        <f>BR46</f>
        <v>-4</v>
      </c>
      <c r="BT45" s="16">
        <v>0</v>
      </c>
      <c r="BU45" s="4">
        <v>0</v>
      </c>
      <c r="BV45" s="17">
        <v>0</v>
      </c>
      <c r="BW45" s="16">
        <v>0</v>
      </c>
      <c r="BX45" s="4">
        <v>0</v>
      </c>
      <c r="BY45" s="17">
        <v>0</v>
      </c>
      <c r="BZ45" s="16">
        <v>0</v>
      </c>
      <c r="CA45" s="4">
        <v>0</v>
      </c>
      <c r="CB45" s="5">
        <v>0</v>
      </c>
    </row>
    <row r="46" spans="1:80" x14ac:dyDescent="0.25">
      <c r="A46" s="23">
        <f t="shared" si="1"/>
        <v>15</v>
      </c>
      <c r="B46" s="23">
        <f t="shared" si="2"/>
        <v>3</v>
      </c>
      <c r="C46" s="23" t="str">
        <f t="shared" si="0"/>
        <v>T15_3</v>
      </c>
      <c r="E46" s="3" t="str">
        <f>IF(VLOOKUP($C46,'2D-Chapra'!$C$2:$T$55,MID(E$1,2,2)+2,0)="","",VLOOKUP($C46,'2D-Chapra'!$C$2:$T$55,MID(E$1,2,2)+2,0))</f>
        <v/>
      </c>
      <c r="F46" s="4" t="str">
        <f>IF(VLOOKUP($C46,'2D-Chapra'!$C$2:$T$55,MID(F$1,2,2)+2,0)="","",VLOOKUP($C46,'2D-Chapra'!$C$2:$T$55,MID(F$1,2,2)+2,0))</f>
        <v/>
      </c>
      <c r="G46" s="4" t="str">
        <f>IF(VLOOKUP($C46,'2D-Chapra'!$C$2:$T$55,MID(G$1,2,2)+2,0)="","",VLOOKUP($C46,'2D-Chapra'!$C$2:$T$55,MID(G$1,2,2)+2,0))</f>
        <v/>
      </c>
      <c r="H46" s="4" t="str">
        <f>IF(VLOOKUP($C46,'2D-Chapra'!$C$2:$T$55,MID(H$1,2,2)+2,0)="","",VLOOKUP($C46,'2D-Chapra'!$C$2:$T$55,MID(H$1,2,2)+2,0))</f>
        <v/>
      </c>
      <c r="I46" s="4" t="str">
        <f>IF(VLOOKUP($C46,'2D-Chapra'!$C$2:$T$55,MID(I$1,2,2)+2,0)="","",VLOOKUP($C46,'2D-Chapra'!$C$2:$T$55,MID(I$1,2,2)+2,0))</f>
        <v/>
      </c>
      <c r="J46" s="4" t="str">
        <f>IF(VLOOKUP($C46,'2D-Chapra'!$C$2:$T$55,MID(J$1,2,2)+2,0)="","",VLOOKUP($C46,'2D-Chapra'!$C$2:$T$55,MID(J$1,2,2)+2,0))</f>
        <v/>
      </c>
      <c r="K46" s="4" t="str">
        <f>IF(VLOOKUP($C46,'2D-Chapra'!$C$2:$T$55,MID(K$1,2,2)+2,0)="","",VLOOKUP($C46,'2D-Chapra'!$C$2:$T$55,MID(K$1,2,2)+2,0))</f>
        <v/>
      </c>
      <c r="L46" s="4" t="str">
        <f>IF(VLOOKUP($C46,'2D-Chapra'!$C$2:$T$55,MID(L$1,2,2)+2,0)="","",VLOOKUP($C46,'2D-Chapra'!$C$2:$T$55,MID(L$1,2,2)+2,0))</f>
        <v/>
      </c>
      <c r="M46" s="4" t="str">
        <f>IF(VLOOKUP($C46,'2D-Chapra'!$C$2:$T$55,MID(M$1,2,2)+2,0)="","",VLOOKUP($C46,'2D-Chapra'!$C$2:$T$55,MID(M$1,2,2)+2,0))</f>
        <v/>
      </c>
      <c r="N46" s="4" t="str">
        <f>IF(VLOOKUP($C46,'2D-Chapra'!$C$2:$T$55,MID(N$1,2,2)+2,0)="","",VLOOKUP($C46,'2D-Chapra'!$C$2:$T$55,MID(N$1,2,2)+2,0))</f>
        <v/>
      </c>
      <c r="O46" s="4" t="str">
        <f>IF(VLOOKUP($C46,'2D-Chapra'!$C$2:$T$55,MID(O$1,2,2)+2,0)="","",VLOOKUP($C46,'2D-Chapra'!$C$2:$T$55,MID(O$1,2,2)+2,0))</f>
        <v/>
      </c>
      <c r="P46" s="4" t="str">
        <f>IF(VLOOKUP($C46,'2D-Chapra'!$C$2:$T$55,MID(P$1,2,2)+2,0)="","",VLOOKUP($C46,'2D-Chapra'!$C$2:$T$55,MID(P$1,2,2)+2,0))</f>
        <v/>
      </c>
      <c r="Q46" s="4" t="str">
        <f>IF(VLOOKUP($C46,'2D-Chapra'!$C$2:$T$55,MID(Q$1,2,2)+2,0)="","",VLOOKUP($C46,'2D-Chapra'!$C$2:$T$55,MID(Q$1,2,2)+2,0))</f>
        <v/>
      </c>
      <c r="R46" s="4">
        <f>IF(VLOOKUP($C46,'2D-Chapra'!$C$2:$T$55,MID(R$1,2,2)+2,0)="","",VLOOKUP($C46,'2D-Chapra'!$C$2:$T$55,MID(R$1,2,2)+2,0))</f>
        <v>1</v>
      </c>
      <c r="S46" s="4" t="str">
        <f>IF(VLOOKUP($C46,'2D-Chapra'!$C$2:$T$55,MID(S$1,2,2)+2,0)="","",VLOOKUP($C46,'2D-Chapra'!$C$2:$T$55,MID(S$1,2,2)+2,0))</f>
        <v/>
      </c>
      <c r="T46" s="5" t="str">
        <f>IF(VLOOKUP($C46,'2D-Chapra'!$C$2:$T$55,MID(T$1,2,2)+2,0)="","",VLOOKUP($C46,'2D-Chapra'!$C$2:$T$55,MID(T$1,2,2)+2,0))</f>
        <v/>
      </c>
      <c r="W46" s="97">
        <v>1</v>
      </c>
      <c r="X46" s="98">
        <v>-1</v>
      </c>
      <c r="Y46" s="99">
        <v>3</v>
      </c>
      <c r="Z46" s="100" t="s">
        <v>197</v>
      </c>
      <c r="AA46" s="108">
        <v>0</v>
      </c>
      <c r="AB46" s="19">
        <v>0</v>
      </c>
      <c r="AC46" s="20">
        <v>0</v>
      </c>
      <c r="AD46" s="18">
        <v>0</v>
      </c>
      <c r="AE46" s="19">
        <v>0</v>
      </c>
      <c r="AF46" s="20">
        <v>0</v>
      </c>
      <c r="AG46" s="18">
        <v>0</v>
      </c>
      <c r="AH46" s="19">
        <v>0</v>
      </c>
      <c r="AI46" s="20">
        <v>0</v>
      </c>
      <c r="AJ46" s="18">
        <v>0</v>
      </c>
      <c r="AK46" s="19">
        <v>0</v>
      </c>
      <c r="AL46" s="20">
        <v>0</v>
      </c>
      <c r="AM46" s="18">
        <v>0</v>
      </c>
      <c r="AN46" s="19">
        <v>0</v>
      </c>
      <c r="AO46" s="20">
        <v>0</v>
      </c>
      <c r="AP46" s="18">
        <v>0</v>
      </c>
      <c r="AQ46" s="19">
        <v>0</v>
      </c>
      <c r="AR46" s="20">
        <v>0</v>
      </c>
      <c r="AS46" s="18">
        <v>0</v>
      </c>
      <c r="AT46" s="19">
        <v>0</v>
      </c>
      <c r="AU46" s="20">
        <v>0</v>
      </c>
      <c r="AV46" s="18">
        <v>0</v>
      </c>
      <c r="AW46" s="19">
        <v>0</v>
      </c>
      <c r="AX46" s="20">
        <v>0</v>
      </c>
      <c r="AY46" s="18">
        <v>0</v>
      </c>
      <c r="AZ46" s="19">
        <v>0</v>
      </c>
      <c r="BA46" s="20">
        <v>0</v>
      </c>
      <c r="BB46" s="18">
        <v>0</v>
      </c>
      <c r="BC46" s="19">
        <v>0</v>
      </c>
      <c r="BD46" s="20">
        <v>0</v>
      </c>
      <c r="BE46" s="18">
        <v>0</v>
      </c>
      <c r="BF46" s="19">
        <v>0</v>
      </c>
      <c r="BG46" s="20">
        <v>0</v>
      </c>
      <c r="BH46" s="18">
        <v>0</v>
      </c>
      <c r="BI46" s="19">
        <v>0</v>
      </c>
      <c r="BJ46" s="20">
        <v>0</v>
      </c>
      <c r="BK46" s="18">
        <v>0</v>
      </c>
      <c r="BL46" s="19">
        <v>0</v>
      </c>
      <c r="BM46" s="20">
        <v>0</v>
      </c>
      <c r="BN46" s="18">
        <v>0</v>
      </c>
      <c r="BO46" s="19">
        <v>0</v>
      </c>
      <c r="BP46" s="20">
        <v>0</v>
      </c>
      <c r="BQ46" s="109">
        <f>($Y45-$Y44)*$Y46-$Y45^2+$Y44*$Y45+($X45-$X44)*$X46-$X45^2+$X44*$X45</f>
        <v>-4</v>
      </c>
      <c r="BR46" s="102">
        <f>($Y44-$Y45)*$Y46+$Y44*$Y45-$Y44^2+($X44-$X45)*$X46+$X44*$X45-$X44^2</f>
        <v>-4</v>
      </c>
      <c r="BS46" s="103">
        <f>$Y45^2-2*$Y44*$Y45+$Y44^2+$X45^2-2*$X44*$X45+$X44^2</f>
        <v>8</v>
      </c>
      <c r="BT46" s="18">
        <v>0</v>
      </c>
      <c r="BU46" s="19">
        <v>0</v>
      </c>
      <c r="BV46" s="20">
        <v>0</v>
      </c>
      <c r="BW46" s="18">
        <v>0</v>
      </c>
      <c r="BX46" s="19">
        <v>0</v>
      </c>
      <c r="BY46" s="20">
        <v>0</v>
      </c>
      <c r="BZ46" s="18">
        <v>0</v>
      </c>
      <c r="CA46" s="19">
        <v>0</v>
      </c>
      <c r="CB46" s="104">
        <v>0</v>
      </c>
    </row>
    <row r="47" spans="1:80" x14ac:dyDescent="0.25">
      <c r="A47" s="23">
        <f t="shared" si="1"/>
        <v>16</v>
      </c>
      <c r="B47" s="23">
        <f t="shared" si="2"/>
        <v>1</v>
      </c>
      <c r="C47" s="23" t="str">
        <f t="shared" si="0"/>
        <v>T16_1</v>
      </c>
      <c r="E47" s="3" t="str">
        <f>IF(VLOOKUP($C47,'2D-Chapra'!$C$2:$T$55,MID(E$1,2,2)+2,0)="","",VLOOKUP($C47,'2D-Chapra'!$C$2:$T$55,MID(E$1,2,2)+2,0))</f>
        <v/>
      </c>
      <c r="F47" s="4" t="str">
        <f>IF(VLOOKUP($C47,'2D-Chapra'!$C$2:$T$55,MID(F$1,2,2)+2,0)="","",VLOOKUP($C47,'2D-Chapra'!$C$2:$T$55,MID(F$1,2,2)+2,0))</f>
        <v/>
      </c>
      <c r="G47" s="4">
        <f>IF(VLOOKUP($C47,'2D-Chapra'!$C$2:$T$55,MID(G$1,2,2)+2,0)="","",VLOOKUP($C47,'2D-Chapra'!$C$2:$T$55,MID(G$1,2,2)+2,0))</f>
        <v>1</v>
      </c>
      <c r="H47" s="4" t="str">
        <f>IF(VLOOKUP($C47,'2D-Chapra'!$C$2:$T$55,MID(H$1,2,2)+2,0)="","",VLOOKUP($C47,'2D-Chapra'!$C$2:$T$55,MID(H$1,2,2)+2,0))</f>
        <v/>
      </c>
      <c r="I47" s="4" t="str">
        <f>IF(VLOOKUP($C47,'2D-Chapra'!$C$2:$T$55,MID(I$1,2,2)+2,0)="","",VLOOKUP($C47,'2D-Chapra'!$C$2:$T$55,MID(I$1,2,2)+2,0))</f>
        <v/>
      </c>
      <c r="J47" s="4" t="str">
        <f>IF(VLOOKUP($C47,'2D-Chapra'!$C$2:$T$55,MID(J$1,2,2)+2,0)="","",VLOOKUP($C47,'2D-Chapra'!$C$2:$T$55,MID(J$1,2,2)+2,0))</f>
        <v/>
      </c>
      <c r="K47" s="4" t="str">
        <f>IF(VLOOKUP($C47,'2D-Chapra'!$C$2:$T$55,MID(K$1,2,2)+2,0)="","",VLOOKUP($C47,'2D-Chapra'!$C$2:$T$55,MID(K$1,2,2)+2,0))</f>
        <v/>
      </c>
      <c r="L47" s="4" t="str">
        <f>IF(VLOOKUP($C47,'2D-Chapra'!$C$2:$T$55,MID(L$1,2,2)+2,0)="","",VLOOKUP($C47,'2D-Chapra'!$C$2:$T$55,MID(L$1,2,2)+2,0))</f>
        <v/>
      </c>
      <c r="M47" s="4" t="str">
        <f>IF(VLOOKUP($C47,'2D-Chapra'!$C$2:$T$55,MID(M$1,2,2)+2,0)="","",VLOOKUP($C47,'2D-Chapra'!$C$2:$T$55,MID(M$1,2,2)+2,0))</f>
        <v/>
      </c>
      <c r="N47" s="4" t="str">
        <f>IF(VLOOKUP($C47,'2D-Chapra'!$C$2:$T$55,MID(N$1,2,2)+2,0)="","",VLOOKUP($C47,'2D-Chapra'!$C$2:$T$55,MID(N$1,2,2)+2,0))</f>
        <v/>
      </c>
      <c r="O47" s="4" t="str">
        <f>IF(VLOOKUP($C47,'2D-Chapra'!$C$2:$T$55,MID(O$1,2,2)+2,0)="","",VLOOKUP($C47,'2D-Chapra'!$C$2:$T$55,MID(O$1,2,2)+2,0))</f>
        <v/>
      </c>
      <c r="P47" s="4" t="str">
        <f>IF(VLOOKUP($C47,'2D-Chapra'!$C$2:$T$55,MID(P$1,2,2)+2,0)="","",VLOOKUP($C47,'2D-Chapra'!$C$2:$T$55,MID(P$1,2,2)+2,0))</f>
        <v/>
      </c>
      <c r="Q47" s="4" t="str">
        <f>IF(VLOOKUP($C47,'2D-Chapra'!$C$2:$T$55,MID(Q$1,2,2)+2,0)="","",VLOOKUP($C47,'2D-Chapra'!$C$2:$T$55,MID(Q$1,2,2)+2,0))</f>
        <v/>
      </c>
      <c r="R47" s="4" t="str">
        <f>IF(VLOOKUP($C47,'2D-Chapra'!$C$2:$T$55,MID(R$1,2,2)+2,0)="","",VLOOKUP($C47,'2D-Chapra'!$C$2:$T$55,MID(R$1,2,2)+2,0))</f>
        <v/>
      </c>
      <c r="S47" s="4" t="str">
        <f>IF(VLOOKUP($C47,'2D-Chapra'!$C$2:$T$55,MID(S$1,2,2)+2,0)="","",VLOOKUP($C47,'2D-Chapra'!$C$2:$T$55,MID(S$1,2,2)+2,0))</f>
        <v/>
      </c>
      <c r="T47" s="5" t="str">
        <f>IF(VLOOKUP($C47,'2D-Chapra'!$C$2:$T$55,MID(T$1,2,2)+2,0)="","",VLOOKUP($C47,'2D-Chapra'!$C$2:$T$55,MID(T$1,2,2)+2,0))</f>
        <v/>
      </c>
      <c r="W47" s="85">
        <v>1</v>
      </c>
      <c r="X47" s="86">
        <v>-1</v>
      </c>
      <c r="Y47" s="87">
        <v>1</v>
      </c>
      <c r="Z47" s="88" t="s">
        <v>198</v>
      </c>
      <c r="AA47" s="105">
        <v>0</v>
      </c>
      <c r="AB47" s="14">
        <v>0</v>
      </c>
      <c r="AC47" s="15">
        <v>0</v>
      </c>
      <c r="AD47" s="13">
        <v>0</v>
      </c>
      <c r="AE47" s="14">
        <v>0</v>
      </c>
      <c r="AF47" s="15">
        <v>0</v>
      </c>
      <c r="AG47" s="13">
        <v>0</v>
      </c>
      <c r="AH47" s="14">
        <v>0</v>
      </c>
      <c r="AI47" s="15">
        <v>0</v>
      </c>
      <c r="AJ47" s="13">
        <v>0</v>
      </c>
      <c r="AK47" s="14">
        <v>0</v>
      </c>
      <c r="AL47" s="15">
        <v>0</v>
      </c>
      <c r="AM47" s="13">
        <v>0</v>
      </c>
      <c r="AN47" s="14">
        <v>0</v>
      </c>
      <c r="AO47" s="15">
        <v>0</v>
      </c>
      <c r="AP47" s="13">
        <v>0</v>
      </c>
      <c r="AQ47" s="14">
        <v>0</v>
      </c>
      <c r="AR47" s="15">
        <v>0</v>
      </c>
      <c r="AS47" s="13">
        <v>0</v>
      </c>
      <c r="AT47" s="14">
        <v>0</v>
      </c>
      <c r="AU47" s="15">
        <v>0</v>
      </c>
      <c r="AV47" s="13">
        <v>0</v>
      </c>
      <c r="AW47" s="14">
        <v>0</v>
      </c>
      <c r="AX47" s="15">
        <v>0</v>
      </c>
      <c r="AY47" s="13">
        <v>0</v>
      </c>
      <c r="AZ47" s="14">
        <v>0</v>
      </c>
      <c r="BA47" s="15">
        <v>0</v>
      </c>
      <c r="BB47" s="13">
        <v>0</v>
      </c>
      <c r="BC47" s="14">
        <v>0</v>
      </c>
      <c r="BD47" s="15">
        <v>0</v>
      </c>
      <c r="BE47" s="13">
        <v>0</v>
      </c>
      <c r="BF47" s="14">
        <v>0</v>
      </c>
      <c r="BG47" s="15">
        <v>0</v>
      </c>
      <c r="BH47" s="13">
        <v>0</v>
      </c>
      <c r="BI47" s="14">
        <v>0</v>
      </c>
      <c r="BJ47" s="15">
        <v>0</v>
      </c>
      <c r="BK47" s="13">
        <v>0</v>
      </c>
      <c r="BL47" s="14">
        <v>0</v>
      </c>
      <c r="BM47" s="15">
        <v>0</v>
      </c>
      <c r="BN47" s="13">
        <v>0</v>
      </c>
      <c r="BO47" s="14">
        <v>0</v>
      </c>
      <c r="BP47" s="15">
        <v>0</v>
      </c>
      <c r="BQ47" s="13">
        <v>0</v>
      </c>
      <c r="BR47" s="14">
        <v>0</v>
      </c>
      <c r="BS47" s="15">
        <v>0</v>
      </c>
      <c r="BT47" s="106">
        <f>$Y49^2-2*$Y48*$Y49+$Y48^2+$X49^2-2*$X48*$X49+$X48^2</f>
        <v>4</v>
      </c>
      <c r="BU47" s="90">
        <f>BT48</f>
        <v>-4</v>
      </c>
      <c r="BV47" s="91">
        <f>BT49</f>
        <v>0</v>
      </c>
      <c r="BW47" s="13">
        <v>0</v>
      </c>
      <c r="BX47" s="14">
        <v>0</v>
      </c>
      <c r="BY47" s="15">
        <v>0</v>
      </c>
      <c r="BZ47" s="13">
        <v>0</v>
      </c>
      <c r="CA47" s="14">
        <v>0</v>
      </c>
      <c r="CB47" s="92">
        <v>0</v>
      </c>
    </row>
    <row r="48" spans="1:80" x14ac:dyDescent="0.25">
      <c r="A48" s="23">
        <f t="shared" si="1"/>
        <v>16</v>
      </c>
      <c r="B48" s="23">
        <f t="shared" si="2"/>
        <v>2</v>
      </c>
      <c r="C48" s="23" t="str">
        <f t="shared" si="0"/>
        <v>T16_2</v>
      </c>
      <c r="E48" s="3" t="str">
        <f>IF(VLOOKUP($C48,'2D-Chapra'!$C$2:$T$55,MID(E$1,2,2)+2,0)="","",VLOOKUP($C48,'2D-Chapra'!$C$2:$T$55,MID(E$1,2,2)+2,0))</f>
        <v/>
      </c>
      <c r="F48" s="4" t="str">
        <f>IF(VLOOKUP($C48,'2D-Chapra'!$C$2:$T$55,MID(F$1,2,2)+2,0)="","",VLOOKUP($C48,'2D-Chapra'!$C$2:$T$55,MID(F$1,2,2)+2,0))</f>
        <v/>
      </c>
      <c r="G48" s="4" t="str">
        <f>IF(VLOOKUP($C48,'2D-Chapra'!$C$2:$T$55,MID(G$1,2,2)+2,0)="","",VLOOKUP($C48,'2D-Chapra'!$C$2:$T$55,MID(G$1,2,2)+2,0))</f>
        <v/>
      </c>
      <c r="H48" s="4">
        <f>IF(VLOOKUP($C48,'2D-Chapra'!$C$2:$T$55,MID(H$1,2,2)+2,0)="","",VLOOKUP($C48,'2D-Chapra'!$C$2:$T$55,MID(H$1,2,2)+2,0))</f>
        <v>1</v>
      </c>
      <c r="I48" s="4" t="str">
        <f>IF(VLOOKUP($C48,'2D-Chapra'!$C$2:$T$55,MID(I$1,2,2)+2,0)="","",VLOOKUP($C48,'2D-Chapra'!$C$2:$T$55,MID(I$1,2,2)+2,0))</f>
        <v/>
      </c>
      <c r="J48" s="4" t="str">
        <f>IF(VLOOKUP($C48,'2D-Chapra'!$C$2:$T$55,MID(J$1,2,2)+2,0)="","",VLOOKUP($C48,'2D-Chapra'!$C$2:$T$55,MID(J$1,2,2)+2,0))</f>
        <v/>
      </c>
      <c r="K48" s="4" t="str">
        <f>IF(VLOOKUP($C48,'2D-Chapra'!$C$2:$T$55,MID(K$1,2,2)+2,0)="","",VLOOKUP($C48,'2D-Chapra'!$C$2:$T$55,MID(K$1,2,2)+2,0))</f>
        <v/>
      </c>
      <c r="L48" s="4" t="str">
        <f>IF(VLOOKUP($C48,'2D-Chapra'!$C$2:$T$55,MID(L$1,2,2)+2,0)="","",VLOOKUP($C48,'2D-Chapra'!$C$2:$T$55,MID(L$1,2,2)+2,0))</f>
        <v/>
      </c>
      <c r="M48" s="4" t="str">
        <f>IF(VLOOKUP($C48,'2D-Chapra'!$C$2:$T$55,MID(M$1,2,2)+2,0)="","",VLOOKUP($C48,'2D-Chapra'!$C$2:$T$55,MID(M$1,2,2)+2,0))</f>
        <v/>
      </c>
      <c r="N48" s="4" t="str">
        <f>IF(VLOOKUP($C48,'2D-Chapra'!$C$2:$T$55,MID(N$1,2,2)+2,0)="","",VLOOKUP($C48,'2D-Chapra'!$C$2:$T$55,MID(N$1,2,2)+2,0))</f>
        <v/>
      </c>
      <c r="O48" s="4" t="str">
        <f>IF(VLOOKUP($C48,'2D-Chapra'!$C$2:$T$55,MID(O$1,2,2)+2,0)="","",VLOOKUP($C48,'2D-Chapra'!$C$2:$T$55,MID(O$1,2,2)+2,0))</f>
        <v/>
      </c>
      <c r="P48" s="4" t="str">
        <f>IF(VLOOKUP($C48,'2D-Chapra'!$C$2:$T$55,MID(P$1,2,2)+2,0)="","",VLOOKUP($C48,'2D-Chapra'!$C$2:$T$55,MID(P$1,2,2)+2,0))</f>
        <v/>
      </c>
      <c r="Q48" s="4" t="str">
        <f>IF(VLOOKUP($C48,'2D-Chapra'!$C$2:$T$55,MID(Q$1,2,2)+2,0)="","",VLOOKUP($C48,'2D-Chapra'!$C$2:$T$55,MID(Q$1,2,2)+2,0))</f>
        <v/>
      </c>
      <c r="R48" s="4" t="str">
        <f>IF(VLOOKUP($C48,'2D-Chapra'!$C$2:$T$55,MID(R$1,2,2)+2,0)="","",VLOOKUP($C48,'2D-Chapra'!$C$2:$T$55,MID(R$1,2,2)+2,0))</f>
        <v/>
      </c>
      <c r="S48" s="4" t="str">
        <f>IF(VLOOKUP($C48,'2D-Chapra'!$C$2:$T$55,MID(S$1,2,2)+2,0)="","",VLOOKUP($C48,'2D-Chapra'!$C$2:$T$55,MID(S$1,2,2)+2,0))</f>
        <v/>
      </c>
      <c r="T48" s="5" t="str">
        <f>IF(VLOOKUP($C48,'2D-Chapra'!$C$2:$T$55,MID(T$1,2,2)+2,0)="","",VLOOKUP($C48,'2D-Chapra'!$C$2:$T$55,MID(T$1,2,2)+2,0))</f>
        <v/>
      </c>
      <c r="W48" s="93">
        <v>1</v>
      </c>
      <c r="X48" s="49">
        <v>1</v>
      </c>
      <c r="Y48" s="94">
        <v>1</v>
      </c>
      <c r="Z48" s="95" t="s">
        <v>199</v>
      </c>
      <c r="AA48" s="3">
        <v>0</v>
      </c>
      <c r="AB48" s="4">
        <v>0</v>
      </c>
      <c r="AC48" s="17">
        <v>0</v>
      </c>
      <c r="AD48" s="16">
        <v>0</v>
      </c>
      <c r="AE48" s="4">
        <v>0</v>
      </c>
      <c r="AF48" s="17">
        <v>0</v>
      </c>
      <c r="AG48" s="16">
        <v>0</v>
      </c>
      <c r="AH48" s="4">
        <v>0</v>
      </c>
      <c r="AI48" s="17">
        <v>0</v>
      </c>
      <c r="AJ48" s="16">
        <v>0</v>
      </c>
      <c r="AK48" s="4">
        <v>0</v>
      </c>
      <c r="AL48" s="17">
        <v>0</v>
      </c>
      <c r="AM48" s="16">
        <v>0</v>
      </c>
      <c r="AN48" s="4">
        <v>0</v>
      </c>
      <c r="AO48" s="17">
        <v>0</v>
      </c>
      <c r="AP48" s="16">
        <v>0</v>
      </c>
      <c r="AQ48" s="4">
        <v>0</v>
      </c>
      <c r="AR48" s="17">
        <v>0</v>
      </c>
      <c r="AS48" s="16">
        <v>0</v>
      </c>
      <c r="AT48" s="4">
        <v>0</v>
      </c>
      <c r="AU48" s="17">
        <v>0</v>
      </c>
      <c r="AV48" s="16">
        <v>0</v>
      </c>
      <c r="AW48" s="4">
        <v>0</v>
      </c>
      <c r="AX48" s="17">
        <v>0</v>
      </c>
      <c r="AY48" s="16">
        <v>0</v>
      </c>
      <c r="AZ48" s="4">
        <v>0</v>
      </c>
      <c r="BA48" s="17">
        <v>0</v>
      </c>
      <c r="BB48" s="16">
        <v>0</v>
      </c>
      <c r="BC48" s="4">
        <v>0</v>
      </c>
      <c r="BD48" s="17">
        <v>0</v>
      </c>
      <c r="BE48" s="16">
        <v>0</v>
      </c>
      <c r="BF48" s="4">
        <v>0</v>
      </c>
      <c r="BG48" s="17">
        <v>0</v>
      </c>
      <c r="BH48" s="16">
        <v>0</v>
      </c>
      <c r="BI48" s="4">
        <v>0</v>
      </c>
      <c r="BJ48" s="17">
        <v>0</v>
      </c>
      <c r="BK48" s="16">
        <v>0</v>
      </c>
      <c r="BL48" s="4">
        <v>0</v>
      </c>
      <c r="BM48" s="17">
        <v>0</v>
      </c>
      <c r="BN48" s="16">
        <v>0</v>
      </c>
      <c r="BO48" s="4">
        <v>0</v>
      </c>
      <c r="BP48" s="17">
        <v>0</v>
      </c>
      <c r="BQ48" s="16">
        <v>0</v>
      </c>
      <c r="BR48" s="4">
        <v>0</v>
      </c>
      <c r="BS48" s="17">
        <v>0</v>
      </c>
      <c r="BT48" s="107">
        <f>-($Y49^2)+($Y48+$Y47)*$Y49-($Y47*$Y48)-($X49^2)+($X48+$X47)*$X49-($X47*$X48)</f>
        <v>-4</v>
      </c>
      <c r="BU48" s="11">
        <f>$Y49^2-2*$Y47*$Y49+$Y47^2+$X49^2-2*$X47*$X49+$X47^2</f>
        <v>8</v>
      </c>
      <c r="BV48" s="96">
        <f>BU49</f>
        <v>-4</v>
      </c>
      <c r="BW48" s="16">
        <v>0</v>
      </c>
      <c r="BX48" s="4">
        <v>0</v>
      </c>
      <c r="BY48" s="17">
        <v>0</v>
      </c>
      <c r="BZ48" s="16">
        <v>0</v>
      </c>
      <c r="CA48" s="4">
        <v>0</v>
      </c>
      <c r="CB48" s="5">
        <v>0</v>
      </c>
    </row>
    <row r="49" spans="1:80" x14ac:dyDescent="0.25">
      <c r="A49" s="23">
        <f t="shared" si="1"/>
        <v>16</v>
      </c>
      <c r="B49" s="23">
        <f t="shared" si="2"/>
        <v>3</v>
      </c>
      <c r="C49" s="23" t="str">
        <f t="shared" si="0"/>
        <v>T16_3</v>
      </c>
      <c r="E49" s="3" t="str">
        <f>IF(VLOOKUP($C49,'2D-Chapra'!$C$2:$T$55,MID(E$1,2,2)+2,0)="","",VLOOKUP($C49,'2D-Chapra'!$C$2:$T$55,MID(E$1,2,2)+2,0))</f>
        <v/>
      </c>
      <c r="F49" s="4" t="str">
        <f>IF(VLOOKUP($C49,'2D-Chapra'!$C$2:$T$55,MID(F$1,2,2)+2,0)="","",VLOOKUP($C49,'2D-Chapra'!$C$2:$T$55,MID(F$1,2,2)+2,0))</f>
        <v/>
      </c>
      <c r="G49" s="4" t="str">
        <f>IF(VLOOKUP($C49,'2D-Chapra'!$C$2:$T$55,MID(G$1,2,2)+2,0)="","",VLOOKUP($C49,'2D-Chapra'!$C$2:$T$55,MID(G$1,2,2)+2,0))</f>
        <v/>
      </c>
      <c r="H49" s="4" t="str">
        <f>IF(VLOOKUP($C49,'2D-Chapra'!$C$2:$T$55,MID(H$1,2,2)+2,0)="","",VLOOKUP($C49,'2D-Chapra'!$C$2:$T$55,MID(H$1,2,2)+2,0))</f>
        <v/>
      </c>
      <c r="I49" s="4" t="str">
        <f>IF(VLOOKUP($C49,'2D-Chapra'!$C$2:$T$55,MID(I$1,2,2)+2,0)="","",VLOOKUP($C49,'2D-Chapra'!$C$2:$T$55,MID(I$1,2,2)+2,0))</f>
        <v/>
      </c>
      <c r="J49" s="4" t="str">
        <f>IF(VLOOKUP($C49,'2D-Chapra'!$C$2:$T$55,MID(J$1,2,2)+2,0)="","",VLOOKUP($C49,'2D-Chapra'!$C$2:$T$55,MID(J$1,2,2)+2,0))</f>
        <v/>
      </c>
      <c r="K49" s="4" t="str">
        <f>IF(VLOOKUP($C49,'2D-Chapra'!$C$2:$T$55,MID(K$1,2,2)+2,0)="","",VLOOKUP($C49,'2D-Chapra'!$C$2:$T$55,MID(K$1,2,2)+2,0))</f>
        <v/>
      </c>
      <c r="L49" s="4" t="str">
        <f>IF(VLOOKUP($C49,'2D-Chapra'!$C$2:$T$55,MID(L$1,2,2)+2,0)="","",VLOOKUP($C49,'2D-Chapra'!$C$2:$T$55,MID(L$1,2,2)+2,0))</f>
        <v/>
      </c>
      <c r="M49" s="4" t="str">
        <f>IF(VLOOKUP($C49,'2D-Chapra'!$C$2:$T$55,MID(M$1,2,2)+2,0)="","",VLOOKUP($C49,'2D-Chapra'!$C$2:$T$55,MID(M$1,2,2)+2,0))</f>
        <v/>
      </c>
      <c r="N49" s="4" t="str">
        <f>IF(VLOOKUP($C49,'2D-Chapra'!$C$2:$T$55,MID(N$1,2,2)+2,0)="","",VLOOKUP($C49,'2D-Chapra'!$C$2:$T$55,MID(N$1,2,2)+2,0))</f>
        <v/>
      </c>
      <c r="O49" s="4" t="str">
        <f>IF(VLOOKUP($C49,'2D-Chapra'!$C$2:$T$55,MID(O$1,2,2)+2,0)="","",VLOOKUP($C49,'2D-Chapra'!$C$2:$T$55,MID(O$1,2,2)+2,0))</f>
        <v/>
      </c>
      <c r="P49" s="4" t="str">
        <f>IF(VLOOKUP($C49,'2D-Chapra'!$C$2:$T$55,MID(P$1,2,2)+2,0)="","",VLOOKUP($C49,'2D-Chapra'!$C$2:$T$55,MID(P$1,2,2)+2,0))</f>
        <v/>
      </c>
      <c r="Q49" s="4" t="str">
        <f>IF(VLOOKUP($C49,'2D-Chapra'!$C$2:$T$55,MID(Q$1,2,2)+2,0)="","",VLOOKUP($C49,'2D-Chapra'!$C$2:$T$55,MID(Q$1,2,2)+2,0))</f>
        <v/>
      </c>
      <c r="R49" s="4" t="str">
        <f>IF(VLOOKUP($C49,'2D-Chapra'!$C$2:$T$55,MID(R$1,2,2)+2,0)="","",VLOOKUP($C49,'2D-Chapra'!$C$2:$T$55,MID(R$1,2,2)+2,0))</f>
        <v/>
      </c>
      <c r="S49" s="4">
        <f>IF(VLOOKUP($C49,'2D-Chapra'!$C$2:$T$55,MID(S$1,2,2)+2,0)="","",VLOOKUP($C49,'2D-Chapra'!$C$2:$T$55,MID(S$1,2,2)+2,0))</f>
        <v>1</v>
      </c>
      <c r="T49" s="5" t="str">
        <f>IF(VLOOKUP($C49,'2D-Chapra'!$C$2:$T$55,MID(T$1,2,2)+2,0)="","",VLOOKUP($C49,'2D-Chapra'!$C$2:$T$55,MID(T$1,2,2)+2,0))</f>
        <v/>
      </c>
      <c r="W49" s="97">
        <v>1</v>
      </c>
      <c r="X49" s="98">
        <v>1</v>
      </c>
      <c r="Y49" s="99">
        <v>3</v>
      </c>
      <c r="Z49" s="100" t="s">
        <v>200</v>
      </c>
      <c r="AA49" s="108">
        <v>0</v>
      </c>
      <c r="AB49" s="19">
        <v>0</v>
      </c>
      <c r="AC49" s="20">
        <v>0</v>
      </c>
      <c r="AD49" s="18">
        <v>0</v>
      </c>
      <c r="AE49" s="19">
        <v>0</v>
      </c>
      <c r="AF49" s="20">
        <v>0</v>
      </c>
      <c r="AG49" s="18">
        <v>0</v>
      </c>
      <c r="AH49" s="19">
        <v>0</v>
      </c>
      <c r="AI49" s="20">
        <v>0</v>
      </c>
      <c r="AJ49" s="18">
        <v>0</v>
      </c>
      <c r="AK49" s="19">
        <v>0</v>
      </c>
      <c r="AL49" s="20">
        <v>0</v>
      </c>
      <c r="AM49" s="18">
        <v>0</v>
      </c>
      <c r="AN49" s="19">
        <v>0</v>
      </c>
      <c r="AO49" s="20">
        <v>0</v>
      </c>
      <c r="AP49" s="18">
        <v>0</v>
      </c>
      <c r="AQ49" s="19">
        <v>0</v>
      </c>
      <c r="AR49" s="20">
        <v>0</v>
      </c>
      <c r="AS49" s="18">
        <v>0</v>
      </c>
      <c r="AT49" s="19">
        <v>0</v>
      </c>
      <c r="AU49" s="20">
        <v>0</v>
      </c>
      <c r="AV49" s="18">
        <v>0</v>
      </c>
      <c r="AW49" s="19">
        <v>0</v>
      </c>
      <c r="AX49" s="20">
        <v>0</v>
      </c>
      <c r="AY49" s="18">
        <v>0</v>
      </c>
      <c r="AZ49" s="19">
        <v>0</v>
      </c>
      <c r="BA49" s="20">
        <v>0</v>
      </c>
      <c r="BB49" s="18">
        <v>0</v>
      </c>
      <c r="BC49" s="19">
        <v>0</v>
      </c>
      <c r="BD49" s="20">
        <v>0</v>
      </c>
      <c r="BE49" s="18">
        <v>0</v>
      </c>
      <c r="BF49" s="19">
        <v>0</v>
      </c>
      <c r="BG49" s="20">
        <v>0</v>
      </c>
      <c r="BH49" s="18">
        <v>0</v>
      </c>
      <c r="BI49" s="19">
        <v>0</v>
      </c>
      <c r="BJ49" s="20">
        <v>0</v>
      </c>
      <c r="BK49" s="18">
        <v>0</v>
      </c>
      <c r="BL49" s="19">
        <v>0</v>
      </c>
      <c r="BM49" s="20">
        <v>0</v>
      </c>
      <c r="BN49" s="18">
        <v>0</v>
      </c>
      <c r="BO49" s="19">
        <v>0</v>
      </c>
      <c r="BP49" s="20">
        <v>0</v>
      </c>
      <c r="BQ49" s="18">
        <v>0</v>
      </c>
      <c r="BR49" s="19">
        <v>0</v>
      </c>
      <c r="BS49" s="20">
        <v>0</v>
      </c>
      <c r="BT49" s="109">
        <f>($Y48-$Y47)*$Y49-$Y48^2+$Y47*$Y48+($X48-$X47)*$X49-$X48^2+$X47*$X48</f>
        <v>0</v>
      </c>
      <c r="BU49" s="102">
        <f>($Y47-$Y48)*$Y49+$Y47*$Y48-$Y47^2+($X47-$X48)*$X49+$X47*$X48-$X47^2</f>
        <v>-4</v>
      </c>
      <c r="BV49" s="103">
        <f>$Y48^2-2*$Y47*$Y48+$Y47^2+$X48^2-2*$X47*$X48+$X47^2</f>
        <v>4</v>
      </c>
      <c r="BW49" s="18">
        <v>0</v>
      </c>
      <c r="BX49" s="19">
        <v>0</v>
      </c>
      <c r="BY49" s="20">
        <v>0</v>
      </c>
      <c r="BZ49" s="18">
        <v>0</v>
      </c>
      <c r="CA49" s="19">
        <v>0</v>
      </c>
      <c r="CB49" s="104">
        <v>0</v>
      </c>
    </row>
    <row r="50" spans="1:80" x14ac:dyDescent="0.25">
      <c r="A50" s="23">
        <f t="shared" si="1"/>
        <v>17</v>
      </c>
      <c r="B50" s="23">
        <f t="shared" si="2"/>
        <v>1</v>
      </c>
      <c r="C50" s="23" t="str">
        <f t="shared" si="0"/>
        <v>T17_1</v>
      </c>
      <c r="E50" s="3" t="str">
        <f>IF(VLOOKUP($C50,'2D-Chapra'!$C$2:$T$55,MID(E$1,2,2)+2,0)="","",VLOOKUP($C50,'2D-Chapra'!$C$2:$T$55,MID(E$1,2,2)+2,0))</f>
        <v/>
      </c>
      <c r="F50" s="4" t="str">
        <f>IF(VLOOKUP($C50,'2D-Chapra'!$C$2:$T$55,MID(F$1,2,2)+2,0)="","",VLOOKUP($C50,'2D-Chapra'!$C$2:$T$55,MID(F$1,2,2)+2,0))</f>
        <v/>
      </c>
      <c r="G50" s="4" t="str">
        <f>IF(VLOOKUP($C50,'2D-Chapra'!$C$2:$T$55,MID(G$1,2,2)+2,0)="","",VLOOKUP($C50,'2D-Chapra'!$C$2:$T$55,MID(G$1,2,2)+2,0))</f>
        <v/>
      </c>
      <c r="H50" s="4">
        <f>IF(VLOOKUP($C50,'2D-Chapra'!$C$2:$T$55,MID(H$1,2,2)+2,0)="","",VLOOKUP($C50,'2D-Chapra'!$C$2:$T$55,MID(H$1,2,2)+2,0))</f>
        <v>1</v>
      </c>
      <c r="I50" s="4" t="str">
        <f>IF(VLOOKUP($C50,'2D-Chapra'!$C$2:$T$55,MID(I$1,2,2)+2,0)="","",VLOOKUP($C50,'2D-Chapra'!$C$2:$T$55,MID(I$1,2,2)+2,0))</f>
        <v/>
      </c>
      <c r="J50" s="4" t="str">
        <f>IF(VLOOKUP($C50,'2D-Chapra'!$C$2:$T$55,MID(J$1,2,2)+2,0)="","",VLOOKUP($C50,'2D-Chapra'!$C$2:$T$55,MID(J$1,2,2)+2,0))</f>
        <v/>
      </c>
      <c r="K50" s="4" t="str">
        <f>IF(VLOOKUP($C50,'2D-Chapra'!$C$2:$T$55,MID(K$1,2,2)+2,0)="","",VLOOKUP($C50,'2D-Chapra'!$C$2:$T$55,MID(K$1,2,2)+2,0))</f>
        <v/>
      </c>
      <c r="L50" s="4" t="str">
        <f>IF(VLOOKUP($C50,'2D-Chapra'!$C$2:$T$55,MID(L$1,2,2)+2,0)="","",VLOOKUP($C50,'2D-Chapra'!$C$2:$T$55,MID(L$1,2,2)+2,0))</f>
        <v/>
      </c>
      <c r="M50" s="4" t="str">
        <f>IF(VLOOKUP($C50,'2D-Chapra'!$C$2:$T$55,MID(M$1,2,2)+2,0)="","",VLOOKUP($C50,'2D-Chapra'!$C$2:$T$55,MID(M$1,2,2)+2,0))</f>
        <v/>
      </c>
      <c r="N50" s="4" t="str">
        <f>IF(VLOOKUP($C50,'2D-Chapra'!$C$2:$T$55,MID(N$1,2,2)+2,0)="","",VLOOKUP($C50,'2D-Chapra'!$C$2:$T$55,MID(N$1,2,2)+2,0))</f>
        <v/>
      </c>
      <c r="O50" s="4" t="str">
        <f>IF(VLOOKUP($C50,'2D-Chapra'!$C$2:$T$55,MID(O$1,2,2)+2,0)="","",VLOOKUP($C50,'2D-Chapra'!$C$2:$T$55,MID(O$1,2,2)+2,0))</f>
        <v/>
      </c>
      <c r="P50" s="4" t="str">
        <f>IF(VLOOKUP($C50,'2D-Chapra'!$C$2:$T$55,MID(P$1,2,2)+2,0)="","",VLOOKUP($C50,'2D-Chapra'!$C$2:$T$55,MID(P$1,2,2)+2,0))</f>
        <v/>
      </c>
      <c r="Q50" s="4" t="str">
        <f>IF(VLOOKUP($C50,'2D-Chapra'!$C$2:$T$55,MID(Q$1,2,2)+2,0)="","",VLOOKUP($C50,'2D-Chapra'!$C$2:$T$55,MID(Q$1,2,2)+2,0))</f>
        <v/>
      </c>
      <c r="R50" s="4" t="str">
        <f>IF(VLOOKUP($C50,'2D-Chapra'!$C$2:$T$55,MID(R$1,2,2)+2,0)="","",VLOOKUP($C50,'2D-Chapra'!$C$2:$T$55,MID(R$1,2,2)+2,0))</f>
        <v/>
      </c>
      <c r="S50" s="4" t="str">
        <f>IF(VLOOKUP($C50,'2D-Chapra'!$C$2:$T$55,MID(S$1,2,2)+2,0)="","",VLOOKUP($C50,'2D-Chapra'!$C$2:$T$55,MID(S$1,2,2)+2,0))</f>
        <v/>
      </c>
      <c r="T50" s="5" t="str">
        <f>IF(VLOOKUP($C50,'2D-Chapra'!$C$2:$T$55,MID(T$1,2,2)+2,0)="","",VLOOKUP($C50,'2D-Chapra'!$C$2:$T$55,MID(T$1,2,2)+2,0))</f>
        <v/>
      </c>
      <c r="W50" s="85">
        <v>1</v>
      </c>
      <c r="X50" s="86">
        <v>1</v>
      </c>
      <c r="Y50" s="87">
        <v>1</v>
      </c>
      <c r="Z50" s="88" t="s">
        <v>201</v>
      </c>
      <c r="AA50" s="105">
        <v>0</v>
      </c>
      <c r="AB50" s="14">
        <v>0</v>
      </c>
      <c r="AC50" s="15">
        <v>0</v>
      </c>
      <c r="AD50" s="13">
        <v>0</v>
      </c>
      <c r="AE50" s="14">
        <v>0</v>
      </c>
      <c r="AF50" s="15">
        <v>0</v>
      </c>
      <c r="AG50" s="13">
        <v>0</v>
      </c>
      <c r="AH50" s="14">
        <v>0</v>
      </c>
      <c r="AI50" s="15">
        <v>0</v>
      </c>
      <c r="AJ50" s="13">
        <v>0</v>
      </c>
      <c r="AK50" s="14">
        <v>0</v>
      </c>
      <c r="AL50" s="15">
        <v>0</v>
      </c>
      <c r="AM50" s="13">
        <v>0</v>
      </c>
      <c r="AN50" s="14">
        <v>0</v>
      </c>
      <c r="AO50" s="15">
        <v>0</v>
      </c>
      <c r="AP50" s="13">
        <v>0</v>
      </c>
      <c r="AQ50" s="14">
        <v>0</v>
      </c>
      <c r="AR50" s="15">
        <v>0</v>
      </c>
      <c r="AS50" s="13">
        <v>0</v>
      </c>
      <c r="AT50" s="14">
        <v>0</v>
      </c>
      <c r="AU50" s="15">
        <v>0</v>
      </c>
      <c r="AV50" s="13">
        <v>0</v>
      </c>
      <c r="AW50" s="14">
        <v>0</v>
      </c>
      <c r="AX50" s="15">
        <v>0</v>
      </c>
      <c r="AY50" s="13">
        <v>0</v>
      </c>
      <c r="AZ50" s="14">
        <v>0</v>
      </c>
      <c r="BA50" s="15">
        <v>0</v>
      </c>
      <c r="BB50" s="13">
        <v>0</v>
      </c>
      <c r="BC50" s="14">
        <v>0</v>
      </c>
      <c r="BD50" s="15">
        <v>0</v>
      </c>
      <c r="BE50" s="13">
        <v>0</v>
      </c>
      <c r="BF50" s="14">
        <v>0</v>
      </c>
      <c r="BG50" s="15">
        <v>0</v>
      </c>
      <c r="BH50" s="13">
        <v>0</v>
      </c>
      <c r="BI50" s="14">
        <v>0</v>
      </c>
      <c r="BJ50" s="15">
        <v>0</v>
      </c>
      <c r="BK50" s="13">
        <v>0</v>
      </c>
      <c r="BL50" s="14">
        <v>0</v>
      </c>
      <c r="BM50" s="15">
        <v>0</v>
      </c>
      <c r="BN50" s="13">
        <v>0</v>
      </c>
      <c r="BO50" s="14">
        <v>0</v>
      </c>
      <c r="BP50" s="15">
        <v>0</v>
      </c>
      <c r="BQ50" s="13">
        <v>0</v>
      </c>
      <c r="BR50" s="14">
        <v>0</v>
      </c>
      <c r="BS50" s="15">
        <v>0</v>
      </c>
      <c r="BT50" s="13">
        <v>0</v>
      </c>
      <c r="BU50" s="14">
        <v>0</v>
      </c>
      <c r="BV50" s="15">
        <v>0</v>
      </c>
      <c r="BW50" s="106">
        <f>$Y52^2-2*$Y51*$Y52+$Y51^2+$X52^2-2*$X51*$X52+$X51^2</f>
        <v>4</v>
      </c>
      <c r="BX50" s="90">
        <f>BW51</f>
        <v>0</v>
      </c>
      <c r="BY50" s="91">
        <f>BW52</f>
        <v>-4</v>
      </c>
      <c r="BZ50" s="13">
        <v>0</v>
      </c>
      <c r="CA50" s="14">
        <v>0</v>
      </c>
      <c r="CB50" s="92">
        <v>0</v>
      </c>
    </row>
    <row r="51" spans="1:80" x14ac:dyDescent="0.25">
      <c r="A51" s="23">
        <f t="shared" si="1"/>
        <v>17</v>
      </c>
      <c r="B51" s="23">
        <f t="shared" si="2"/>
        <v>2</v>
      </c>
      <c r="C51" s="23" t="str">
        <f t="shared" si="0"/>
        <v>T17_2</v>
      </c>
      <c r="E51" s="3" t="str">
        <f>IF(VLOOKUP($C51,'2D-Chapra'!$C$2:$T$55,MID(E$1,2,2)+2,0)="","",VLOOKUP($C51,'2D-Chapra'!$C$2:$T$55,MID(E$1,2,2)+2,0))</f>
        <v/>
      </c>
      <c r="F51" s="4" t="str">
        <f>IF(VLOOKUP($C51,'2D-Chapra'!$C$2:$T$55,MID(F$1,2,2)+2,0)="","",VLOOKUP($C51,'2D-Chapra'!$C$2:$T$55,MID(F$1,2,2)+2,0))</f>
        <v/>
      </c>
      <c r="G51" s="4" t="str">
        <f>IF(VLOOKUP($C51,'2D-Chapra'!$C$2:$T$55,MID(G$1,2,2)+2,0)="","",VLOOKUP($C51,'2D-Chapra'!$C$2:$T$55,MID(G$1,2,2)+2,0))</f>
        <v/>
      </c>
      <c r="H51" s="4" t="str">
        <f>IF(VLOOKUP($C51,'2D-Chapra'!$C$2:$T$55,MID(H$1,2,2)+2,0)="","",VLOOKUP($C51,'2D-Chapra'!$C$2:$T$55,MID(H$1,2,2)+2,0))</f>
        <v/>
      </c>
      <c r="I51" s="4" t="str">
        <f>IF(VLOOKUP($C51,'2D-Chapra'!$C$2:$T$55,MID(I$1,2,2)+2,0)="","",VLOOKUP($C51,'2D-Chapra'!$C$2:$T$55,MID(I$1,2,2)+2,0))</f>
        <v/>
      </c>
      <c r="J51" s="4" t="str">
        <f>IF(VLOOKUP($C51,'2D-Chapra'!$C$2:$T$55,MID(J$1,2,2)+2,0)="","",VLOOKUP($C51,'2D-Chapra'!$C$2:$T$55,MID(J$1,2,2)+2,0))</f>
        <v/>
      </c>
      <c r="K51" s="4" t="str">
        <f>IF(VLOOKUP($C51,'2D-Chapra'!$C$2:$T$55,MID(K$1,2,2)+2,0)="","",VLOOKUP($C51,'2D-Chapra'!$C$2:$T$55,MID(K$1,2,2)+2,0))</f>
        <v/>
      </c>
      <c r="L51" s="4" t="str">
        <f>IF(VLOOKUP($C51,'2D-Chapra'!$C$2:$T$55,MID(L$1,2,2)+2,0)="","",VLOOKUP($C51,'2D-Chapra'!$C$2:$T$55,MID(L$1,2,2)+2,0))</f>
        <v/>
      </c>
      <c r="M51" s="4" t="str">
        <f>IF(VLOOKUP($C51,'2D-Chapra'!$C$2:$T$55,MID(M$1,2,2)+2,0)="","",VLOOKUP($C51,'2D-Chapra'!$C$2:$T$55,MID(M$1,2,2)+2,0))</f>
        <v/>
      </c>
      <c r="N51" s="4" t="str">
        <f>IF(VLOOKUP($C51,'2D-Chapra'!$C$2:$T$55,MID(N$1,2,2)+2,0)="","",VLOOKUP($C51,'2D-Chapra'!$C$2:$T$55,MID(N$1,2,2)+2,0))</f>
        <v/>
      </c>
      <c r="O51" s="4" t="str">
        <f>IF(VLOOKUP($C51,'2D-Chapra'!$C$2:$T$55,MID(O$1,2,2)+2,0)="","",VLOOKUP($C51,'2D-Chapra'!$C$2:$T$55,MID(O$1,2,2)+2,0))</f>
        <v/>
      </c>
      <c r="P51" s="4" t="str">
        <f>IF(VLOOKUP($C51,'2D-Chapra'!$C$2:$T$55,MID(P$1,2,2)+2,0)="","",VLOOKUP($C51,'2D-Chapra'!$C$2:$T$55,MID(P$1,2,2)+2,0))</f>
        <v/>
      </c>
      <c r="Q51" s="4" t="str">
        <f>IF(VLOOKUP($C51,'2D-Chapra'!$C$2:$T$55,MID(Q$1,2,2)+2,0)="","",VLOOKUP($C51,'2D-Chapra'!$C$2:$T$55,MID(Q$1,2,2)+2,0))</f>
        <v/>
      </c>
      <c r="R51" s="4" t="str">
        <f>IF(VLOOKUP($C51,'2D-Chapra'!$C$2:$T$55,MID(R$1,2,2)+2,0)="","",VLOOKUP($C51,'2D-Chapra'!$C$2:$T$55,MID(R$1,2,2)+2,0))</f>
        <v/>
      </c>
      <c r="S51" s="4" t="str">
        <f>IF(VLOOKUP($C51,'2D-Chapra'!$C$2:$T$55,MID(S$1,2,2)+2,0)="","",VLOOKUP($C51,'2D-Chapra'!$C$2:$T$55,MID(S$1,2,2)+2,0))</f>
        <v/>
      </c>
      <c r="T51" s="5">
        <f>IF(VLOOKUP($C51,'2D-Chapra'!$C$2:$T$55,MID(T$1,2,2)+2,0)="","",VLOOKUP($C51,'2D-Chapra'!$C$2:$T$55,MID(T$1,2,2)+2,0))</f>
        <v>1</v>
      </c>
      <c r="W51" s="93">
        <v>1</v>
      </c>
      <c r="X51" s="49">
        <v>3</v>
      </c>
      <c r="Y51" s="94">
        <v>3</v>
      </c>
      <c r="Z51" s="95" t="s">
        <v>202</v>
      </c>
      <c r="AA51" s="3">
        <v>0</v>
      </c>
      <c r="AB51" s="4">
        <v>0</v>
      </c>
      <c r="AC51" s="17">
        <v>0</v>
      </c>
      <c r="AD51" s="16">
        <v>0</v>
      </c>
      <c r="AE51" s="4">
        <v>0</v>
      </c>
      <c r="AF51" s="17">
        <v>0</v>
      </c>
      <c r="AG51" s="16">
        <v>0</v>
      </c>
      <c r="AH51" s="4">
        <v>0</v>
      </c>
      <c r="AI51" s="17">
        <v>0</v>
      </c>
      <c r="AJ51" s="16">
        <v>0</v>
      </c>
      <c r="AK51" s="4">
        <v>0</v>
      </c>
      <c r="AL51" s="17">
        <v>0</v>
      </c>
      <c r="AM51" s="16">
        <v>0</v>
      </c>
      <c r="AN51" s="4">
        <v>0</v>
      </c>
      <c r="AO51" s="17">
        <v>0</v>
      </c>
      <c r="AP51" s="16">
        <v>0</v>
      </c>
      <c r="AQ51" s="4">
        <v>0</v>
      </c>
      <c r="AR51" s="17">
        <v>0</v>
      </c>
      <c r="AS51" s="16">
        <v>0</v>
      </c>
      <c r="AT51" s="4">
        <v>0</v>
      </c>
      <c r="AU51" s="17">
        <v>0</v>
      </c>
      <c r="AV51" s="16">
        <v>0</v>
      </c>
      <c r="AW51" s="4">
        <v>0</v>
      </c>
      <c r="AX51" s="17">
        <v>0</v>
      </c>
      <c r="AY51" s="16">
        <v>0</v>
      </c>
      <c r="AZ51" s="4">
        <v>0</v>
      </c>
      <c r="BA51" s="17">
        <v>0</v>
      </c>
      <c r="BB51" s="16">
        <v>0</v>
      </c>
      <c r="BC51" s="4">
        <v>0</v>
      </c>
      <c r="BD51" s="17">
        <v>0</v>
      </c>
      <c r="BE51" s="16">
        <v>0</v>
      </c>
      <c r="BF51" s="4">
        <v>0</v>
      </c>
      <c r="BG51" s="17">
        <v>0</v>
      </c>
      <c r="BH51" s="16">
        <v>0</v>
      </c>
      <c r="BI51" s="4">
        <v>0</v>
      </c>
      <c r="BJ51" s="17">
        <v>0</v>
      </c>
      <c r="BK51" s="16">
        <v>0</v>
      </c>
      <c r="BL51" s="4">
        <v>0</v>
      </c>
      <c r="BM51" s="17">
        <v>0</v>
      </c>
      <c r="BN51" s="16">
        <v>0</v>
      </c>
      <c r="BO51" s="4">
        <v>0</v>
      </c>
      <c r="BP51" s="17">
        <v>0</v>
      </c>
      <c r="BQ51" s="16">
        <v>0</v>
      </c>
      <c r="BR51" s="4">
        <v>0</v>
      </c>
      <c r="BS51" s="17">
        <v>0</v>
      </c>
      <c r="BT51" s="16">
        <v>0</v>
      </c>
      <c r="BU51" s="4">
        <v>0</v>
      </c>
      <c r="BV51" s="17">
        <v>0</v>
      </c>
      <c r="BW51" s="107">
        <f>-($Y52^2)+($Y51+$Y50)*$Y52-($Y50*$Y51)-($X52^2)+($X51+$X50)*$X52-($X50*$X51)</f>
        <v>0</v>
      </c>
      <c r="BX51" s="11">
        <f>$Y52^2-2*$Y50*$Y52+$Y50^2+$X52^2-2*$X50*$X52+$X50^2</f>
        <v>4</v>
      </c>
      <c r="BY51" s="96">
        <f>BX52</f>
        <v>-4</v>
      </c>
      <c r="BZ51" s="16">
        <v>0</v>
      </c>
      <c r="CA51" s="4">
        <v>0</v>
      </c>
      <c r="CB51" s="5">
        <v>0</v>
      </c>
    </row>
    <row r="52" spans="1:80" x14ac:dyDescent="0.25">
      <c r="A52" s="23">
        <f t="shared" si="1"/>
        <v>17</v>
      </c>
      <c r="B52" s="23">
        <f t="shared" si="2"/>
        <v>3</v>
      </c>
      <c r="C52" s="23" t="str">
        <f t="shared" si="0"/>
        <v>T17_3</v>
      </c>
      <c r="E52" s="3" t="str">
        <f>IF(VLOOKUP($C52,'2D-Chapra'!$C$2:$T$55,MID(E$1,2,2)+2,0)="","",VLOOKUP($C52,'2D-Chapra'!$C$2:$T$55,MID(E$1,2,2)+2,0))</f>
        <v/>
      </c>
      <c r="F52" s="4" t="str">
        <f>IF(VLOOKUP($C52,'2D-Chapra'!$C$2:$T$55,MID(F$1,2,2)+2,0)="","",VLOOKUP($C52,'2D-Chapra'!$C$2:$T$55,MID(F$1,2,2)+2,0))</f>
        <v/>
      </c>
      <c r="G52" s="4" t="str">
        <f>IF(VLOOKUP($C52,'2D-Chapra'!$C$2:$T$55,MID(G$1,2,2)+2,0)="","",VLOOKUP($C52,'2D-Chapra'!$C$2:$T$55,MID(G$1,2,2)+2,0))</f>
        <v/>
      </c>
      <c r="H52" s="4" t="str">
        <f>IF(VLOOKUP($C52,'2D-Chapra'!$C$2:$T$55,MID(H$1,2,2)+2,0)="","",VLOOKUP($C52,'2D-Chapra'!$C$2:$T$55,MID(H$1,2,2)+2,0))</f>
        <v/>
      </c>
      <c r="I52" s="4" t="str">
        <f>IF(VLOOKUP($C52,'2D-Chapra'!$C$2:$T$55,MID(I$1,2,2)+2,0)="","",VLOOKUP($C52,'2D-Chapra'!$C$2:$T$55,MID(I$1,2,2)+2,0))</f>
        <v/>
      </c>
      <c r="J52" s="4" t="str">
        <f>IF(VLOOKUP($C52,'2D-Chapra'!$C$2:$T$55,MID(J$1,2,2)+2,0)="","",VLOOKUP($C52,'2D-Chapra'!$C$2:$T$55,MID(J$1,2,2)+2,0))</f>
        <v/>
      </c>
      <c r="K52" s="4" t="str">
        <f>IF(VLOOKUP($C52,'2D-Chapra'!$C$2:$T$55,MID(K$1,2,2)+2,0)="","",VLOOKUP($C52,'2D-Chapra'!$C$2:$T$55,MID(K$1,2,2)+2,0))</f>
        <v/>
      </c>
      <c r="L52" s="4" t="str">
        <f>IF(VLOOKUP($C52,'2D-Chapra'!$C$2:$T$55,MID(L$1,2,2)+2,0)="","",VLOOKUP($C52,'2D-Chapra'!$C$2:$T$55,MID(L$1,2,2)+2,0))</f>
        <v/>
      </c>
      <c r="M52" s="4" t="str">
        <f>IF(VLOOKUP($C52,'2D-Chapra'!$C$2:$T$55,MID(M$1,2,2)+2,0)="","",VLOOKUP($C52,'2D-Chapra'!$C$2:$T$55,MID(M$1,2,2)+2,0))</f>
        <v/>
      </c>
      <c r="N52" s="4" t="str">
        <f>IF(VLOOKUP($C52,'2D-Chapra'!$C$2:$T$55,MID(N$1,2,2)+2,0)="","",VLOOKUP($C52,'2D-Chapra'!$C$2:$T$55,MID(N$1,2,2)+2,0))</f>
        <v/>
      </c>
      <c r="O52" s="4" t="str">
        <f>IF(VLOOKUP($C52,'2D-Chapra'!$C$2:$T$55,MID(O$1,2,2)+2,0)="","",VLOOKUP($C52,'2D-Chapra'!$C$2:$T$55,MID(O$1,2,2)+2,0))</f>
        <v/>
      </c>
      <c r="P52" s="4" t="str">
        <f>IF(VLOOKUP($C52,'2D-Chapra'!$C$2:$T$55,MID(P$1,2,2)+2,0)="","",VLOOKUP($C52,'2D-Chapra'!$C$2:$T$55,MID(P$1,2,2)+2,0))</f>
        <v/>
      </c>
      <c r="Q52" s="4" t="str">
        <f>IF(VLOOKUP($C52,'2D-Chapra'!$C$2:$T$55,MID(Q$1,2,2)+2,0)="","",VLOOKUP($C52,'2D-Chapra'!$C$2:$T$55,MID(Q$1,2,2)+2,0))</f>
        <v/>
      </c>
      <c r="R52" s="4" t="str">
        <f>IF(VLOOKUP($C52,'2D-Chapra'!$C$2:$T$55,MID(R$1,2,2)+2,0)="","",VLOOKUP($C52,'2D-Chapra'!$C$2:$T$55,MID(R$1,2,2)+2,0))</f>
        <v/>
      </c>
      <c r="S52" s="4">
        <f>IF(VLOOKUP($C52,'2D-Chapra'!$C$2:$T$55,MID(S$1,2,2)+2,0)="","",VLOOKUP($C52,'2D-Chapra'!$C$2:$T$55,MID(S$1,2,2)+2,0))</f>
        <v>1</v>
      </c>
      <c r="T52" s="5" t="str">
        <f>IF(VLOOKUP($C52,'2D-Chapra'!$C$2:$T$55,MID(T$1,2,2)+2,0)="","",VLOOKUP($C52,'2D-Chapra'!$C$2:$T$55,MID(T$1,2,2)+2,0))</f>
        <v/>
      </c>
      <c r="W52" s="97">
        <v>1</v>
      </c>
      <c r="X52" s="98">
        <v>1</v>
      </c>
      <c r="Y52" s="99">
        <v>3</v>
      </c>
      <c r="Z52" s="100" t="s">
        <v>203</v>
      </c>
      <c r="AA52" s="108">
        <v>0</v>
      </c>
      <c r="AB52" s="19">
        <v>0</v>
      </c>
      <c r="AC52" s="20">
        <v>0</v>
      </c>
      <c r="AD52" s="18">
        <v>0</v>
      </c>
      <c r="AE52" s="19">
        <v>0</v>
      </c>
      <c r="AF52" s="20">
        <v>0</v>
      </c>
      <c r="AG52" s="18">
        <v>0</v>
      </c>
      <c r="AH52" s="19">
        <v>0</v>
      </c>
      <c r="AI52" s="20">
        <v>0</v>
      </c>
      <c r="AJ52" s="18">
        <v>0</v>
      </c>
      <c r="AK52" s="19">
        <v>0</v>
      </c>
      <c r="AL52" s="20">
        <v>0</v>
      </c>
      <c r="AM52" s="18">
        <v>0</v>
      </c>
      <c r="AN52" s="19">
        <v>0</v>
      </c>
      <c r="AO52" s="20">
        <v>0</v>
      </c>
      <c r="AP52" s="18">
        <v>0</v>
      </c>
      <c r="AQ52" s="19">
        <v>0</v>
      </c>
      <c r="AR52" s="20">
        <v>0</v>
      </c>
      <c r="AS52" s="18">
        <v>0</v>
      </c>
      <c r="AT52" s="19">
        <v>0</v>
      </c>
      <c r="AU52" s="20">
        <v>0</v>
      </c>
      <c r="AV52" s="18">
        <v>0</v>
      </c>
      <c r="AW52" s="19">
        <v>0</v>
      </c>
      <c r="AX52" s="20">
        <v>0</v>
      </c>
      <c r="AY52" s="18">
        <v>0</v>
      </c>
      <c r="AZ52" s="19">
        <v>0</v>
      </c>
      <c r="BA52" s="20">
        <v>0</v>
      </c>
      <c r="BB52" s="18">
        <v>0</v>
      </c>
      <c r="BC52" s="19">
        <v>0</v>
      </c>
      <c r="BD52" s="20">
        <v>0</v>
      </c>
      <c r="BE52" s="18">
        <v>0</v>
      </c>
      <c r="BF52" s="19">
        <v>0</v>
      </c>
      <c r="BG52" s="20">
        <v>0</v>
      </c>
      <c r="BH52" s="18">
        <v>0</v>
      </c>
      <c r="BI52" s="19">
        <v>0</v>
      </c>
      <c r="BJ52" s="20">
        <v>0</v>
      </c>
      <c r="BK52" s="18">
        <v>0</v>
      </c>
      <c r="BL52" s="19">
        <v>0</v>
      </c>
      <c r="BM52" s="20">
        <v>0</v>
      </c>
      <c r="BN52" s="18">
        <v>0</v>
      </c>
      <c r="BO52" s="19">
        <v>0</v>
      </c>
      <c r="BP52" s="20">
        <v>0</v>
      </c>
      <c r="BQ52" s="18">
        <v>0</v>
      </c>
      <c r="BR52" s="19">
        <v>0</v>
      </c>
      <c r="BS52" s="20">
        <v>0</v>
      </c>
      <c r="BT52" s="18">
        <v>0</v>
      </c>
      <c r="BU52" s="19">
        <v>0</v>
      </c>
      <c r="BV52" s="20">
        <v>0</v>
      </c>
      <c r="BW52" s="109">
        <f>($Y51-$Y50)*$Y52-$Y51^2+$Y50*$Y51+($X51-$X50)*$X52-$X51^2+$X50*$X51</f>
        <v>-4</v>
      </c>
      <c r="BX52" s="102">
        <f>($Y50-$Y51)*$Y52+$Y50*$Y51-$Y50^2+($X50-$X51)*$X52+$X50*$X51-$X50^2</f>
        <v>-4</v>
      </c>
      <c r="BY52" s="103">
        <f>$Y51^2-2*$Y50*$Y51+$Y50^2+$X51^2-2*$X50*$X51+$X50^2</f>
        <v>8</v>
      </c>
      <c r="BZ52" s="18">
        <v>0</v>
      </c>
      <c r="CA52" s="19">
        <v>0</v>
      </c>
      <c r="CB52" s="104">
        <v>0</v>
      </c>
    </row>
    <row r="53" spans="1:80" x14ac:dyDescent="0.25">
      <c r="A53" s="23">
        <f t="shared" si="1"/>
        <v>18</v>
      </c>
      <c r="B53" s="23">
        <f t="shared" si="2"/>
        <v>1</v>
      </c>
      <c r="C53" s="23" t="str">
        <f t="shared" si="0"/>
        <v>T18_1</v>
      </c>
      <c r="E53" s="3" t="str">
        <f>IF(VLOOKUP($C53,'2D-Chapra'!$C$2:$T$55,MID(E$1,2,2)+2,0)="","",VLOOKUP($C53,'2D-Chapra'!$C$2:$T$55,MID(E$1,2,2)+2,0))</f>
        <v/>
      </c>
      <c r="F53" s="4" t="str">
        <f>IF(VLOOKUP($C53,'2D-Chapra'!$C$2:$T$55,MID(F$1,2,2)+2,0)="","",VLOOKUP($C53,'2D-Chapra'!$C$2:$T$55,MID(F$1,2,2)+2,0))</f>
        <v/>
      </c>
      <c r="G53" s="4" t="str">
        <f>IF(VLOOKUP($C53,'2D-Chapra'!$C$2:$T$55,MID(G$1,2,2)+2,0)="","",VLOOKUP($C53,'2D-Chapra'!$C$2:$T$55,MID(G$1,2,2)+2,0))</f>
        <v/>
      </c>
      <c r="H53" s="4">
        <f>IF(VLOOKUP($C53,'2D-Chapra'!$C$2:$T$55,MID(H$1,2,2)+2,0)="","",VLOOKUP($C53,'2D-Chapra'!$C$2:$T$55,MID(H$1,2,2)+2,0))</f>
        <v>1</v>
      </c>
      <c r="I53" s="4" t="str">
        <f>IF(VLOOKUP($C53,'2D-Chapra'!$C$2:$T$55,MID(I$1,2,2)+2,0)="","",VLOOKUP($C53,'2D-Chapra'!$C$2:$T$55,MID(I$1,2,2)+2,0))</f>
        <v/>
      </c>
      <c r="J53" s="4" t="str">
        <f>IF(VLOOKUP($C53,'2D-Chapra'!$C$2:$T$55,MID(J$1,2,2)+2,0)="","",VLOOKUP($C53,'2D-Chapra'!$C$2:$T$55,MID(J$1,2,2)+2,0))</f>
        <v/>
      </c>
      <c r="K53" s="4" t="str">
        <f>IF(VLOOKUP($C53,'2D-Chapra'!$C$2:$T$55,MID(K$1,2,2)+2,0)="","",VLOOKUP($C53,'2D-Chapra'!$C$2:$T$55,MID(K$1,2,2)+2,0))</f>
        <v/>
      </c>
      <c r="L53" s="4" t="str">
        <f>IF(VLOOKUP($C53,'2D-Chapra'!$C$2:$T$55,MID(L$1,2,2)+2,0)="","",VLOOKUP($C53,'2D-Chapra'!$C$2:$T$55,MID(L$1,2,2)+2,0))</f>
        <v/>
      </c>
      <c r="M53" s="4" t="str">
        <f>IF(VLOOKUP($C53,'2D-Chapra'!$C$2:$T$55,MID(M$1,2,2)+2,0)="","",VLOOKUP($C53,'2D-Chapra'!$C$2:$T$55,MID(M$1,2,2)+2,0))</f>
        <v/>
      </c>
      <c r="N53" s="4" t="str">
        <f>IF(VLOOKUP($C53,'2D-Chapra'!$C$2:$T$55,MID(N$1,2,2)+2,0)="","",VLOOKUP($C53,'2D-Chapra'!$C$2:$T$55,MID(N$1,2,2)+2,0))</f>
        <v/>
      </c>
      <c r="O53" s="4" t="str">
        <f>IF(VLOOKUP($C53,'2D-Chapra'!$C$2:$T$55,MID(O$1,2,2)+2,0)="","",VLOOKUP($C53,'2D-Chapra'!$C$2:$T$55,MID(O$1,2,2)+2,0))</f>
        <v/>
      </c>
      <c r="P53" s="4" t="str">
        <f>IF(VLOOKUP($C53,'2D-Chapra'!$C$2:$T$55,MID(P$1,2,2)+2,0)="","",VLOOKUP($C53,'2D-Chapra'!$C$2:$T$55,MID(P$1,2,2)+2,0))</f>
        <v/>
      </c>
      <c r="Q53" s="4" t="str">
        <f>IF(VLOOKUP($C53,'2D-Chapra'!$C$2:$T$55,MID(Q$1,2,2)+2,0)="","",VLOOKUP($C53,'2D-Chapra'!$C$2:$T$55,MID(Q$1,2,2)+2,0))</f>
        <v/>
      </c>
      <c r="R53" s="4" t="str">
        <f>IF(VLOOKUP($C53,'2D-Chapra'!$C$2:$T$55,MID(R$1,2,2)+2,0)="","",VLOOKUP($C53,'2D-Chapra'!$C$2:$T$55,MID(R$1,2,2)+2,0))</f>
        <v/>
      </c>
      <c r="S53" s="4" t="str">
        <f>IF(VLOOKUP($C53,'2D-Chapra'!$C$2:$T$55,MID(S$1,2,2)+2,0)="","",VLOOKUP($C53,'2D-Chapra'!$C$2:$T$55,MID(S$1,2,2)+2,0))</f>
        <v/>
      </c>
      <c r="T53" s="5" t="str">
        <f>IF(VLOOKUP($C53,'2D-Chapra'!$C$2:$T$55,MID(T$1,2,2)+2,0)="","",VLOOKUP($C53,'2D-Chapra'!$C$2:$T$55,MID(T$1,2,2)+2,0))</f>
        <v/>
      </c>
      <c r="W53" s="85">
        <v>1</v>
      </c>
      <c r="X53" s="86">
        <v>1</v>
      </c>
      <c r="Y53" s="87">
        <v>1</v>
      </c>
      <c r="Z53" s="88" t="s">
        <v>204</v>
      </c>
      <c r="AA53" s="105">
        <v>0</v>
      </c>
      <c r="AB53" s="14">
        <v>0</v>
      </c>
      <c r="AC53" s="15">
        <v>0</v>
      </c>
      <c r="AD53" s="13">
        <v>0</v>
      </c>
      <c r="AE53" s="14">
        <v>0</v>
      </c>
      <c r="AF53" s="15">
        <v>0</v>
      </c>
      <c r="AG53" s="13">
        <v>0</v>
      </c>
      <c r="AH53" s="14">
        <v>0</v>
      </c>
      <c r="AI53" s="15">
        <v>0</v>
      </c>
      <c r="AJ53" s="13">
        <v>0</v>
      </c>
      <c r="AK53" s="14">
        <v>0</v>
      </c>
      <c r="AL53" s="15">
        <v>0</v>
      </c>
      <c r="AM53" s="13">
        <v>0</v>
      </c>
      <c r="AN53" s="14">
        <v>0</v>
      </c>
      <c r="AO53" s="15">
        <v>0</v>
      </c>
      <c r="AP53" s="13">
        <v>0</v>
      </c>
      <c r="AQ53" s="14">
        <v>0</v>
      </c>
      <c r="AR53" s="15">
        <v>0</v>
      </c>
      <c r="AS53" s="13">
        <v>0</v>
      </c>
      <c r="AT53" s="14">
        <v>0</v>
      </c>
      <c r="AU53" s="15">
        <v>0</v>
      </c>
      <c r="AV53" s="13">
        <v>0</v>
      </c>
      <c r="AW53" s="14">
        <v>0</v>
      </c>
      <c r="AX53" s="15">
        <v>0</v>
      </c>
      <c r="AY53" s="13">
        <v>0</v>
      </c>
      <c r="AZ53" s="14">
        <v>0</v>
      </c>
      <c r="BA53" s="15">
        <v>0</v>
      </c>
      <c r="BB53" s="13">
        <v>0</v>
      </c>
      <c r="BC53" s="14">
        <v>0</v>
      </c>
      <c r="BD53" s="15">
        <v>0</v>
      </c>
      <c r="BE53" s="13">
        <v>0</v>
      </c>
      <c r="BF53" s="14">
        <v>0</v>
      </c>
      <c r="BG53" s="15">
        <v>0</v>
      </c>
      <c r="BH53" s="13">
        <v>0</v>
      </c>
      <c r="BI53" s="14">
        <v>0</v>
      </c>
      <c r="BJ53" s="15">
        <v>0</v>
      </c>
      <c r="BK53" s="13">
        <v>0</v>
      </c>
      <c r="BL53" s="14">
        <v>0</v>
      </c>
      <c r="BM53" s="15">
        <v>0</v>
      </c>
      <c r="BN53" s="13">
        <v>0</v>
      </c>
      <c r="BO53" s="14">
        <v>0</v>
      </c>
      <c r="BP53" s="15">
        <v>0</v>
      </c>
      <c r="BQ53" s="13">
        <v>0</v>
      </c>
      <c r="BR53" s="14">
        <v>0</v>
      </c>
      <c r="BS53" s="15">
        <v>0</v>
      </c>
      <c r="BT53" s="13">
        <v>0</v>
      </c>
      <c r="BU53" s="14">
        <v>0</v>
      </c>
      <c r="BV53" s="15">
        <v>0</v>
      </c>
      <c r="BW53" s="13">
        <v>0</v>
      </c>
      <c r="BX53" s="14">
        <v>0</v>
      </c>
      <c r="BY53" s="15">
        <v>0</v>
      </c>
      <c r="BZ53" s="106">
        <f>$Y55^2-2*$Y54*$Y55+$Y54^2+$X55^2-2*$X54*$X55+$X54^2</f>
        <v>4</v>
      </c>
      <c r="CA53" s="90">
        <f>BZ54</f>
        <v>-4</v>
      </c>
      <c r="CB53" s="110">
        <f>BZ55</f>
        <v>0</v>
      </c>
    </row>
    <row r="54" spans="1:80" x14ac:dyDescent="0.25">
      <c r="A54" s="23">
        <f t="shared" si="1"/>
        <v>18</v>
      </c>
      <c r="B54" s="23">
        <f t="shared" si="2"/>
        <v>2</v>
      </c>
      <c r="C54" s="23" t="str">
        <f t="shared" si="0"/>
        <v>T18_2</v>
      </c>
      <c r="E54" s="3" t="str">
        <f>IF(VLOOKUP($C54,'2D-Chapra'!$C$2:$T$55,MID(E$1,2,2)+2,0)="","",VLOOKUP($C54,'2D-Chapra'!$C$2:$T$55,MID(E$1,2,2)+2,0))</f>
        <v/>
      </c>
      <c r="F54" s="4" t="str">
        <f>IF(VLOOKUP($C54,'2D-Chapra'!$C$2:$T$55,MID(F$1,2,2)+2,0)="","",VLOOKUP($C54,'2D-Chapra'!$C$2:$T$55,MID(F$1,2,2)+2,0))</f>
        <v/>
      </c>
      <c r="G54" s="4" t="str">
        <f>IF(VLOOKUP($C54,'2D-Chapra'!$C$2:$T$55,MID(G$1,2,2)+2,0)="","",VLOOKUP($C54,'2D-Chapra'!$C$2:$T$55,MID(G$1,2,2)+2,0))</f>
        <v/>
      </c>
      <c r="H54" s="4" t="str">
        <f>IF(VLOOKUP($C54,'2D-Chapra'!$C$2:$T$55,MID(H$1,2,2)+2,0)="","",VLOOKUP($C54,'2D-Chapra'!$C$2:$T$55,MID(H$1,2,2)+2,0))</f>
        <v/>
      </c>
      <c r="I54" s="4" t="str">
        <f>IF(VLOOKUP($C54,'2D-Chapra'!$C$2:$T$55,MID(I$1,2,2)+2,0)="","",VLOOKUP($C54,'2D-Chapra'!$C$2:$T$55,MID(I$1,2,2)+2,0))</f>
        <v/>
      </c>
      <c r="J54" s="4" t="str">
        <f>IF(VLOOKUP($C54,'2D-Chapra'!$C$2:$T$55,MID(J$1,2,2)+2,0)="","",VLOOKUP($C54,'2D-Chapra'!$C$2:$T$55,MID(J$1,2,2)+2,0))</f>
        <v/>
      </c>
      <c r="K54" s="4" t="str">
        <f>IF(VLOOKUP($C54,'2D-Chapra'!$C$2:$T$55,MID(K$1,2,2)+2,0)="","",VLOOKUP($C54,'2D-Chapra'!$C$2:$T$55,MID(K$1,2,2)+2,0))</f>
        <v/>
      </c>
      <c r="L54" s="4" t="str">
        <f>IF(VLOOKUP($C54,'2D-Chapra'!$C$2:$T$55,MID(L$1,2,2)+2,0)="","",VLOOKUP($C54,'2D-Chapra'!$C$2:$T$55,MID(L$1,2,2)+2,0))</f>
        <v/>
      </c>
      <c r="M54" s="4" t="str">
        <f>IF(VLOOKUP($C54,'2D-Chapra'!$C$2:$T$55,MID(M$1,2,2)+2,0)="","",VLOOKUP($C54,'2D-Chapra'!$C$2:$T$55,MID(M$1,2,2)+2,0))</f>
        <v/>
      </c>
      <c r="N54" s="4" t="str">
        <f>IF(VLOOKUP($C54,'2D-Chapra'!$C$2:$T$55,MID(N$1,2,2)+2,0)="","",VLOOKUP($C54,'2D-Chapra'!$C$2:$T$55,MID(N$1,2,2)+2,0))</f>
        <v/>
      </c>
      <c r="O54" s="4" t="str">
        <f>IF(VLOOKUP($C54,'2D-Chapra'!$C$2:$T$55,MID(O$1,2,2)+2,0)="","",VLOOKUP($C54,'2D-Chapra'!$C$2:$T$55,MID(O$1,2,2)+2,0))</f>
        <v/>
      </c>
      <c r="P54" s="4">
        <f>IF(VLOOKUP($C54,'2D-Chapra'!$C$2:$T$55,MID(P$1,2,2)+2,0)="","",VLOOKUP($C54,'2D-Chapra'!$C$2:$T$55,MID(P$1,2,2)+2,0))</f>
        <v>1</v>
      </c>
      <c r="Q54" s="4" t="str">
        <f>IF(VLOOKUP($C54,'2D-Chapra'!$C$2:$T$55,MID(Q$1,2,2)+2,0)="","",VLOOKUP($C54,'2D-Chapra'!$C$2:$T$55,MID(Q$1,2,2)+2,0))</f>
        <v/>
      </c>
      <c r="R54" s="4" t="str">
        <f>IF(VLOOKUP($C54,'2D-Chapra'!$C$2:$T$55,MID(R$1,2,2)+2,0)="","",VLOOKUP($C54,'2D-Chapra'!$C$2:$T$55,MID(R$1,2,2)+2,0))</f>
        <v/>
      </c>
      <c r="S54" s="4" t="str">
        <f>IF(VLOOKUP($C54,'2D-Chapra'!$C$2:$T$55,MID(S$1,2,2)+2,0)="","",VLOOKUP($C54,'2D-Chapra'!$C$2:$T$55,MID(S$1,2,2)+2,0))</f>
        <v/>
      </c>
      <c r="T54" s="5" t="str">
        <f>IF(VLOOKUP($C54,'2D-Chapra'!$C$2:$T$55,MID(T$1,2,2)+2,0)="","",VLOOKUP($C54,'2D-Chapra'!$C$2:$T$55,MID(T$1,2,2)+2,0))</f>
        <v/>
      </c>
      <c r="W54" s="93">
        <v>1</v>
      </c>
      <c r="X54" s="49">
        <v>3</v>
      </c>
      <c r="Y54" s="94">
        <v>1</v>
      </c>
      <c r="Z54" s="95" t="s">
        <v>205</v>
      </c>
      <c r="AA54" s="3">
        <v>0</v>
      </c>
      <c r="AB54" s="4">
        <v>0</v>
      </c>
      <c r="AC54" s="17">
        <v>0</v>
      </c>
      <c r="AD54" s="16">
        <v>0</v>
      </c>
      <c r="AE54" s="4">
        <v>0</v>
      </c>
      <c r="AF54" s="17">
        <v>0</v>
      </c>
      <c r="AG54" s="16">
        <v>0</v>
      </c>
      <c r="AH54" s="4">
        <v>0</v>
      </c>
      <c r="AI54" s="17">
        <v>0</v>
      </c>
      <c r="AJ54" s="16">
        <v>0</v>
      </c>
      <c r="AK54" s="4">
        <v>0</v>
      </c>
      <c r="AL54" s="17">
        <v>0</v>
      </c>
      <c r="AM54" s="16">
        <v>0</v>
      </c>
      <c r="AN54" s="4">
        <v>0</v>
      </c>
      <c r="AO54" s="17">
        <v>0</v>
      </c>
      <c r="AP54" s="16">
        <v>0</v>
      </c>
      <c r="AQ54" s="4">
        <v>0</v>
      </c>
      <c r="AR54" s="17">
        <v>0</v>
      </c>
      <c r="AS54" s="16">
        <v>0</v>
      </c>
      <c r="AT54" s="4">
        <v>0</v>
      </c>
      <c r="AU54" s="17">
        <v>0</v>
      </c>
      <c r="AV54" s="16">
        <v>0</v>
      </c>
      <c r="AW54" s="4">
        <v>0</v>
      </c>
      <c r="AX54" s="17">
        <v>0</v>
      </c>
      <c r="AY54" s="16">
        <v>0</v>
      </c>
      <c r="AZ54" s="4">
        <v>0</v>
      </c>
      <c r="BA54" s="17">
        <v>0</v>
      </c>
      <c r="BB54" s="16">
        <v>0</v>
      </c>
      <c r="BC54" s="4">
        <v>0</v>
      </c>
      <c r="BD54" s="17">
        <v>0</v>
      </c>
      <c r="BE54" s="16">
        <v>0</v>
      </c>
      <c r="BF54" s="4">
        <v>0</v>
      </c>
      <c r="BG54" s="17">
        <v>0</v>
      </c>
      <c r="BH54" s="16">
        <v>0</v>
      </c>
      <c r="BI54" s="4">
        <v>0</v>
      </c>
      <c r="BJ54" s="17">
        <v>0</v>
      </c>
      <c r="BK54" s="16">
        <v>0</v>
      </c>
      <c r="BL54" s="4">
        <v>0</v>
      </c>
      <c r="BM54" s="17">
        <v>0</v>
      </c>
      <c r="BN54" s="16">
        <v>0</v>
      </c>
      <c r="BO54" s="4">
        <v>0</v>
      </c>
      <c r="BP54" s="17">
        <v>0</v>
      </c>
      <c r="BQ54" s="16">
        <v>0</v>
      </c>
      <c r="BR54" s="4">
        <v>0</v>
      </c>
      <c r="BS54" s="17">
        <v>0</v>
      </c>
      <c r="BT54" s="16">
        <v>0</v>
      </c>
      <c r="BU54" s="4">
        <v>0</v>
      </c>
      <c r="BV54" s="17">
        <v>0</v>
      </c>
      <c r="BW54" s="16">
        <v>0</v>
      </c>
      <c r="BX54" s="4">
        <v>0</v>
      </c>
      <c r="BY54" s="17">
        <v>0</v>
      </c>
      <c r="BZ54" s="107">
        <f>-($Y55^2)+($Y54+$Y53)*$Y55-($Y53*$Y54)-($X55^2)+($X54+$X53)*$X55-($X53*$X54)</f>
        <v>-4</v>
      </c>
      <c r="CA54" s="11">
        <f>$Y55^2-2*$Y53*$Y55+$Y53^2+$X55^2-2*$X53*$X55+$X53^2</f>
        <v>8</v>
      </c>
      <c r="CB54" s="12">
        <f>CA55</f>
        <v>-4</v>
      </c>
    </row>
    <row r="55" spans="1:80" x14ac:dyDescent="0.25">
      <c r="A55" s="23">
        <f t="shared" si="1"/>
        <v>18</v>
      </c>
      <c r="B55" s="23">
        <f t="shared" si="2"/>
        <v>3</v>
      </c>
      <c r="C55" s="23" t="str">
        <f t="shared" si="0"/>
        <v>T18_3</v>
      </c>
      <c r="E55" s="3" t="str">
        <f>IF(VLOOKUP($C55,'2D-Chapra'!$C$2:$T$55,MID(E$1,2,2)+2,0)="","",VLOOKUP($C55,'2D-Chapra'!$C$2:$T$55,MID(E$1,2,2)+2,0))</f>
        <v/>
      </c>
      <c r="F55" s="4" t="str">
        <f>IF(VLOOKUP($C55,'2D-Chapra'!$C$2:$T$55,MID(F$1,2,2)+2,0)="","",VLOOKUP($C55,'2D-Chapra'!$C$2:$T$55,MID(F$1,2,2)+2,0))</f>
        <v/>
      </c>
      <c r="G55" s="4" t="str">
        <f>IF(VLOOKUP($C55,'2D-Chapra'!$C$2:$T$55,MID(G$1,2,2)+2,0)="","",VLOOKUP($C55,'2D-Chapra'!$C$2:$T$55,MID(G$1,2,2)+2,0))</f>
        <v/>
      </c>
      <c r="H55" s="4" t="str">
        <f>IF(VLOOKUP($C55,'2D-Chapra'!$C$2:$T$55,MID(H$1,2,2)+2,0)="","",VLOOKUP($C55,'2D-Chapra'!$C$2:$T$55,MID(H$1,2,2)+2,0))</f>
        <v/>
      </c>
      <c r="I55" s="4" t="str">
        <f>IF(VLOOKUP($C55,'2D-Chapra'!$C$2:$T$55,MID(I$1,2,2)+2,0)="","",VLOOKUP($C55,'2D-Chapra'!$C$2:$T$55,MID(I$1,2,2)+2,0))</f>
        <v/>
      </c>
      <c r="J55" s="4" t="str">
        <f>IF(VLOOKUP($C55,'2D-Chapra'!$C$2:$T$55,MID(J$1,2,2)+2,0)="","",VLOOKUP($C55,'2D-Chapra'!$C$2:$T$55,MID(J$1,2,2)+2,0))</f>
        <v/>
      </c>
      <c r="K55" s="4" t="str">
        <f>IF(VLOOKUP($C55,'2D-Chapra'!$C$2:$T$55,MID(K$1,2,2)+2,0)="","",VLOOKUP($C55,'2D-Chapra'!$C$2:$T$55,MID(K$1,2,2)+2,0))</f>
        <v/>
      </c>
      <c r="L55" s="4" t="str">
        <f>IF(VLOOKUP($C55,'2D-Chapra'!$C$2:$T$55,MID(L$1,2,2)+2,0)="","",VLOOKUP($C55,'2D-Chapra'!$C$2:$T$55,MID(L$1,2,2)+2,0))</f>
        <v/>
      </c>
      <c r="M55" s="4" t="str">
        <f>IF(VLOOKUP($C55,'2D-Chapra'!$C$2:$T$55,MID(M$1,2,2)+2,0)="","",VLOOKUP($C55,'2D-Chapra'!$C$2:$T$55,MID(M$1,2,2)+2,0))</f>
        <v/>
      </c>
      <c r="N55" s="4" t="str">
        <f>IF(VLOOKUP($C55,'2D-Chapra'!$C$2:$T$55,MID(N$1,2,2)+2,0)="","",VLOOKUP($C55,'2D-Chapra'!$C$2:$T$55,MID(N$1,2,2)+2,0))</f>
        <v/>
      </c>
      <c r="O55" s="4" t="str">
        <f>IF(VLOOKUP($C55,'2D-Chapra'!$C$2:$T$55,MID(O$1,2,2)+2,0)="","",VLOOKUP($C55,'2D-Chapra'!$C$2:$T$55,MID(O$1,2,2)+2,0))</f>
        <v/>
      </c>
      <c r="P55" s="4" t="str">
        <f>IF(VLOOKUP($C55,'2D-Chapra'!$C$2:$T$55,MID(P$1,2,2)+2,0)="","",VLOOKUP($C55,'2D-Chapra'!$C$2:$T$55,MID(P$1,2,2)+2,0))</f>
        <v/>
      </c>
      <c r="Q55" s="4" t="str">
        <f>IF(VLOOKUP($C55,'2D-Chapra'!$C$2:$T$55,MID(Q$1,2,2)+2,0)="","",VLOOKUP($C55,'2D-Chapra'!$C$2:$T$55,MID(Q$1,2,2)+2,0))</f>
        <v/>
      </c>
      <c r="R55" s="4" t="str">
        <f>IF(VLOOKUP($C55,'2D-Chapra'!$C$2:$T$55,MID(R$1,2,2)+2,0)="","",VLOOKUP($C55,'2D-Chapra'!$C$2:$T$55,MID(R$1,2,2)+2,0))</f>
        <v/>
      </c>
      <c r="S55" s="4" t="str">
        <f>IF(VLOOKUP($C55,'2D-Chapra'!$C$2:$T$55,MID(S$1,2,2)+2,0)="","",VLOOKUP($C55,'2D-Chapra'!$C$2:$T$55,MID(S$1,2,2)+2,0))</f>
        <v/>
      </c>
      <c r="T55" s="5">
        <f>IF(VLOOKUP($C55,'2D-Chapra'!$C$2:$T$55,MID(T$1,2,2)+2,0)="","",VLOOKUP($C55,'2D-Chapra'!$C$2:$T$55,MID(T$1,2,2)+2,0))</f>
        <v>1</v>
      </c>
      <c r="W55" s="97">
        <v>1</v>
      </c>
      <c r="X55" s="98">
        <v>3</v>
      </c>
      <c r="Y55" s="99">
        <v>3</v>
      </c>
      <c r="Z55" s="100" t="s">
        <v>206</v>
      </c>
      <c r="AA55" s="108">
        <v>0</v>
      </c>
      <c r="AB55" s="19">
        <v>0</v>
      </c>
      <c r="AC55" s="20">
        <v>0</v>
      </c>
      <c r="AD55" s="18">
        <v>0</v>
      </c>
      <c r="AE55" s="19">
        <v>0</v>
      </c>
      <c r="AF55" s="20">
        <v>0</v>
      </c>
      <c r="AG55" s="18">
        <v>0</v>
      </c>
      <c r="AH55" s="19">
        <v>0</v>
      </c>
      <c r="AI55" s="20">
        <v>0</v>
      </c>
      <c r="AJ55" s="18">
        <v>0</v>
      </c>
      <c r="AK55" s="19">
        <v>0</v>
      </c>
      <c r="AL55" s="20">
        <v>0</v>
      </c>
      <c r="AM55" s="18">
        <v>0</v>
      </c>
      <c r="AN55" s="19">
        <v>0</v>
      </c>
      <c r="AO55" s="20">
        <v>0</v>
      </c>
      <c r="AP55" s="18">
        <v>0</v>
      </c>
      <c r="AQ55" s="19">
        <v>0</v>
      </c>
      <c r="AR55" s="20">
        <v>0</v>
      </c>
      <c r="AS55" s="18">
        <v>0</v>
      </c>
      <c r="AT55" s="19">
        <v>0</v>
      </c>
      <c r="AU55" s="20">
        <v>0</v>
      </c>
      <c r="AV55" s="18">
        <v>0</v>
      </c>
      <c r="AW55" s="19">
        <v>0</v>
      </c>
      <c r="AX55" s="20">
        <v>0</v>
      </c>
      <c r="AY55" s="18">
        <v>0</v>
      </c>
      <c r="AZ55" s="19">
        <v>0</v>
      </c>
      <c r="BA55" s="20">
        <v>0</v>
      </c>
      <c r="BB55" s="18">
        <v>0</v>
      </c>
      <c r="BC55" s="19">
        <v>0</v>
      </c>
      <c r="BD55" s="20">
        <v>0</v>
      </c>
      <c r="BE55" s="18">
        <v>0</v>
      </c>
      <c r="BF55" s="19">
        <v>0</v>
      </c>
      <c r="BG55" s="20">
        <v>0</v>
      </c>
      <c r="BH55" s="18">
        <v>0</v>
      </c>
      <c r="BI55" s="19">
        <v>0</v>
      </c>
      <c r="BJ55" s="20">
        <v>0</v>
      </c>
      <c r="BK55" s="18">
        <v>0</v>
      </c>
      <c r="BL55" s="19">
        <v>0</v>
      </c>
      <c r="BM55" s="20">
        <v>0</v>
      </c>
      <c r="BN55" s="18">
        <v>0</v>
      </c>
      <c r="BO55" s="19">
        <v>0</v>
      </c>
      <c r="BP55" s="20">
        <v>0</v>
      </c>
      <c r="BQ55" s="18">
        <v>0</v>
      </c>
      <c r="BR55" s="19">
        <v>0</v>
      </c>
      <c r="BS55" s="20">
        <v>0</v>
      </c>
      <c r="BT55" s="18">
        <v>0</v>
      </c>
      <c r="BU55" s="19">
        <v>0</v>
      </c>
      <c r="BV55" s="20">
        <v>0</v>
      </c>
      <c r="BW55" s="18">
        <v>0</v>
      </c>
      <c r="BX55" s="19">
        <v>0</v>
      </c>
      <c r="BY55" s="20">
        <v>0</v>
      </c>
      <c r="BZ55" s="109">
        <f>($Y54-$Y53)*$Y55-$Y54^2+$Y53*$Y54+($X54-$X53)*$X55-$X54^2+$X53*$X54</f>
        <v>0</v>
      </c>
      <c r="CA55" s="102">
        <f>($Y53-$Y54)*$Y55+$Y53*$Y54-$Y53^2+($X53-$X54)*$X55+$X53*$X54-$X53^2</f>
        <v>-4</v>
      </c>
      <c r="CB55" s="111">
        <f>$Y54^2-2*$Y53*$Y54+$Y53^2+$X54^2-2*$X53*$X54+$X53^2</f>
        <v>4</v>
      </c>
    </row>
    <row r="56" spans="1:80" x14ac:dyDescent="0.25">
      <c r="E56">
        <f>SUM(E2:E55)</f>
        <v>6</v>
      </c>
      <c r="F56">
        <f t="shared" ref="F56:T56" si="3">SUM(F2:F55)</f>
        <v>6</v>
      </c>
      <c r="G56">
        <f t="shared" si="3"/>
        <v>6</v>
      </c>
      <c r="H56">
        <f t="shared" si="3"/>
        <v>6</v>
      </c>
      <c r="I56">
        <f t="shared" si="3"/>
        <v>2</v>
      </c>
      <c r="J56">
        <f t="shared" si="3"/>
        <v>3</v>
      </c>
      <c r="K56">
        <f t="shared" si="3"/>
        <v>3</v>
      </c>
      <c r="L56">
        <f t="shared" si="3"/>
        <v>1</v>
      </c>
      <c r="M56">
        <f t="shared" si="3"/>
        <v>3</v>
      </c>
      <c r="N56">
        <f t="shared" si="3"/>
        <v>3</v>
      </c>
      <c r="O56">
        <f t="shared" si="3"/>
        <v>3</v>
      </c>
      <c r="P56">
        <f t="shared" si="3"/>
        <v>3</v>
      </c>
      <c r="Q56">
        <f t="shared" si="3"/>
        <v>1</v>
      </c>
      <c r="R56">
        <f t="shared" si="3"/>
        <v>3</v>
      </c>
      <c r="S56">
        <f t="shared" si="3"/>
        <v>3</v>
      </c>
      <c r="T56">
        <f t="shared" si="3"/>
        <v>2</v>
      </c>
    </row>
    <row r="57" spans="1:80" ht="17.25" x14ac:dyDescent="0.25">
      <c r="C57" s="85" t="s">
        <v>163</v>
      </c>
      <c r="D57" s="86"/>
      <c r="E57" s="14" t="s">
        <v>207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5"/>
    </row>
    <row r="58" spans="1:80" x14ac:dyDescent="0.25">
      <c r="C58" s="93" t="str">
        <f t="shared" ref="C58:C111" si="4">C2</f>
        <v>T1_1</v>
      </c>
      <c r="D58" s="49"/>
      <c r="E58" s="3">
        <f t="shared" ref="E58:T73" si="5">IF(E2="",0,E2)</f>
        <v>0</v>
      </c>
      <c r="F58" s="4">
        <f t="shared" si="5"/>
        <v>0</v>
      </c>
      <c r="G58" s="4">
        <f t="shared" si="5"/>
        <v>0</v>
      </c>
      <c r="H58" s="4">
        <f t="shared" si="5"/>
        <v>0</v>
      </c>
      <c r="I58" s="4">
        <f t="shared" si="5"/>
        <v>1</v>
      </c>
      <c r="J58" s="4">
        <f t="shared" si="5"/>
        <v>0</v>
      </c>
      <c r="K58" s="4">
        <f t="shared" si="5"/>
        <v>0</v>
      </c>
      <c r="L58" s="4">
        <f t="shared" si="5"/>
        <v>0</v>
      </c>
      <c r="M58" s="4">
        <f t="shared" si="5"/>
        <v>0</v>
      </c>
      <c r="N58" s="4">
        <f t="shared" si="5"/>
        <v>0</v>
      </c>
      <c r="O58" s="4">
        <f t="shared" si="5"/>
        <v>0</v>
      </c>
      <c r="P58" s="4">
        <f t="shared" si="5"/>
        <v>0</v>
      </c>
      <c r="Q58" s="4">
        <f t="shared" si="5"/>
        <v>0</v>
      </c>
      <c r="R58" s="4">
        <f t="shared" si="5"/>
        <v>0</v>
      </c>
      <c r="S58" s="4">
        <f t="shared" si="5"/>
        <v>0</v>
      </c>
      <c r="T58" s="17">
        <f t="shared" si="5"/>
        <v>0</v>
      </c>
    </row>
    <row r="59" spans="1:80" hidden="1" x14ac:dyDescent="0.25">
      <c r="C59" s="93" t="str">
        <f t="shared" si="4"/>
        <v>T1_2</v>
      </c>
      <c r="D59" s="49"/>
      <c r="E59" s="3">
        <f t="shared" si="5"/>
        <v>1</v>
      </c>
      <c r="F59" s="4">
        <f t="shared" si="5"/>
        <v>0</v>
      </c>
      <c r="G59" s="4">
        <f t="shared" si="5"/>
        <v>0</v>
      </c>
      <c r="H59" s="4">
        <f t="shared" si="5"/>
        <v>0</v>
      </c>
      <c r="I59" s="4">
        <f t="shared" si="5"/>
        <v>0</v>
      </c>
      <c r="J59" s="4">
        <f t="shared" si="5"/>
        <v>0</v>
      </c>
      <c r="K59" s="4">
        <f t="shared" si="5"/>
        <v>0</v>
      </c>
      <c r="L59" s="4">
        <f t="shared" si="5"/>
        <v>0</v>
      </c>
      <c r="M59" s="4">
        <f t="shared" si="5"/>
        <v>0</v>
      </c>
      <c r="N59" s="4">
        <f t="shared" si="5"/>
        <v>0</v>
      </c>
      <c r="O59" s="4">
        <f t="shared" si="5"/>
        <v>0</v>
      </c>
      <c r="P59" s="4">
        <f t="shared" si="5"/>
        <v>0</v>
      </c>
      <c r="Q59" s="4">
        <f t="shared" si="5"/>
        <v>0</v>
      </c>
      <c r="R59" s="4">
        <f t="shared" si="5"/>
        <v>0</v>
      </c>
      <c r="S59" s="4">
        <f t="shared" si="5"/>
        <v>0</v>
      </c>
      <c r="T59" s="17">
        <f t="shared" si="5"/>
        <v>0</v>
      </c>
    </row>
    <row r="60" spans="1:80" hidden="1" x14ac:dyDescent="0.25">
      <c r="C60" s="93" t="str">
        <f t="shared" si="4"/>
        <v>T1_3</v>
      </c>
      <c r="D60" s="49"/>
      <c r="E60" s="3">
        <f t="shared" si="5"/>
        <v>0</v>
      </c>
      <c r="F60" s="4">
        <f t="shared" si="5"/>
        <v>0</v>
      </c>
      <c r="G60" s="4">
        <f t="shared" si="5"/>
        <v>0</v>
      </c>
      <c r="H60" s="4">
        <f t="shared" si="5"/>
        <v>0</v>
      </c>
      <c r="I60" s="4">
        <f t="shared" si="5"/>
        <v>0</v>
      </c>
      <c r="J60" s="4">
        <f t="shared" si="5"/>
        <v>0</v>
      </c>
      <c r="K60" s="4">
        <f t="shared" si="5"/>
        <v>0</v>
      </c>
      <c r="L60" s="4">
        <f t="shared" si="5"/>
        <v>0</v>
      </c>
      <c r="M60" s="4">
        <f t="shared" si="5"/>
        <v>1</v>
      </c>
      <c r="N60" s="4">
        <f t="shared" si="5"/>
        <v>0</v>
      </c>
      <c r="O60" s="4">
        <f t="shared" si="5"/>
        <v>0</v>
      </c>
      <c r="P60" s="4">
        <f t="shared" si="5"/>
        <v>0</v>
      </c>
      <c r="Q60" s="4">
        <f t="shared" si="5"/>
        <v>0</v>
      </c>
      <c r="R60" s="4">
        <f t="shared" si="5"/>
        <v>0</v>
      </c>
      <c r="S60" s="4">
        <f t="shared" si="5"/>
        <v>0</v>
      </c>
      <c r="T60" s="17">
        <f t="shared" si="5"/>
        <v>0</v>
      </c>
    </row>
    <row r="61" spans="1:80" hidden="1" x14ac:dyDescent="0.25">
      <c r="C61" s="93" t="str">
        <f t="shared" si="4"/>
        <v>T2_1</v>
      </c>
      <c r="D61" s="49"/>
      <c r="E61" s="3">
        <f t="shared" si="5"/>
        <v>0</v>
      </c>
      <c r="F61" s="4">
        <f t="shared" si="5"/>
        <v>0</v>
      </c>
      <c r="G61" s="4">
        <f t="shared" si="5"/>
        <v>0</v>
      </c>
      <c r="H61" s="4">
        <f t="shared" si="5"/>
        <v>0</v>
      </c>
      <c r="I61" s="4">
        <f t="shared" si="5"/>
        <v>1</v>
      </c>
      <c r="J61" s="4">
        <f t="shared" si="5"/>
        <v>0</v>
      </c>
      <c r="K61" s="4">
        <f t="shared" si="5"/>
        <v>0</v>
      </c>
      <c r="L61" s="4">
        <f t="shared" si="5"/>
        <v>0</v>
      </c>
      <c r="M61" s="4">
        <f t="shared" si="5"/>
        <v>0</v>
      </c>
      <c r="N61" s="4">
        <f t="shared" si="5"/>
        <v>0</v>
      </c>
      <c r="O61" s="4">
        <f t="shared" si="5"/>
        <v>0</v>
      </c>
      <c r="P61" s="4">
        <f t="shared" si="5"/>
        <v>0</v>
      </c>
      <c r="Q61" s="4">
        <f t="shared" si="5"/>
        <v>0</v>
      </c>
      <c r="R61" s="4">
        <f t="shared" si="5"/>
        <v>0</v>
      </c>
      <c r="S61" s="4">
        <f t="shared" si="5"/>
        <v>0</v>
      </c>
      <c r="T61" s="17">
        <f t="shared" si="5"/>
        <v>0</v>
      </c>
    </row>
    <row r="62" spans="1:80" hidden="1" x14ac:dyDescent="0.25">
      <c r="C62" s="93" t="str">
        <f t="shared" si="4"/>
        <v>T2_2</v>
      </c>
      <c r="D62" s="49"/>
      <c r="E62" s="3">
        <f t="shared" si="5"/>
        <v>0</v>
      </c>
      <c r="F62" s="4">
        <f t="shared" si="5"/>
        <v>0</v>
      </c>
      <c r="G62" s="4">
        <f t="shared" si="5"/>
        <v>0</v>
      </c>
      <c r="H62" s="4">
        <f t="shared" si="5"/>
        <v>0</v>
      </c>
      <c r="I62" s="4">
        <f t="shared" si="5"/>
        <v>0</v>
      </c>
      <c r="J62" s="4">
        <f t="shared" si="5"/>
        <v>1</v>
      </c>
      <c r="K62" s="4">
        <f t="shared" si="5"/>
        <v>0</v>
      </c>
      <c r="L62" s="4">
        <f t="shared" si="5"/>
        <v>0</v>
      </c>
      <c r="M62" s="4">
        <f t="shared" si="5"/>
        <v>0</v>
      </c>
      <c r="N62" s="4">
        <f t="shared" si="5"/>
        <v>0</v>
      </c>
      <c r="O62" s="4">
        <f t="shared" si="5"/>
        <v>0</v>
      </c>
      <c r="P62" s="4">
        <f t="shared" si="5"/>
        <v>0</v>
      </c>
      <c r="Q62" s="4">
        <f t="shared" si="5"/>
        <v>0</v>
      </c>
      <c r="R62" s="4">
        <f t="shared" si="5"/>
        <v>0</v>
      </c>
      <c r="S62" s="4">
        <f t="shared" si="5"/>
        <v>0</v>
      </c>
      <c r="T62" s="17">
        <f t="shared" si="5"/>
        <v>0</v>
      </c>
    </row>
    <row r="63" spans="1:80" hidden="1" x14ac:dyDescent="0.25">
      <c r="C63" s="93" t="str">
        <f t="shared" si="4"/>
        <v>T2_3</v>
      </c>
      <c r="D63" s="49"/>
      <c r="E63" s="3">
        <f t="shared" si="5"/>
        <v>1</v>
      </c>
      <c r="F63" s="4">
        <f t="shared" si="5"/>
        <v>0</v>
      </c>
      <c r="G63" s="4">
        <f t="shared" si="5"/>
        <v>0</v>
      </c>
      <c r="H63" s="4">
        <f t="shared" si="5"/>
        <v>0</v>
      </c>
      <c r="I63" s="4">
        <f t="shared" si="5"/>
        <v>0</v>
      </c>
      <c r="J63" s="4">
        <f t="shared" si="5"/>
        <v>0</v>
      </c>
      <c r="K63" s="4">
        <f t="shared" si="5"/>
        <v>0</v>
      </c>
      <c r="L63" s="4">
        <f t="shared" si="5"/>
        <v>0</v>
      </c>
      <c r="M63" s="4">
        <f t="shared" si="5"/>
        <v>0</v>
      </c>
      <c r="N63" s="4">
        <f t="shared" si="5"/>
        <v>0</v>
      </c>
      <c r="O63" s="4">
        <f t="shared" si="5"/>
        <v>0</v>
      </c>
      <c r="P63" s="4">
        <f t="shared" si="5"/>
        <v>0</v>
      </c>
      <c r="Q63" s="4">
        <f t="shared" si="5"/>
        <v>0</v>
      </c>
      <c r="R63" s="4">
        <f t="shared" si="5"/>
        <v>0</v>
      </c>
      <c r="S63" s="4">
        <f t="shared" si="5"/>
        <v>0</v>
      </c>
      <c r="T63" s="17">
        <f t="shared" si="5"/>
        <v>0</v>
      </c>
    </row>
    <row r="64" spans="1:80" hidden="1" x14ac:dyDescent="0.25">
      <c r="C64" s="93" t="str">
        <f t="shared" si="4"/>
        <v>T3_1</v>
      </c>
      <c r="D64" s="49"/>
      <c r="E64" s="3">
        <f t="shared" si="5"/>
        <v>0</v>
      </c>
      <c r="F64" s="4">
        <f t="shared" si="5"/>
        <v>0</v>
      </c>
      <c r="G64" s="4">
        <f t="shared" si="5"/>
        <v>0</v>
      </c>
      <c r="H64" s="4">
        <f t="shared" si="5"/>
        <v>0</v>
      </c>
      <c r="I64" s="4">
        <f t="shared" si="5"/>
        <v>0</v>
      </c>
      <c r="J64" s="4">
        <f t="shared" si="5"/>
        <v>1</v>
      </c>
      <c r="K64" s="4">
        <f t="shared" si="5"/>
        <v>0</v>
      </c>
      <c r="L64" s="4">
        <f t="shared" si="5"/>
        <v>0</v>
      </c>
      <c r="M64" s="4">
        <f t="shared" si="5"/>
        <v>0</v>
      </c>
      <c r="N64" s="4">
        <f t="shared" si="5"/>
        <v>0</v>
      </c>
      <c r="O64" s="4">
        <f t="shared" si="5"/>
        <v>0</v>
      </c>
      <c r="P64" s="4">
        <f t="shared" si="5"/>
        <v>0</v>
      </c>
      <c r="Q64" s="4">
        <f t="shared" si="5"/>
        <v>0</v>
      </c>
      <c r="R64" s="4">
        <f t="shared" si="5"/>
        <v>0</v>
      </c>
      <c r="S64" s="4">
        <f t="shared" si="5"/>
        <v>0</v>
      </c>
      <c r="T64" s="17">
        <f t="shared" si="5"/>
        <v>0</v>
      </c>
    </row>
    <row r="65" spans="3:20" hidden="1" x14ac:dyDescent="0.25">
      <c r="C65" s="93" t="str">
        <f t="shared" si="4"/>
        <v>T3_2</v>
      </c>
      <c r="D65" s="49"/>
      <c r="E65" s="3">
        <f t="shared" si="5"/>
        <v>0</v>
      </c>
      <c r="F65" s="4">
        <f t="shared" si="5"/>
        <v>1</v>
      </c>
      <c r="G65" s="4">
        <f t="shared" si="5"/>
        <v>0</v>
      </c>
      <c r="H65" s="4">
        <f t="shared" si="5"/>
        <v>0</v>
      </c>
      <c r="I65" s="4">
        <f t="shared" si="5"/>
        <v>0</v>
      </c>
      <c r="J65" s="4">
        <f t="shared" si="5"/>
        <v>0</v>
      </c>
      <c r="K65" s="4">
        <f t="shared" si="5"/>
        <v>0</v>
      </c>
      <c r="L65" s="4">
        <f t="shared" si="5"/>
        <v>0</v>
      </c>
      <c r="M65" s="4">
        <f t="shared" si="5"/>
        <v>0</v>
      </c>
      <c r="N65" s="4">
        <f t="shared" si="5"/>
        <v>0</v>
      </c>
      <c r="O65" s="4">
        <f t="shared" si="5"/>
        <v>0</v>
      </c>
      <c r="P65" s="4">
        <f t="shared" si="5"/>
        <v>0</v>
      </c>
      <c r="Q65" s="4">
        <f t="shared" si="5"/>
        <v>0</v>
      </c>
      <c r="R65" s="4">
        <f t="shared" si="5"/>
        <v>0</v>
      </c>
      <c r="S65" s="4">
        <f t="shared" si="5"/>
        <v>0</v>
      </c>
      <c r="T65" s="17">
        <f t="shared" si="5"/>
        <v>0</v>
      </c>
    </row>
    <row r="66" spans="3:20" hidden="1" x14ac:dyDescent="0.25">
      <c r="C66" s="93" t="str">
        <f t="shared" si="4"/>
        <v>T3_3</v>
      </c>
      <c r="D66" s="49"/>
      <c r="E66" s="3">
        <f t="shared" si="5"/>
        <v>1</v>
      </c>
      <c r="F66" s="4">
        <f t="shared" si="5"/>
        <v>0</v>
      </c>
      <c r="G66" s="4">
        <f t="shared" si="5"/>
        <v>0</v>
      </c>
      <c r="H66" s="4">
        <f t="shared" si="5"/>
        <v>0</v>
      </c>
      <c r="I66" s="4">
        <f t="shared" si="5"/>
        <v>0</v>
      </c>
      <c r="J66" s="4">
        <f t="shared" si="5"/>
        <v>0</v>
      </c>
      <c r="K66" s="4">
        <f t="shared" si="5"/>
        <v>0</v>
      </c>
      <c r="L66" s="4">
        <f t="shared" si="5"/>
        <v>0</v>
      </c>
      <c r="M66" s="4">
        <f t="shared" si="5"/>
        <v>0</v>
      </c>
      <c r="N66" s="4">
        <f t="shared" si="5"/>
        <v>0</v>
      </c>
      <c r="O66" s="4">
        <f t="shared" si="5"/>
        <v>0</v>
      </c>
      <c r="P66" s="4">
        <f t="shared" si="5"/>
        <v>0</v>
      </c>
      <c r="Q66" s="4">
        <f t="shared" si="5"/>
        <v>0</v>
      </c>
      <c r="R66" s="4">
        <f t="shared" si="5"/>
        <v>0</v>
      </c>
      <c r="S66" s="4">
        <f t="shared" si="5"/>
        <v>0</v>
      </c>
      <c r="T66" s="17">
        <f t="shared" si="5"/>
        <v>0</v>
      </c>
    </row>
    <row r="67" spans="3:20" hidden="1" x14ac:dyDescent="0.25">
      <c r="C67" s="93" t="str">
        <f t="shared" si="4"/>
        <v>T4_1</v>
      </c>
      <c r="D67" s="49"/>
      <c r="E67" s="3">
        <f t="shared" si="5"/>
        <v>0</v>
      </c>
      <c r="F67" s="4">
        <f t="shared" si="5"/>
        <v>0</v>
      </c>
      <c r="G67" s="4">
        <f t="shared" si="5"/>
        <v>0</v>
      </c>
      <c r="H67" s="4">
        <f t="shared" si="5"/>
        <v>0</v>
      </c>
      <c r="I67" s="4">
        <f t="shared" si="5"/>
        <v>0</v>
      </c>
      <c r="J67" s="4">
        <f t="shared" si="5"/>
        <v>1</v>
      </c>
      <c r="K67" s="4">
        <f t="shared" si="5"/>
        <v>0</v>
      </c>
      <c r="L67" s="4">
        <f t="shared" si="5"/>
        <v>0</v>
      </c>
      <c r="M67" s="4">
        <f t="shared" si="5"/>
        <v>0</v>
      </c>
      <c r="N67" s="4">
        <f t="shared" si="5"/>
        <v>0</v>
      </c>
      <c r="O67" s="4">
        <f t="shared" si="5"/>
        <v>0</v>
      </c>
      <c r="P67" s="4">
        <f t="shared" si="5"/>
        <v>0</v>
      </c>
      <c r="Q67" s="4">
        <f t="shared" si="5"/>
        <v>0</v>
      </c>
      <c r="R67" s="4">
        <f t="shared" si="5"/>
        <v>0</v>
      </c>
      <c r="S67" s="4">
        <f t="shared" si="5"/>
        <v>0</v>
      </c>
      <c r="T67" s="17">
        <f t="shared" si="5"/>
        <v>0</v>
      </c>
    </row>
    <row r="68" spans="3:20" hidden="1" x14ac:dyDescent="0.25">
      <c r="C68" s="93" t="str">
        <f t="shared" si="4"/>
        <v>T4_2</v>
      </c>
      <c r="D68" s="49"/>
      <c r="E68" s="3">
        <f t="shared" si="5"/>
        <v>0</v>
      </c>
      <c r="F68" s="4">
        <f t="shared" si="5"/>
        <v>0</v>
      </c>
      <c r="G68" s="4">
        <f t="shared" si="5"/>
        <v>0</v>
      </c>
      <c r="H68" s="4">
        <f t="shared" si="5"/>
        <v>0</v>
      </c>
      <c r="I68" s="4">
        <f t="shared" si="5"/>
        <v>0</v>
      </c>
      <c r="J68" s="4">
        <f t="shared" si="5"/>
        <v>0</v>
      </c>
      <c r="K68" s="4">
        <f t="shared" si="5"/>
        <v>1</v>
      </c>
      <c r="L68" s="4">
        <f t="shared" si="5"/>
        <v>0</v>
      </c>
      <c r="M68" s="4">
        <f t="shared" si="5"/>
        <v>0</v>
      </c>
      <c r="N68" s="4">
        <f t="shared" si="5"/>
        <v>0</v>
      </c>
      <c r="O68" s="4">
        <f t="shared" si="5"/>
        <v>0</v>
      </c>
      <c r="P68" s="4">
        <f t="shared" si="5"/>
        <v>0</v>
      </c>
      <c r="Q68" s="4">
        <f t="shared" si="5"/>
        <v>0</v>
      </c>
      <c r="R68" s="4">
        <f t="shared" si="5"/>
        <v>0</v>
      </c>
      <c r="S68" s="4">
        <f t="shared" si="5"/>
        <v>0</v>
      </c>
      <c r="T68" s="17">
        <f t="shared" si="5"/>
        <v>0</v>
      </c>
    </row>
    <row r="69" spans="3:20" hidden="1" x14ac:dyDescent="0.25">
      <c r="C69" s="93" t="str">
        <f t="shared" si="4"/>
        <v>T4_3</v>
      </c>
      <c r="D69" s="49"/>
      <c r="E69" s="3">
        <f t="shared" si="5"/>
        <v>0</v>
      </c>
      <c r="F69" s="4">
        <f t="shared" si="5"/>
        <v>1</v>
      </c>
      <c r="G69" s="4">
        <f t="shared" si="5"/>
        <v>0</v>
      </c>
      <c r="H69" s="4">
        <f t="shared" si="5"/>
        <v>0</v>
      </c>
      <c r="I69" s="4">
        <f t="shared" si="5"/>
        <v>0</v>
      </c>
      <c r="J69" s="4">
        <f t="shared" si="5"/>
        <v>0</v>
      </c>
      <c r="K69" s="4">
        <f t="shared" si="5"/>
        <v>0</v>
      </c>
      <c r="L69" s="4">
        <f t="shared" si="5"/>
        <v>0</v>
      </c>
      <c r="M69" s="4">
        <f t="shared" si="5"/>
        <v>0</v>
      </c>
      <c r="N69" s="4">
        <f t="shared" si="5"/>
        <v>0</v>
      </c>
      <c r="O69" s="4">
        <f t="shared" si="5"/>
        <v>0</v>
      </c>
      <c r="P69" s="4">
        <f t="shared" si="5"/>
        <v>0</v>
      </c>
      <c r="Q69" s="4">
        <f t="shared" si="5"/>
        <v>0</v>
      </c>
      <c r="R69" s="4">
        <f t="shared" si="5"/>
        <v>0</v>
      </c>
      <c r="S69" s="4">
        <f t="shared" si="5"/>
        <v>0</v>
      </c>
      <c r="T69" s="17">
        <f t="shared" si="5"/>
        <v>0</v>
      </c>
    </row>
    <row r="70" spans="3:20" hidden="1" x14ac:dyDescent="0.25">
      <c r="C70" s="93" t="str">
        <f t="shared" si="4"/>
        <v>T5_1</v>
      </c>
      <c r="D70" s="49"/>
      <c r="E70" s="3">
        <f t="shared" si="5"/>
        <v>0</v>
      </c>
      <c r="F70" s="4">
        <f t="shared" si="5"/>
        <v>0</v>
      </c>
      <c r="G70" s="4">
        <f t="shared" si="5"/>
        <v>0</v>
      </c>
      <c r="H70" s="4">
        <f t="shared" si="5"/>
        <v>0</v>
      </c>
      <c r="I70" s="4">
        <f t="shared" si="5"/>
        <v>0</v>
      </c>
      <c r="J70" s="4">
        <f t="shared" si="5"/>
        <v>0</v>
      </c>
      <c r="K70" s="4">
        <f t="shared" si="5"/>
        <v>1</v>
      </c>
      <c r="L70" s="4">
        <f t="shared" si="5"/>
        <v>0</v>
      </c>
      <c r="M70" s="4">
        <f t="shared" si="5"/>
        <v>0</v>
      </c>
      <c r="N70" s="4">
        <f t="shared" si="5"/>
        <v>0</v>
      </c>
      <c r="O70" s="4">
        <f t="shared" si="5"/>
        <v>0</v>
      </c>
      <c r="P70" s="4">
        <f t="shared" si="5"/>
        <v>0</v>
      </c>
      <c r="Q70" s="4">
        <f t="shared" si="5"/>
        <v>0</v>
      </c>
      <c r="R70" s="4">
        <f t="shared" si="5"/>
        <v>0</v>
      </c>
      <c r="S70" s="4">
        <f t="shared" si="5"/>
        <v>0</v>
      </c>
      <c r="T70" s="17">
        <f t="shared" si="5"/>
        <v>0</v>
      </c>
    </row>
    <row r="71" spans="3:20" hidden="1" x14ac:dyDescent="0.25">
      <c r="C71" s="93" t="str">
        <f t="shared" si="4"/>
        <v>T5_2</v>
      </c>
      <c r="D71" s="49"/>
      <c r="E71" s="3">
        <f t="shared" si="5"/>
        <v>0</v>
      </c>
      <c r="F71" s="4">
        <f t="shared" si="5"/>
        <v>0</v>
      </c>
      <c r="G71" s="4">
        <f t="shared" si="5"/>
        <v>0</v>
      </c>
      <c r="H71" s="4">
        <f t="shared" si="5"/>
        <v>0</v>
      </c>
      <c r="I71" s="4">
        <f t="shared" si="5"/>
        <v>0</v>
      </c>
      <c r="J71" s="4">
        <f t="shared" si="5"/>
        <v>0</v>
      </c>
      <c r="K71" s="4">
        <f t="shared" si="5"/>
        <v>0</v>
      </c>
      <c r="L71" s="4">
        <f t="shared" si="5"/>
        <v>0</v>
      </c>
      <c r="M71" s="4">
        <f t="shared" si="5"/>
        <v>0</v>
      </c>
      <c r="N71" s="4">
        <f t="shared" si="5"/>
        <v>1</v>
      </c>
      <c r="O71" s="4">
        <f t="shared" si="5"/>
        <v>0</v>
      </c>
      <c r="P71" s="4">
        <f t="shared" si="5"/>
        <v>0</v>
      </c>
      <c r="Q71" s="4">
        <f t="shared" si="5"/>
        <v>0</v>
      </c>
      <c r="R71" s="4">
        <f t="shared" si="5"/>
        <v>0</v>
      </c>
      <c r="S71" s="4">
        <f t="shared" si="5"/>
        <v>0</v>
      </c>
      <c r="T71" s="17">
        <f t="shared" si="5"/>
        <v>0</v>
      </c>
    </row>
    <row r="72" spans="3:20" hidden="1" x14ac:dyDescent="0.25">
      <c r="C72" s="93" t="str">
        <f t="shared" si="4"/>
        <v>T5_3</v>
      </c>
      <c r="D72" s="49"/>
      <c r="E72" s="3">
        <f t="shared" si="5"/>
        <v>0</v>
      </c>
      <c r="F72" s="4">
        <f t="shared" si="5"/>
        <v>1</v>
      </c>
      <c r="G72" s="4">
        <f t="shared" si="5"/>
        <v>0</v>
      </c>
      <c r="H72" s="4">
        <f t="shared" si="5"/>
        <v>0</v>
      </c>
      <c r="I72" s="4">
        <f t="shared" si="5"/>
        <v>0</v>
      </c>
      <c r="J72" s="4">
        <f t="shared" si="5"/>
        <v>0</v>
      </c>
      <c r="K72" s="4">
        <f t="shared" si="5"/>
        <v>0</v>
      </c>
      <c r="L72" s="4">
        <f t="shared" si="5"/>
        <v>0</v>
      </c>
      <c r="M72" s="4">
        <f t="shared" si="5"/>
        <v>0</v>
      </c>
      <c r="N72" s="4">
        <f t="shared" si="5"/>
        <v>0</v>
      </c>
      <c r="O72" s="4">
        <f t="shared" si="5"/>
        <v>0</v>
      </c>
      <c r="P72" s="4">
        <f t="shared" si="5"/>
        <v>0</v>
      </c>
      <c r="Q72" s="4">
        <f t="shared" si="5"/>
        <v>0</v>
      </c>
      <c r="R72" s="4">
        <f t="shared" si="5"/>
        <v>0</v>
      </c>
      <c r="S72" s="4">
        <f t="shared" si="5"/>
        <v>0</v>
      </c>
      <c r="T72" s="17">
        <f t="shared" si="5"/>
        <v>0</v>
      </c>
    </row>
    <row r="73" spans="3:20" hidden="1" x14ac:dyDescent="0.25">
      <c r="C73" s="93" t="str">
        <f t="shared" si="4"/>
        <v>T6_1</v>
      </c>
      <c r="D73" s="49"/>
      <c r="E73" s="3">
        <f t="shared" si="5"/>
        <v>0</v>
      </c>
      <c r="F73" s="4">
        <f t="shared" si="5"/>
        <v>0</v>
      </c>
      <c r="G73" s="4">
        <f t="shared" si="5"/>
        <v>0</v>
      </c>
      <c r="H73" s="4">
        <f t="shared" si="5"/>
        <v>0</v>
      </c>
      <c r="I73" s="4">
        <f t="shared" si="5"/>
        <v>0</v>
      </c>
      <c r="J73" s="4">
        <f t="shared" si="5"/>
        <v>0</v>
      </c>
      <c r="K73" s="4">
        <f t="shared" si="5"/>
        <v>1</v>
      </c>
      <c r="L73" s="4">
        <f t="shared" si="5"/>
        <v>0</v>
      </c>
      <c r="M73" s="4">
        <f t="shared" si="5"/>
        <v>0</v>
      </c>
      <c r="N73" s="4">
        <f t="shared" si="5"/>
        <v>0</v>
      </c>
      <c r="O73" s="4">
        <f t="shared" si="5"/>
        <v>0</v>
      </c>
      <c r="P73" s="4">
        <f t="shared" si="5"/>
        <v>0</v>
      </c>
      <c r="Q73" s="4">
        <f t="shared" si="5"/>
        <v>0</v>
      </c>
      <c r="R73" s="4">
        <f t="shared" si="5"/>
        <v>0</v>
      </c>
      <c r="S73" s="4">
        <f t="shared" si="5"/>
        <v>0</v>
      </c>
      <c r="T73" s="17">
        <f t="shared" ref="T73" si="6">IF(T17="",0,T17)</f>
        <v>0</v>
      </c>
    </row>
    <row r="74" spans="3:20" hidden="1" x14ac:dyDescent="0.25">
      <c r="C74" s="93" t="str">
        <f t="shared" si="4"/>
        <v>T6_2</v>
      </c>
      <c r="D74" s="49"/>
      <c r="E74" s="3">
        <f t="shared" ref="E74:T89" si="7">IF(E18="",0,E18)</f>
        <v>0</v>
      </c>
      <c r="F74" s="4">
        <f t="shared" si="7"/>
        <v>0</v>
      </c>
      <c r="G74" s="4">
        <f t="shared" si="7"/>
        <v>0</v>
      </c>
      <c r="H74" s="4">
        <f t="shared" si="7"/>
        <v>0</v>
      </c>
      <c r="I74" s="4">
        <f t="shared" si="7"/>
        <v>0</v>
      </c>
      <c r="J74" s="4">
        <f t="shared" si="7"/>
        <v>0</v>
      </c>
      <c r="K74" s="4">
        <f t="shared" si="7"/>
        <v>0</v>
      </c>
      <c r="L74" s="4">
        <f t="shared" si="7"/>
        <v>1</v>
      </c>
      <c r="M74" s="4">
        <f t="shared" si="7"/>
        <v>0</v>
      </c>
      <c r="N74" s="4">
        <f t="shared" si="7"/>
        <v>0</v>
      </c>
      <c r="O74" s="4">
        <f t="shared" si="7"/>
        <v>0</v>
      </c>
      <c r="P74" s="4">
        <f t="shared" si="7"/>
        <v>0</v>
      </c>
      <c r="Q74" s="4">
        <f t="shared" si="7"/>
        <v>0</v>
      </c>
      <c r="R74" s="4">
        <f t="shared" si="7"/>
        <v>0</v>
      </c>
      <c r="S74" s="4">
        <f t="shared" si="7"/>
        <v>0</v>
      </c>
      <c r="T74" s="17">
        <f t="shared" si="7"/>
        <v>0</v>
      </c>
    </row>
    <row r="75" spans="3:20" hidden="1" x14ac:dyDescent="0.25">
      <c r="C75" s="93" t="str">
        <f t="shared" si="4"/>
        <v>T6_3</v>
      </c>
      <c r="D75" s="49"/>
      <c r="E75" s="3">
        <f t="shared" si="7"/>
        <v>0</v>
      </c>
      <c r="F75" s="4">
        <f t="shared" si="7"/>
        <v>0</v>
      </c>
      <c r="G75" s="4">
        <f t="shared" si="7"/>
        <v>0</v>
      </c>
      <c r="H75" s="4">
        <f t="shared" si="7"/>
        <v>0</v>
      </c>
      <c r="I75" s="4">
        <f t="shared" si="7"/>
        <v>0</v>
      </c>
      <c r="J75" s="4">
        <f t="shared" si="7"/>
        <v>0</v>
      </c>
      <c r="K75" s="4">
        <f t="shared" si="7"/>
        <v>0</v>
      </c>
      <c r="L75" s="4">
        <f t="shared" si="7"/>
        <v>0</v>
      </c>
      <c r="M75" s="4">
        <f t="shared" si="7"/>
        <v>0</v>
      </c>
      <c r="N75" s="4">
        <f t="shared" si="7"/>
        <v>1</v>
      </c>
      <c r="O75" s="4">
        <f t="shared" si="7"/>
        <v>0</v>
      </c>
      <c r="P75" s="4">
        <f t="shared" si="7"/>
        <v>0</v>
      </c>
      <c r="Q75" s="4">
        <f t="shared" si="7"/>
        <v>0</v>
      </c>
      <c r="R75" s="4">
        <f t="shared" si="7"/>
        <v>0</v>
      </c>
      <c r="S75" s="4">
        <f t="shared" si="7"/>
        <v>0</v>
      </c>
      <c r="T75" s="17">
        <f t="shared" si="7"/>
        <v>0</v>
      </c>
    </row>
    <row r="76" spans="3:20" hidden="1" x14ac:dyDescent="0.25">
      <c r="C76" s="93" t="str">
        <f t="shared" si="4"/>
        <v>T7_1</v>
      </c>
      <c r="D76" s="49"/>
      <c r="E76" s="3">
        <f t="shared" si="7"/>
        <v>0</v>
      </c>
      <c r="F76" s="4">
        <f t="shared" si="7"/>
        <v>0</v>
      </c>
      <c r="G76" s="4">
        <f t="shared" si="7"/>
        <v>0</v>
      </c>
      <c r="H76" s="4">
        <f t="shared" si="7"/>
        <v>0</v>
      </c>
      <c r="I76" s="4">
        <f t="shared" si="7"/>
        <v>0</v>
      </c>
      <c r="J76" s="4">
        <f t="shared" si="7"/>
        <v>0</v>
      </c>
      <c r="K76" s="4">
        <f t="shared" si="7"/>
        <v>0</v>
      </c>
      <c r="L76" s="4">
        <f t="shared" si="7"/>
        <v>0</v>
      </c>
      <c r="M76" s="4">
        <f t="shared" si="7"/>
        <v>1</v>
      </c>
      <c r="N76" s="4">
        <f t="shared" si="7"/>
        <v>0</v>
      </c>
      <c r="O76" s="4">
        <f t="shared" si="7"/>
        <v>0</v>
      </c>
      <c r="P76" s="4">
        <f t="shared" si="7"/>
        <v>0</v>
      </c>
      <c r="Q76" s="4">
        <f t="shared" si="7"/>
        <v>0</v>
      </c>
      <c r="R76" s="4">
        <f t="shared" si="7"/>
        <v>0</v>
      </c>
      <c r="S76" s="4">
        <f t="shared" si="7"/>
        <v>0</v>
      </c>
      <c r="T76" s="17">
        <f t="shared" si="7"/>
        <v>0</v>
      </c>
    </row>
    <row r="77" spans="3:20" hidden="1" x14ac:dyDescent="0.25">
      <c r="C77" s="93" t="str">
        <f t="shared" si="4"/>
        <v>T7_2</v>
      </c>
      <c r="D77" s="49"/>
      <c r="E77" s="3">
        <f t="shared" si="7"/>
        <v>0</v>
      </c>
      <c r="F77" s="4">
        <f t="shared" si="7"/>
        <v>0</v>
      </c>
      <c r="G77" s="4">
        <f t="shared" si="7"/>
        <v>1</v>
      </c>
      <c r="H77" s="4">
        <f t="shared" si="7"/>
        <v>0</v>
      </c>
      <c r="I77" s="4">
        <f t="shared" si="7"/>
        <v>0</v>
      </c>
      <c r="J77" s="4">
        <f t="shared" si="7"/>
        <v>0</v>
      </c>
      <c r="K77" s="4">
        <f t="shared" si="7"/>
        <v>0</v>
      </c>
      <c r="L77" s="4">
        <f t="shared" si="7"/>
        <v>0</v>
      </c>
      <c r="M77" s="4">
        <f t="shared" si="7"/>
        <v>0</v>
      </c>
      <c r="N77" s="4">
        <f t="shared" si="7"/>
        <v>0</v>
      </c>
      <c r="O77" s="4">
        <f t="shared" si="7"/>
        <v>0</v>
      </c>
      <c r="P77" s="4">
        <f t="shared" si="7"/>
        <v>0</v>
      </c>
      <c r="Q77" s="4">
        <f t="shared" si="7"/>
        <v>0</v>
      </c>
      <c r="R77" s="4">
        <f t="shared" si="7"/>
        <v>0</v>
      </c>
      <c r="S77" s="4">
        <f t="shared" si="7"/>
        <v>0</v>
      </c>
      <c r="T77" s="17">
        <f t="shared" si="7"/>
        <v>0</v>
      </c>
    </row>
    <row r="78" spans="3:20" hidden="1" x14ac:dyDescent="0.25">
      <c r="C78" s="93" t="str">
        <f t="shared" si="4"/>
        <v>T7_3</v>
      </c>
      <c r="D78" s="49"/>
      <c r="E78" s="3">
        <f t="shared" si="7"/>
        <v>0</v>
      </c>
      <c r="F78" s="4">
        <f t="shared" si="7"/>
        <v>0</v>
      </c>
      <c r="G78" s="4">
        <f t="shared" si="7"/>
        <v>0</v>
      </c>
      <c r="H78" s="4">
        <f t="shared" si="7"/>
        <v>0</v>
      </c>
      <c r="I78" s="4">
        <f t="shared" si="7"/>
        <v>0</v>
      </c>
      <c r="J78" s="4">
        <f t="shared" si="7"/>
        <v>0</v>
      </c>
      <c r="K78" s="4">
        <f t="shared" si="7"/>
        <v>0</v>
      </c>
      <c r="L78" s="4">
        <f t="shared" si="7"/>
        <v>0</v>
      </c>
      <c r="M78" s="4">
        <f t="shared" si="7"/>
        <v>0</v>
      </c>
      <c r="N78" s="4">
        <f t="shared" si="7"/>
        <v>0</v>
      </c>
      <c r="O78" s="4">
        <f t="shared" si="7"/>
        <v>1</v>
      </c>
      <c r="P78" s="4">
        <f t="shared" si="7"/>
        <v>0</v>
      </c>
      <c r="Q78" s="4">
        <f t="shared" si="7"/>
        <v>0</v>
      </c>
      <c r="R78" s="4">
        <f t="shared" si="7"/>
        <v>0</v>
      </c>
      <c r="S78" s="4">
        <f t="shared" si="7"/>
        <v>0</v>
      </c>
      <c r="T78" s="17">
        <f t="shared" si="7"/>
        <v>0</v>
      </c>
    </row>
    <row r="79" spans="3:20" hidden="1" x14ac:dyDescent="0.25">
      <c r="C79" s="93" t="str">
        <f t="shared" si="4"/>
        <v>T8_1</v>
      </c>
      <c r="D79" s="49"/>
      <c r="E79" s="3">
        <f t="shared" si="7"/>
        <v>0</v>
      </c>
      <c r="F79" s="4">
        <f t="shared" si="7"/>
        <v>0</v>
      </c>
      <c r="G79" s="4">
        <f t="shared" si="7"/>
        <v>0</v>
      </c>
      <c r="H79" s="4">
        <f t="shared" si="7"/>
        <v>0</v>
      </c>
      <c r="I79" s="4">
        <f t="shared" si="7"/>
        <v>0</v>
      </c>
      <c r="J79" s="4">
        <f t="shared" si="7"/>
        <v>0</v>
      </c>
      <c r="K79" s="4">
        <f t="shared" si="7"/>
        <v>0</v>
      </c>
      <c r="L79" s="4">
        <f t="shared" si="7"/>
        <v>0</v>
      </c>
      <c r="M79" s="4">
        <f t="shared" si="7"/>
        <v>1</v>
      </c>
      <c r="N79" s="4">
        <f t="shared" si="7"/>
        <v>0</v>
      </c>
      <c r="O79" s="4">
        <f t="shared" si="7"/>
        <v>0</v>
      </c>
      <c r="P79" s="4">
        <f t="shared" si="7"/>
        <v>0</v>
      </c>
      <c r="Q79" s="4">
        <f t="shared" si="7"/>
        <v>0</v>
      </c>
      <c r="R79" s="4">
        <f t="shared" si="7"/>
        <v>0</v>
      </c>
      <c r="S79" s="4">
        <f t="shared" si="7"/>
        <v>0</v>
      </c>
      <c r="T79" s="17">
        <f t="shared" si="7"/>
        <v>0</v>
      </c>
    </row>
    <row r="80" spans="3:20" hidden="1" x14ac:dyDescent="0.25">
      <c r="C80" s="93" t="str">
        <f t="shared" si="4"/>
        <v>T8_2</v>
      </c>
      <c r="D80" s="49"/>
      <c r="E80" s="3">
        <f t="shared" si="7"/>
        <v>1</v>
      </c>
      <c r="F80" s="4">
        <f t="shared" si="7"/>
        <v>0</v>
      </c>
      <c r="G80" s="4">
        <f t="shared" si="7"/>
        <v>0</v>
      </c>
      <c r="H80" s="4">
        <f t="shared" si="7"/>
        <v>0</v>
      </c>
      <c r="I80" s="4">
        <f t="shared" si="7"/>
        <v>0</v>
      </c>
      <c r="J80" s="4">
        <f t="shared" si="7"/>
        <v>0</v>
      </c>
      <c r="K80" s="4">
        <f t="shared" si="7"/>
        <v>0</v>
      </c>
      <c r="L80" s="4">
        <f t="shared" si="7"/>
        <v>0</v>
      </c>
      <c r="M80" s="4">
        <f t="shared" si="7"/>
        <v>0</v>
      </c>
      <c r="N80" s="4">
        <f t="shared" si="7"/>
        <v>0</v>
      </c>
      <c r="O80" s="4">
        <f t="shared" si="7"/>
        <v>0</v>
      </c>
      <c r="P80" s="4">
        <f t="shared" si="7"/>
        <v>0</v>
      </c>
      <c r="Q80" s="4">
        <f t="shared" si="7"/>
        <v>0</v>
      </c>
      <c r="R80" s="4">
        <f t="shared" si="7"/>
        <v>0</v>
      </c>
      <c r="S80" s="4">
        <f t="shared" si="7"/>
        <v>0</v>
      </c>
      <c r="T80" s="17">
        <f t="shared" si="7"/>
        <v>0</v>
      </c>
    </row>
    <row r="81" spans="3:20" hidden="1" x14ac:dyDescent="0.25">
      <c r="C81" s="93" t="str">
        <f t="shared" si="4"/>
        <v>T8_3</v>
      </c>
      <c r="D81" s="49"/>
      <c r="E81" s="3">
        <f t="shared" si="7"/>
        <v>0</v>
      </c>
      <c r="F81" s="4">
        <f t="shared" si="7"/>
        <v>0</v>
      </c>
      <c r="G81" s="4">
        <f t="shared" si="7"/>
        <v>1</v>
      </c>
      <c r="H81" s="4">
        <f t="shared" si="7"/>
        <v>0</v>
      </c>
      <c r="I81" s="4">
        <f t="shared" si="7"/>
        <v>0</v>
      </c>
      <c r="J81" s="4">
        <f t="shared" si="7"/>
        <v>0</v>
      </c>
      <c r="K81" s="4">
        <f t="shared" si="7"/>
        <v>0</v>
      </c>
      <c r="L81" s="4">
        <f t="shared" si="7"/>
        <v>0</v>
      </c>
      <c r="M81" s="4">
        <f t="shared" si="7"/>
        <v>0</v>
      </c>
      <c r="N81" s="4">
        <f t="shared" si="7"/>
        <v>0</v>
      </c>
      <c r="O81" s="4">
        <f t="shared" si="7"/>
        <v>0</v>
      </c>
      <c r="P81" s="4">
        <f t="shared" si="7"/>
        <v>0</v>
      </c>
      <c r="Q81" s="4">
        <f t="shared" si="7"/>
        <v>0</v>
      </c>
      <c r="R81" s="4">
        <f t="shared" si="7"/>
        <v>0</v>
      </c>
      <c r="S81" s="4">
        <f t="shared" si="7"/>
        <v>0</v>
      </c>
      <c r="T81" s="17">
        <f t="shared" si="7"/>
        <v>0</v>
      </c>
    </row>
    <row r="82" spans="3:20" hidden="1" x14ac:dyDescent="0.25">
      <c r="C82" s="93" t="str">
        <f t="shared" si="4"/>
        <v>T9_1</v>
      </c>
      <c r="D82" s="49"/>
      <c r="E82" s="3">
        <f t="shared" si="7"/>
        <v>1</v>
      </c>
      <c r="F82" s="4">
        <f t="shared" si="7"/>
        <v>0</v>
      </c>
      <c r="G82" s="4">
        <f t="shared" si="7"/>
        <v>0</v>
      </c>
      <c r="H82" s="4">
        <f t="shared" si="7"/>
        <v>0</v>
      </c>
      <c r="I82" s="4">
        <f t="shared" si="7"/>
        <v>0</v>
      </c>
      <c r="J82" s="4">
        <f t="shared" si="7"/>
        <v>0</v>
      </c>
      <c r="K82" s="4">
        <f t="shared" si="7"/>
        <v>0</v>
      </c>
      <c r="L82" s="4">
        <f t="shared" si="7"/>
        <v>0</v>
      </c>
      <c r="M82" s="4">
        <f t="shared" si="7"/>
        <v>0</v>
      </c>
      <c r="N82" s="4">
        <f t="shared" si="7"/>
        <v>0</v>
      </c>
      <c r="O82" s="4">
        <f t="shared" si="7"/>
        <v>0</v>
      </c>
      <c r="P82" s="4">
        <f t="shared" si="7"/>
        <v>0</v>
      </c>
      <c r="Q82" s="4">
        <f t="shared" si="7"/>
        <v>0</v>
      </c>
      <c r="R82" s="4">
        <f t="shared" si="7"/>
        <v>0</v>
      </c>
      <c r="S82" s="4">
        <f t="shared" si="7"/>
        <v>0</v>
      </c>
      <c r="T82" s="17">
        <f t="shared" si="7"/>
        <v>0</v>
      </c>
    </row>
    <row r="83" spans="3:20" hidden="1" x14ac:dyDescent="0.25">
      <c r="C83" s="93" t="str">
        <f t="shared" si="4"/>
        <v>T9_2</v>
      </c>
      <c r="D83" s="49"/>
      <c r="E83" s="3">
        <f t="shared" si="7"/>
        <v>0</v>
      </c>
      <c r="F83" s="4">
        <f t="shared" si="7"/>
        <v>0</v>
      </c>
      <c r="G83" s="4">
        <f t="shared" si="7"/>
        <v>0</v>
      </c>
      <c r="H83" s="4">
        <f t="shared" si="7"/>
        <v>1</v>
      </c>
      <c r="I83" s="4">
        <f t="shared" si="7"/>
        <v>0</v>
      </c>
      <c r="J83" s="4">
        <f t="shared" si="7"/>
        <v>0</v>
      </c>
      <c r="K83" s="4">
        <f t="shared" si="7"/>
        <v>0</v>
      </c>
      <c r="L83" s="4">
        <f t="shared" si="7"/>
        <v>0</v>
      </c>
      <c r="M83" s="4">
        <f t="shared" si="7"/>
        <v>0</v>
      </c>
      <c r="N83" s="4">
        <f t="shared" si="7"/>
        <v>0</v>
      </c>
      <c r="O83" s="4">
        <f t="shared" si="7"/>
        <v>0</v>
      </c>
      <c r="P83" s="4">
        <f t="shared" si="7"/>
        <v>0</v>
      </c>
      <c r="Q83" s="4">
        <f t="shared" si="7"/>
        <v>0</v>
      </c>
      <c r="R83" s="4">
        <f t="shared" si="7"/>
        <v>0</v>
      </c>
      <c r="S83" s="4">
        <f t="shared" si="7"/>
        <v>0</v>
      </c>
      <c r="T83" s="17">
        <f t="shared" si="7"/>
        <v>0</v>
      </c>
    </row>
    <row r="84" spans="3:20" hidden="1" x14ac:dyDescent="0.25">
      <c r="C84" s="93" t="str">
        <f t="shared" si="4"/>
        <v>T9_3</v>
      </c>
      <c r="D84" s="49"/>
      <c r="E84" s="3">
        <f t="shared" si="7"/>
        <v>0</v>
      </c>
      <c r="F84" s="4">
        <f t="shared" si="7"/>
        <v>0</v>
      </c>
      <c r="G84" s="4">
        <f t="shared" si="7"/>
        <v>1</v>
      </c>
      <c r="H84" s="4">
        <f t="shared" si="7"/>
        <v>0</v>
      </c>
      <c r="I84" s="4">
        <f t="shared" si="7"/>
        <v>0</v>
      </c>
      <c r="J84" s="4">
        <f t="shared" si="7"/>
        <v>0</v>
      </c>
      <c r="K84" s="4">
        <f t="shared" si="7"/>
        <v>0</v>
      </c>
      <c r="L84" s="4">
        <f t="shared" si="7"/>
        <v>0</v>
      </c>
      <c r="M84" s="4">
        <f t="shared" si="7"/>
        <v>0</v>
      </c>
      <c r="N84" s="4">
        <f t="shared" si="7"/>
        <v>0</v>
      </c>
      <c r="O84" s="4">
        <f t="shared" si="7"/>
        <v>0</v>
      </c>
      <c r="P84" s="4">
        <f t="shared" si="7"/>
        <v>0</v>
      </c>
      <c r="Q84" s="4">
        <f t="shared" si="7"/>
        <v>0</v>
      </c>
      <c r="R84" s="4">
        <f t="shared" si="7"/>
        <v>0</v>
      </c>
      <c r="S84" s="4">
        <f t="shared" si="7"/>
        <v>0</v>
      </c>
      <c r="T84" s="17">
        <f t="shared" si="7"/>
        <v>0</v>
      </c>
    </row>
    <row r="85" spans="3:20" hidden="1" x14ac:dyDescent="0.25">
      <c r="C85" s="93" t="str">
        <f t="shared" si="4"/>
        <v>T10_1</v>
      </c>
      <c r="D85" s="49"/>
      <c r="E85" s="3">
        <f t="shared" si="7"/>
        <v>1</v>
      </c>
      <c r="F85" s="4">
        <f t="shared" si="7"/>
        <v>0</v>
      </c>
      <c r="G85" s="4">
        <f t="shared" si="7"/>
        <v>0</v>
      </c>
      <c r="H85" s="4">
        <f t="shared" si="7"/>
        <v>0</v>
      </c>
      <c r="I85" s="4">
        <f t="shared" si="7"/>
        <v>0</v>
      </c>
      <c r="J85" s="4">
        <f t="shared" si="7"/>
        <v>0</v>
      </c>
      <c r="K85" s="4">
        <f t="shared" si="7"/>
        <v>0</v>
      </c>
      <c r="L85" s="4">
        <f t="shared" si="7"/>
        <v>0</v>
      </c>
      <c r="M85" s="4">
        <f t="shared" si="7"/>
        <v>0</v>
      </c>
      <c r="N85" s="4">
        <f t="shared" si="7"/>
        <v>0</v>
      </c>
      <c r="O85" s="4">
        <f t="shared" si="7"/>
        <v>0</v>
      </c>
      <c r="P85" s="4">
        <f t="shared" si="7"/>
        <v>0</v>
      </c>
      <c r="Q85" s="4">
        <f t="shared" si="7"/>
        <v>0</v>
      </c>
      <c r="R85" s="4">
        <f t="shared" si="7"/>
        <v>0</v>
      </c>
      <c r="S85" s="4">
        <f t="shared" si="7"/>
        <v>0</v>
      </c>
      <c r="T85" s="17">
        <f t="shared" si="7"/>
        <v>0</v>
      </c>
    </row>
    <row r="86" spans="3:20" hidden="1" x14ac:dyDescent="0.25">
      <c r="C86" s="93" t="str">
        <f t="shared" si="4"/>
        <v>T10_2</v>
      </c>
      <c r="D86" s="49"/>
      <c r="E86" s="3">
        <f t="shared" si="7"/>
        <v>0</v>
      </c>
      <c r="F86" s="4">
        <f t="shared" si="7"/>
        <v>1</v>
      </c>
      <c r="G86" s="4">
        <f t="shared" si="7"/>
        <v>0</v>
      </c>
      <c r="H86" s="4">
        <f t="shared" si="7"/>
        <v>0</v>
      </c>
      <c r="I86" s="4">
        <f t="shared" si="7"/>
        <v>0</v>
      </c>
      <c r="J86" s="4">
        <f t="shared" si="7"/>
        <v>0</v>
      </c>
      <c r="K86" s="4">
        <f t="shared" si="7"/>
        <v>0</v>
      </c>
      <c r="L86" s="4">
        <f t="shared" si="7"/>
        <v>0</v>
      </c>
      <c r="M86" s="4">
        <f t="shared" si="7"/>
        <v>0</v>
      </c>
      <c r="N86" s="4">
        <f t="shared" si="7"/>
        <v>0</v>
      </c>
      <c r="O86" s="4">
        <f t="shared" si="7"/>
        <v>0</v>
      </c>
      <c r="P86" s="4">
        <f t="shared" si="7"/>
        <v>0</v>
      </c>
      <c r="Q86" s="4">
        <f t="shared" si="7"/>
        <v>0</v>
      </c>
      <c r="R86" s="4">
        <f t="shared" si="7"/>
        <v>0</v>
      </c>
      <c r="S86" s="4">
        <f t="shared" si="7"/>
        <v>0</v>
      </c>
      <c r="T86" s="17">
        <f t="shared" si="7"/>
        <v>0</v>
      </c>
    </row>
    <row r="87" spans="3:20" hidden="1" x14ac:dyDescent="0.25">
      <c r="C87" s="93" t="str">
        <f t="shared" si="4"/>
        <v>T10_3</v>
      </c>
      <c r="D87" s="49"/>
      <c r="E87" s="3">
        <f t="shared" si="7"/>
        <v>0</v>
      </c>
      <c r="F87" s="4">
        <f t="shared" si="7"/>
        <v>0</v>
      </c>
      <c r="G87" s="4">
        <f t="shared" si="7"/>
        <v>0</v>
      </c>
      <c r="H87" s="4">
        <f t="shared" si="7"/>
        <v>1</v>
      </c>
      <c r="I87" s="4">
        <f t="shared" si="7"/>
        <v>0</v>
      </c>
      <c r="J87" s="4">
        <f t="shared" si="7"/>
        <v>0</v>
      </c>
      <c r="K87" s="4">
        <f t="shared" si="7"/>
        <v>0</v>
      </c>
      <c r="L87" s="4">
        <f t="shared" si="7"/>
        <v>0</v>
      </c>
      <c r="M87" s="4">
        <f t="shared" si="7"/>
        <v>0</v>
      </c>
      <c r="N87" s="4">
        <f t="shared" si="7"/>
        <v>0</v>
      </c>
      <c r="O87" s="4">
        <f t="shared" si="7"/>
        <v>0</v>
      </c>
      <c r="P87" s="4">
        <f t="shared" si="7"/>
        <v>0</v>
      </c>
      <c r="Q87" s="4">
        <f t="shared" si="7"/>
        <v>0</v>
      </c>
      <c r="R87" s="4">
        <f t="shared" si="7"/>
        <v>0</v>
      </c>
      <c r="S87" s="4">
        <f t="shared" si="7"/>
        <v>0</v>
      </c>
      <c r="T87" s="17">
        <f t="shared" si="7"/>
        <v>0</v>
      </c>
    </row>
    <row r="88" spans="3:20" hidden="1" x14ac:dyDescent="0.25">
      <c r="C88" s="93" t="str">
        <f t="shared" si="4"/>
        <v>T11_1</v>
      </c>
      <c r="D88" s="49"/>
      <c r="E88" s="3">
        <f t="shared" si="7"/>
        <v>0</v>
      </c>
      <c r="F88" s="4">
        <f t="shared" si="7"/>
        <v>1</v>
      </c>
      <c r="G88" s="4">
        <f t="shared" si="7"/>
        <v>0</v>
      </c>
      <c r="H88" s="4">
        <f t="shared" si="7"/>
        <v>0</v>
      </c>
      <c r="I88" s="4">
        <f t="shared" si="7"/>
        <v>0</v>
      </c>
      <c r="J88" s="4">
        <f t="shared" si="7"/>
        <v>0</v>
      </c>
      <c r="K88" s="4">
        <f t="shared" si="7"/>
        <v>0</v>
      </c>
      <c r="L88" s="4">
        <f t="shared" si="7"/>
        <v>0</v>
      </c>
      <c r="M88" s="4">
        <f t="shared" si="7"/>
        <v>0</v>
      </c>
      <c r="N88" s="4">
        <f t="shared" si="7"/>
        <v>0</v>
      </c>
      <c r="O88" s="4">
        <f t="shared" si="7"/>
        <v>0</v>
      </c>
      <c r="P88" s="4">
        <f t="shared" si="7"/>
        <v>0</v>
      </c>
      <c r="Q88" s="4">
        <f t="shared" si="7"/>
        <v>0</v>
      </c>
      <c r="R88" s="4">
        <f t="shared" si="7"/>
        <v>0</v>
      </c>
      <c r="S88" s="4">
        <f t="shared" si="7"/>
        <v>0</v>
      </c>
      <c r="T88" s="17">
        <f t="shared" si="7"/>
        <v>0</v>
      </c>
    </row>
    <row r="89" spans="3:20" hidden="1" x14ac:dyDescent="0.25">
      <c r="C89" s="93" t="str">
        <f t="shared" si="4"/>
        <v>T11_2</v>
      </c>
      <c r="D89" s="49"/>
      <c r="E89" s="3">
        <f t="shared" si="7"/>
        <v>0</v>
      </c>
      <c r="F89" s="4">
        <f t="shared" si="7"/>
        <v>0</v>
      </c>
      <c r="G89" s="4">
        <f t="shared" si="7"/>
        <v>0</v>
      </c>
      <c r="H89" s="4">
        <f t="shared" si="7"/>
        <v>0</v>
      </c>
      <c r="I89" s="4">
        <f t="shared" si="7"/>
        <v>0</v>
      </c>
      <c r="J89" s="4">
        <f t="shared" si="7"/>
        <v>0</v>
      </c>
      <c r="K89" s="4">
        <f t="shared" si="7"/>
        <v>0</v>
      </c>
      <c r="L89" s="4">
        <f t="shared" si="7"/>
        <v>0</v>
      </c>
      <c r="M89" s="4">
        <f t="shared" si="7"/>
        <v>0</v>
      </c>
      <c r="N89" s="4">
        <f t="shared" si="7"/>
        <v>0</v>
      </c>
      <c r="O89" s="4">
        <f t="shared" si="7"/>
        <v>0</v>
      </c>
      <c r="P89" s="4">
        <f t="shared" si="7"/>
        <v>1</v>
      </c>
      <c r="Q89" s="4">
        <f t="shared" si="7"/>
        <v>0</v>
      </c>
      <c r="R89" s="4">
        <f t="shared" si="7"/>
        <v>0</v>
      </c>
      <c r="S89" s="4">
        <f t="shared" si="7"/>
        <v>0</v>
      </c>
      <c r="T89" s="17">
        <f t="shared" ref="T89" si="8">IF(T33="",0,T33)</f>
        <v>0</v>
      </c>
    </row>
    <row r="90" spans="3:20" hidden="1" x14ac:dyDescent="0.25">
      <c r="C90" s="93" t="str">
        <f t="shared" si="4"/>
        <v>T11_3</v>
      </c>
      <c r="D90" s="49"/>
      <c r="E90" s="3">
        <f t="shared" ref="E90:T105" si="9">IF(E34="",0,E34)</f>
        <v>0</v>
      </c>
      <c r="F90" s="4">
        <f t="shared" si="9"/>
        <v>0</v>
      </c>
      <c r="G90" s="4">
        <f t="shared" si="9"/>
        <v>0</v>
      </c>
      <c r="H90" s="4">
        <f t="shared" si="9"/>
        <v>1</v>
      </c>
      <c r="I90" s="4">
        <f t="shared" si="9"/>
        <v>0</v>
      </c>
      <c r="J90" s="4">
        <f t="shared" si="9"/>
        <v>0</v>
      </c>
      <c r="K90" s="4">
        <f t="shared" si="9"/>
        <v>0</v>
      </c>
      <c r="L90" s="4">
        <f t="shared" si="9"/>
        <v>0</v>
      </c>
      <c r="M90" s="4">
        <f t="shared" si="9"/>
        <v>0</v>
      </c>
      <c r="N90" s="4">
        <f t="shared" si="9"/>
        <v>0</v>
      </c>
      <c r="O90" s="4">
        <f t="shared" si="9"/>
        <v>0</v>
      </c>
      <c r="P90" s="4">
        <f t="shared" si="9"/>
        <v>0</v>
      </c>
      <c r="Q90" s="4">
        <f t="shared" si="9"/>
        <v>0</v>
      </c>
      <c r="R90" s="4">
        <f t="shared" si="9"/>
        <v>0</v>
      </c>
      <c r="S90" s="4">
        <f t="shared" si="9"/>
        <v>0</v>
      </c>
      <c r="T90" s="17">
        <f t="shared" si="9"/>
        <v>0</v>
      </c>
    </row>
    <row r="91" spans="3:20" hidden="1" x14ac:dyDescent="0.25">
      <c r="C91" s="93" t="str">
        <f t="shared" si="4"/>
        <v>T12_1</v>
      </c>
      <c r="D91" s="49"/>
      <c r="E91" s="3">
        <f t="shared" si="9"/>
        <v>0</v>
      </c>
      <c r="F91" s="4">
        <f t="shared" si="9"/>
        <v>1</v>
      </c>
      <c r="G91" s="4">
        <f t="shared" si="9"/>
        <v>0</v>
      </c>
      <c r="H91" s="4">
        <f t="shared" si="9"/>
        <v>0</v>
      </c>
      <c r="I91" s="4">
        <f t="shared" si="9"/>
        <v>0</v>
      </c>
      <c r="J91" s="4">
        <f t="shared" si="9"/>
        <v>0</v>
      </c>
      <c r="K91" s="4">
        <f t="shared" si="9"/>
        <v>0</v>
      </c>
      <c r="L91" s="4">
        <f t="shared" si="9"/>
        <v>0</v>
      </c>
      <c r="M91" s="4">
        <f t="shared" si="9"/>
        <v>0</v>
      </c>
      <c r="N91" s="4">
        <f t="shared" si="9"/>
        <v>0</v>
      </c>
      <c r="O91" s="4">
        <f t="shared" si="9"/>
        <v>0</v>
      </c>
      <c r="P91" s="4">
        <f t="shared" si="9"/>
        <v>0</v>
      </c>
      <c r="Q91" s="4">
        <f t="shared" si="9"/>
        <v>0</v>
      </c>
      <c r="R91" s="4">
        <f t="shared" si="9"/>
        <v>0</v>
      </c>
      <c r="S91" s="4">
        <f t="shared" si="9"/>
        <v>0</v>
      </c>
      <c r="T91" s="17">
        <f t="shared" si="9"/>
        <v>0</v>
      </c>
    </row>
    <row r="92" spans="3:20" hidden="1" x14ac:dyDescent="0.25">
      <c r="C92" s="93" t="str">
        <f t="shared" si="4"/>
        <v>T12_2</v>
      </c>
      <c r="D92" s="49"/>
      <c r="E92" s="3">
        <f t="shared" si="9"/>
        <v>0</v>
      </c>
      <c r="F92" s="4">
        <f t="shared" si="9"/>
        <v>0</v>
      </c>
      <c r="G92" s="4">
        <f t="shared" si="9"/>
        <v>0</v>
      </c>
      <c r="H92" s="4">
        <f t="shared" si="9"/>
        <v>0</v>
      </c>
      <c r="I92" s="4">
        <f t="shared" si="9"/>
        <v>0</v>
      </c>
      <c r="J92" s="4">
        <f t="shared" si="9"/>
        <v>0</v>
      </c>
      <c r="K92" s="4">
        <f t="shared" si="9"/>
        <v>0</v>
      </c>
      <c r="L92" s="4">
        <f t="shared" si="9"/>
        <v>0</v>
      </c>
      <c r="M92" s="4">
        <f t="shared" si="9"/>
        <v>0</v>
      </c>
      <c r="N92" s="4">
        <f t="shared" si="9"/>
        <v>1</v>
      </c>
      <c r="O92" s="4">
        <f t="shared" si="9"/>
        <v>0</v>
      </c>
      <c r="P92" s="4">
        <f t="shared" si="9"/>
        <v>0</v>
      </c>
      <c r="Q92" s="4">
        <f t="shared" si="9"/>
        <v>0</v>
      </c>
      <c r="R92" s="4">
        <f t="shared" si="9"/>
        <v>0</v>
      </c>
      <c r="S92" s="4">
        <f t="shared" si="9"/>
        <v>0</v>
      </c>
      <c r="T92" s="17">
        <f t="shared" si="9"/>
        <v>0</v>
      </c>
    </row>
    <row r="93" spans="3:20" hidden="1" x14ac:dyDescent="0.25">
      <c r="C93" s="93" t="str">
        <f t="shared" si="4"/>
        <v>T12_3</v>
      </c>
      <c r="D93" s="49"/>
      <c r="E93" s="3">
        <f t="shared" si="9"/>
        <v>0</v>
      </c>
      <c r="F93" s="4">
        <f t="shared" si="9"/>
        <v>0</v>
      </c>
      <c r="G93" s="4">
        <f t="shared" si="9"/>
        <v>0</v>
      </c>
      <c r="H93" s="4">
        <f t="shared" si="9"/>
        <v>0</v>
      </c>
      <c r="I93" s="4">
        <f t="shared" si="9"/>
        <v>0</v>
      </c>
      <c r="J93" s="4">
        <f t="shared" si="9"/>
        <v>0</v>
      </c>
      <c r="K93" s="4">
        <f t="shared" si="9"/>
        <v>0</v>
      </c>
      <c r="L93" s="4">
        <f t="shared" si="9"/>
        <v>0</v>
      </c>
      <c r="M93" s="4">
        <f t="shared" si="9"/>
        <v>0</v>
      </c>
      <c r="N93" s="4">
        <f t="shared" si="9"/>
        <v>0</v>
      </c>
      <c r="O93" s="4">
        <f t="shared" si="9"/>
        <v>0</v>
      </c>
      <c r="P93" s="4">
        <f t="shared" si="9"/>
        <v>1</v>
      </c>
      <c r="Q93" s="4">
        <f t="shared" si="9"/>
        <v>0</v>
      </c>
      <c r="R93" s="4">
        <f t="shared" si="9"/>
        <v>0</v>
      </c>
      <c r="S93" s="4">
        <f t="shared" si="9"/>
        <v>0</v>
      </c>
      <c r="T93" s="17">
        <f t="shared" si="9"/>
        <v>0</v>
      </c>
    </row>
    <row r="94" spans="3:20" hidden="1" x14ac:dyDescent="0.25">
      <c r="C94" s="93" t="str">
        <f t="shared" si="4"/>
        <v>T13_1</v>
      </c>
      <c r="D94" s="49"/>
      <c r="E94" s="3">
        <f t="shared" si="9"/>
        <v>0</v>
      </c>
      <c r="F94" s="4">
        <f t="shared" si="9"/>
        <v>0</v>
      </c>
      <c r="G94" s="4">
        <f t="shared" si="9"/>
        <v>0</v>
      </c>
      <c r="H94" s="4">
        <f t="shared" si="9"/>
        <v>0</v>
      </c>
      <c r="I94" s="4">
        <f t="shared" si="9"/>
        <v>0</v>
      </c>
      <c r="J94" s="4">
        <f t="shared" si="9"/>
        <v>0</v>
      </c>
      <c r="K94" s="4">
        <f t="shared" si="9"/>
        <v>0</v>
      </c>
      <c r="L94" s="4">
        <f t="shared" si="9"/>
        <v>0</v>
      </c>
      <c r="M94" s="4">
        <f t="shared" si="9"/>
        <v>0</v>
      </c>
      <c r="N94" s="4">
        <f t="shared" si="9"/>
        <v>0</v>
      </c>
      <c r="O94" s="4">
        <f t="shared" si="9"/>
        <v>1</v>
      </c>
      <c r="P94" s="4">
        <f t="shared" si="9"/>
        <v>0</v>
      </c>
      <c r="Q94" s="4">
        <f t="shared" si="9"/>
        <v>0</v>
      </c>
      <c r="R94" s="4">
        <f t="shared" si="9"/>
        <v>0</v>
      </c>
      <c r="S94" s="4">
        <f t="shared" si="9"/>
        <v>0</v>
      </c>
      <c r="T94" s="17">
        <f t="shared" si="9"/>
        <v>0</v>
      </c>
    </row>
    <row r="95" spans="3:20" hidden="1" x14ac:dyDescent="0.25">
      <c r="C95" s="93" t="str">
        <f t="shared" si="4"/>
        <v>T13_2</v>
      </c>
      <c r="D95" s="49"/>
      <c r="E95" s="3">
        <f t="shared" si="9"/>
        <v>0</v>
      </c>
      <c r="F95" s="4">
        <f t="shared" si="9"/>
        <v>0</v>
      </c>
      <c r="G95" s="4">
        <f t="shared" si="9"/>
        <v>0</v>
      </c>
      <c r="H95" s="4">
        <f t="shared" si="9"/>
        <v>0</v>
      </c>
      <c r="I95" s="4">
        <f t="shared" si="9"/>
        <v>0</v>
      </c>
      <c r="J95" s="4">
        <f t="shared" si="9"/>
        <v>0</v>
      </c>
      <c r="K95" s="4">
        <f t="shared" si="9"/>
        <v>0</v>
      </c>
      <c r="L95" s="4">
        <f t="shared" si="9"/>
        <v>0</v>
      </c>
      <c r="M95" s="4">
        <f t="shared" si="9"/>
        <v>0</v>
      </c>
      <c r="N95" s="4">
        <f t="shared" si="9"/>
        <v>0</v>
      </c>
      <c r="O95" s="4">
        <f t="shared" si="9"/>
        <v>0</v>
      </c>
      <c r="P95" s="4">
        <f t="shared" si="9"/>
        <v>0</v>
      </c>
      <c r="Q95" s="4">
        <f t="shared" si="9"/>
        <v>0</v>
      </c>
      <c r="R95" s="4">
        <f t="shared" si="9"/>
        <v>1</v>
      </c>
      <c r="S95" s="4">
        <f t="shared" si="9"/>
        <v>0</v>
      </c>
      <c r="T95" s="17">
        <f t="shared" si="9"/>
        <v>0</v>
      </c>
    </row>
    <row r="96" spans="3:20" hidden="1" x14ac:dyDescent="0.25">
      <c r="C96" s="93" t="str">
        <f t="shared" si="4"/>
        <v>T13_3</v>
      </c>
      <c r="D96" s="49"/>
      <c r="E96" s="3">
        <f t="shared" si="9"/>
        <v>0</v>
      </c>
      <c r="F96" s="4">
        <f t="shared" si="9"/>
        <v>0</v>
      </c>
      <c r="G96" s="4">
        <f t="shared" si="9"/>
        <v>0</v>
      </c>
      <c r="H96" s="4">
        <f t="shared" si="9"/>
        <v>0</v>
      </c>
      <c r="I96" s="4">
        <f t="shared" si="9"/>
        <v>0</v>
      </c>
      <c r="J96" s="4">
        <f t="shared" si="9"/>
        <v>0</v>
      </c>
      <c r="K96" s="4">
        <f t="shared" si="9"/>
        <v>0</v>
      </c>
      <c r="L96" s="4">
        <f t="shared" si="9"/>
        <v>0</v>
      </c>
      <c r="M96" s="4">
        <f t="shared" si="9"/>
        <v>0</v>
      </c>
      <c r="N96" s="4">
        <f t="shared" si="9"/>
        <v>0</v>
      </c>
      <c r="O96" s="4">
        <f t="shared" si="9"/>
        <v>0</v>
      </c>
      <c r="P96" s="4">
        <f t="shared" si="9"/>
        <v>0</v>
      </c>
      <c r="Q96" s="4">
        <f t="shared" si="9"/>
        <v>1</v>
      </c>
      <c r="R96" s="4">
        <f t="shared" si="9"/>
        <v>0</v>
      </c>
      <c r="S96" s="4">
        <f t="shared" si="9"/>
        <v>0</v>
      </c>
      <c r="T96" s="17">
        <f t="shared" si="9"/>
        <v>0</v>
      </c>
    </row>
    <row r="97" spans="3:27" hidden="1" x14ac:dyDescent="0.25">
      <c r="C97" s="93" t="str">
        <f t="shared" si="4"/>
        <v>T14_1</v>
      </c>
      <c r="D97" s="49"/>
      <c r="E97" s="3">
        <f t="shared" si="9"/>
        <v>0</v>
      </c>
      <c r="F97" s="4">
        <f t="shared" si="9"/>
        <v>0</v>
      </c>
      <c r="G97" s="4">
        <f t="shared" si="9"/>
        <v>0</v>
      </c>
      <c r="H97" s="4">
        <f t="shared" si="9"/>
        <v>0</v>
      </c>
      <c r="I97" s="4">
        <f t="shared" si="9"/>
        <v>0</v>
      </c>
      <c r="J97" s="4">
        <f t="shared" si="9"/>
        <v>0</v>
      </c>
      <c r="K97" s="4">
        <f t="shared" si="9"/>
        <v>0</v>
      </c>
      <c r="L97" s="4">
        <f t="shared" si="9"/>
        <v>0</v>
      </c>
      <c r="M97" s="4">
        <f t="shared" si="9"/>
        <v>0</v>
      </c>
      <c r="N97" s="4">
        <f t="shared" si="9"/>
        <v>0</v>
      </c>
      <c r="O97" s="4">
        <f t="shared" si="9"/>
        <v>1</v>
      </c>
      <c r="P97" s="4">
        <f t="shared" si="9"/>
        <v>0</v>
      </c>
      <c r="Q97" s="4">
        <f t="shared" si="9"/>
        <v>0</v>
      </c>
      <c r="R97" s="4">
        <f t="shared" si="9"/>
        <v>0</v>
      </c>
      <c r="S97" s="4">
        <f t="shared" si="9"/>
        <v>0</v>
      </c>
      <c r="T97" s="17">
        <f t="shared" si="9"/>
        <v>0</v>
      </c>
    </row>
    <row r="98" spans="3:27" hidden="1" x14ac:dyDescent="0.25">
      <c r="C98" s="93" t="str">
        <f t="shared" si="4"/>
        <v>T14_2</v>
      </c>
      <c r="D98" s="49"/>
      <c r="E98" s="3">
        <f t="shared" si="9"/>
        <v>0</v>
      </c>
      <c r="F98" s="4">
        <f t="shared" si="9"/>
        <v>0</v>
      </c>
      <c r="G98" s="4">
        <f t="shared" si="9"/>
        <v>1</v>
      </c>
      <c r="H98" s="4">
        <f t="shared" si="9"/>
        <v>0</v>
      </c>
      <c r="I98" s="4">
        <f t="shared" si="9"/>
        <v>0</v>
      </c>
      <c r="J98" s="4">
        <f t="shared" si="9"/>
        <v>0</v>
      </c>
      <c r="K98" s="4">
        <f t="shared" si="9"/>
        <v>0</v>
      </c>
      <c r="L98" s="4">
        <f t="shared" si="9"/>
        <v>0</v>
      </c>
      <c r="M98" s="4">
        <f t="shared" si="9"/>
        <v>0</v>
      </c>
      <c r="N98" s="4">
        <f t="shared" si="9"/>
        <v>0</v>
      </c>
      <c r="O98" s="4">
        <f t="shared" si="9"/>
        <v>0</v>
      </c>
      <c r="P98" s="4">
        <f t="shared" si="9"/>
        <v>0</v>
      </c>
      <c r="Q98" s="4">
        <f t="shared" si="9"/>
        <v>0</v>
      </c>
      <c r="R98" s="4">
        <f t="shared" si="9"/>
        <v>0</v>
      </c>
      <c r="S98" s="4">
        <f t="shared" si="9"/>
        <v>0</v>
      </c>
      <c r="T98" s="17">
        <f t="shared" si="9"/>
        <v>0</v>
      </c>
    </row>
    <row r="99" spans="3:27" hidden="1" x14ac:dyDescent="0.25">
      <c r="C99" s="93" t="str">
        <f t="shared" si="4"/>
        <v>T14_3</v>
      </c>
      <c r="D99" s="49"/>
      <c r="E99" s="3">
        <f t="shared" si="9"/>
        <v>0</v>
      </c>
      <c r="F99" s="4">
        <f t="shared" si="9"/>
        <v>0</v>
      </c>
      <c r="G99" s="4">
        <f t="shared" si="9"/>
        <v>0</v>
      </c>
      <c r="H99" s="4">
        <f t="shared" si="9"/>
        <v>0</v>
      </c>
      <c r="I99" s="4">
        <f t="shared" si="9"/>
        <v>0</v>
      </c>
      <c r="J99" s="4">
        <f t="shared" si="9"/>
        <v>0</v>
      </c>
      <c r="K99" s="4">
        <f t="shared" si="9"/>
        <v>0</v>
      </c>
      <c r="L99" s="4">
        <f t="shared" si="9"/>
        <v>0</v>
      </c>
      <c r="M99" s="4">
        <f t="shared" si="9"/>
        <v>0</v>
      </c>
      <c r="N99" s="4">
        <f t="shared" si="9"/>
        <v>0</v>
      </c>
      <c r="O99" s="4">
        <f t="shared" si="9"/>
        <v>0</v>
      </c>
      <c r="P99" s="4">
        <f t="shared" si="9"/>
        <v>0</v>
      </c>
      <c r="Q99" s="4">
        <f t="shared" si="9"/>
        <v>0</v>
      </c>
      <c r="R99" s="4">
        <f t="shared" si="9"/>
        <v>1</v>
      </c>
      <c r="S99" s="4">
        <f t="shared" si="9"/>
        <v>0</v>
      </c>
      <c r="T99" s="17">
        <f t="shared" si="9"/>
        <v>0</v>
      </c>
    </row>
    <row r="100" spans="3:27" hidden="1" x14ac:dyDescent="0.25">
      <c r="C100" s="93" t="str">
        <f t="shared" si="4"/>
        <v>T15_1</v>
      </c>
      <c r="D100" s="49"/>
      <c r="E100" s="3">
        <f t="shared" si="9"/>
        <v>0</v>
      </c>
      <c r="F100" s="4">
        <f t="shared" si="9"/>
        <v>0</v>
      </c>
      <c r="G100" s="4">
        <f t="shared" si="9"/>
        <v>1</v>
      </c>
      <c r="H100" s="4">
        <f t="shared" si="9"/>
        <v>0</v>
      </c>
      <c r="I100" s="4">
        <f t="shared" si="9"/>
        <v>0</v>
      </c>
      <c r="J100" s="4">
        <f t="shared" si="9"/>
        <v>0</v>
      </c>
      <c r="K100" s="4">
        <f t="shared" si="9"/>
        <v>0</v>
      </c>
      <c r="L100" s="4">
        <f t="shared" si="9"/>
        <v>0</v>
      </c>
      <c r="M100" s="4">
        <f t="shared" si="9"/>
        <v>0</v>
      </c>
      <c r="N100" s="4">
        <f t="shared" si="9"/>
        <v>0</v>
      </c>
      <c r="O100" s="4">
        <f t="shared" si="9"/>
        <v>0</v>
      </c>
      <c r="P100" s="4">
        <f t="shared" si="9"/>
        <v>0</v>
      </c>
      <c r="Q100" s="4">
        <f t="shared" si="9"/>
        <v>0</v>
      </c>
      <c r="R100" s="4">
        <f t="shared" si="9"/>
        <v>0</v>
      </c>
      <c r="S100" s="4">
        <f t="shared" si="9"/>
        <v>0</v>
      </c>
      <c r="T100" s="17">
        <f t="shared" si="9"/>
        <v>0</v>
      </c>
    </row>
    <row r="101" spans="3:27" hidden="1" x14ac:dyDescent="0.25">
      <c r="C101" s="93" t="str">
        <f t="shared" si="4"/>
        <v>T15_2</v>
      </c>
      <c r="D101" s="49"/>
      <c r="E101" s="3">
        <f t="shared" si="9"/>
        <v>0</v>
      </c>
      <c r="F101" s="4">
        <f t="shared" si="9"/>
        <v>0</v>
      </c>
      <c r="G101" s="4">
        <f t="shared" si="9"/>
        <v>0</v>
      </c>
      <c r="H101" s="4">
        <f t="shared" si="9"/>
        <v>0</v>
      </c>
      <c r="I101" s="4">
        <f t="shared" si="9"/>
        <v>0</v>
      </c>
      <c r="J101" s="4">
        <f t="shared" si="9"/>
        <v>0</v>
      </c>
      <c r="K101" s="4">
        <f t="shared" si="9"/>
        <v>0</v>
      </c>
      <c r="L101" s="4">
        <f t="shared" si="9"/>
        <v>0</v>
      </c>
      <c r="M101" s="4">
        <f t="shared" si="9"/>
        <v>0</v>
      </c>
      <c r="N101" s="4">
        <f t="shared" si="9"/>
        <v>0</v>
      </c>
      <c r="O101" s="4">
        <f t="shared" si="9"/>
        <v>0</v>
      </c>
      <c r="P101" s="4">
        <f t="shared" si="9"/>
        <v>0</v>
      </c>
      <c r="Q101" s="4">
        <f t="shared" si="9"/>
        <v>0</v>
      </c>
      <c r="R101" s="4">
        <f t="shared" si="9"/>
        <v>0</v>
      </c>
      <c r="S101" s="4">
        <f t="shared" si="9"/>
        <v>1</v>
      </c>
      <c r="T101" s="17">
        <f t="shared" si="9"/>
        <v>0</v>
      </c>
    </row>
    <row r="102" spans="3:27" hidden="1" x14ac:dyDescent="0.25">
      <c r="C102" s="93" t="str">
        <f t="shared" si="4"/>
        <v>T15_3</v>
      </c>
      <c r="D102" s="49"/>
      <c r="E102" s="3">
        <f t="shared" si="9"/>
        <v>0</v>
      </c>
      <c r="F102" s="4">
        <f t="shared" si="9"/>
        <v>0</v>
      </c>
      <c r="G102" s="4">
        <f t="shared" si="9"/>
        <v>0</v>
      </c>
      <c r="H102" s="4">
        <f t="shared" si="9"/>
        <v>0</v>
      </c>
      <c r="I102" s="4">
        <f t="shared" si="9"/>
        <v>0</v>
      </c>
      <c r="J102" s="4">
        <f t="shared" si="9"/>
        <v>0</v>
      </c>
      <c r="K102" s="4">
        <f t="shared" si="9"/>
        <v>0</v>
      </c>
      <c r="L102" s="4">
        <f t="shared" si="9"/>
        <v>0</v>
      </c>
      <c r="M102" s="4">
        <f t="shared" si="9"/>
        <v>0</v>
      </c>
      <c r="N102" s="4">
        <f t="shared" si="9"/>
        <v>0</v>
      </c>
      <c r="O102" s="4">
        <f t="shared" si="9"/>
        <v>0</v>
      </c>
      <c r="P102" s="4">
        <f t="shared" si="9"/>
        <v>0</v>
      </c>
      <c r="Q102" s="4">
        <f t="shared" si="9"/>
        <v>0</v>
      </c>
      <c r="R102" s="4">
        <f t="shared" si="9"/>
        <v>1</v>
      </c>
      <c r="S102" s="4">
        <f t="shared" si="9"/>
        <v>0</v>
      </c>
      <c r="T102" s="17">
        <f t="shared" si="9"/>
        <v>0</v>
      </c>
    </row>
    <row r="103" spans="3:27" hidden="1" x14ac:dyDescent="0.25">
      <c r="C103" s="93" t="str">
        <f t="shared" si="4"/>
        <v>T16_1</v>
      </c>
      <c r="D103" s="49"/>
      <c r="E103" s="3">
        <f t="shared" si="9"/>
        <v>0</v>
      </c>
      <c r="F103" s="4">
        <f t="shared" si="9"/>
        <v>0</v>
      </c>
      <c r="G103" s="4">
        <f t="shared" si="9"/>
        <v>1</v>
      </c>
      <c r="H103" s="4">
        <f t="shared" si="9"/>
        <v>0</v>
      </c>
      <c r="I103" s="4">
        <f t="shared" si="9"/>
        <v>0</v>
      </c>
      <c r="J103" s="4">
        <f t="shared" si="9"/>
        <v>0</v>
      </c>
      <c r="K103" s="4">
        <f t="shared" si="9"/>
        <v>0</v>
      </c>
      <c r="L103" s="4">
        <f t="shared" si="9"/>
        <v>0</v>
      </c>
      <c r="M103" s="4">
        <f t="shared" si="9"/>
        <v>0</v>
      </c>
      <c r="N103" s="4">
        <f t="shared" si="9"/>
        <v>0</v>
      </c>
      <c r="O103" s="4">
        <f t="shared" si="9"/>
        <v>0</v>
      </c>
      <c r="P103" s="4">
        <f t="shared" si="9"/>
        <v>0</v>
      </c>
      <c r="Q103" s="4">
        <f t="shared" si="9"/>
        <v>0</v>
      </c>
      <c r="R103" s="4">
        <f t="shared" si="9"/>
        <v>0</v>
      </c>
      <c r="S103" s="4">
        <f t="shared" si="9"/>
        <v>0</v>
      </c>
      <c r="T103" s="17">
        <f t="shared" si="9"/>
        <v>0</v>
      </c>
    </row>
    <row r="104" spans="3:27" hidden="1" x14ac:dyDescent="0.25">
      <c r="C104" s="93" t="str">
        <f t="shared" si="4"/>
        <v>T16_2</v>
      </c>
      <c r="D104" s="49"/>
      <c r="E104" s="3">
        <f t="shared" si="9"/>
        <v>0</v>
      </c>
      <c r="F104" s="4">
        <f t="shared" si="9"/>
        <v>0</v>
      </c>
      <c r="G104" s="4">
        <f t="shared" si="9"/>
        <v>0</v>
      </c>
      <c r="H104" s="4">
        <f t="shared" si="9"/>
        <v>1</v>
      </c>
      <c r="I104" s="4">
        <f t="shared" si="9"/>
        <v>0</v>
      </c>
      <c r="J104" s="4">
        <f t="shared" si="9"/>
        <v>0</v>
      </c>
      <c r="K104" s="4">
        <f t="shared" si="9"/>
        <v>0</v>
      </c>
      <c r="L104" s="4">
        <f t="shared" si="9"/>
        <v>0</v>
      </c>
      <c r="M104" s="4">
        <f t="shared" si="9"/>
        <v>0</v>
      </c>
      <c r="N104" s="4">
        <f t="shared" si="9"/>
        <v>0</v>
      </c>
      <c r="O104" s="4">
        <f t="shared" si="9"/>
        <v>0</v>
      </c>
      <c r="P104" s="4">
        <f t="shared" si="9"/>
        <v>0</v>
      </c>
      <c r="Q104" s="4">
        <f t="shared" si="9"/>
        <v>0</v>
      </c>
      <c r="R104" s="4">
        <f t="shared" si="9"/>
        <v>0</v>
      </c>
      <c r="S104" s="4">
        <f t="shared" si="9"/>
        <v>0</v>
      </c>
      <c r="T104" s="17">
        <f t="shared" si="9"/>
        <v>0</v>
      </c>
    </row>
    <row r="105" spans="3:27" hidden="1" x14ac:dyDescent="0.25">
      <c r="C105" s="93" t="str">
        <f t="shared" si="4"/>
        <v>T16_3</v>
      </c>
      <c r="D105" s="49"/>
      <c r="E105" s="3">
        <f t="shared" si="9"/>
        <v>0</v>
      </c>
      <c r="F105" s="4">
        <f t="shared" si="9"/>
        <v>0</v>
      </c>
      <c r="G105" s="4">
        <f t="shared" si="9"/>
        <v>0</v>
      </c>
      <c r="H105" s="4">
        <f t="shared" si="9"/>
        <v>0</v>
      </c>
      <c r="I105" s="4">
        <f t="shared" si="9"/>
        <v>0</v>
      </c>
      <c r="J105" s="4">
        <f t="shared" si="9"/>
        <v>0</v>
      </c>
      <c r="K105" s="4">
        <f t="shared" si="9"/>
        <v>0</v>
      </c>
      <c r="L105" s="4">
        <f t="shared" si="9"/>
        <v>0</v>
      </c>
      <c r="M105" s="4">
        <f t="shared" si="9"/>
        <v>0</v>
      </c>
      <c r="N105" s="4">
        <f t="shared" si="9"/>
        <v>0</v>
      </c>
      <c r="O105" s="4">
        <f t="shared" si="9"/>
        <v>0</v>
      </c>
      <c r="P105" s="4">
        <f t="shared" si="9"/>
        <v>0</v>
      </c>
      <c r="Q105" s="4">
        <f t="shared" si="9"/>
        <v>0</v>
      </c>
      <c r="R105" s="4">
        <f t="shared" si="9"/>
        <v>0</v>
      </c>
      <c r="S105" s="4">
        <f t="shared" si="9"/>
        <v>1</v>
      </c>
      <c r="T105" s="17">
        <f t="shared" ref="T105" si="10">IF(T49="",0,T49)</f>
        <v>0</v>
      </c>
    </row>
    <row r="106" spans="3:27" hidden="1" x14ac:dyDescent="0.25">
      <c r="C106" s="93" t="str">
        <f t="shared" si="4"/>
        <v>T17_1</v>
      </c>
      <c r="D106" s="49"/>
      <c r="E106" s="3">
        <f t="shared" ref="E106:T111" si="11">IF(E50="",0,E50)</f>
        <v>0</v>
      </c>
      <c r="F106" s="4">
        <f t="shared" si="11"/>
        <v>0</v>
      </c>
      <c r="G106" s="4">
        <f t="shared" si="11"/>
        <v>0</v>
      </c>
      <c r="H106" s="4">
        <f t="shared" si="11"/>
        <v>1</v>
      </c>
      <c r="I106" s="4">
        <f t="shared" si="11"/>
        <v>0</v>
      </c>
      <c r="J106" s="4">
        <f t="shared" si="11"/>
        <v>0</v>
      </c>
      <c r="K106" s="4">
        <f t="shared" si="11"/>
        <v>0</v>
      </c>
      <c r="L106" s="4">
        <f t="shared" si="11"/>
        <v>0</v>
      </c>
      <c r="M106" s="4">
        <f t="shared" si="11"/>
        <v>0</v>
      </c>
      <c r="N106" s="4">
        <f t="shared" si="11"/>
        <v>0</v>
      </c>
      <c r="O106" s="4">
        <f t="shared" si="11"/>
        <v>0</v>
      </c>
      <c r="P106" s="4">
        <f t="shared" si="11"/>
        <v>0</v>
      </c>
      <c r="Q106" s="4">
        <f t="shared" si="11"/>
        <v>0</v>
      </c>
      <c r="R106" s="4">
        <f t="shared" si="11"/>
        <v>0</v>
      </c>
      <c r="S106" s="4">
        <f t="shared" si="11"/>
        <v>0</v>
      </c>
      <c r="T106" s="17">
        <f t="shared" si="11"/>
        <v>0</v>
      </c>
    </row>
    <row r="107" spans="3:27" hidden="1" x14ac:dyDescent="0.25">
      <c r="C107" s="93" t="str">
        <f t="shared" si="4"/>
        <v>T17_2</v>
      </c>
      <c r="D107" s="49"/>
      <c r="E107" s="3">
        <f t="shared" si="11"/>
        <v>0</v>
      </c>
      <c r="F107" s="4">
        <f t="shared" si="11"/>
        <v>0</v>
      </c>
      <c r="G107" s="4">
        <f t="shared" si="11"/>
        <v>0</v>
      </c>
      <c r="H107" s="4">
        <f t="shared" si="11"/>
        <v>0</v>
      </c>
      <c r="I107" s="4">
        <f t="shared" si="11"/>
        <v>0</v>
      </c>
      <c r="J107" s="4">
        <f t="shared" si="11"/>
        <v>0</v>
      </c>
      <c r="K107" s="4">
        <f t="shared" si="11"/>
        <v>0</v>
      </c>
      <c r="L107" s="4">
        <f t="shared" si="11"/>
        <v>0</v>
      </c>
      <c r="M107" s="4">
        <f t="shared" si="11"/>
        <v>0</v>
      </c>
      <c r="N107" s="4">
        <f t="shared" si="11"/>
        <v>0</v>
      </c>
      <c r="O107" s="4">
        <f t="shared" si="11"/>
        <v>0</v>
      </c>
      <c r="P107" s="4">
        <f t="shared" si="11"/>
        <v>0</v>
      </c>
      <c r="Q107" s="4">
        <f t="shared" si="11"/>
        <v>0</v>
      </c>
      <c r="R107" s="4">
        <f t="shared" si="11"/>
        <v>0</v>
      </c>
      <c r="S107" s="4">
        <f t="shared" si="11"/>
        <v>0</v>
      </c>
      <c r="T107" s="17">
        <f t="shared" si="11"/>
        <v>1</v>
      </c>
    </row>
    <row r="108" spans="3:27" hidden="1" x14ac:dyDescent="0.25">
      <c r="C108" s="93" t="str">
        <f t="shared" si="4"/>
        <v>T17_3</v>
      </c>
      <c r="D108" s="49"/>
      <c r="E108" s="3">
        <f t="shared" si="11"/>
        <v>0</v>
      </c>
      <c r="F108" s="4">
        <f t="shared" si="11"/>
        <v>0</v>
      </c>
      <c r="G108" s="4">
        <f t="shared" si="11"/>
        <v>0</v>
      </c>
      <c r="H108" s="4">
        <f t="shared" si="11"/>
        <v>0</v>
      </c>
      <c r="I108" s="4">
        <f t="shared" si="11"/>
        <v>0</v>
      </c>
      <c r="J108" s="4">
        <f t="shared" si="11"/>
        <v>0</v>
      </c>
      <c r="K108" s="4">
        <f t="shared" si="11"/>
        <v>0</v>
      </c>
      <c r="L108" s="4">
        <f t="shared" si="11"/>
        <v>0</v>
      </c>
      <c r="M108" s="4">
        <f t="shared" si="11"/>
        <v>0</v>
      </c>
      <c r="N108" s="4">
        <f t="shared" si="11"/>
        <v>0</v>
      </c>
      <c r="O108" s="4">
        <f t="shared" si="11"/>
        <v>0</v>
      </c>
      <c r="P108" s="4">
        <f t="shared" si="11"/>
        <v>0</v>
      </c>
      <c r="Q108" s="4">
        <f t="shared" si="11"/>
        <v>0</v>
      </c>
      <c r="R108" s="4">
        <f t="shared" si="11"/>
        <v>0</v>
      </c>
      <c r="S108" s="4">
        <f t="shared" si="11"/>
        <v>1</v>
      </c>
      <c r="T108" s="17">
        <f t="shared" si="11"/>
        <v>0</v>
      </c>
    </row>
    <row r="109" spans="3:27" hidden="1" x14ac:dyDescent="0.25">
      <c r="C109" s="93" t="str">
        <f t="shared" si="4"/>
        <v>T18_1</v>
      </c>
      <c r="D109" s="49"/>
      <c r="E109" s="3">
        <f t="shared" si="11"/>
        <v>0</v>
      </c>
      <c r="F109" s="4">
        <f t="shared" si="11"/>
        <v>0</v>
      </c>
      <c r="G109" s="4">
        <f t="shared" si="11"/>
        <v>0</v>
      </c>
      <c r="H109" s="4">
        <f t="shared" si="11"/>
        <v>1</v>
      </c>
      <c r="I109" s="4">
        <f t="shared" si="11"/>
        <v>0</v>
      </c>
      <c r="J109" s="4">
        <f t="shared" si="11"/>
        <v>0</v>
      </c>
      <c r="K109" s="4">
        <f t="shared" si="11"/>
        <v>0</v>
      </c>
      <c r="L109" s="4">
        <f t="shared" si="11"/>
        <v>0</v>
      </c>
      <c r="M109" s="4">
        <f t="shared" si="11"/>
        <v>0</v>
      </c>
      <c r="N109" s="4">
        <f t="shared" si="11"/>
        <v>0</v>
      </c>
      <c r="O109" s="4">
        <f t="shared" si="11"/>
        <v>0</v>
      </c>
      <c r="P109" s="4">
        <f t="shared" si="11"/>
        <v>0</v>
      </c>
      <c r="Q109" s="4">
        <f t="shared" si="11"/>
        <v>0</v>
      </c>
      <c r="R109" s="4">
        <f t="shared" si="11"/>
        <v>0</v>
      </c>
      <c r="S109" s="4">
        <f t="shared" si="11"/>
        <v>0</v>
      </c>
      <c r="T109" s="17">
        <f t="shared" si="11"/>
        <v>0</v>
      </c>
    </row>
    <row r="110" spans="3:27" hidden="1" x14ac:dyDescent="0.25">
      <c r="C110" s="93" t="str">
        <f t="shared" si="4"/>
        <v>T18_2</v>
      </c>
      <c r="D110" s="49"/>
      <c r="E110" s="3">
        <f t="shared" si="11"/>
        <v>0</v>
      </c>
      <c r="F110" s="4">
        <f t="shared" si="11"/>
        <v>0</v>
      </c>
      <c r="G110" s="4">
        <f t="shared" si="11"/>
        <v>0</v>
      </c>
      <c r="H110" s="4">
        <f t="shared" si="11"/>
        <v>0</v>
      </c>
      <c r="I110" s="4">
        <f t="shared" si="11"/>
        <v>0</v>
      </c>
      <c r="J110" s="4">
        <f t="shared" si="11"/>
        <v>0</v>
      </c>
      <c r="K110" s="4">
        <f t="shared" si="11"/>
        <v>0</v>
      </c>
      <c r="L110" s="4">
        <f t="shared" si="11"/>
        <v>0</v>
      </c>
      <c r="M110" s="4">
        <f t="shared" si="11"/>
        <v>0</v>
      </c>
      <c r="N110" s="4">
        <f t="shared" si="11"/>
        <v>0</v>
      </c>
      <c r="O110" s="4">
        <f t="shared" si="11"/>
        <v>0</v>
      </c>
      <c r="P110" s="4">
        <f t="shared" si="11"/>
        <v>1</v>
      </c>
      <c r="Q110" s="4">
        <f t="shared" si="11"/>
        <v>0</v>
      </c>
      <c r="R110" s="4">
        <f t="shared" si="11"/>
        <v>0</v>
      </c>
      <c r="S110" s="4">
        <f t="shared" si="11"/>
        <v>0</v>
      </c>
      <c r="T110" s="17">
        <f t="shared" si="11"/>
        <v>0</v>
      </c>
    </row>
    <row r="111" spans="3:27" x14ac:dyDescent="0.25">
      <c r="C111" s="97" t="str">
        <f t="shared" si="4"/>
        <v>T18_3</v>
      </c>
      <c r="D111" s="98"/>
      <c r="E111" s="108">
        <f t="shared" si="11"/>
        <v>0</v>
      </c>
      <c r="F111" s="19">
        <f t="shared" si="11"/>
        <v>0</v>
      </c>
      <c r="G111" s="19">
        <f t="shared" si="11"/>
        <v>0</v>
      </c>
      <c r="H111" s="19">
        <f t="shared" si="11"/>
        <v>0</v>
      </c>
      <c r="I111" s="19">
        <f t="shared" si="11"/>
        <v>0</v>
      </c>
      <c r="J111" s="19">
        <f t="shared" si="11"/>
        <v>0</v>
      </c>
      <c r="K111" s="19">
        <f t="shared" si="11"/>
        <v>0</v>
      </c>
      <c r="L111" s="19">
        <f t="shared" si="11"/>
        <v>0</v>
      </c>
      <c r="M111" s="19">
        <f t="shared" si="11"/>
        <v>0</v>
      </c>
      <c r="N111" s="19">
        <f t="shared" si="11"/>
        <v>0</v>
      </c>
      <c r="O111" s="19">
        <f t="shared" si="11"/>
        <v>0</v>
      </c>
      <c r="P111" s="19">
        <f t="shared" si="11"/>
        <v>0</v>
      </c>
      <c r="Q111" s="19">
        <f t="shared" si="11"/>
        <v>0</v>
      </c>
      <c r="R111" s="19">
        <f t="shared" si="11"/>
        <v>0</v>
      </c>
      <c r="S111" s="19">
        <f t="shared" si="11"/>
        <v>0</v>
      </c>
      <c r="T111" s="20">
        <f t="shared" si="11"/>
        <v>1</v>
      </c>
      <c r="W111" s="84" t="s">
        <v>214</v>
      </c>
    </row>
    <row r="112" spans="3:27" x14ac:dyDescent="0.25">
      <c r="W112" s="84" t="s">
        <v>215</v>
      </c>
      <c r="AA112" t="s">
        <v>216</v>
      </c>
    </row>
    <row r="113" spans="4:30" ht="15.75" thickBot="1" x14ac:dyDescent="0.3">
      <c r="E113" t="s">
        <v>0</v>
      </c>
      <c r="F113" t="s">
        <v>1</v>
      </c>
      <c r="G113" t="s">
        <v>2</v>
      </c>
      <c r="H113" t="s">
        <v>3</v>
      </c>
      <c r="I113" t="s">
        <v>4</v>
      </c>
      <c r="J113" t="s">
        <v>5</v>
      </c>
      <c r="K113" t="s">
        <v>6</v>
      </c>
      <c r="L113" t="s">
        <v>7</v>
      </c>
      <c r="M113" t="s">
        <v>8</v>
      </c>
      <c r="N113" t="s">
        <v>164</v>
      </c>
      <c r="O113" t="s">
        <v>165</v>
      </c>
      <c r="P113" t="s">
        <v>166</v>
      </c>
      <c r="Q113" t="s">
        <v>167</v>
      </c>
      <c r="R113" t="s">
        <v>168</v>
      </c>
      <c r="S113" t="s">
        <v>169</v>
      </c>
      <c r="T113" t="s">
        <v>170</v>
      </c>
      <c r="W113" t="s">
        <v>209</v>
      </c>
      <c r="Y113" t="s">
        <v>210</v>
      </c>
      <c r="AA113" s="112" t="s">
        <v>167</v>
      </c>
      <c r="AB113" s="112" t="s">
        <v>168</v>
      </c>
      <c r="AC113" s="112" t="s">
        <v>169</v>
      </c>
      <c r="AD113" s="112" t="s">
        <v>170</v>
      </c>
    </row>
    <row r="114" spans="4:30" x14ac:dyDescent="0.25">
      <c r="D114" s="23" t="s">
        <v>0</v>
      </c>
      <c r="E114" s="121">
        <f t="array" ref="E114:T129">MMULT(MMULT(TRANSPOSE(E58:T111),AA2:CB55),E58:T111)</f>
        <v>32</v>
      </c>
      <c r="F114" s="122">
        <v>-8</v>
      </c>
      <c r="G114" s="122">
        <v>-8</v>
      </c>
      <c r="H114" s="122">
        <v>0</v>
      </c>
      <c r="I114" s="123">
        <v>0</v>
      </c>
      <c r="J114" s="123">
        <v>-8</v>
      </c>
      <c r="K114" s="123">
        <v>0</v>
      </c>
      <c r="L114" s="123">
        <v>0</v>
      </c>
      <c r="M114" s="123">
        <v>-8</v>
      </c>
      <c r="N114" s="123">
        <v>0</v>
      </c>
      <c r="O114" s="123">
        <v>0</v>
      </c>
      <c r="P114" s="123">
        <v>0</v>
      </c>
      <c r="Q114" s="123">
        <v>0</v>
      </c>
      <c r="R114" s="123">
        <v>0</v>
      </c>
      <c r="S114" s="123">
        <v>0</v>
      </c>
      <c r="T114" s="124">
        <v>0</v>
      </c>
      <c r="U114" s="118"/>
      <c r="V114" s="23" t="s">
        <v>0</v>
      </c>
      <c r="W114" s="128">
        <f t="array" ref="W114:W117">-MMULT(MMULT(MINVERSE(E114:H117),I114:T117),W118:W129)</f>
        <v>199.99999999999994</v>
      </c>
      <c r="Y114" s="116">
        <f t="array" ref="Y114:Y129">MMULT(E114:T129,W114:W129)</f>
        <v>-9.0949470177292824E-13</v>
      </c>
      <c r="AA114" s="112" t="s">
        <v>165</v>
      </c>
      <c r="AB114" s="117" t="s">
        <v>2</v>
      </c>
      <c r="AC114" s="117" t="s">
        <v>3</v>
      </c>
      <c r="AD114" s="112" t="s">
        <v>166</v>
      </c>
    </row>
    <row r="115" spans="4:30" x14ac:dyDescent="0.25">
      <c r="D115" s="23" t="s">
        <v>1</v>
      </c>
      <c r="E115" s="121">
        <v>-8</v>
      </c>
      <c r="F115" s="122">
        <v>32</v>
      </c>
      <c r="G115" s="122">
        <v>0</v>
      </c>
      <c r="H115" s="122">
        <v>-8</v>
      </c>
      <c r="I115" s="123">
        <v>0</v>
      </c>
      <c r="J115" s="123">
        <v>0</v>
      </c>
      <c r="K115" s="123">
        <v>-8</v>
      </c>
      <c r="L115" s="123">
        <v>0</v>
      </c>
      <c r="M115" s="123">
        <v>0</v>
      </c>
      <c r="N115" s="123">
        <v>-8</v>
      </c>
      <c r="O115" s="123">
        <v>0</v>
      </c>
      <c r="P115" s="123">
        <v>0</v>
      </c>
      <c r="Q115" s="123">
        <v>0</v>
      </c>
      <c r="R115" s="123">
        <v>0</v>
      </c>
      <c r="S115" s="123">
        <v>0</v>
      </c>
      <c r="T115" s="124">
        <v>0</v>
      </c>
      <c r="U115" s="118"/>
      <c r="V115" s="23" t="s">
        <v>1</v>
      </c>
      <c r="W115" s="129">
        <v>300</v>
      </c>
      <c r="Y115" s="116">
        <v>0</v>
      </c>
      <c r="AA115" s="112" t="s">
        <v>8</v>
      </c>
      <c r="AB115" s="117" t="s">
        <v>0</v>
      </c>
      <c r="AC115" s="117" t="s">
        <v>1</v>
      </c>
      <c r="AD115" s="112" t="s">
        <v>164</v>
      </c>
    </row>
    <row r="116" spans="4:30" x14ac:dyDescent="0.25">
      <c r="D116" s="23" t="s">
        <v>2</v>
      </c>
      <c r="E116" s="121">
        <v>-8</v>
      </c>
      <c r="F116" s="122">
        <v>0</v>
      </c>
      <c r="G116" s="122">
        <v>32</v>
      </c>
      <c r="H116" s="122">
        <v>-8</v>
      </c>
      <c r="I116" s="123">
        <v>0</v>
      </c>
      <c r="J116" s="123">
        <v>0</v>
      </c>
      <c r="K116" s="123">
        <v>0</v>
      </c>
      <c r="L116" s="123">
        <v>0</v>
      </c>
      <c r="M116" s="123">
        <v>0</v>
      </c>
      <c r="N116" s="123">
        <v>0</v>
      </c>
      <c r="O116" s="123">
        <v>-8</v>
      </c>
      <c r="P116" s="123">
        <v>0</v>
      </c>
      <c r="Q116" s="123">
        <v>0</v>
      </c>
      <c r="R116" s="123">
        <v>-8</v>
      </c>
      <c r="S116" s="123">
        <v>0</v>
      </c>
      <c r="T116" s="124">
        <v>0</v>
      </c>
      <c r="U116" s="118"/>
      <c r="V116" s="23" t="s">
        <v>2</v>
      </c>
      <c r="W116" s="129">
        <v>299.99999999999989</v>
      </c>
      <c r="X116" s="6"/>
      <c r="Y116" s="116">
        <v>-3.637978807091713E-12</v>
      </c>
      <c r="AA116" s="112" t="s">
        <v>4</v>
      </c>
      <c r="AB116" s="112" t="s">
        <v>5</v>
      </c>
      <c r="AC116" s="112" t="s">
        <v>6</v>
      </c>
      <c r="AD116" s="112" t="s">
        <v>7</v>
      </c>
    </row>
    <row r="117" spans="4:30" ht="15.75" thickBot="1" x14ac:dyDescent="0.3">
      <c r="D117" s="23" t="s">
        <v>3</v>
      </c>
      <c r="E117" s="121">
        <v>0</v>
      </c>
      <c r="F117" s="122">
        <v>-8</v>
      </c>
      <c r="G117" s="122">
        <v>-8</v>
      </c>
      <c r="H117" s="122">
        <v>32</v>
      </c>
      <c r="I117" s="123">
        <v>0</v>
      </c>
      <c r="J117" s="123">
        <v>0</v>
      </c>
      <c r="K117" s="123">
        <v>0</v>
      </c>
      <c r="L117" s="123">
        <v>0</v>
      </c>
      <c r="M117" s="123">
        <v>0</v>
      </c>
      <c r="N117" s="123">
        <v>0</v>
      </c>
      <c r="O117" s="123">
        <v>0</v>
      </c>
      <c r="P117" s="123">
        <v>-8</v>
      </c>
      <c r="Q117" s="123">
        <v>0</v>
      </c>
      <c r="R117" s="123">
        <v>0</v>
      </c>
      <c r="S117" s="123">
        <v>-8</v>
      </c>
      <c r="T117" s="124">
        <v>0</v>
      </c>
      <c r="U117" s="118"/>
      <c r="V117" s="23" t="s">
        <v>3</v>
      </c>
      <c r="W117" s="130">
        <v>399.99999999999994</v>
      </c>
      <c r="Y117" s="116">
        <v>-9.0949470177292824E-13</v>
      </c>
    </row>
    <row r="118" spans="4:30" x14ac:dyDescent="0.25">
      <c r="D118" s="23" t="s">
        <v>4</v>
      </c>
      <c r="E118" s="125">
        <v>0</v>
      </c>
      <c r="F118" s="123">
        <v>0</v>
      </c>
      <c r="G118" s="123">
        <v>0</v>
      </c>
      <c r="H118" s="123">
        <v>0</v>
      </c>
      <c r="I118" s="126">
        <v>8</v>
      </c>
      <c r="J118" s="126">
        <v>-4</v>
      </c>
      <c r="K118" s="126">
        <v>0</v>
      </c>
      <c r="L118" s="126">
        <v>0</v>
      </c>
      <c r="M118" s="126">
        <v>-4</v>
      </c>
      <c r="N118" s="126">
        <v>0</v>
      </c>
      <c r="O118" s="126">
        <v>0</v>
      </c>
      <c r="P118" s="126">
        <v>0</v>
      </c>
      <c r="Q118" s="126">
        <v>0</v>
      </c>
      <c r="R118" s="126">
        <v>0</v>
      </c>
      <c r="S118" s="126">
        <v>0</v>
      </c>
      <c r="T118" s="127">
        <v>0</v>
      </c>
      <c r="V118" s="23" t="s">
        <v>4</v>
      </c>
      <c r="W118" s="114">
        <v>0</v>
      </c>
      <c r="Y118" s="115">
        <v>-800</v>
      </c>
      <c r="AA118" s="131" t="s">
        <v>217</v>
      </c>
    </row>
    <row r="119" spans="4:30" x14ac:dyDescent="0.25">
      <c r="D119" s="23" t="s">
        <v>5</v>
      </c>
      <c r="E119" s="125">
        <v>-8</v>
      </c>
      <c r="F119" s="123">
        <v>0</v>
      </c>
      <c r="G119" s="123">
        <v>0</v>
      </c>
      <c r="H119" s="123">
        <v>0</v>
      </c>
      <c r="I119" s="126">
        <v>-4</v>
      </c>
      <c r="J119" s="126">
        <v>16</v>
      </c>
      <c r="K119" s="126">
        <v>-4</v>
      </c>
      <c r="L119" s="126">
        <v>0</v>
      </c>
      <c r="M119" s="126">
        <v>0</v>
      </c>
      <c r="N119" s="126">
        <v>0</v>
      </c>
      <c r="O119" s="126">
        <v>0</v>
      </c>
      <c r="P119" s="126">
        <v>0</v>
      </c>
      <c r="Q119" s="126">
        <v>0</v>
      </c>
      <c r="R119" s="126">
        <v>0</v>
      </c>
      <c r="S119" s="126">
        <v>0</v>
      </c>
      <c r="T119" s="127">
        <v>0</v>
      </c>
      <c r="V119" s="23" t="s">
        <v>5</v>
      </c>
      <c r="W119" s="114">
        <v>100</v>
      </c>
      <c r="Y119" s="115">
        <v>-799.99999999999955</v>
      </c>
      <c r="AA119" s="112" t="s">
        <v>167</v>
      </c>
      <c r="AB119" s="112" t="s">
        <v>168</v>
      </c>
      <c r="AC119" s="112" t="s">
        <v>169</v>
      </c>
      <c r="AD119" s="112" t="s">
        <v>170</v>
      </c>
    </row>
    <row r="120" spans="4:30" x14ac:dyDescent="0.25">
      <c r="D120" s="23" t="s">
        <v>6</v>
      </c>
      <c r="E120" s="125">
        <v>0</v>
      </c>
      <c r="F120" s="123">
        <v>-8</v>
      </c>
      <c r="G120" s="123">
        <v>0</v>
      </c>
      <c r="H120" s="123">
        <v>0</v>
      </c>
      <c r="I120" s="126">
        <v>0</v>
      </c>
      <c r="J120" s="126">
        <v>-4</v>
      </c>
      <c r="K120" s="126">
        <v>16</v>
      </c>
      <c r="L120" s="126">
        <v>-4</v>
      </c>
      <c r="M120" s="126">
        <v>0</v>
      </c>
      <c r="N120" s="126">
        <v>0</v>
      </c>
      <c r="O120" s="126">
        <v>0</v>
      </c>
      <c r="P120" s="126">
        <v>0</v>
      </c>
      <c r="Q120" s="126">
        <v>0</v>
      </c>
      <c r="R120" s="126">
        <v>0</v>
      </c>
      <c r="S120" s="126">
        <v>0</v>
      </c>
      <c r="T120" s="127">
        <v>0</v>
      </c>
      <c r="V120" s="23" t="s">
        <v>6</v>
      </c>
      <c r="W120" s="114">
        <v>200</v>
      </c>
      <c r="Y120" s="115">
        <v>-800</v>
      </c>
      <c r="AA120" s="112" t="s">
        <v>8</v>
      </c>
      <c r="AB120" s="117" t="s">
        <v>164</v>
      </c>
      <c r="AC120" s="117" t="s">
        <v>165</v>
      </c>
      <c r="AD120" s="112" t="s">
        <v>166</v>
      </c>
    </row>
    <row r="121" spans="4:30" x14ac:dyDescent="0.25">
      <c r="D121" s="23" t="s">
        <v>7</v>
      </c>
      <c r="E121" s="125">
        <v>0</v>
      </c>
      <c r="F121" s="123">
        <v>0</v>
      </c>
      <c r="G121" s="123">
        <v>0</v>
      </c>
      <c r="H121" s="123">
        <v>0</v>
      </c>
      <c r="I121" s="126">
        <v>0</v>
      </c>
      <c r="J121" s="126">
        <v>0</v>
      </c>
      <c r="K121" s="126">
        <v>-4</v>
      </c>
      <c r="L121" s="126">
        <v>8</v>
      </c>
      <c r="M121" s="126">
        <v>0</v>
      </c>
      <c r="N121" s="126">
        <v>-4</v>
      </c>
      <c r="O121" s="126">
        <v>0</v>
      </c>
      <c r="P121" s="126">
        <v>0</v>
      </c>
      <c r="Q121" s="126">
        <v>0</v>
      </c>
      <c r="R121" s="126">
        <v>0</v>
      </c>
      <c r="S121" s="126">
        <v>0</v>
      </c>
      <c r="T121" s="127">
        <v>0</v>
      </c>
      <c r="U121" s="118"/>
      <c r="V121" s="23" t="s">
        <v>7</v>
      </c>
      <c r="W121" s="114">
        <v>300</v>
      </c>
      <c r="Y121" s="115">
        <v>0</v>
      </c>
      <c r="AA121" s="112" t="s">
        <v>4</v>
      </c>
      <c r="AB121" s="117" t="s">
        <v>5</v>
      </c>
      <c r="AC121" s="117" t="s">
        <v>6</v>
      </c>
      <c r="AD121" s="112" t="s">
        <v>7</v>
      </c>
    </row>
    <row r="122" spans="4:30" x14ac:dyDescent="0.25">
      <c r="D122" s="23" t="s">
        <v>8</v>
      </c>
      <c r="E122" s="125">
        <v>-8</v>
      </c>
      <c r="F122" s="123">
        <v>0</v>
      </c>
      <c r="G122" s="123">
        <v>0</v>
      </c>
      <c r="H122" s="123">
        <v>0</v>
      </c>
      <c r="I122" s="126">
        <v>-4</v>
      </c>
      <c r="J122" s="126">
        <v>0</v>
      </c>
      <c r="K122" s="126">
        <v>0</v>
      </c>
      <c r="L122" s="126">
        <v>0</v>
      </c>
      <c r="M122" s="126">
        <v>16</v>
      </c>
      <c r="N122" s="126">
        <v>0</v>
      </c>
      <c r="O122" s="126">
        <v>-4</v>
      </c>
      <c r="P122" s="126">
        <v>0</v>
      </c>
      <c r="Q122" s="126">
        <v>0</v>
      </c>
      <c r="R122" s="126">
        <v>0</v>
      </c>
      <c r="S122" s="126">
        <v>0</v>
      </c>
      <c r="T122" s="127">
        <v>0</v>
      </c>
      <c r="V122" s="23" t="s">
        <v>8</v>
      </c>
      <c r="W122" s="114">
        <v>100</v>
      </c>
      <c r="Y122" s="115">
        <v>-799.99999999999955</v>
      </c>
      <c r="AA122" s="112" t="s">
        <v>0</v>
      </c>
      <c r="AB122" s="112" t="s">
        <v>1</v>
      </c>
      <c r="AC122" s="112" t="s">
        <v>2</v>
      </c>
      <c r="AD122" s="112" t="s">
        <v>3</v>
      </c>
    </row>
    <row r="123" spans="4:30" x14ac:dyDescent="0.25">
      <c r="D123" s="23" t="s">
        <v>164</v>
      </c>
      <c r="E123" s="125">
        <v>0</v>
      </c>
      <c r="F123" s="123">
        <v>-8</v>
      </c>
      <c r="G123" s="123">
        <v>0</v>
      </c>
      <c r="H123" s="123">
        <v>0</v>
      </c>
      <c r="I123" s="126">
        <v>0</v>
      </c>
      <c r="J123" s="126">
        <v>0</v>
      </c>
      <c r="K123" s="126">
        <v>0</v>
      </c>
      <c r="L123" s="126">
        <v>-4</v>
      </c>
      <c r="M123" s="126">
        <v>0</v>
      </c>
      <c r="N123" s="126">
        <v>16</v>
      </c>
      <c r="O123" s="126">
        <v>0</v>
      </c>
      <c r="P123" s="126">
        <v>-4</v>
      </c>
      <c r="Q123" s="126">
        <v>0</v>
      </c>
      <c r="R123" s="126">
        <v>0</v>
      </c>
      <c r="S123" s="126">
        <v>0</v>
      </c>
      <c r="T123" s="127">
        <v>0</v>
      </c>
      <c r="V123" s="23" t="s">
        <v>164</v>
      </c>
      <c r="W123" s="114">
        <v>400</v>
      </c>
      <c r="Y123" s="115">
        <v>800</v>
      </c>
    </row>
    <row r="124" spans="4:30" x14ac:dyDescent="0.25">
      <c r="D124" s="23" t="s">
        <v>165</v>
      </c>
      <c r="E124" s="125">
        <v>0</v>
      </c>
      <c r="F124" s="123">
        <v>0</v>
      </c>
      <c r="G124" s="123">
        <v>-8</v>
      </c>
      <c r="H124" s="123">
        <v>0</v>
      </c>
      <c r="I124" s="126">
        <v>0</v>
      </c>
      <c r="J124" s="126">
        <v>0</v>
      </c>
      <c r="K124" s="126">
        <v>0</v>
      </c>
      <c r="L124" s="126">
        <v>0</v>
      </c>
      <c r="M124" s="126">
        <v>-4</v>
      </c>
      <c r="N124" s="126">
        <v>0</v>
      </c>
      <c r="O124" s="126">
        <v>16</v>
      </c>
      <c r="P124" s="126">
        <v>0</v>
      </c>
      <c r="Q124" s="126">
        <v>-4</v>
      </c>
      <c r="R124" s="126">
        <v>0</v>
      </c>
      <c r="S124" s="126">
        <v>0</v>
      </c>
      <c r="T124" s="127">
        <v>0</v>
      </c>
      <c r="V124" s="23" t="s">
        <v>165</v>
      </c>
      <c r="W124" s="114">
        <v>200</v>
      </c>
      <c r="Y124" s="115">
        <v>-799.99999999999909</v>
      </c>
    </row>
    <row r="125" spans="4:30" x14ac:dyDescent="0.25">
      <c r="D125" s="23" t="s">
        <v>166</v>
      </c>
      <c r="E125" s="125">
        <v>0</v>
      </c>
      <c r="F125" s="123">
        <v>0</v>
      </c>
      <c r="G125" s="123">
        <v>0</v>
      </c>
      <c r="H125" s="123">
        <v>-8</v>
      </c>
      <c r="I125" s="126">
        <v>0</v>
      </c>
      <c r="J125" s="126">
        <v>0</v>
      </c>
      <c r="K125" s="126">
        <v>0</v>
      </c>
      <c r="L125" s="126">
        <v>0</v>
      </c>
      <c r="M125" s="126">
        <v>0</v>
      </c>
      <c r="N125" s="126">
        <v>-4</v>
      </c>
      <c r="O125" s="126">
        <v>0</v>
      </c>
      <c r="P125" s="126">
        <v>16</v>
      </c>
      <c r="Q125" s="126">
        <v>0</v>
      </c>
      <c r="R125" s="126">
        <v>0</v>
      </c>
      <c r="S125" s="126">
        <v>0</v>
      </c>
      <c r="T125" s="127">
        <v>-4</v>
      </c>
      <c r="V125" s="23" t="s">
        <v>166</v>
      </c>
      <c r="W125" s="114">
        <v>500</v>
      </c>
      <c r="Y125" s="115">
        <v>800</v>
      </c>
    </row>
    <row r="126" spans="4:30" x14ac:dyDescent="0.25">
      <c r="D126" s="23" t="s">
        <v>167</v>
      </c>
      <c r="E126" s="125">
        <v>0</v>
      </c>
      <c r="F126" s="123">
        <v>0</v>
      </c>
      <c r="G126" s="123">
        <v>0</v>
      </c>
      <c r="H126" s="123">
        <v>0</v>
      </c>
      <c r="I126" s="126">
        <v>0</v>
      </c>
      <c r="J126" s="126">
        <v>0</v>
      </c>
      <c r="K126" s="126">
        <v>0</v>
      </c>
      <c r="L126" s="126">
        <v>0</v>
      </c>
      <c r="M126" s="126">
        <v>0</v>
      </c>
      <c r="N126" s="126">
        <v>0</v>
      </c>
      <c r="O126" s="126">
        <v>-4</v>
      </c>
      <c r="P126" s="126">
        <v>0</v>
      </c>
      <c r="Q126" s="126">
        <v>8</v>
      </c>
      <c r="R126" s="126">
        <v>-4</v>
      </c>
      <c r="S126" s="126">
        <v>0</v>
      </c>
      <c r="T126" s="127">
        <v>0</v>
      </c>
      <c r="V126" s="23" t="s">
        <v>167</v>
      </c>
      <c r="W126" s="114">
        <v>300</v>
      </c>
      <c r="Y126" s="115">
        <v>0</v>
      </c>
    </row>
    <row r="127" spans="4:30" x14ac:dyDescent="0.25">
      <c r="D127" s="23" t="s">
        <v>168</v>
      </c>
      <c r="E127" s="125">
        <v>0</v>
      </c>
      <c r="F127" s="123">
        <v>0</v>
      </c>
      <c r="G127" s="123">
        <v>-8</v>
      </c>
      <c r="H127" s="123">
        <v>0</v>
      </c>
      <c r="I127" s="126">
        <v>0</v>
      </c>
      <c r="J127" s="126">
        <v>0</v>
      </c>
      <c r="K127" s="126">
        <v>0</v>
      </c>
      <c r="L127" s="126">
        <v>0</v>
      </c>
      <c r="M127" s="126">
        <v>0</v>
      </c>
      <c r="N127" s="126">
        <v>0</v>
      </c>
      <c r="O127" s="126">
        <v>0</v>
      </c>
      <c r="P127" s="126">
        <v>0</v>
      </c>
      <c r="Q127" s="126">
        <v>-4</v>
      </c>
      <c r="R127" s="126">
        <v>16</v>
      </c>
      <c r="S127" s="126">
        <v>-4</v>
      </c>
      <c r="T127" s="127">
        <v>0</v>
      </c>
      <c r="V127" s="23" t="s">
        <v>168</v>
      </c>
      <c r="W127" s="114">
        <v>400</v>
      </c>
      <c r="Y127" s="115">
        <v>800.00000000000091</v>
      </c>
    </row>
    <row r="128" spans="4:30" x14ac:dyDescent="0.25">
      <c r="D128" s="23" t="s">
        <v>169</v>
      </c>
      <c r="E128" s="125">
        <v>0</v>
      </c>
      <c r="F128" s="123">
        <v>0</v>
      </c>
      <c r="G128" s="123">
        <v>0</v>
      </c>
      <c r="H128" s="123">
        <v>-8</v>
      </c>
      <c r="I128" s="126">
        <v>0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-4</v>
      </c>
      <c r="S128" s="126">
        <v>16</v>
      </c>
      <c r="T128" s="127">
        <v>-4</v>
      </c>
      <c r="V128" s="23" t="s">
        <v>169</v>
      </c>
      <c r="W128" s="114">
        <v>500</v>
      </c>
      <c r="Y128" s="115">
        <v>800</v>
      </c>
    </row>
    <row r="129" spans="4:25" ht="15.75" thickBot="1" x14ac:dyDescent="0.3">
      <c r="D129" s="23" t="s">
        <v>170</v>
      </c>
      <c r="E129" s="125">
        <v>0</v>
      </c>
      <c r="F129" s="123">
        <v>0</v>
      </c>
      <c r="G129" s="123">
        <v>0</v>
      </c>
      <c r="H129" s="123">
        <v>0</v>
      </c>
      <c r="I129" s="126">
        <v>0</v>
      </c>
      <c r="J129" s="126">
        <v>0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-4</v>
      </c>
      <c r="Q129" s="126">
        <v>0</v>
      </c>
      <c r="R129" s="126">
        <v>0</v>
      </c>
      <c r="S129" s="126">
        <v>-4</v>
      </c>
      <c r="T129" s="127">
        <v>8</v>
      </c>
      <c r="V129" s="23" t="s">
        <v>170</v>
      </c>
      <c r="W129" s="132">
        <v>600</v>
      </c>
      <c r="Y129" s="115">
        <v>800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CB129"/>
  <sheetViews>
    <sheetView topLeftCell="A53" workbookViewId="0">
      <selection activeCell="W1" sqref="W1"/>
    </sheetView>
  </sheetViews>
  <sheetFormatPr defaultRowHeight="15" x14ac:dyDescent="0.25"/>
  <cols>
    <col min="1" max="2" width="5.5703125" style="23" customWidth="1"/>
    <col min="3" max="3" width="9.140625" style="23"/>
    <col min="4" max="4" width="6" style="23" customWidth="1"/>
    <col min="5" max="20" width="5.28515625" customWidth="1"/>
    <col min="21" max="22" width="9.28515625" customWidth="1"/>
    <col min="27" max="30" width="6" customWidth="1"/>
    <col min="31" max="34" width="6" style="23" customWidth="1"/>
    <col min="35" max="80" width="6" customWidth="1"/>
    <col min="81" max="88" width="5.140625" customWidth="1"/>
  </cols>
  <sheetData>
    <row r="1" spans="1:80" x14ac:dyDescent="0.25">
      <c r="A1" s="23" t="s">
        <v>161</v>
      </c>
      <c r="B1" s="23" t="s">
        <v>162</v>
      </c>
      <c r="C1" s="23" t="s">
        <v>163</v>
      </c>
      <c r="D1" s="7" t="s">
        <v>27</v>
      </c>
      <c r="E1" s="120" t="s">
        <v>5</v>
      </c>
      <c r="F1" s="120" t="s">
        <v>6</v>
      </c>
      <c r="G1" s="120" t="s">
        <v>164</v>
      </c>
      <c r="H1" s="120" t="s">
        <v>165</v>
      </c>
      <c r="I1" s="23" t="s">
        <v>0</v>
      </c>
      <c r="J1" s="23" t="s">
        <v>1</v>
      </c>
      <c r="K1" s="23" t="s">
        <v>2</v>
      </c>
      <c r="L1" s="23" t="s">
        <v>3</v>
      </c>
      <c r="M1" s="23" t="s">
        <v>4</v>
      </c>
      <c r="N1" s="23" t="s">
        <v>7</v>
      </c>
      <c r="O1" s="23" t="s">
        <v>8</v>
      </c>
      <c r="P1" s="23" t="s">
        <v>166</v>
      </c>
      <c r="Q1" s="23" t="s">
        <v>167</v>
      </c>
      <c r="R1" s="23" t="s">
        <v>168</v>
      </c>
      <c r="S1" s="23" t="s">
        <v>169</v>
      </c>
      <c r="T1" s="23" t="s">
        <v>170</v>
      </c>
      <c r="W1" s="84" t="s">
        <v>219</v>
      </c>
      <c r="X1" s="84" t="s">
        <v>28</v>
      </c>
      <c r="Y1" s="84" t="s">
        <v>29</v>
      </c>
      <c r="Z1" s="84" t="s">
        <v>162</v>
      </c>
      <c r="AA1" t="s">
        <v>9</v>
      </c>
      <c r="AB1" t="s">
        <v>10</v>
      </c>
      <c r="AC1" t="s">
        <v>11</v>
      </c>
      <c r="AD1" t="s">
        <v>12</v>
      </c>
      <c r="AE1" t="s">
        <v>13</v>
      </c>
      <c r="AF1" t="s">
        <v>14</v>
      </c>
      <c r="AG1" t="s">
        <v>15</v>
      </c>
      <c r="AH1" t="s">
        <v>16</v>
      </c>
      <c r="AI1" t="s">
        <v>17</v>
      </c>
      <c r="AJ1" t="s">
        <v>18</v>
      </c>
      <c r="AK1" t="s">
        <v>19</v>
      </c>
      <c r="AL1" t="s">
        <v>20</v>
      </c>
      <c r="AM1" t="s">
        <v>21</v>
      </c>
      <c r="AN1" t="s">
        <v>22</v>
      </c>
      <c r="AO1" t="s">
        <v>23</v>
      </c>
      <c r="AP1" t="s">
        <v>24</v>
      </c>
      <c r="AQ1" t="s">
        <v>25</v>
      </c>
      <c r="AR1" t="s">
        <v>26</v>
      </c>
      <c r="AS1" t="s">
        <v>171</v>
      </c>
      <c r="AT1" t="s">
        <v>172</v>
      </c>
      <c r="AU1" t="s">
        <v>173</v>
      </c>
      <c r="AV1" t="s">
        <v>174</v>
      </c>
      <c r="AW1" t="s">
        <v>175</v>
      </c>
      <c r="AX1" t="s">
        <v>176</v>
      </c>
      <c r="AY1" t="s">
        <v>177</v>
      </c>
      <c r="AZ1" t="s">
        <v>178</v>
      </c>
      <c r="BA1" t="s">
        <v>179</v>
      </c>
      <c r="BB1" t="s">
        <v>180</v>
      </c>
      <c r="BC1" t="s">
        <v>181</v>
      </c>
      <c r="BD1" t="s">
        <v>182</v>
      </c>
      <c r="BE1" t="s">
        <v>183</v>
      </c>
      <c r="BF1" t="s">
        <v>184</v>
      </c>
      <c r="BG1" t="s">
        <v>185</v>
      </c>
      <c r="BH1" t="s">
        <v>186</v>
      </c>
      <c r="BI1" t="s">
        <v>187</v>
      </c>
      <c r="BJ1" t="s">
        <v>188</v>
      </c>
      <c r="BK1" t="s">
        <v>189</v>
      </c>
      <c r="BL1" t="s">
        <v>190</v>
      </c>
      <c r="BM1" t="s">
        <v>191</v>
      </c>
      <c r="BN1" t="s">
        <v>192</v>
      </c>
      <c r="BO1" t="s">
        <v>193</v>
      </c>
      <c r="BP1" t="s">
        <v>194</v>
      </c>
      <c r="BQ1" t="s">
        <v>195</v>
      </c>
      <c r="BR1" t="s">
        <v>196</v>
      </c>
      <c r="BS1" t="s">
        <v>197</v>
      </c>
      <c r="BT1" t="s">
        <v>198</v>
      </c>
      <c r="BU1" t="s">
        <v>199</v>
      </c>
      <c r="BV1" t="s">
        <v>200</v>
      </c>
      <c r="BW1" t="s">
        <v>201</v>
      </c>
      <c r="BX1" t="s">
        <v>202</v>
      </c>
      <c r="BY1" t="s">
        <v>203</v>
      </c>
      <c r="BZ1" t="s">
        <v>204</v>
      </c>
      <c r="CA1" t="s">
        <v>205</v>
      </c>
      <c r="CB1" t="s">
        <v>206</v>
      </c>
    </row>
    <row r="2" spans="1:80" x14ac:dyDescent="0.25">
      <c r="A2" s="23">
        <v>1</v>
      </c>
      <c r="B2" s="23">
        <v>1</v>
      </c>
      <c r="C2" s="23" t="str">
        <f t="shared" ref="C2:C55" si="0">"T"&amp;A2&amp;"_"&amp;B2</f>
        <v>T1_1</v>
      </c>
      <c r="E2" s="3" t="str">
        <f>IF(VLOOKUP($C2,'2D-Chapra'!$C$2:$T$55,MID(E$1,2,2)+2,0)="","",VLOOKUP($C2,'2D-Chapra'!$C$2:$T$55,MID(E$1,2,2)+2,0))</f>
        <v/>
      </c>
      <c r="F2" s="4" t="str">
        <f>IF(VLOOKUP($C2,'2D-Chapra'!$C$2:$T$55,MID(F$1,2,2)+2,0)="","",VLOOKUP($C2,'2D-Chapra'!$C$2:$T$55,MID(F$1,2,2)+2,0))</f>
        <v/>
      </c>
      <c r="G2" s="4" t="str">
        <f>IF(VLOOKUP($C2,'2D-Chapra'!$C$2:$T$55,MID(G$1,2,2)+2,0)="","",VLOOKUP($C2,'2D-Chapra'!$C$2:$T$55,MID(G$1,2,2)+2,0))</f>
        <v/>
      </c>
      <c r="H2" s="4" t="str">
        <f>IF(VLOOKUP($C2,'2D-Chapra'!$C$2:$T$55,MID(H$1,2,2)+2,0)="","",VLOOKUP($C2,'2D-Chapra'!$C$2:$T$55,MID(H$1,2,2)+2,0))</f>
        <v/>
      </c>
      <c r="I2" s="4">
        <f>IF(VLOOKUP($C2,'2D-Chapra'!$C$2:$T$55,MID(I$1,2,2)+2,0)="","",VLOOKUP($C2,'2D-Chapra'!$C$2:$T$55,MID(I$1,2,2)+2,0))</f>
        <v>1</v>
      </c>
      <c r="J2" s="4" t="str">
        <f>IF(VLOOKUP($C2,'2D-Chapra'!$C$2:$T$55,MID(J$1,2,2)+2,0)="","",VLOOKUP($C2,'2D-Chapra'!$C$2:$T$55,MID(J$1,2,2)+2,0))</f>
        <v/>
      </c>
      <c r="K2" s="4" t="str">
        <f>IF(VLOOKUP($C2,'2D-Chapra'!$C$2:$T$55,MID(K$1,2,2)+2,0)="","",VLOOKUP($C2,'2D-Chapra'!$C$2:$T$55,MID(K$1,2,2)+2,0))</f>
        <v/>
      </c>
      <c r="L2" s="4" t="str">
        <f>IF(VLOOKUP($C2,'2D-Chapra'!$C$2:$T$55,MID(L$1,2,2)+2,0)="","",VLOOKUP($C2,'2D-Chapra'!$C$2:$T$55,MID(L$1,2,2)+2,0))</f>
        <v/>
      </c>
      <c r="M2" s="4" t="str">
        <f>IF(VLOOKUP($C2,'2D-Chapra'!$C$2:$T$55,MID(M$1,2,2)+2,0)="","",VLOOKUP($C2,'2D-Chapra'!$C$2:$T$55,MID(M$1,2,2)+2,0))</f>
        <v/>
      </c>
      <c r="N2" s="4" t="str">
        <f>IF(VLOOKUP($C2,'2D-Chapra'!$C$2:$T$55,MID(N$1,2,2)+2,0)="","",VLOOKUP($C2,'2D-Chapra'!$C$2:$T$55,MID(N$1,2,2)+2,0))</f>
        <v/>
      </c>
      <c r="O2" s="4" t="str">
        <f>IF(VLOOKUP($C2,'2D-Chapra'!$C$2:$T$55,MID(O$1,2,2)+2,0)="","",VLOOKUP($C2,'2D-Chapra'!$C$2:$T$55,MID(O$1,2,2)+2,0))</f>
        <v/>
      </c>
      <c r="P2" s="4" t="str">
        <f>IF(VLOOKUP($C2,'2D-Chapra'!$C$2:$T$55,MID(P$1,2,2)+2,0)="","",VLOOKUP($C2,'2D-Chapra'!$C$2:$T$55,MID(P$1,2,2)+2,0))</f>
        <v/>
      </c>
      <c r="Q2" s="4" t="str">
        <f>IF(VLOOKUP($C2,'2D-Chapra'!$C$2:$T$55,MID(Q$1,2,2)+2,0)="","",VLOOKUP($C2,'2D-Chapra'!$C$2:$T$55,MID(Q$1,2,2)+2,0))</f>
        <v/>
      </c>
      <c r="R2" s="4" t="str">
        <f>IF(VLOOKUP($C2,'2D-Chapra'!$C$2:$T$55,MID(R$1,2,2)+2,0)="","",VLOOKUP($C2,'2D-Chapra'!$C$2:$T$55,MID(R$1,2,2)+2,0))</f>
        <v/>
      </c>
      <c r="S2" s="4" t="str">
        <f>IF(VLOOKUP($C2,'2D-Chapra'!$C$2:$T$55,MID(S$1,2,2)+2,0)="","",VLOOKUP($C2,'2D-Chapra'!$C$2:$T$55,MID(S$1,2,2)+2,0))</f>
        <v/>
      </c>
      <c r="T2" s="5" t="str">
        <f>IF(VLOOKUP($C2,'2D-Chapra'!$C$2:$T$55,MID(T$1,2,2)+2,0)="","",VLOOKUP($C2,'2D-Chapra'!$C$2:$T$55,MID(T$1,2,2)+2,0))</f>
        <v/>
      </c>
      <c r="W2" s="85">
        <v>1</v>
      </c>
      <c r="X2" s="86">
        <v>-3</v>
      </c>
      <c r="Y2" s="87">
        <v>-3</v>
      </c>
      <c r="Z2" s="88" t="s">
        <v>9</v>
      </c>
      <c r="AA2" s="137">
        <f t="array" aca="1" ref="AA2:AC4" ca="1">rigidez($W2:$Y4)</f>
        <v>0.25</v>
      </c>
      <c r="AB2" s="138">
        <f ca="1"/>
        <v>0</v>
      </c>
      <c r="AC2" s="139">
        <f ca="1"/>
        <v>-0.25</v>
      </c>
      <c r="AD2" s="13">
        <v>0</v>
      </c>
      <c r="AE2" s="14">
        <v>0</v>
      </c>
      <c r="AF2" s="15">
        <v>0</v>
      </c>
      <c r="AG2" s="13">
        <v>0</v>
      </c>
      <c r="AH2" s="14">
        <v>0</v>
      </c>
      <c r="AI2" s="15">
        <v>0</v>
      </c>
      <c r="AJ2" s="13">
        <v>0</v>
      </c>
      <c r="AK2" s="14">
        <v>0</v>
      </c>
      <c r="AL2" s="15">
        <v>0</v>
      </c>
      <c r="AM2" s="13">
        <v>0</v>
      </c>
      <c r="AN2" s="14">
        <v>0</v>
      </c>
      <c r="AO2" s="15">
        <v>0</v>
      </c>
      <c r="AP2" s="13">
        <v>0</v>
      </c>
      <c r="AQ2" s="14">
        <v>0</v>
      </c>
      <c r="AR2" s="15">
        <v>0</v>
      </c>
      <c r="AS2" s="13">
        <v>0</v>
      </c>
      <c r="AT2" s="14">
        <v>0</v>
      </c>
      <c r="AU2" s="15">
        <v>0</v>
      </c>
      <c r="AV2" s="13">
        <v>0</v>
      </c>
      <c r="AW2" s="14">
        <v>0</v>
      </c>
      <c r="AX2" s="15">
        <v>0</v>
      </c>
      <c r="AY2" s="13">
        <v>0</v>
      </c>
      <c r="AZ2" s="14">
        <v>0</v>
      </c>
      <c r="BA2" s="15">
        <v>0</v>
      </c>
      <c r="BB2" s="13">
        <v>0</v>
      </c>
      <c r="BC2" s="14">
        <v>0</v>
      </c>
      <c r="BD2" s="15">
        <v>0</v>
      </c>
      <c r="BE2" s="13">
        <v>0</v>
      </c>
      <c r="BF2" s="14">
        <v>0</v>
      </c>
      <c r="BG2" s="15">
        <v>0</v>
      </c>
      <c r="BH2" s="13">
        <v>0</v>
      </c>
      <c r="BI2" s="14">
        <v>0</v>
      </c>
      <c r="BJ2" s="15">
        <v>0</v>
      </c>
      <c r="BK2" s="13">
        <v>0</v>
      </c>
      <c r="BL2" s="14">
        <v>0</v>
      </c>
      <c r="BM2" s="15">
        <v>0</v>
      </c>
      <c r="BN2" s="13">
        <v>0</v>
      </c>
      <c r="BO2" s="14">
        <v>0</v>
      </c>
      <c r="BP2" s="15">
        <v>0</v>
      </c>
      <c r="BQ2" s="13">
        <v>0</v>
      </c>
      <c r="BR2" s="14">
        <v>0</v>
      </c>
      <c r="BS2" s="15">
        <v>0</v>
      </c>
      <c r="BT2" s="13">
        <v>0</v>
      </c>
      <c r="BU2" s="14">
        <v>0</v>
      </c>
      <c r="BV2" s="15">
        <v>0</v>
      </c>
      <c r="BW2" s="13">
        <v>0</v>
      </c>
      <c r="BX2" s="14">
        <v>0</v>
      </c>
      <c r="BY2" s="15">
        <v>0</v>
      </c>
      <c r="BZ2" s="13">
        <v>0</v>
      </c>
      <c r="CA2" s="14">
        <v>0</v>
      </c>
      <c r="CB2" s="92">
        <v>0</v>
      </c>
    </row>
    <row r="3" spans="1:80" x14ac:dyDescent="0.25">
      <c r="A3" s="23">
        <v>1</v>
      </c>
      <c r="B3" s="23">
        <v>2</v>
      </c>
      <c r="C3" s="23" t="str">
        <f t="shared" si="0"/>
        <v>T1_2</v>
      </c>
      <c r="E3" s="3">
        <f>IF(VLOOKUP($C3,'2D-Chapra'!$C$2:$T$55,MID(E$1,2,2)+2,0)="","",VLOOKUP($C3,'2D-Chapra'!$C$2:$T$55,MID(E$1,2,2)+2,0))</f>
        <v>1</v>
      </c>
      <c r="F3" s="4" t="str">
        <f>IF(VLOOKUP($C3,'2D-Chapra'!$C$2:$T$55,MID(F$1,2,2)+2,0)="","",VLOOKUP($C3,'2D-Chapra'!$C$2:$T$55,MID(F$1,2,2)+2,0))</f>
        <v/>
      </c>
      <c r="G3" s="4" t="str">
        <f>IF(VLOOKUP($C3,'2D-Chapra'!$C$2:$T$55,MID(G$1,2,2)+2,0)="","",VLOOKUP($C3,'2D-Chapra'!$C$2:$T$55,MID(G$1,2,2)+2,0))</f>
        <v/>
      </c>
      <c r="H3" s="4" t="str">
        <f>IF(VLOOKUP($C3,'2D-Chapra'!$C$2:$T$55,MID(H$1,2,2)+2,0)="","",VLOOKUP($C3,'2D-Chapra'!$C$2:$T$55,MID(H$1,2,2)+2,0))</f>
        <v/>
      </c>
      <c r="I3" s="4" t="str">
        <f>IF(VLOOKUP($C3,'2D-Chapra'!$C$2:$T$55,MID(I$1,2,2)+2,0)="","",VLOOKUP($C3,'2D-Chapra'!$C$2:$T$55,MID(I$1,2,2)+2,0))</f>
        <v/>
      </c>
      <c r="J3" s="4" t="str">
        <f>IF(VLOOKUP($C3,'2D-Chapra'!$C$2:$T$55,MID(J$1,2,2)+2,0)="","",VLOOKUP($C3,'2D-Chapra'!$C$2:$T$55,MID(J$1,2,2)+2,0))</f>
        <v/>
      </c>
      <c r="K3" s="4" t="str">
        <f>IF(VLOOKUP($C3,'2D-Chapra'!$C$2:$T$55,MID(K$1,2,2)+2,0)="","",VLOOKUP($C3,'2D-Chapra'!$C$2:$T$55,MID(K$1,2,2)+2,0))</f>
        <v/>
      </c>
      <c r="L3" s="4" t="str">
        <f>IF(VLOOKUP($C3,'2D-Chapra'!$C$2:$T$55,MID(L$1,2,2)+2,0)="","",VLOOKUP($C3,'2D-Chapra'!$C$2:$T$55,MID(L$1,2,2)+2,0))</f>
        <v/>
      </c>
      <c r="M3" s="4" t="str">
        <f>IF(VLOOKUP($C3,'2D-Chapra'!$C$2:$T$55,MID(M$1,2,2)+2,0)="","",VLOOKUP($C3,'2D-Chapra'!$C$2:$T$55,MID(M$1,2,2)+2,0))</f>
        <v/>
      </c>
      <c r="N3" s="4" t="str">
        <f>IF(VLOOKUP($C3,'2D-Chapra'!$C$2:$T$55,MID(N$1,2,2)+2,0)="","",VLOOKUP($C3,'2D-Chapra'!$C$2:$T$55,MID(N$1,2,2)+2,0))</f>
        <v/>
      </c>
      <c r="O3" s="4" t="str">
        <f>IF(VLOOKUP($C3,'2D-Chapra'!$C$2:$T$55,MID(O$1,2,2)+2,0)="","",VLOOKUP($C3,'2D-Chapra'!$C$2:$T$55,MID(O$1,2,2)+2,0))</f>
        <v/>
      </c>
      <c r="P3" s="4" t="str">
        <f>IF(VLOOKUP($C3,'2D-Chapra'!$C$2:$T$55,MID(P$1,2,2)+2,0)="","",VLOOKUP($C3,'2D-Chapra'!$C$2:$T$55,MID(P$1,2,2)+2,0))</f>
        <v/>
      </c>
      <c r="Q3" s="4" t="str">
        <f>IF(VLOOKUP($C3,'2D-Chapra'!$C$2:$T$55,MID(Q$1,2,2)+2,0)="","",VLOOKUP($C3,'2D-Chapra'!$C$2:$T$55,MID(Q$1,2,2)+2,0))</f>
        <v/>
      </c>
      <c r="R3" s="4" t="str">
        <f>IF(VLOOKUP($C3,'2D-Chapra'!$C$2:$T$55,MID(R$1,2,2)+2,0)="","",VLOOKUP($C3,'2D-Chapra'!$C$2:$T$55,MID(R$1,2,2)+2,0))</f>
        <v/>
      </c>
      <c r="S3" s="4" t="str">
        <f>IF(VLOOKUP($C3,'2D-Chapra'!$C$2:$T$55,MID(S$1,2,2)+2,0)="","",VLOOKUP($C3,'2D-Chapra'!$C$2:$T$55,MID(S$1,2,2)+2,0))</f>
        <v/>
      </c>
      <c r="T3" s="5" t="str">
        <f>IF(VLOOKUP($C3,'2D-Chapra'!$C$2:$T$55,MID(T$1,2,2)+2,0)="","",VLOOKUP($C3,'2D-Chapra'!$C$2:$T$55,MID(T$1,2,2)+2,0))</f>
        <v/>
      </c>
      <c r="W3" s="93">
        <v>1</v>
      </c>
      <c r="X3" s="49">
        <v>-1</v>
      </c>
      <c r="Y3" s="94">
        <v>-1</v>
      </c>
      <c r="Z3" s="95" t="s">
        <v>10</v>
      </c>
      <c r="AA3" s="140">
        <f ca="1"/>
        <v>0</v>
      </c>
      <c r="AB3" s="141">
        <f ca="1"/>
        <v>0.25</v>
      </c>
      <c r="AC3" s="142">
        <f ca="1"/>
        <v>-0.25</v>
      </c>
      <c r="AD3" s="16">
        <v>0</v>
      </c>
      <c r="AE3" s="4">
        <v>0</v>
      </c>
      <c r="AF3" s="17">
        <v>0</v>
      </c>
      <c r="AG3" s="16">
        <v>0</v>
      </c>
      <c r="AH3" s="4">
        <v>0</v>
      </c>
      <c r="AI3" s="17">
        <v>0</v>
      </c>
      <c r="AJ3" s="16">
        <v>0</v>
      </c>
      <c r="AK3" s="4">
        <v>0</v>
      </c>
      <c r="AL3" s="17">
        <v>0</v>
      </c>
      <c r="AM3" s="16">
        <v>0</v>
      </c>
      <c r="AN3" s="4">
        <v>0</v>
      </c>
      <c r="AO3" s="17">
        <v>0</v>
      </c>
      <c r="AP3" s="16">
        <v>0</v>
      </c>
      <c r="AQ3" s="4">
        <v>0</v>
      </c>
      <c r="AR3" s="17">
        <v>0</v>
      </c>
      <c r="AS3" s="16">
        <v>0</v>
      </c>
      <c r="AT3" s="4">
        <v>0</v>
      </c>
      <c r="AU3" s="17">
        <v>0</v>
      </c>
      <c r="AV3" s="16">
        <v>0</v>
      </c>
      <c r="AW3" s="4">
        <v>0</v>
      </c>
      <c r="AX3" s="17">
        <v>0</v>
      </c>
      <c r="AY3" s="16">
        <v>0</v>
      </c>
      <c r="AZ3" s="4">
        <v>0</v>
      </c>
      <c r="BA3" s="17">
        <v>0</v>
      </c>
      <c r="BB3" s="16">
        <v>0</v>
      </c>
      <c r="BC3" s="4">
        <v>0</v>
      </c>
      <c r="BD3" s="17">
        <v>0</v>
      </c>
      <c r="BE3" s="16">
        <v>0</v>
      </c>
      <c r="BF3" s="4">
        <v>0</v>
      </c>
      <c r="BG3" s="17">
        <v>0</v>
      </c>
      <c r="BH3" s="16">
        <v>0</v>
      </c>
      <c r="BI3" s="4">
        <v>0</v>
      </c>
      <c r="BJ3" s="17">
        <v>0</v>
      </c>
      <c r="BK3" s="16">
        <v>0</v>
      </c>
      <c r="BL3" s="4">
        <v>0</v>
      </c>
      <c r="BM3" s="17">
        <v>0</v>
      </c>
      <c r="BN3" s="16">
        <v>0</v>
      </c>
      <c r="BO3" s="4">
        <v>0</v>
      </c>
      <c r="BP3" s="17">
        <v>0</v>
      </c>
      <c r="BQ3" s="16">
        <v>0</v>
      </c>
      <c r="BR3" s="4">
        <v>0</v>
      </c>
      <c r="BS3" s="17">
        <v>0</v>
      </c>
      <c r="BT3" s="16">
        <v>0</v>
      </c>
      <c r="BU3" s="4">
        <v>0</v>
      </c>
      <c r="BV3" s="17">
        <v>0</v>
      </c>
      <c r="BW3" s="16">
        <v>0</v>
      </c>
      <c r="BX3" s="4">
        <v>0</v>
      </c>
      <c r="BY3" s="17">
        <v>0</v>
      </c>
      <c r="BZ3" s="16">
        <v>0</v>
      </c>
      <c r="CA3" s="4">
        <v>0</v>
      </c>
      <c r="CB3" s="5">
        <v>0</v>
      </c>
    </row>
    <row r="4" spans="1:80" x14ac:dyDescent="0.25">
      <c r="A4" s="23">
        <v>1</v>
      </c>
      <c r="B4" s="23">
        <v>3</v>
      </c>
      <c r="C4" s="23" t="str">
        <f t="shared" si="0"/>
        <v>T1_3</v>
      </c>
      <c r="E4" s="3" t="str">
        <f>IF(VLOOKUP($C4,'2D-Chapra'!$C$2:$T$55,MID(E$1,2,2)+2,0)="","",VLOOKUP($C4,'2D-Chapra'!$C$2:$T$55,MID(E$1,2,2)+2,0))</f>
        <v/>
      </c>
      <c r="F4" s="4" t="str">
        <f>IF(VLOOKUP($C4,'2D-Chapra'!$C$2:$T$55,MID(F$1,2,2)+2,0)="","",VLOOKUP($C4,'2D-Chapra'!$C$2:$T$55,MID(F$1,2,2)+2,0))</f>
        <v/>
      </c>
      <c r="G4" s="4" t="str">
        <f>IF(VLOOKUP($C4,'2D-Chapra'!$C$2:$T$55,MID(G$1,2,2)+2,0)="","",VLOOKUP($C4,'2D-Chapra'!$C$2:$T$55,MID(G$1,2,2)+2,0))</f>
        <v/>
      </c>
      <c r="H4" s="4" t="str">
        <f>IF(VLOOKUP($C4,'2D-Chapra'!$C$2:$T$55,MID(H$1,2,2)+2,0)="","",VLOOKUP($C4,'2D-Chapra'!$C$2:$T$55,MID(H$1,2,2)+2,0))</f>
        <v/>
      </c>
      <c r="I4" s="4" t="str">
        <f>IF(VLOOKUP($C4,'2D-Chapra'!$C$2:$T$55,MID(I$1,2,2)+2,0)="","",VLOOKUP($C4,'2D-Chapra'!$C$2:$T$55,MID(I$1,2,2)+2,0))</f>
        <v/>
      </c>
      <c r="J4" s="4" t="str">
        <f>IF(VLOOKUP($C4,'2D-Chapra'!$C$2:$T$55,MID(J$1,2,2)+2,0)="","",VLOOKUP($C4,'2D-Chapra'!$C$2:$T$55,MID(J$1,2,2)+2,0))</f>
        <v/>
      </c>
      <c r="K4" s="4" t="str">
        <f>IF(VLOOKUP($C4,'2D-Chapra'!$C$2:$T$55,MID(K$1,2,2)+2,0)="","",VLOOKUP($C4,'2D-Chapra'!$C$2:$T$55,MID(K$1,2,2)+2,0))</f>
        <v/>
      </c>
      <c r="L4" s="4" t="str">
        <f>IF(VLOOKUP($C4,'2D-Chapra'!$C$2:$T$55,MID(L$1,2,2)+2,0)="","",VLOOKUP($C4,'2D-Chapra'!$C$2:$T$55,MID(L$1,2,2)+2,0))</f>
        <v/>
      </c>
      <c r="M4" s="4">
        <f>IF(VLOOKUP($C4,'2D-Chapra'!$C$2:$T$55,MID(M$1,2,2)+2,0)="","",VLOOKUP($C4,'2D-Chapra'!$C$2:$T$55,MID(M$1,2,2)+2,0))</f>
        <v>1</v>
      </c>
      <c r="N4" s="4" t="str">
        <f>IF(VLOOKUP($C4,'2D-Chapra'!$C$2:$T$55,MID(N$1,2,2)+2,0)="","",VLOOKUP($C4,'2D-Chapra'!$C$2:$T$55,MID(N$1,2,2)+2,0))</f>
        <v/>
      </c>
      <c r="O4" s="4" t="str">
        <f>IF(VLOOKUP($C4,'2D-Chapra'!$C$2:$T$55,MID(O$1,2,2)+2,0)="","",VLOOKUP($C4,'2D-Chapra'!$C$2:$T$55,MID(O$1,2,2)+2,0))</f>
        <v/>
      </c>
      <c r="P4" s="4" t="str">
        <f>IF(VLOOKUP($C4,'2D-Chapra'!$C$2:$T$55,MID(P$1,2,2)+2,0)="","",VLOOKUP($C4,'2D-Chapra'!$C$2:$T$55,MID(P$1,2,2)+2,0))</f>
        <v/>
      </c>
      <c r="Q4" s="4" t="str">
        <f>IF(VLOOKUP($C4,'2D-Chapra'!$C$2:$T$55,MID(Q$1,2,2)+2,0)="","",VLOOKUP($C4,'2D-Chapra'!$C$2:$T$55,MID(Q$1,2,2)+2,0))</f>
        <v/>
      </c>
      <c r="R4" s="4" t="str">
        <f>IF(VLOOKUP($C4,'2D-Chapra'!$C$2:$T$55,MID(R$1,2,2)+2,0)="","",VLOOKUP($C4,'2D-Chapra'!$C$2:$T$55,MID(R$1,2,2)+2,0))</f>
        <v/>
      </c>
      <c r="S4" s="4" t="str">
        <f>IF(VLOOKUP($C4,'2D-Chapra'!$C$2:$T$55,MID(S$1,2,2)+2,0)="","",VLOOKUP($C4,'2D-Chapra'!$C$2:$T$55,MID(S$1,2,2)+2,0))</f>
        <v/>
      </c>
      <c r="T4" s="5" t="str">
        <f>IF(VLOOKUP($C4,'2D-Chapra'!$C$2:$T$55,MID(T$1,2,2)+2,0)="","",VLOOKUP($C4,'2D-Chapra'!$C$2:$T$55,MID(T$1,2,2)+2,0))</f>
        <v/>
      </c>
      <c r="W4" s="97">
        <v>1</v>
      </c>
      <c r="X4" s="98">
        <v>-3</v>
      </c>
      <c r="Y4" s="99">
        <v>-1</v>
      </c>
      <c r="Z4" s="100" t="s">
        <v>11</v>
      </c>
      <c r="AA4" s="143">
        <f ca="1"/>
        <v>-0.25</v>
      </c>
      <c r="AB4" s="144">
        <f ca="1"/>
        <v>-0.25</v>
      </c>
      <c r="AC4" s="145">
        <f ca="1"/>
        <v>0.5</v>
      </c>
      <c r="AD4" s="18">
        <v>0</v>
      </c>
      <c r="AE4" s="19">
        <v>0</v>
      </c>
      <c r="AF4" s="20">
        <v>0</v>
      </c>
      <c r="AG4" s="18">
        <v>0</v>
      </c>
      <c r="AH4" s="19">
        <v>0</v>
      </c>
      <c r="AI4" s="20">
        <v>0</v>
      </c>
      <c r="AJ4" s="18">
        <v>0</v>
      </c>
      <c r="AK4" s="19">
        <v>0</v>
      </c>
      <c r="AL4" s="20">
        <v>0</v>
      </c>
      <c r="AM4" s="18">
        <v>0</v>
      </c>
      <c r="AN4" s="19">
        <v>0</v>
      </c>
      <c r="AO4" s="20">
        <v>0</v>
      </c>
      <c r="AP4" s="18">
        <v>0</v>
      </c>
      <c r="AQ4" s="19">
        <v>0</v>
      </c>
      <c r="AR4" s="20">
        <v>0</v>
      </c>
      <c r="AS4" s="18">
        <v>0</v>
      </c>
      <c r="AT4" s="19">
        <v>0</v>
      </c>
      <c r="AU4" s="20">
        <v>0</v>
      </c>
      <c r="AV4" s="18">
        <v>0</v>
      </c>
      <c r="AW4" s="19">
        <v>0</v>
      </c>
      <c r="AX4" s="20">
        <v>0</v>
      </c>
      <c r="AY4" s="18">
        <v>0</v>
      </c>
      <c r="AZ4" s="19">
        <v>0</v>
      </c>
      <c r="BA4" s="20">
        <v>0</v>
      </c>
      <c r="BB4" s="18">
        <v>0</v>
      </c>
      <c r="BC4" s="19">
        <v>0</v>
      </c>
      <c r="BD4" s="20">
        <v>0</v>
      </c>
      <c r="BE4" s="18">
        <v>0</v>
      </c>
      <c r="BF4" s="19">
        <v>0</v>
      </c>
      <c r="BG4" s="20">
        <v>0</v>
      </c>
      <c r="BH4" s="18">
        <v>0</v>
      </c>
      <c r="BI4" s="19">
        <v>0</v>
      </c>
      <c r="BJ4" s="20">
        <v>0</v>
      </c>
      <c r="BK4" s="18">
        <v>0</v>
      </c>
      <c r="BL4" s="19">
        <v>0</v>
      </c>
      <c r="BM4" s="20">
        <v>0</v>
      </c>
      <c r="BN4" s="18">
        <v>0</v>
      </c>
      <c r="BO4" s="19">
        <v>0</v>
      </c>
      <c r="BP4" s="20">
        <v>0</v>
      </c>
      <c r="BQ4" s="18">
        <v>0</v>
      </c>
      <c r="BR4" s="19">
        <v>0</v>
      </c>
      <c r="BS4" s="20">
        <v>0</v>
      </c>
      <c r="BT4" s="18">
        <v>0</v>
      </c>
      <c r="BU4" s="19">
        <v>0</v>
      </c>
      <c r="BV4" s="20">
        <v>0</v>
      </c>
      <c r="BW4" s="18">
        <v>0</v>
      </c>
      <c r="BX4" s="19">
        <v>0</v>
      </c>
      <c r="BY4" s="20">
        <v>0</v>
      </c>
      <c r="BZ4" s="18">
        <v>0</v>
      </c>
      <c r="CA4" s="19">
        <v>0</v>
      </c>
      <c r="CB4" s="104">
        <v>0</v>
      </c>
    </row>
    <row r="5" spans="1:80" x14ac:dyDescent="0.25">
      <c r="A5" s="23">
        <f t="shared" ref="A5:A55" si="1">IF(B4=3,A4+1,A4)</f>
        <v>2</v>
      </c>
      <c r="B5" s="23">
        <f t="shared" ref="B5:B55" si="2">IF(B4=3,1,B4+1)</f>
        <v>1</v>
      </c>
      <c r="C5" s="23" t="str">
        <f t="shared" si="0"/>
        <v>T2_1</v>
      </c>
      <c r="E5" s="3" t="str">
        <f>IF(VLOOKUP($C5,'2D-Chapra'!$C$2:$T$55,MID(E$1,2,2)+2,0)="","",VLOOKUP($C5,'2D-Chapra'!$C$2:$T$55,MID(E$1,2,2)+2,0))</f>
        <v/>
      </c>
      <c r="F5" s="4" t="str">
        <f>IF(VLOOKUP($C5,'2D-Chapra'!$C$2:$T$55,MID(F$1,2,2)+2,0)="","",VLOOKUP($C5,'2D-Chapra'!$C$2:$T$55,MID(F$1,2,2)+2,0))</f>
        <v/>
      </c>
      <c r="G5" s="4" t="str">
        <f>IF(VLOOKUP($C5,'2D-Chapra'!$C$2:$T$55,MID(G$1,2,2)+2,0)="","",VLOOKUP($C5,'2D-Chapra'!$C$2:$T$55,MID(G$1,2,2)+2,0))</f>
        <v/>
      </c>
      <c r="H5" s="4" t="str">
        <f>IF(VLOOKUP($C5,'2D-Chapra'!$C$2:$T$55,MID(H$1,2,2)+2,0)="","",VLOOKUP($C5,'2D-Chapra'!$C$2:$T$55,MID(H$1,2,2)+2,0))</f>
        <v/>
      </c>
      <c r="I5" s="4">
        <f>IF(VLOOKUP($C5,'2D-Chapra'!$C$2:$T$55,MID(I$1,2,2)+2,0)="","",VLOOKUP($C5,'2D-Chapra'!$C$2:$T$55,MID(I$1,2,2)+2,0))</f>
        <v>1</v>
      </c>
      <c r="J5" s="4" t="str">
        <f>IF(VLOOKUP($C5,'2D-Chapra'!$C$2:$T$55,MID(J$1,2,2)+2,0)="","",VLOOKUP($C5,'2D-Chapra'!$C$2:$T$55,MID(J$1,2,2)+2,0))</f>
        <v/>
      </c>
      <c r="K5" s="4" t="str">
        <f>IF(VLOOKUP($C5,'2D-Chapra'!$C$2:$T$55,MID(K$1,2,2)+2,0)="","",VLOOKUP($C5,'2D-Chapra'!$C$2:$T$55,MID(K$1,2,2)+2,0))</f>
        <v/>
      </c>
      <c r="L5" s="4" t="str">
        <f>IF(VLOOKUP($C5,'2D-Chapra'!$C$2:$T$55,MID(L$1,2,2)+2,0)="","",VLOOKUP($C5,'2D-Chapra'!$C$2:$T$55,MID(L$1,2,2)+2,0))</f>
        <v/>
      </c>
      <c r="M5" s="4" t="str">
        <f>IF(VLOOKUP($C5,'2D-Chapra'!$C$2:$T$55,MID(M$1,2,2)+2,0)="","",VLOOKUP($C5,'2D-Chapra'!$C$2:$T$55,MID(M$1,2,2)+2,0))</f>
        <v/>
      </c>
      <c r="N5" s="4" t="str">
        <f>IF(VLOOKUP($C5,'2D-Chapra'!$C$2:$T$55,MID(N$1,2,2)+2,0)="","",VLOOKUP($C5,'2D-Chapra'!$C$2:$T$55,MID(N$1,2,2)+2,0))</f>
        <v/>
      </c>
      <c r="O5" s="4" t="str">
        <f>IF(VLOOKUP($C5,'2D-Chapra'!$C$2:$T$55,MID(O$1,2,2)+2,0)="","",VLOOKUP($C5,'2D-Chapra'!$C$2:$T$55,MID(O$1,2,2)+2,0))</f>
        <v/>
      </c>
      <c r="P5" s="4" t="str">
        <f>IF(VLOOKUP($C5,'2D-Chapra'!$C$2:$T$55,MID(P$1,2,2)+2,0)="","",VLOOKUP($C5,'2D-Chapra'!$C$2:$T$55,MID(P$1,2,2)+2,0))</f>
        <v/>
      </c>
      <c r="Q5" s="4" t="str">
        <f>IF(VLOOKUP($C5,'2D-Chapra'!$C$2:$T$55,MID(Q$1,2,2)+2,0)="","",VLOOKUP($C5,'2D-Chapra'!$C$2:$T$55,MID(Q$1,2,2)+2,0))</f>
        <v/>
      </c>
      <c r="R5" s="4" t="str">
        <f>IF(VLOOKUP($C5,'2D-Chapra'!$C$2:$T$55,MID(R$1,2,2)+2,0)="","",VLOOKUP($C5,'2D-Chapra'!$C$2:$T$55,MID(R$1,2,2)+2,0))</f>
        <v/>
      </c>
      <c r="S5" s="4" t="str">
        <f>IF(VLOOKUP($C5,'2D-Chapra'!$C$2:$T$55,MID(S$1,2,2)+2,0)="","",VLOOKUP($C5,'2D-Chapra'!$C$2:$T$55,MID(S$1,2,2)+2,0))</f>
        <v/>
      </c>
      <c r="T5" s="5" t="str">
        <f>IF(VLOOKUP($C5,'2D-Chapra'!$C$2:$T$55,MID(T$1,2,2)+2,0)="","",VLOOKUP($C5,'2D-Chapra'!$C$2:$T$55,MID(T$1,2,2)+2,0))</f>
        <v/>
      </c>
      <c r="W5" s="85">
        <v>1</v>
      </c>
      <c r="X5" s="86">
        <v>-3</v>
      </c>
      <c r="Y5" s="87">
        <v>-3</v>
      </c>
      <c r="Z5" s="88" t="s">
        <v>12</v>
      </c>
      <c r="AA5" s="105">
        <v>0</v>
      </c>
      <c r="AB5" s="14">
        <v>0</v>
      </c>
      <c r="AC5" s="15">
        <v>0</v>
      </c>
      <c r="AD5" s="106">
        <f t="array" aca="1" ref="AD5:AF7" ca="1">rigidez($W5:$Y7)</f>
        <v>0.25</v>
      </c>
      <c r="AE5" s="90">
        <f ca="1"/>
        <v>-0.25</v>
      </c>
      <c r="AF5" s="91">
        <f ca="1"/>
        <v>0</v>
      </c>
      <c r="AG5" s="13">
        <v>0</v>
      </c>
      <c r="AH5" s="14">
        <v>0</v>
      </c>
      <c r="AI5" s="15">
        <v>0</v>
      </c>
      <c r="AJ5" s="13">
        <v>0</v>
      </c>
      <c r="AK5" s="14">
        <v>0</v>
      </c>
      <c r="AL5" s="15">
        <v>0</v>
      </c>
      <c r="AM5" s="13">
        <v>0</v>
      </c>
      <c r="AN5" s="14">
        <v>0</v>
      </c>
      <c r="AO5" s="15">
        <v>0</v>
      </c>
      <c r="AP5" s="13">
        <v>0</v>
      </c>
      <c r="AQ5" s="14">
        <v>0</v>
      </c>
      <c r="AR5" s="15">
        <v>0</v>
      </c>
      <c r="AS5" s="13">
        <v>0</v>
      </c>
      <c r="AT5" s="14">
        <v>0</v>
      </c>
      <c r="AU5" s="15">
        <v>0</v>
      </c>
      <c r="AV5" s="13">
        <v>0</v>
      </c>
      <c r="AW5" s="14">
        <v>0</v>
      </c>
      <c r="AX5" s="15">
        <v>0</v>
      </c>
      <c r="AY5" s="13">
        <v>0</v>
      </c>
      <c r="AZ5" s="14">
        <v>0</v>
      </c>
      <c r="BA5" s="15">
        <v>0</v>
      </c>
      <c r="BB5" s="13">
        <v>0</v>
      </c>
      <c r="BC5" s="14">
        <v>0</v>
      </c>
      <c r="BD5" s="15">
        <v>0</v>
      </c>
      <c r="BE5" s="13">
        <v>0</v>
      </c>
      <c r="BF5" s="14">
        <v>0</v>
      </c>
      <c r="BG5" s="15">
        <v>0</v>
      </c>
      <c r="BH5" s="13">
        <v>0</v>
      </c>
      <c r="BI5" s="14">
        <v>0</v>
      </c>
      <c r="BJ5" s="15">
        <v>0</v>
      </c>
      <c r="BK5" s="13">
        <v>0</v>
      </c>
      <c r="BL5" s="14">
        <v>0</v>
      </c>
      <c r="BM5" s="15">
        <v>0</v>
      </c>
      <c r="BN5" s="13">
        <v>0</v>
      </c>
      <c r="BO5" s="14">
        <v>0</v>
      </c>
      <c r="BP5" s="15">
        <v>0</v>
      </c>
      <c r="BQ5" s="13">
        <v>0</v>
      </c>
      <c r="BR5" s="14">
        <v>0</v>
      </c>
      <c r="BS5" s="15">
        <v>0</v>
      </c>
      <c r="BT5" s="13">
        <v>0</v>
      </c>
      <c r="BU5" s="14">
        <v>0</v>
      </c>
      <c r="BV5" s="15">
        <v>0</v>
      </c>
      <c r="BW5" s="13">
        <v>0</v>
      </c>
      <c r="BX5" s="14">
        <v>0</v>
      </c>
      <c r="BY5" s="15">
        <v>0</v>
      </c>
      <c r="BZ5" s="13">
        <v>0</v>
      </c>
      <c r="CA5" s="14">
        <v>0</v>
      </c>
      <c r="CB5" s="92">
        <v>0</v>
      </c>
    </row>
    <row r="6" spans="1:80" x14ac:dyDescent="0.25">
      <c r="A6" s="23">
        <f t="shared" si="1"/>
        <v>2</v>
      </c>
      <c r="B6" s="23">
        <f t="shared" si="2"/>
        <v>2</v>
      </c>
      <c r="C6" s="23" t="str">
        <f t="shared" si="0"/>
        <v>T2_2</v>
      </c>
      <c r="E6" s="3" t="str">
        <f>IF(VLOOKUP($C6,'2D-Chapra'!$C$2:$T$55,MID(E$1,2,2)+2,0)="","",VLOOKUP($C6,'2D-Chapra'!$C$2:$T$55,MID(E$1,2,2)+2,0))</f>
        <v/>
      </c>
      <c r="F6" s="4" t="str">
        <f>IF(VLOOKUP($C6,'2D-Chapra'!$C$2:$T$55,MID(F$1,2,2)+2,0)="","",VLOOKUP($C6,'2D-Chapra'!$C$2:$T$55,MID(F$1,2,2)+2,0))</f>
        <v/>
      </c>
      <c r="G6" s="4" t="str">
        <f>IF(VLOOKUP($C6,'2D-Chapra'!$C$2:$T$55,MID(G$1,2,2)+2,0)="","",VLOOKUP($C6,'2D-Chapra'!$C$2:$T$55,MID(G$1,2,2)+2,0))</f>
        <v/>
      </c>
      <c r="H6" s="4" t="str">
        <f>IF(VLOOKUP($C6,'2D-Chapra'!$C$2:$T$55,MID(H$1,2,2)+2,0)="","",VLOOKUP($C6,'2D-Chapra'!$C$2:$T$55,MID(H$1,2,2)+2,0))</f>
        <v/>
      </c>
      <c r="I6" s="4" t="str">
        <f>IF(VLOOKUP($C6,'2D-Chapra'!$C$2:$T$55,MID(I$1,2,2)+2,0)="","",VLOOKUP($C6,'2D-Chapra'!$C$2:$T$55,MID(I$1,2,2)+2,0))</f>
        <v/>
      </c>
      <c r="J6" s="4">
        <f>IF(VLOOKUP($C6,'2D-Chapra'!$C$2:$T$55,MID(J$1,2,2)+2,0)="","",VLOOKUP($C6,'2D-Chapra'!$C$2:$T$55,MID(J$1,2,2)+2,0))</f>
        <v>1</v>
      </c>
      <c r="K6" s="4" t="str">
        <f>IF(VLOOKUP($C6,'2D-Chapra'!$C$2:$T$55,MID(K$1,2,2)+2,0)="","",VLOOKUP($C6,'2D-Chapra'!$C$2:$T$55,MID(K$1,2,2)+2,0))</f>
        <v/>
      </c>
      <c r="L6" s="4" t="str">
        <f>IF(VLOOKUP($C6,'2D-Chapra'!$C$2:$T$55,MID(L$1,2,2)+2,0)="","",VLOOKUP($C6,'2D-Chapra'!$C$2:$T$55,MID(L$1,2,2)+2,0))</f>
        <v/>
      </c>
      <c r="M6" s="4" t="str">
        <f>IF(VLOOKUP($C6,'2D-Chapra'!$C$2:$T$55,MID(M$1,2,2)+2,0)="","",VLOOKUP($C6,'2D-Chapra'!$C$2:$T$55,MID(M$1,2,2)+2,0))</f>
        <v/>
      </c>
      <c r="N6" s="4" t="str">
        <f>IF(VLOOKUP($C6,'2D-Chapra'!$C$2:$T$55,MID(N$1,2,2)+2,0)="","",VLOOKUP($C6,'2D-Chapra'!$C$2:$T$55,MID(N$1,2,2)+2,0))</f>
        <v/>
      </c>
      <c r="O6" s="4" t="str">
        <f>IF(VLOOKUP($C6,'2D-Chapra'!$C$2:$T$55,MID(O$1,2,2)+2,0)="","",VLOOKUP($C6,'2D-Chapra'!$C$2:$T$55,MID(O$1,2,2)+2,0))</f>
        <v/>
      </c>
      <c r="P6" s="4" t="str">
        <f>IF(VLOOKUP($C6,'2D-Chapra'!$C$2:$T$55,MID(P$1,2,2)+2,0)="","",VLOOKUP($C6,'2D-Chapra'!$C$2:$T$55,MID(P$1,2,2)+2,0))</f>
        <v/>
      </c>
      <c r="Q6" s="4" t="str">
        <f>IF(VLOOKUP($C6,'2D-Chapra'!$C$2:$T$55,MID(Q$1,2,2)+2,0)="","",VLOOKUP($C6,'2D-Chapra'!$C$2:$T$55,MID(Q$1,2,2)+2,0))</f>
        <v/>
      </c>
      <c r="R6" s="4" t="str">
        <f>IF(VLOOKUP($C6,'2D-Chapra'!$C$2:$T$55,MID(R$1,2,2)+2,0)="","",VLOOKUP($C6,'2D-Chapra'!$C$2:$T$55,MID(R$1,2,2)+2,0))</f>
        <v/>
      </c>
      <c r="S6" s="4" t="str">
        <f>IF(VLOOKUP($C6,'2D-Chapra'!$C$2:$T$55,MID(S$1,2,2)+2,0)="","",VLOOKUP($C6,'2D-Chapra'!$C$2:$T$55,MID(S$1,2,2)+2,0))</f>
        <v/>
      </c>
      <c r="T6" s="5" t="str">
        <f>IF(VLOOKUP($C6,'2D-Chapra'!$C$2:$T$55,MID(T$1,2,2)+2,0)="","",VLOOKUP($C6,'2D-Chapra'!$C$2:$T$55,MID(T$1,2,2)+2,0))</f>
        <v/>
      </c>
      <c r="W6" s="93">
        <v>1</v>
      </c>
      <c r="X6" s="49">
        <v>-1</v>
      </c>
      <c r="Y6" s="94">
        <v>-3</v>
      </c>
      <c r="Z6" s="95" t="s">
        <v>13</v>
      </c>
      <c r="AA6" s="3">
        <v>0</v>
      </c>
      <c r="AB6" s="4">
        <v>0</v>
      </c>
      <c r="AC6" s="17">
        <v>0</v>
      </c>
      <c r="AD6" s="107">
        <f ca="1"/>
        <v>-0.25</v>
      </c>
      <c r="AE6" s="11">
        <f ca="1"/>
        <v>0.5</v>
      </c>
      <c r="AF6" s="96">
        <f ca="1"/>
        <v>-0.25</v>
      </c>
      <c r="AG6" s="16">
        <v>0</v>
      </c>
      <c r="AH6" s="4">
        <v>0</v>
      </c>
      <c r="AI6" s="17">
        <v>0</v>
      </c>
      <c r="AJ6" s="16">
        <v>0</v>
      </c>
      <c r="AK6" s="4">
        <v>0</v>
      </c>
      <c r="AL6" s="17">
        <v>0</v>
      </c>
      <c r="AM6" s="16">
        <v>0</v>
      </c>
      <c r="AN6" s="4">
        <v>0</v>
      </c>
      <c r="AO6" s="17">
        <v>0</v>
      </c>
      <c r="AP6" s="16">
        <v>0</v>
      </c>
      <c r="AQ6" s="4">
        <v>0</v>
      </c>
      <c r="AR6" s="17">
        <v>0</v>
      </c>
      <c r="AS6" s="16">
        <v>0</v>
      </c>
      <c r="AT6" s="4">
        <v>0</v>
      </c>
      <c r="AU6" s="17">
        <v>0</v>
      </c>
      <c r="AV6" s="16">
        <v>0</v>
      </c>
      <c r="AW6" s="4">
        <v>0</v>
      </c>
      <c r="AX6" s="17">
        <v>0</v>
      </c>
      <c r="AY6" s="16">
        <v>0</v>
      </c>
      <c r="AZ6" s="4">
        <v>0</v>
      </c>
      <c r="BA6" s="17">
        <v>0</v>
      </c>
      <c r="BB6" s="16">
        <v>0</v>
      </c>
      <c r="BC6" s="4">
        <v>0</v>
      </c>
      <c r="BD6" s="17">
        <v>0</v>
      </c>
      <c r="BE6" s="16">
        <v>0</v>
      </c>
      <c r="BF6" s="4">
        <v>0</v>
      </c>
      <c r="BG6" s="17">
        <v>0</v>
      </c>
      <c r="BH6" s="16">
        <v>0</v>
      </c>
      <c r="BI6" s="4">
        <v>0</v>
      </c>
      <c r="BJ6" s="17">
        <v>0</v>
      </c>
      <c r="BK6" s="16">
        <v>0</v>
      </c>
      <c r="BL6" s="4">
        <v>0</v>
      </c>
      <c r="BM6" s="17">
        <v>0</v>
      </c>
      <c r="BN6" s="16">
        <v>0</v>
      </c>
      <c r="BO6" s="4">
        <v>0</v>
      </c>
      <c r="BP6" s="17">
        <v>0</v>
      </c>
      <c r="BQ6" s="16">
        <v>0</v>
      </c>
      <c r="BR6" s="4">
        <v>0</v>
      </c>
      <c r="BS6" s="17">
        <v>0</v>
      </c>
      <c r="BT6" s="16">
        <v>0</v>
      </c>
      <c r="BU6" s="4">
        <v>0</v>
      </c>
      <c r="BV6" s="17">
        <v>0</v>
      </c>
      <c r="BW6" s="16">
        <v>0</v>
      </c>
      <c r="BX6" s="4">
        <v>0</v>
      </c>
      <c r="BY6" s="17">
        <v>0</v>
      </c>
      <c r="BZ6" s="16">
        <v>0</v>
      </c>
      <c r="CA6" s="4">
        <v>0</v>
      </c>
      <c r="CB6" s="5">
        <v>0</v>
      </c>
    </row>
    <row r="7" spans="1:80" x14ac:dyDescent="0.25">
      <c r="A7" s="23">
        <f t="shared" si="1"/>
        <v>2</v>
      </c>
      <c r="B7" s="23">
        <f t="shared" si="2"/>
        <v>3</v>
      </c>
      <c r="C7" s="23" t="str">
        <f t="shared" si="0"/>
        <v>T2_3</v>
      </c>
      <c r="E7" s="3">
        <f>IF(VLOOKUP($C7,'2D-Chapra'!$C$2:$T$55,MID(E$1,2,2)+2,0)="","",VLOOKUP($C7,'2D-Chapra'!$C$2:$T$55,MID(E$1,2,2)+2,0))</f>
        <v>1</v>
      </c>
      <c r="F7" s="4" t="str">
        <f>IF(VLOOKUP($C7,'2D-Chapra'!$C$2:$T$55,MID(F$1,2,2)+2,0)="","",VLOOKUP($C7,'2D-Chapra'!$C$2:$T$55,MID(F$1,2,2)+2,0))</f>
        <v/>
      </c>
      <c r="G7" s="4" t="str">
        <f>IF(VLOOKUP($C7,'2D-Chapra'!$C$2:$T$55,MID(G$1,2,2)+2,0)="","",VLOOKUP($C7,'2D-Chapra'!$C$2:$T$55,MID(G$1,2,2)+2,0))</f>
        <v/>
      </c>
      <c r="H7" s="4" t="str">
        <f>IF(VLOOKUP($C7,'2D-Chapra'!$C$2:$T$55,MID(H$1,2,2)+2,0)="","",VLOOKUP($C7,'2D-Chapra'!$C$2:$T$55,MID(H$1,2,2)+2,0))</f>
        <v/>
      </c>
      <c r="I7" s="4" t="str">
        <f>IF(VLOOKUP($C7,'2D-Chapra'!$C$2:$T$55,MID(I$1,2,2)+2,0)="","",VLOOKUP($C7,'2D-Chapra'!$C$2:$T$55,MID(I$1,2,2)+2,0))</f>
        <v/>
      </c>
      <c r="J7" s="4" t="str">
        <f>IF(VLOOKUP($C7,'2D-Chapra'!$C$2:$T$55,MID(J$1,2,2)+2,0)="","",VLOOKUP($C7,'2D-Chapra'!$C$2:$T$55,MID(J$1,2,2)+2,0))</f>
        <v/>
      </c>
      <c r="K7" s="4" t="str">
        <f>IF(VLOOKUP($C7,'2D-Chapra'!$C$2:$T$55,MID(K$1,2,2)+2,0)="","",VLOOKUP($C7,'2D-Chapra'!$C$2:$T$55,MID(K$1,2,2)+2,0))</f>
        <v/>
      </c>
      <c r="L7" s="4" t="str">
        <f>IF(VLOOKUP($C7,'2D-Chapra'!$C$2:$T$55,MID(L$1,2,2)+2,0)="","",VLOOKUP($C7,'2D-Chapra'!$C$2:$T$55,MID(L$1,2,2)+2,0))</f>
        <v/>
      </c>
      <c r="M7" s="4" t="str">
        <f>IF(VLOOKUP($C7,'2D-Chapra'!$C$2:$T$55,MID(M$1,2,2)+2,0)="","",VLOOKUP($C7,'2D-Chapra'!$C$2:$T$55,MID(M$1,2,2)+2,0))</f>
        <v/>
      </c>
      <c r="N7" s="4" t="str">
        <f>IF(VLOOKUP($C7,'2D-Chapra'!$C$2:$T$55,MID(N$1,2,2)+2,0)="","",VLOOKUP($C7,'2D-Chapra'!$C$2:$T$55,MID(N$1,2,2)+2,0))</f>
        <v/>
      </c>
      <c r="O7" s="4" t="str">
        <f>IF(VLOOKUP($C7,'2D-Chapra'!$C$2:$T$55,MID(O$1,2,2)+2,0)="","",VLOOKUP($C7,'2D-Chapra'!$C$2:$T$55,MID(O$1,2,2)+2,0))</f>
        <v/>
      </c>
      <c r="P7" s="4" t="str">
        <f>IF(VLOOKUP($C7,'2D-Chapra'!$C$2:$T$55,MID(P$1,2,2)+2,0)="","",VLOOKUP($C7,'2D-Chapra'!$C$2:$T$55,MID(P$1,2,2)+2,0))</f>
        <v/>
      </c>
      <c r="Q7" s="4" t="str">
        <f>IF(VLOOKUP($C7,'2D-Chapra'!$C$2:$T$55,MID(Q$1,2,2)+2,0)="","",VLOOKUP($C7,'2D-Chapra'!$C$2:$T$55,MID(Q$1,2,2)+2,0))</f>
        <v/>
      </c>
      <c r="R7" s="4" t="str">
        <f>IF(VLOOKUP($C7,'2D-Chapra'!$C$2:$T$55,MID(R$1,2,2)+2,0)="","",VLOOKUP($C7,'2D-Chapra'!$C$2:$T$55,MID(R$1,2,2)+2,0))</f>
        <v/>
      </c>
      <c r="S7" s="4" t="str">
        <f>IF(VLOOKUP($C7,'2D-Chapra'!$C$2:$T$55,MID(S$1,2,2)+2,0)="","",VLOOKUP($C7,'2D-Chapra'!$C$2:$T$55,MID(S$1,2,2)+2,0))</f>
        <v/>
      </c>
      <c r="T7" s="5" t="str">
        <f>IF(VLOOKUP($C7,'2D-Chapra'!$C$2:$T$55,MID(T$1,2,2)+2,0)="","",VLOOKUP($C7,'2D-Chapra'!$C$2:$T$55,MID(T$1,2,2)+2,0))</f>
        <v/>
      </c>
      <c r="W7" s="97">
        <v>1</v>
      </c>
      <c r="X7" s="98">
        <v>-1</v>
      </c>
      <c r="Y7" s="99">
        <v>-1</v>
      </c>
      <c r="Z7" s="100" t="s">
        <v>14</v>
      </c>
      <c r="AA7" s="108">
        <v>0</v>
      </c>
      <c r="AB7" s="19">
        <v>0</v>
      </c>
      <c r="AC7" s="20">
        <v>0</v>
      </c>
      <c r="AD7" s="109">
        <f ca="1"/>
        <v>0</v>
      </c>
      <c r="AE7" s="102">
        <f ca="1"/>
        <v>-0.25</v>
      </c>
      <c r="AF7" s="103">
        <f ca="1"/>
        <v>0.25</v>
      </c>
      <c r="AG7" s="18">
        <v>0</v>
      </c>
      <c r="AH7" s="19">
        <v>0</v>
      </c>
      <c r="AI7" s="20">
        <v>0</v>
      </c>
      <c r="AJ7" s="18">
        <v>0</v>
      </c>
      <c r="AK7" s="19">
        <v>0</v>
      </c>
      <c r="AL7" s="20">
        <v>0</v>
      </c>
      <c r="AM7" s="18">
        <v>0</v>
      </c>
      <c r="AN7" s="19">
        <v>0</v>
      </c>
      <c r="AO7" s="20">
        <v>0</v>
      </c>
      <c r="AP7" s="18">
        <v>0</v>
      </c>
      <c r="AQ7" s="19">
        <v>0</v>
      </c>
      <c r="AR7" s="20">
        <v>0</v>
      </c>
      <c r="AS7" s="18">
        <v>0</v>
      </c>
      <c r="AT7" s="19">
        <v>0</v>
      </c>
      <c r="AU7" s="20">
        <v>0</v>
      </c>
      <c r="AV7" s="18">
        <v>0</v>
      </c>
      <c r="AW7" s="19">
        <v>0</v>
      </c>
      <c r="AX7" s="20">
        <v>0</v>
      </c>
      <c r="AY7" s="18">
        <v>0</v>
      </c>
      <c r="AZ7" s="19">
        <v>0</v>
      </c>
      <c r="BA7" s="20">
        <v>0</v>
      </c>
      <c r="BB7" s="18">
        <v>0</v>
      </c>
      <c r="BC7" s="19">
        <v>0</v>
      </c>
      <c r="BD7" s="20">
        <v>0</v>
      </c>
      <c r="BE7" s="18">
        <v>0</v>
      </c>
      <c r="BF7" s="19">
        <v>0</v>
      </c>
      <c r="BG7" s="20">
        <v>0</v>
      </c>
      <c r="BH7" s="18">
        <v>0</v>
      </c>
      <c r="BI7" s="19">
        <v>0</v>
      </c>
      <c r="BJ7" s="20">
        <v>0</v>
      </c>
      <c r="BK7" s="18">
        <v>0</v>
      </c>
      <c r="BL7" s="19">
        <v>0</v>
      </c>
      <c r="BM7" s="20">
        <v>0</v>
      </c>
      <c r="BN7" s="18">
        <v>0</v>
      </c>
      <c r="BO7" s="19">
        <v>0</v>
      </c>
      <c r="BP7" s="20">
        <v>0</v>
      </c>
      <c r="BQ7" s="18">
        <v>0</v>
      </c>
      <c r="BR7" s="19">
        <v>0</v>
      </c>
      <c r="BS7" s="20">
        <v>0</v>
      </c>
      <c r="BT7" s="18">
        <v>0</v>
      </c>
      <c r="BU7" s="19">
        <v>0</v>
      </c>
      <c r="BV7" s="20">
        <v>0</v>
      </c>
      <c r="BW7" s="18">
        <v>0</v>
      </c>
      <c r="BX7" s="19">
        <v>0</v>
      </c>
      <c r="BY7" s="20">
        <v>0</v>
      </c>
      <c r="BZ7" s="18">
        <v>0</v>
      </c>
      <c r="CA7" s="19">
        <v>0</v>
      </c>
      <c r="CB7" s="104">
        <v>0</v>
      </c>
    </row>
    <row r="8" spans="1:80" x14ac:dyDescent="0.25">
      <c r="A8" s="23">
        <f t="shared" si="1"/>
        <v>3</v>
      </c>
      <c r="B8" s="23">
        <f t="shared" si="2"/>
        <v>1</v>
      </c>
      <c r="C8" s="23" t="str">
        <f t="shared" si="0"/>
        <v>T3_1</v>
      </c>
      <c r="E8" s="3" t="str">
        <f>IF(VLOOKUP($C8,'2D-Chapra'!$C$2:$T$55,MID(E$1,2,2)+2,0)="","",VLOOKUP($C8,'2D-Chapra'!$C$2:$T$55,MID(E$1,2,2)+2,0))</f>
        <v/>
      </c>
      <c r="F8" s="4" t="str">
        <f>IF(VLOOKUP($C8,'2D-Chapra'!$C$2:$T$55,MID(F$1,2,2)+2,0)="","",VLOOKUP($C8,'2D-Chapra'!$C$2:$T$55,MID(F$1,2,2)+2,0))</f>
        <v/>
      </c>
      <c r="G8" s="4" t="str">
        <f>IF(VLOOKUP($C8,'2D-Chapra'!$C$2:$T$55,MID(G$1,2,2)+2,0)="","",VLOOKUP($C8,'2D-Chapra'!$C$2:$T$55,MID(G$1,2,2)+2,0))</f>
        <v/>
      </c>
      <c r="H8" s="4" t="str">
        <f>IF(VLOOKUP($C8,'2D-Chapra'!$C$2:$T$55,MID(H$1,2,2)+2,0)="","",VLOOKUP($C8,'2D-Chapra'!$C$2:$T$55,MID(H$1,2,2)+2,0))</f>
        <v/>
      </c>
      <c r="I8" s="4" t="str">
        <f>IF(VLOOKUP($C8,'2D-Chapra'!$C$2:$T$55,MID(I$1,2,2)+2,0)="","",VLOOKUP($C8,'2D-Chapra'!$C$2:$T$55,MID(I$1,2,2)+2,0))</f>
        <v/>
      </c>
      <c r="J8" s="4">
        <f>IF(VLOOKUP($C8,'2D-Chapra'!$C$2:$T$55,MID(J$1,2,2)+2,0)="","",VLOOKUP($C8,'2D-Chapra'!$C$2:$T$55,MID(J$1,2,2)+2,0))</f>
        <v>1</v>
      </c>
      <c r="K8" s="4" t="str">
        <f>IF(VLOOKUP($C8,'2D-Chapra'!$C$2:$T$55,MID(K$1,2,2)+2,0)="","",VLOOKUP($C8,'2D-Chapra'!$C$2:$T$55,MID(K$1,2,2)+2,0))</f>
        <v/>
      </c>
      <c r="L8" s="4" t="str">
        <f>IF(VLOOKUP($C8,'2D-Chapra'!$C$2:$T$55,MID(L$1,2,2)+2,0)="","",VLOOKUP($C8,'2D-Chapra'!$C$2:$T$55,MID(L$1,2,2)+2,0))</f>
        <v/>
      </c>
      <c r="M8" s="4" t="str">
        <f>IF(VLOOKUP($C8,'2D-Chapra'!$C$2:$T$55,MID(M$1,2,2)+2,0)="","",VLOOKUP($C8,'2D-Chapra'!$C$2:$T$55,MID(M$1,2,2)+2,0))</f>
        <v/>
      </c>
      <c r="N8" s="4" t="str">
        <f>IF(VLOOKUP($C8,'2D-Chapra'!$C$2:$T$55,MID(N$1,2,2)+2,0)="","",VLOOKUP($C8,'2D-Chapra'!$C$2:$T$55,MID(N$1,2,2)+2,0))</f>
        <v/>
      </c>
      <c r="O8" s="4" t="str">
        <f>IF(VLOOKUP($C8,'2D-Chapra'!$C$2:$T$55,MID(O$1,2,2)+2,0)="","",VLOOKUP($C8,'2D-Chapra'!$C$2:$T$55,MID(O$1,2,2)+2,0))</f>
        <v/>
      </c>
      <c r="P8" s="4" t="str">
        <f>IF(VLOOKUP($C8,'2D-Chapra'!$C$2:$T$55,MID(P$1,2,2)+2,0)="","",VLOOKUP($C8,'2D-Chapra'!$C$2:$T$55,MID(P$1,2,2)+2,0))</f>
        <v/>
      </c>
      <c r="Q8" s="4" t="str">
        <f>IF(VLOOKUP($C8,'2D-Chapra'!$C$2:$T$55,MID(Q$1,2,2)+2,0)="","",VLOOKUP($C8,'2D-Chapra'!$C$2:$T$55,MID(Q$1,2,2)+2,0))</f>
        <v/>
      </c>
      <c r="R8" s="4" t="str">
        <f>IF(VLOOKUP($C8,'2D-Chapra'!$C$2:$T$55,MID(R$1,2,2)+2,0)="","",VLOOKUP($C8,'2D-Chapra'!$C$2:$T$55,MID(R$1,2,2)+2,0))</f>
        <v/>
      </c>
      <c r="S8" s="4" t="str">
        <f>IF(VLOOKUP($C8,'2D-Chapra'!$C$2:$T$55,MID(S$1,2,2)+2,0)="","",VLOOKUP($C8,'2D-Chapra'!$C$2:$T$55,MID(S$1,2,2)+2,0))</f>
        <v/>
      </c>
      <c r="T8" s="5" t="str">
        <f>IF(VLOOKUP($C8,'2D-Chapra'!$C$2:$T$55,MID(T$1,2,2)+2,0)="","",VLOOKUP($C8,'2D-Chapra'!$C$2:$T$55,MID(T$1,2,2)+2,0))</f>
        <v/>
      </c>
      <c r="W8" s="85">
        <v>1</v>
      </c>
      <c r="X8" s="86">
        <v>-1</v>
      </c>
      <c r="Y8" s="87">
        <v>-3</v>
      </c>
      <c r="Z8" s="88" t="s">
        <v>15</v>
      </c>
      <c r="AA8" s="105">
        <v>0</v>
      </c>
      <c r="AB8" s="14">
        <v>0</v>
      </c>
      <c r="AC8" s="15">
        <v>0</v>
      </c>
      <c r="AD8" s="13">
        <v>0</v>
      </c>
      <c r="AE8" s="14">
        <v>0</v>
      </c>
      <c r="AF8" s="15">
        <v>0</v>
      </c>
      <c r="AG8" s="106">
        <f t="array" aca="1" ref="AG8:AI10" ca="1">rigidez($W8:$Y10)</f>
        <v>0.25</v>
      </c>
      <c r="AH8" s="90">
        <f ca="1"/>
        <v>0</v>
      </c>
      <c r="AI8" s="91">
        <f ca="1"/>
        <v>-0.25</v>
      </c>
      <c r="AJ8" s="13">
        <v>0</v>
      </c>
      <c r="AK8" s="14">
        <v>0</v>
      </c>
      <c r="AL8" s="15">
        <v>0</v>
      </c>
      <c r="AM8" s="13">
        <v>0</v>
      </c>
      <c r="AN8" s="14">
        <v>0</v>
      </c>
      <c r="AO8" s="15">
        <v>0</v>
      </c>
      <c r="AP8" s="13">
        <v>0</v>
      </c>
      <c r="AQ8" s="14">
        <v>0</v>
      </c>
      <c r="AR8" s="15">
        <v>0</v>
      </c>
      <c r="AS8" s="13">
        <v>0</v>
      </c>
      <c r="AT8" s="14">
        <v>0</v>
      </c>
      <c r="AU8" s="15">
        <v>0</v>
      </c>
      <c r="AV8" s="13">
        <v>0</v>
      </c>
      <c r="AW8" s="14">
        <v>0</v>
      </c>
      <c r="AX8" s="15">
        <v>0</v>
      </c>
      <c r="AY8" s="13">
        <v>0</v>
      </c>
      <c r="AZ8" s="14">
        <v>0</v>
      </c>
      <c r="BA8" s="15">
        <v>0</v>
      </c>
      <c r="BB8" s="13">
        <v>0</v>
      </c>
      <c r="BC8" s="14">
        <v>0</v>
      </c>
      <c r="BD8" s="15">
        <v>0</v>
      </c>
      <c r="BE8" s="13">
        <v>0</v>
      </c>
      <c r="BF8" s="14">
        <v>0</v>
      </c>
      <c r="BG8" s="15">
        <v>0</v>
      </c>
      <c r="BH8" s="13">
        <v>0</v>
      </c>
      <c r="BI8" s="14">
        <v>0</v>
      </c>
      <c r="BJ8" s="15">
        <v>0</v>
      </c>
      <c r="BK8" s="13">
        <v>0</v>
      </c>
      <c r="BL8" s="14">
        <v>0</v>
      </c>
      <c r="BM8" s="15">
        <v>0</v>
      </c>
      <c r="BN8" s="13">
        <v>0</v>
      </c>
      <c r="BO8" s="14">
        <v>0</v>
      </c>
      <c r="BP8" s="15">
        <v>0</v>
      </c>
      <c r="BQ8" s="13">
        <v>0</v>
      </c>
      <c r="BR8" s="14">
        <v>0</v>
      </c>
      <c r="BS8" s="15">
        <v>0</v>
      </c>
      <c r="BT8" s="13">
        <v>0</v>
      </c>
      <c r="BU8" s="14">
        <v>0</v>
      </c>
      <c r="BV8" s="15">
        <v>0</v>
      </c>
      <c r="BW8" s="13">
        <v>0</v>
      </c>
      <c r="BX8" s="14">
        <v>0</v>
      </c>
      <c r="BY8" s="15">
        <v>0</v>
      </c>
      <c r="BZ8" s="13">
        <v>0</v>
      </c>
      <c r="CA8" s="14">
        <v>0</v>
      </c>
      <c r="CB8" s="92">
        <v>0</v>
      </c>
    </row>
    <row r="9" spans="1:80" x14ac:dyDescent="0.25">
      <c r="A9" s="23">
        <f t="shared" si="1"/>
        <v>3</v>
      </c>
      <c r="B9" s="23">
        <f t="shared" si="2"/>
        <v>2</v>
      </c>
      <c r="C9" s="23" t="str">
        <f t="shared" si="0"/>
        <v>T3_2</v>
      </c>
      <c r="E9" s="3" t="str">
        <f>IF(VLOOKUP($C9,'2D-Chapra'!$C$2:$T$55,MID(E$1,2,2)+2,0)="","",VLOOKUP($C9,'2D-Chapra'!$C$2:$T$55,MID(E$1,2,2)+2,0))</f>
        <v/>
      </c>
      <c r="F9" s="4">
        <f>IF(VLOOKUP($C9,'2D-Chapra'!$C$2:$T$55,MID(F$1,2,2)+2,0)="","",VLOOKUP($C9,'2D-Chapra'!$C$2:$T$55,MID(F$1,2,2)+2,0))</f>
        <v>1</v>
      </c>
      <c r="G9" s="4" t="str">
        <f>IF(VLOOKUP($C9,'2D-Chapra'!$C$2:$T$55,MID(G$1,2,2)+2,0)="","",VLOOKUP($C9,'2D-Chapra'!$C$2:$T$55,MID(G$1,2,2)+2,0))</f>
        <v/>
      </c>
      <c r="H9" s="4" t="str">
        <f>IF(VLOOKUP($C9,'2D-Chapra'!$C$2:$T$55,MID(H$1,2,2)+2,0)="","",VLOOKUP($C9,'2D-Chapra'!$C$2:$T$55,MID(H$1,2,2)+2,0))</f>
        <v/>
      </c>
      <c r="I9" s="4" t="str">
        <f>IF(VLOOKUP($C9,'2D-Chapra'!$C$2:$T$55,MID(I$1,2,2)+2,0)="","",VLOOKUP($C9,'2D-Chapra'!$C$2:$T$55,MID(I$1,2,2)+2,0))</f>
        <v/>
      </c>
      <c r="J9" s="4" t="str">
        <f>IF(VLOOKUP($C9,'2D-Chapra'!$C$2:$T$55,MID(J$1,2,2)+2,0)="","",VLOOKUP($C9,'2D-Chapra'!$C$2:$T$55,MID(J$1,2,2)+2,0))</f>
        <v/>
      </c>
      <c r="K9" s="4" t="str">
        <f>IF(VLOOKUP($C9,'2D-Chapra'!$C$2:$T$55,MID(K$1,2,2)+2,0)="","",VLOOKUP($C9,'2D-Chapra'!$C$2:$T$55,MID(K$1,2,2)+2,0))</f>
        <v/>
      </c>
      <c r="L9" s="4" t="str">
        <f>IF(VLOOKUP($C9,'2D-Chapra'!$C$2:$T$55,MID(L$1,2,2)+2,0)="","",VLOOKUP($C9,'2D-Chapra'!$C$2:$T$55,MID(L$1,2,2)+2,0))</f>
        <v/>
      </c>
      <c r="M9" s="4" t="str">
        <f>IF(VLOOKUP($C9,'2D-Chapra'!$C$2:$T$55,MID(M$1,2,2)+2,0)="","",VLOOKUP($C9,'2D-Chapra'!$C$2:$T$55,MID(M$1,2,2)+2,0))</f>
        <v/>
      </c>
      <c r="N9" s="4" t="str">
        <f>IF(VLOOKUP($C9,'2D-Chapra'!$C$2:$T$55,MID(N$1,2,2)+2,0)="","",VLOOKUP($C9,'2D-Chapra'!$C$2:$T$55,MID(N$1,2,2)+2,0))</f>
        <v/>
      </c>
      <c r="O9" s="4" t="str">
        <f>IF(VLOOKUP($C9,'2D-Chapra'!$C$2:$T$55,MID(O$1,2,2)+2,0)="","",VLOOKUP($C9,'2D-Chapra'!$C$2:$T$55,MID(O$1,2,2)+2,0))</f>
        <v/>
      </c>
      <c r="P9" s="4" t="str">
        <f>IF(VLOOKUP($C9,'2D-Chapra'!$C$2:$T$55,MID(P$1,2,2)+2,0)="","",VLOOKUP($C9,'2D-Chapra'!$C$2:$T$55,MID(P$1,2,2)+2,0))</f>
        <v/>
      </c>
      <c r="Q9" s="4" t="str">
        <f>IF(VLOOKUP($C9,'2D-Chapra'!$C$2:$T$55,MID(Q$1,2,2)+2,0)="","",VLOOKUP($C9,'2D-Chapra'!$C$2:$T$55,MID(Q$1,2,2)+2,0))</f>
        <v/>
      </c>
      <c r="R9" s="4" t="str">
        <f>IF(VLOOKUP($C9,'2D-Chapra'!$C$2:$T$55,MID(R$1,2,2)+2,0)="","",VLOOKUP($C9,'2D-Chapra'!$C$2:$T$55,MID(R$1,2,2)+2,0))</f>
        <v/>
      </c>
      <c r="S9" s="4" t="str">
        <f>IF(VLOOKUP($C9,'2D-Chapra'!$C$2:$T$55,MID(S$1,2,2)+2,0)="","",VLOOKUP($C9,'2D-Chapra'!$C$2:$T$55,MID(S$1,2,2)+2,0))</f>
        <v/>
      </c>
      <c r="T9" s="5" t="str">
        <f>IF(VLOOKUP($C9,'2D-Chapra'!$C$2:$T$55,MID(T$1,2,2)+2,0)="","",VLOOKUP($C9,'2D-Chapra'!$C$2:$T$55,MID(T$1,2,2)+2,0))</f>
        <v/>
      </c>
      <c r="W9" s="93">
        <v>1</v>
      </c>
      <c r="X9" s="49">
        <v>1</v>
      </c>
      <c r="Y9" s="94">
        <v>-1</v>
      </c>
      <c r="Z9" s="95" t="s">
        <v>16</v>
      </c>
      <c r="AA9" s="3">
        <v>0</v>
      </c>
      <c r="AB9" s="4">
        <v>0</v>
      </c>
      <c r="AC9" s="17">
        <v>0</v>
      </c>
      <c r="AD9" s="16">
        <v>0</v>
      </c>
      <c r="AE9" s="4">
        <v>0</v>
      </c>
      <c r="AF9" s="17">
        <v>0</v>
      </c>
      <c r="AG9" s="107">
        <f ca="1"/>
        <v>0</v>
      </c>
      <c r="AH9" s="11">
        <f ca="1"/>
        <v>0.25</v>
      </c>
      <c r="AI9" s="96">
        <f ca="1"/>
        <v>-0.25</v>
      </c>
      <c r="AJ9" s="16">
        <v>0</v>
      </c>
      <c r="AK9" s="4">
        <v>0</v>
      </c>
      <c r="AL9" s="17">
        <v>0</v>
      </c>
      <c r="AM9" s="16">
        <v>0</v>
      </c>
      <c r="AN9" s="4">
        <v>0</v>
      </c>
      <c r="AO9" s="17">
        <v>0</v>
      </c>
      <c r="AP9" s="16">
        <v>0</v>
      </c>
      <c r="AQ9" s="4">
        <v>0</v>
      </c>
      <c r="AR9" s="17">
        <v>0</v>
      </c>
      <c r="AS9" s="16">
        <v>0</v>
      </c>
      <c r="AT9" s="4">
        <v>0</v>
      </c>
      <c r="AU9" s="17">
        <v>0</v>
      </c>
      <c r="AV9" s="16">
        <v>0</v>
      </c>
      <c r="AW9" s="4">
        <v>0</v>
      </c>
      <c r="AX9" s="17">
        <v>0</v>
      </c>
      <c r="AY9" s="16">
        <v>0</v>
      </c>
      <c r="AZ9" s="4">
        <v>0</v>
      </c>
      <c r="BA9" s="17">
        <v>0</v>
      </c>
      <c r="BB9" s="16">
        <v>0</v>
      </c>
      <c r="BC9" s="4">
        <v>0</v>
      </c>
      <c r="BD9" s="17">
        <v>0</v>
      </c>
      <c r="BE9" s="16">
        <v>0</v>
      </c>
      <c r="BF9" s="4">
        <v>0</v>
      </c>
      <c r="BG9" s="17">
        <v>0</v>
      </c>
      <c r="BH9" s="16">
        <v>0</v>
      </c>
      <c r="BI9" s="4">
        <v>0</v>
      </c>
      <c r="BJ9" s="17">
        <v>0</v>
      </c>
      <c r="BK9" s="16">
        <v>0</v>
      </c>
      <c r="BL9" s="4">
        <v>0</v>
      </c>
      <c r="BM9" s="17">
        <v>0</v>
      </c>
      <c r="BN9" s="16">
        <v>0</v>
      </c>
      <c r="BO9" s="4">
        <v>0</v>
      </c>
      <c r="BP9" s="17">
        <v>0</v>
      </c>
      <c r="BQ9" s="16">
        <v>0</v>
      </c>
      <c r="BR9" s="4">
        <v>0</v>
      </c>
      <c r="BS9" s="17">
        <v>0</v>
      </c>
      <c r="BT9" s="16">
        <v>0</v>
      </c>
      <c r="BU9" s="4">
        <v>0</v>
      </c>
      <c r="BV9" s="17">
        <v>0</v>
      </c>
      <c r="BW9" s="16">
        <v>0</v>
      </c>
      <c r="BX9" s="4">
        <v>0</v>
      </c>
      <c r="BY9" s="17">
        <v>0</v>
      </c>
      <c r="BZ9" s="16">
        <v>0</v>
      </c>
      <c r="CA9" s="4">
        <v>0</v>
      </c>
      <c r="CB9" s="5">
        <v>0</v>
      </c>
    </row>
    <row r="10" spans="1:80" x14ac:dyDescent="0.25">
      <c r="A10" s="23">
        <f t="shared" si="1"/>
        <v>3</v>
      </c>
      <c r="B10" s="23">
        <f t="shared" si="2"/>
        <v>3</v>
      </c>
      <c r="C10" s="23" t="str">
        <f t="shared" si="0"/>
        <v>T3_3</v>
      </c>
      <c r="E10" s="3">
        <f>IF(VLOOKUP($C10,'2D-Chapra'!$C$2:$T$55,MID(E$1,2,2)+2,0)="","",VLOOKUP($C10,'2D-Chapra'!$C$2:$T$55,MID(E$1,2,2)+2,0))</f>
        <v>1</v>
      </c>
      <c r="F10" s="4" t="str">
        <f>IF(VLOOKUP($C10,'2D-Chapra'!$C$2:$T$55,MID(F$1,2,2)+2,0)="","",VLOOKUP($C10,'2D-Chapra'!$C$2:$T$55,MID(F$1,2,2)+2,0))</f>
        <v/>
      </c>
      <c r="G10" s="4" t="str">
        <f>IF(VLOOKUP($C10,'2D-Chapra'!$C$2:$T$55,MID(G$1,2,2)+2,0)="","",VLOOKUP($C10,'2D-Chapra'!$C$2:$T$55,MID(G$1,2,2)+2,0))</f>
        <v/>
      </c>
      <c r="H10" s="4" t="str">
        <f>IF(VLOOKUP($C10,'2D-Chapra'!$C$2:$T$55,MID(H$1,2,2)+2,0)="","",VLOOKUP($C10,'2D-Chapra'!$C$2:$T$55,MID(H$1,2,2)+2,0))</f>
        <v/>
      </c>
      <c r="I10" s="4" t="str">
        <f>IF(VLOOKUP($C10,'2D-Chapra'!$C$2:$T$55,MID(I$1,2,2)+2,0)="","",VLOOKUP($C10,'2D-Chapra'!$C$2:$T$55,MID(I$1,2,2)+2,0))</f>
        <v/>
      </c>
      <c r="J10" s="4" t="str">
        <f>IF(VLOOKUP($C10,'2D-Chapra'!$C$2:$T$55,MID(J$1,2,2)+2,0)="","",VLOOKUP($C10,'2D-Chapra'!$C$2:$T$55,MID(J$1,2,2)+2,0))</f>
        <v/>
      </c>
      <c r="K10" s="4" t="str">
        <f>IF(VLOOKUP($C10,'2D-Chapra'!$C$2:$T$55,MID(K$1,2,2)+2,0)="","",VLOOKUP($C10,'2D-Chapra'!$C$2:$T$55,MID(K$1,2,2)+2,0))</f>
        <v/>
      </c>
      <c r="L10" s="4" t="str">
        <f>IF(VLOOKUP($C10,'2D-Chapra'!$C$2:$T$55,MID(L$1,2,2)+2,0)="","",VLOOKUP($C10,'2D-Chapra'!$C$2:$T$55,MID(L$1,2,2)+2,0))</f>
        <v/>
      </c>
      <c r="M10" s="4" t="str">
        <f>IF(VLOOKUP($C10,'2D-Chapra'!$C$2:$T$55,MID(M$1,2,2)+2,0)="","",VLOOKUP($C10,'2D-Chapra'!$C$2:$T$55,MID(M$1,2,2)+2,0))</f>
        <v/>
      </c>
      <c r="N10" s="4" t="str">
        <f>IF(VLOOKUP($C10,'2D-Chapra'!$C$2:$T$55,MID(N$1,2,2)+2,0)="","",VLOOKUP($C10,'2D-Chapra'!$C$2:$T$55,MID(N$1,2,2)+2,0))</f>
        <v/>
      </c>
      <c r="O10" s="4" t="str">
        <f>IF(VLOOKUP($C10,'2D-Chapra'!$C$2:$T$55,MID(O$1,2,2)+2,0)="","",VLOOKUP($C10,'2D-Chapra'!$C$2:$T$55,MID(O$1,2,2)+2,0))</f>
        <v/>
      </c>
      <c r="P10" s="4" t="str">
        <f>IF(VLOOKUP($C10,'2D-Chapra'!$C$2:$T$55,MID(P$1,2,2)+2,0)="","",VLOOKUP($C10,'2D-Chapra'!$C$2:$T$55,MID(P$1,2,2)+2,0))</f>
        <v/>
      </c>
      <c r="Q10" s="4" t="str">
        <f>IF(VLOOKUP($C10,'2D-Chapra'!$C$2:$T$55,MID(Q$1,2,2)+2,0)="","",VLOOKUP($C10,'2D-Chapra'!$C$2:$T$55,MID(Q$1,2,2)+2,0))</f>
        <v/>
      </c>
      <c r="R10" s="4" t="str">
        <f>IF(VLOOKUP($C10,'2D-Chapra'!$C$2:$T$55,MID(R$1,2,2)+2,0)="","",VLOOKUP($C10,'2D-Chapra'!$C$2:$T$55,MID(R$1,2,2)+2,0))</f>
        <v/>
      </c>
      <c r="S10" s="4" t="str">
        <f>IF(VLOOKUP($C10,'2D-Chapra'!$C$2:$T$55,MID(S$1,2,2)+2,0)="","",VLOOKUP($C10,'2D-Chapra'!$C$2:$T$55,MID(S$1,2,2)+2,0))</f>
        <v/>
      </c>
      <c r="T10" s="5" t="str">
        <f>IF(VLOOKUP($C10,'2D-Chapra'!$C$2:$T$55,MID(T$1,2,2)+2,0)="","",VLOOKUP($C10,'2D-Chapra'!$C$2:$T$55,MID(T$1,2,2)+2,0))</f>
        <v/>
      </c>
      <c r="W10" s="97">
        <v>1</v>
      </c>
      <c r="X10" s="98">
        <v>-1</v>
      </c>
      <c r="Y10" s="99">
        <v>-1</v>
      </c>
      <c r="Z10" s="100" t="s">
        <v>17</v>
      </c>
      <c r="AA10" s="108">
        <v>0</v>
      </c>
      <c r="AB10" s="19">
        <v>0</v>
      </c>
      <c r="AC10" s="20">
        <v>0</v>
      </c>
      <c r="AD10" s="18">
        <v>0</v>
      </c>
      <c r="AE10" s="19">
        <v>0</v>
      </c>
      <c r="AF10" s="20">
        <v>0</v>
      </c>
      <c r="AG10" s="109">
        <f ca="1"/>
        <v>-0.25</v>
      </c>
      <c r="AH10" s="102">
        <f ca="1"/>
        <v>-0.25</v>
      </c>
      <c r="AI10" s="103">
        <f ca="1"/>
        <v>0.5</v>
      </c>
      <c r="AJ10" s="18">
        <v>0</v>
      </c>
      <c r="AK10" s="19">
        <v>0</v>
      </c>
      <c r="AL10" s="20">
        <v>0</v>
      </c>
      <c r="AM10" s="18">
        <v>0</v>
      </c>
      <c r="AN10" s="19">
        <v>0</v>
      </c>
      <c r="AO10" s="20">
        <v>0</v>
      </c>
      <c r="AP10" s="18">
        <v>0</v>
      </c>
      <c r="AQ10" s="19">
        <v>0</v>
      </c>
      <c r="AR10" s="20">
        <v>0</v>
      </c>
      <c r="AS10" s="18">
        <v>0</v>
      </c>
      <c r="AT10" s="19">
        <v>0</v>
      </c>
      <c r="AU10" s="20">
        <v>0</v>
      </c>
      <c r="AV10" s="18">
        <v>0</v>
      </c>
      <c r="AW10" s="19">
        <v>0</v>
      </c>
      <c r="AX10" s="20">
        <v>0</v>
      </c>
      <c r="AY10" s="18">
        <v>0</v>
      </c>
      <c r="AZ10" s="19">
        <v>0</v>
      </c>
      <c r="BA10" s="20">
        <v>0</v>
      </c>
      <c r="BB10" s="18">
        <v>0</v>
      </c>
      <c r="BC10" s="19">
        <v>0</v>
      </c>
      <c r="BD10" s="20">
        <v>0</v>
      </c>
      <c r="BE10" s="18">
        <v>0</v>
      </c>
      <c r="BF10" s="19">
        <v>0</v>
      </c>
      <c r="BG10" s="20">
        <v>0</v>
      </c>
      <c r="BH10" s="18">
        <v>0</v>
      </c>
      <c r="BI10" s="19">
        <v>0</v>
      </c>
      <c r="BJ10" s="20">
        <v>0</v>
      </c>
      <c r="BK10" s="18">
        <v>0</v>
      </c>
      <c r="BL10" s="19">
        <v>0</v>
      </c>
      <c r="BM10" s="20">
        <v>0</v>
      </c>
      <c r="BN10" s="18">
        <v>0</v>
      </c>
      <c r="BO10" s="19">
        <v>0</v>
      </c>
      <c r="BP10" s="20">
        <v>0</v>
      </c>
      <c r="BQ10" s="18">
        <v>0</v>
      </c>
      <c r="BR10" s="19">
        <v>0</v>
      </c>
      <c r="BS10" s="20">
        <v>0</v>
      </c>
      <c r="BT10" s="18">
        <v>0</v>
      </c>
      <c r="BU10" s="19">
        <v>0</v>
      </c>
      <c r="BV10" s="20">
        <v>0</v>
      </c>
      <c r="BW10" s="18">
        <v>0</v>
      </c>
      <c r="BX10" s="19">
        <v>0</v>
      </c>
      <c r="BY10" s="20">
        <v>0</v>
      </c>
      <c r="BZ10" s="18">
        <v>0</v>
      </c>
      <c r="CA10" s="19">
        <v>0</v>
      </c>
      <c r="CB10" s="104">
        <v>0</v>
      </c>
    </row>
    <row r="11" spans="1:80" x14ac:dyDescent="0.25">
      <c r="A11" s="23">
        <f t="shared" si="1"/>
        <v>4</v>
      </c>
      <c r="B11" s="23">
        <f t="shared" si="2"/>
        <v>1</v>
      </c>
      <c r="C11" s="23" t="str">
        <f t="shared" si="0"/>
        <v>T4_1</v>
      </c>
      <c r="E11" s="3" t="str">
        <f>IF(VLOOKUP($C11,'2D-Chapra'!$C$2:$T$55,MID(E$1,2,2)+2,0)="","",VLOOKUP($C11,'2D-Chapra'!$C$2:$T$55,MID(E$1,2,2)+2,0))</f>
        <v/>
      </c>
      <c r="F11" s="4" t="str">
        <f>IF(VLOOKUP($C11,'2D-Chapra'!$C$2:$T$55,MID(F$1,2,2)+2,0)="","",VLOOKUP($C11,'2D-Chapra'!$C$2:$T$55,MID(F$1,2,2)+2,0))</f>
        <v/>
      </c>
      <c r="G11" s="4" t="str">
        <f>IF(VLOOKUP($C11,'2D-Chapra'!$C$2:$T$55,MID(G$1,2,2)+2,0)="","",VLOOKUP($C11,'2D-Chapra'!$C$2:$T$55,MID(G$1,2,2)+2,0))</f>
        <v/>
      </c>
      <c r="H11" s="4" t="str">
        <f>IF(VLOOKUP($C11,'2D-Chapra'!$C$2:$T$55,MID(H$1,2,2)+2,0)="","",VLOOKUP($C11,'2D-Chapra'!$C$2:$T$55,MID(H$1,2,2)+2,0))</f>
        <v/>
      </c>
      <c r="I11" s="4" t="str">
        <f>IF(VLOOKUP($C11,'2D-Chapra'!$C$2:$T$55,MID(I$1,2,2)+2,0)="","",VLOOKUP($C11,'2D-Chapra'!$C$2:$T$55,MID(I$1,2,2)+2,0))</f>
        <v/>
      </c>
      <c r="J11" s="4">
        <f>IF(VLOOKUP($C11,'2D-Chapra'!$C$2:$T$55,MID(J$1,2,2)+2,0)="","",VLOOKUP($C11,'2D-Chapra'!$C$2:$T$55,MID(J$1,2,2)+2,0))</f>
        <v>1</v>
      </c>
      <c r="K11" s="4" t="str">
        <f>IF(VLOOKUP($C11,'2D-Chapra'!$C$2:$T$55,MID(K$1,2,2)+2,0)="","",VLOOKUP($C11,'2D-Chapra'!$C$2:$T$55,MID(K$1,2,2)+2,0))</f>
        <v/>
      </c>
      <c r="L11" s="4" t="str">
        <f>IF(VLOOKUP($C11,'2D-Chapra'!$C$2:$T$55,MID(L$1,2,2)+2,0)="","",VLOOKUP($C11,'2D-Chapra'!$C$2:$T$55,MID(L$1,2,2)+2,0))</f>
        <v/>
      </c>
      <c r="M11" s="4" t="str">
        <f>IF(VLOOKUP($C11,'2D-Chapra'!$C$2:$T$55,MID(M$1,2,2)+2,0)="","",VLOOKUP($C11,'2D-Chapra'!$C$2:$T$55,MID(M$1,2,2)+2,0))</f>
        <v/>
      </c>
      <c r="N11" s="4" t="str">
        <f>IF(VLOOKUP($C11,'2D-Chapra'!$C$2:$T$55,MID(N$1,2,2)+2,0)="","",VLOOKUP($C11,'2D-Chapra'!$C$2:$T$55,MID(N$1,2,2)+2,0))</f>
        <v/>
      </c>
      <c r="O11" s="4" t="str">
        <f>IF(VLOOKUP($C11,'2D-Chapra'!$C$2:$T$55,MID(O$1,2,2)+2,0)="","",VLOOKUP($C11,'2D-Chapra'!$C$2:$T$55,MID(O$1,2,2)+2,0))</f>
        <v/>
      </c>
      <c r="P11" s="4" t="str">
        <f>IF(VLOOKUP($C11,'2D-Chapra'!$C$2:$T$55,MID(P$1,2,2)+2,0)="","",VLOOKUP($C11,'2D-Chapra'!$C$2:$T$55,MID(P$1,2,2)+2,0))</f>
        <v/>
      </c>
      <c r="Q11" s="4" t="str">
        <f>IF(VLOOKUP($C11,'2D-Chapra'!$C$2:$T$55,MID(Q$1,2,2)+2,0)="","",VLOOKUP($C11,'2D-Chapra'!$C$2:$T$55,MID(Q$1,2,2)+2,0))</f>
        <v/>
      </c>
      <c r="R11" s="4" t="str">
        <f>IF(VLOOKUP($C11,'2D-Chapra'!$C$2:$T$55,MID(R$1,2,2)+2,0)="","",VLOOKUP($C11,'2D-Chapra'!$C$2:$T$55,MID(R$1,2,2)+2,0))</f>
        <v/>
      </c>
      <c r="S11" s="4" t="str">
        <f>IF(VLOOKUP($C11,'2D-Chapra'!$C$2:$T$55,MID(S$1,2,2)+2,0)="","",VLOOKUP($C11,'2D-Chapra'!$C$2:$T$55,MID(S$1,2,2)+2,0))</f>
        <v/>
      </c>
      <c r="T11" s="5" t="str">
        <f>IF(VLOOKUP($C11,'2D-Chapra'!$C$2:$T$55,MID(T$1,2,2)+2,0)="","",VLOOKUP($C11,'2D-Chapra'!$C$2:$T$55,MID(T$1,2,2)+2,0))</f>
        <v/>
      </c>
      <c r="W11" s="85">
        <v>1</v>
      </c>
      <c r="X11" s="86">
        <v>-1</v>
      </c>
      <c r="Y11" s="87">
        <v>-3</v>
      </c>
      <c r="Z11" s="88" t="s">
        <v>18</v>
      </c>
      <c r="AA11" s="105">
        <v>0</v>
      </c>
      <c r="AB11" s="14">
        <v>0</v>
      </c>
      <c r="AC11" s="15">
        <v>0</v>
      </c>
      <c r="AD11" s="13">
        <v>0</v>
      </c>
      <c r="AE11" s="14">
        <v>0</v>
      </c>
      <c r="AF11" s="15">
        <v>0</v>
      </c>
      <c r="AG11" s="13">
        <v>0</v>
      </c>
      <c r="AH11" s="14">
        <v>0</v>
      </c>
      <c r="AI11" s="15">
        <v>0</v>
      </c>
      <c r="AJ11" s="106">
        <f t="array" aca="1" ref="AJ11:AL13" ca="1">rigidez($W11:$Y13)</f>
        <v>0.25</v>
      </c>
      <c r="AK11" s="90">
        <f ca="1"/>
        <v>-0.25</v>
      </c>
      <c r="AL11" s="91">
        <f ca="1"/>
        <v>0</v>
      </c>
      <c r="AM11" s="13">
        <v>0</v>
      </c>
      <c r="AN11" s="14">
        <v>0</v>
      </c>
      <c r="AO11" s="15">
        <v>0</v>
      </c>
      <c r="AP11" s="13">
        <v>0</v>
      </c>
      <c r="AQ11" s="14">
        <v>0</v>
      </c>
      <c r="AR11" s="15">
        <v>0</v>
      </c>
      <c r="AS11" s="13">
        <v>0</v>
      </c>
      <c r="AT11" s="14">
        <v>0</v>
      </c>
      <c r="AU11" s="15">
        <v>0</v>
      </c>
      <c r="AV11" s="13">
        <v>0</v>
      </c>
      <c r="AW11" s="14">
        <v>0</v>
      </c>
      <c r="AX11" s="15">
        <v>0</v>
      </c>
      <c r="AY11" s="13">
        <v>0</v>
      </c>
      <c r="AZ11" s="14">
        <v>0</v>
      </c>
      <c r="BA11" s="15">
        <v>0</v>
      </c>
      <c r="BB11" s="13">
        <v>0</v>
      </c>
      <c r="BC11" s="14">
        <v>0</v>
      </c>
      <c r="BD11" s="15">
        <v>0</v>
      </c>
      <c r="BE11" s="13">
        <v>0</v>
      </c>
      <c r="BF11" s="14">
        <v>0</v>
      </c>
      <c r="BG11" s="15">
        <v>0</v>
      </c>
      <c r="BH11" s="13">
        <v>0</v>
      </c>
      <c r="BI11" s="14">
        <v>0</v>
      </c>
      <c r="BJ11" s="15">
        <v>0</v>
      </c>
      <c r="BK11" s="13">
        <v>0</v>
      </c>
      <c r="BL11" s="14">
        <v>0</v>
      </c>
      <c r="BM11" s="15">
        <v>0</v>
      </c>
      <c r="BN11" s="13">
        <v>0</v>
      </c>
      <c r="BO11" s="14">
        <v>0</v>
      </c>
      <c r="BP11" s="15">
        <v>0</v>
      </c>
      <c r="BQ11" s="13">
        <v>0</v>
      </c>
      <c r="BR11" s="14">
        <v>0</v>
      </c>
      <c r="BS11" s="15">
        <v>0</v>
      </c>
      <c r="BT11" s="13">
        <v>0</v>
      </c>
      <c r="BU11" s="14">
        <v>0</v>
      </c>
      <c r="BV11" s="15">
        <v>0</v>
      </c>
      <c r="BW11" s="13">
        <v>0</v>
      </c>
      <c r="BX11" s="14">
        <v>0</v>
      </c>
      <c r="BY11" s="15">
        <v>0</v>
      </c>
      <c r="BZ11" s="13">
        <v>0</v>
      </c>
      <c r="CA11" s="14">
        <v>0</v>
      </c>
      <c r="CB11" s="92">
        <v>0</v>
      </c>
    </row>
    <row r="12" spans="1:80" x14ac:dyDescent="0.25">
      <c r="A12" s="23">
        <f t="shared" si="1"/>
        <v>4</v>
      </c>
      <c r="B12" s="23">
        <f t="shared" si="2"/>
        <v>2</v>
      </c>
      <c r="C12" s="23" t="str">
        <f t="shared" si="0"/>
        <v>T4_2</v>
      </c>
      <c r="E12" s="3" t="str">
        <f>IF(VLOOKUP($C12,'2D-Chapra'!$C$2:$T$55,MID(E$1,2,2)+2,0)="","",VLOOKUP($C12,'2D-Chapra'!$C$2:$T$55,MID(E$1,2,2)+2,0))</f>
        <v/>
      </c>
      <c r="F12" s="4" t="str">
        <f>IF(VLOOKUP($C12,'2D-Chapra'!$C$2:$T$55,MID(F$1,2,2)+2,0)="","",VLOOKUP($C12,'2D-Chapra'!$C$2:$T$55,MID(F$1,2,2)+2,0))</f>
        <v/>
      </c>
      <c r="G12" s="4" t="str">
        <f>IF(VLOOKUP($C12,'2D-Chapra'!$C$2:$T$55,MID(G$1,2,2)+2,0)="","",VLOOKUP($C12,'2D-Chapra'!$C$2:$T$55,MID(G$1,2,2)+2,0))</f>
        <v/>
      </c>
      <c r="H12" s="4" t="str">
        <f>IF(VLOOKUP($C12,'2D-Chapra'!$C$2:$T$55,MID(H$1,2,2)+2,0)="","",VLOOKUP($C12,'2D-Chapra'!$C$2:$T$55,MID(H$1,2,2)+2,0))</f>
        <v/>
      </c>
      <c r="I12" s="4" t="str">
        <f>IF(VLOOKUP($C12,'2D-Chapra'!$C$2:$T$55,MID(I$1,2,2)+2,0)="","",VLOOKUP($C12,'2D-Chapra'!$C$2:$T$55,MID(I$1,2,2)+2,0))</f>
        <v/>
      </c>
      <c r="J12" s="4" t="str">
        <f>IF(VLOOKUP($C12,'2D-Chapra'!$C$2:$T$55,MID(J$1,2,2)+2,0)="","",VLOOKUP($C12,'2D-Chapra'!$C$2:$T$55,MID(J$1,2,2)+2,0))</f>
        <v/>
      </c>
      <c r="K12" s="4">
        <f>IF(VLOOKUP($C12,'2D-Chapra'!$C$2:$T$55,MID(K$1,2,2)+2,0)="","",VLOOKUP($C12,'2D-Chapra'!$C$2:$T$55,MID(K$1,2,2)+2,0))</f>
        <v>1</v>
      </c>
      <c r="L12" s="4" t="str">
        <f>IF(VLOOKUP($C12,'2D-Chapra'!$C$2:$T$55,MID(L$1,2,2)+2,0)="","",VLOOKUP($C12,'2D-Chapra'!$C$2:$T$55,MID(L$1,2,2)+2,0))</f>
        <v/>
      </c>
      <c r="M12" s="4" t="str">
        <f>IF(VLOOKUP($C12,'2D-Chapra'!$C$2:$T$55,MID(M$1,2,2)+2,0)="","",VLOOKUP($C12,'2D-Chapra'!$C$2:$T$55,MID(M$1,2,2)+2,0))</f>
        <v/>
      </c>
      <c r="N12" s="4" t="str">
        <f>IF(VLOOKUP($C12,'2D-Chapra'!$C$2:$T$55,MID(N$1,2,2)+2,0)="","",VLOOKUP($C12,'2D-Chapra'!$C$2:$T$55,MID(N$1,2,2)+2,0))</f>
        <v/>
      </c>
      <c r="O12" s="4" t="str">
        <f>IF(VLOOKUP($C12,'2D-Chapra'!$C$2:$T$55,MID(O$1,2,2)+2,0)="","",VLOOKUP($C12,'2D-Chapra'!$C$2:$T$55,MID(O$1,2,2)+2,0))</f>
        <v/>
      </c>
      <c r="P12" s="4" t="str">
        <f>IF(VLOOKUP($C12,'2D-Chapra'!$C$2:$T$55,MID(P$1,2,2)+2,0)="","",VLOOKUP($C12,'2D-Chapra'!$C$2:$T$55,MID(P$1,2,2)+2,0))</f>
        <v/>
      </c>
      <c r="Q12" s="4" t="str">
        <f>IF(VLOOKUP($C12,'2D-Chapra'!$C$2:$T$55,MID(Q$1,2,2)+2,0)="","",VLOOKUP($C12,'2D-Chapra'!$C$2:$T$55,MID(Q$1,2,2)+2,0))</f>
        <v/>
      </c>
      <c r="R12" s="4" t="str">
        <f>IF(VLOOKUP($C12,'2D-Chapra'!$C$2:$T$55,MID(R$1,2,2)+2,0)="","",VLOOKUP($C12,'2D-Chapra'!$C$2:$T$55,MID(R$1,2,2)+2,0))</f>
        <v/>
      </c>
      <c r="S12" s="4" t="str">
        <f>IF(VLOOKUP($C12,'2D-Chapra'!$C$2:$T$55,MID(S$1,2,2)+2,0)="","",VLOOKUP($C12,'2D-Chapra'!$C$2:$T$55,MID(S$1,2,2)+2,0))</f>
        <v/>
      </c>
      <c r="T12" s="5" t="str">
        <f>IF(VLOOKUP($C12,'2D-Chapra'!$C$2:$T$55,MID(T$1,2,2)+2,0)="","",VLOOKUP($C12,'2D-Chapra'!$C$2:$T$55,MID(T$1,2,2)+2,0))</f>
        <v/>
      </c>
      <c r="W12" s="93">
        <v>1</v>
      </c>
      <c r="X12" s="49">
        <v>1</v>
      </c>
      <c r="Y12" s="94">
        <v>-3</v>
      </c>
      <c r="Z12" s="95" t="s">
        <v>19</v>
      </c>
      <c r="AA12" s="3">
        <v>0</v>
      </c>
      <c r="AB12" s="4">
        <v>0</v>
      </c>
      <c r="AC12" s="17">
        <v>0</v>
      </c>
      <c r="AD12" s="16">
        <v>0</v>
      </c>
      <c r="AE12" s="4">
        <v>0</v>
      </c>
      <c r="AF12" s="17">
        <v>0</v>
      </c>
      <c r="AG12" s="16">
        <v>0</v>
      </c>
      <c r="AH12" s="4">
        <v>0</v>
      </c>
      <c r="AI12" s="17">
        <v>0</v>
      </c>
      <c r="AJ12" s="107">
        <f ca="1"/>
        <v>-0.25</v>
      </c>
      <c r="AK12" s="11">
        <f ca="1"/>
        <v>0.5</v>
      </c>
      <c r="AL12" s="96">
        <f ca="1"/>
        <v>-0.25</v>
      </c>
      <c r="AM12" s="16">
        <v>0</v>
      </c>
      <c r="AN12" s="4">
        <v>0</v>
      </c>
      <c r="AO12" s="17">
        <v>0</v>
      </c>
      <c r="AP12" s="16">
        <v>0</v>
      </c>
      <c r="AQ12" s="4">
        <v>0</v>
      </c>
      <c r="AR12" s="17">
        <v>0</v>
      </c>
      <c r="AS12" s="16">
        <v>0</v>
      </c>
      <c r="AT12" s="4">
        <v>0</v>
      </c>
      <c r="AU12" s="17">
        <v>0</v>
      </c>
      <c r="AV12" s="16">
        <v>0</v>
      </c>
      <c r="AW12" s="4">
        <v>0</v>
      </c>
      <c r="AX12" s="17">
        <v>0</v>
      </c>
      <c r="AY12" s="16">
        <v>0</v>
      </c>
      <c r="AZ12" s="4">
        <v>0</v>
      </c>
      <c r="BA12" s="17">
        <v>0</v>
      </c>
      <c r="BB12" s="16">
        <v>0</v>
      </c>
      <c r="BC12" s="4">
        <v>0</v>
      </c>
      <c r="BD12" s="17">
        <v>0</v>
      </c>
      <c r="BE12" s="16">
        <v>0</v>
      </c>
      <c r="BF12" s="4">
        <v>0</v>
      </c>
      <c r="BG12" s="17">
        <v>0</v>
      </c>
      <c r="BH12" s="16">
        <v>0</v>
      </c>
      <c r="BI12" s="4">
        <v>0</v>
      </c>
      <c r="BJ12" s="17">
        <v>0</v>
      </c>
      <c r="BK12" s="16">
        <v>0</v>
      </c>
      <c r="BL12" s="4">
        <v>0</v>
      </c>
      <c r="BM12" s="17">
        <v>0</v>
      </c>
      <c r="BN12" s="16">
        <v>0</v>
      </c>
      <c r="BO12" s="4">
        <v>0</v>
      </c>
      <c r="BP12" s="17">
        <v>0</v>
      </c>
      <c r="BQ12" s="16">
        <v>0</v>
      </c>
      <c r="BR12" s="4">
        <v>0</v>
      </c>
      <c r="BS12" s="17">
        <v>0</v>
      </c>
      <c r="BT12" s="16">
        <v>0</v>
      </c>
      <c r="BU12" s="4">
        <v>0</v>
      </c>
      <c r="BV12" s="17">
        <v>0</v>
      </c>
      <c r="BW12" s="16">
        <v>0</v>
      </c>
      <c r="BX12" s="4">
        <v>0</v>
      </c>
      <c r="BY12" s="17">
        <v>0</v>
      </c>
      <c r="BZ12" s="16">
        <v>0</v>
      </c>
      <c r="CA12" s="4">
        <v>0</v>
      </c>
      <c r="CB12" s="5">
        <v>0</v>
      </c>
    </row>
    <row r="13" spans="1:80" x14ac:dyDescent="0.25">
      <c r="A13" s="23">
        <f t="shared" si="1"/>
        <v>4</v>
      </c>
      <c r="B13" s="23">
        <f t="shared" si="2"/>
        <v>3</v>
      </c>
      <c r="C13" s="23" t="str">
        <f t="shared" si="0"/>
        <v>T4_3</v>
      </c>
      <c r="E13" s="3" t="str">
        <f>IF(VLOOKUP($C13,'2D-Chapra'!$C$2:$T$55,MID(E$1,2,2)+2,0)="","",VLOOKUP($C13,'2D-Chapra'!$C$2:$T$55,MID(E$1,2,2)+2,0))</f>
        <v/>
      </c>
      <c r="F13" s="4">
        <f>IF(VLOOKUP($C13,'2D-Chapra'!$C$2:$T$55,MID(F$1,2,2)+2,0)="","",VLOOKUP($C13,'2D-Chapra'!$C$2:$T$55,MID(F$1,2,2)+2,0))</f>
        <v>1</v>
      </c>
      <c r="G13" s="4" t="str">
        <f>IF(VLOOKUP($C13,'2D-Chapra'!$C$2:$T$55,MID(G$1,2,2)+2,0)="","",VLOOKUP($C13,'2D-Chapra'!$C$2:$T$55,MID(G$1,2,2)+2,0))</f>
        <v/>
      </c>
      <c r="H13" s="4" t="str">
        <f>IF(VLOOKUP($C13,'2D-Chapra'!$C$2:$T$55,MID(H$1,2,2)+2,0)="","",VLOOKUP($C13,'2D-Chapra'!$C$2:$T$55,MID(H$1,2,2)+2,0))</f>
        <v/>
      </c>
      <c r="I13" s="4" t="str">
        <f>IF(VLOOKUP($C13,'2D-Chapra'!$C$2:$T$55,MID(I$1,2,2)+2,0)="","",VLOOKUP($C13,'2D-Chapra'!$C$2:$T$55,MID(I$1,2,2)+2,0))</f>
        <v/>
      </c>
      <c r="J13" s="4" t="str">
        <f>IF(VLOOKUP($C13,'2D-Chapra'!$C$2:$T$55,MID(J$1,2,2)+2,0)="","",VLOOKUP($C13,'2D-Chapra'!$C$2:$T$55,MID(J$1,2,2)+2,0))</f>
        <v/>
      </c>
      <c r="K13" s="4" t="str">
        <f>IF(VLOOKUP($C13,'2D-Chapra'!$C$2:$T$55,MID(K$1,2,2)+2,0)="","",VLOOKUP($C13,'2D-Chapra'!$C$2:$T$55,MID(K$1,2,2)+2,0))</f>
        <v/>
      </c>
      <c r="L13" s="4" t="str">
        <f>IF(VLOOKUP($C13,'2D-Chapra'!$C$2:$T$55,MID(L$1,2,2)+2,0)="","",VLOOKUP($C13,'2D-Chapra'!$C$2:$T$55,MID(L$1,2,2)+2,0))</f>
        <v/>
      </c>
      <c r="M13" s="4" t="str">
        <f>IF(VLOOKUP($C13,'2D-Chapra'!$C$2:$T$55,MID(M$1,2,2)+2,0)="","",VLOOKUP($C13,'2D-Chapra'!$C$2:$T$55,MID(M$1,2,2)+2,0))</f>
        <v/>
      </c>
      <c r="N13" s="4" t="str">
        <f>IF(VLOOKUP($C13,'2D-Chapra'!$C$2:$T$55,MID(N$1,2,2)+2,0)="","",VLOOKUP($C13,'2D-Chapra'!$C$2:$T$55,MID(N$1,2,2)+2,0))</f>
        <v/>
      </c>
      <c r="O13" s="4" t="str">
        <f>IF(VLOOKUP($C13,'2D-Chapra'!$C$2:$T$55,MID(O$1,2,2)+2,0)="","",VLOOKUP($C13,'2D-Chapra'!$C$2:$T$55,MID(O$1,2,2)+2,0))</f>
        <v/>
      </c>
      <c r="P13" s="4" t="str">
        <f>IF(VLOOKUP($C13,'2D-Chapra'!$C$2:$T$55,MID(P$1,2,2)+2,0)="","",VLOOKUP($C13,'2D-Chapra'!$C$2:$T$55,MID(P$1,2,2)+2,0))</f>
        <v/>
      </c>
      <c r="Q13" s="4" t="str">
        <f>IF(VLOOKUP($C13,'2D-Chapra'!$C$2:$T$55,MID(Q$1,2,2)+2,0)="","",VLOOKUP($C13,'2D-Chapra'!$C$2:$T$55,MID(Q$1,2,2)+2,0))</f>
        <v/>
      </c>
      <c r="R13" s="4" t="str">
        <f>IF(VLOOKUP($C13,'2D-Chapra'!$C$2:$T$55,MID(R$1,2,2)+2,0)="","",VLOOKUP($C13,'2D-Chapra'!$C$2:$T$55,MID(R$1,2,2)+2,0))</f>
        <v/>
      </c>
      <c r="S13" s="4" t="str">
        <f>IF(VLOOKUP($C13,'2D-Chapra'!$C$2:$T$55,MID(S$1,2,2)+2,0)="","",VLOOKUP($C13,'2D-Chapra'!$C$2:$T$55,MID(S$1,2,2)+2,0))</f>
        <v/>
      </c>
      <c r="T13" s="5" t="str">
        <f>IF(VLOOKUP($C13,'2D-Chapra'!$C$2:$T$55,MID(T$1,2,2)+2,0)="","",VLOOKUP($C13,'2D-Chapra'!$C$2:$T$55,MID(T$1,2,2)+2,0))</f>
        <v/>
      </c>
      <c r="W13" s="97">
        <v>1</v>
      </c>
      <c r="X13" s="98">
        <v>1</v>
      </c>
      <c r="Y13" s="99">
        <v>-1</v>
      </c>
      <c r="Z13" s="100" t="s">
        <v>20</v>
      </c>
      <c r="AA13" s="108">
        <v>0</v>
      </c>
      <c r="AB13" s="19">
        <v>0</v>
      </c>
      <c r="AC13" s="20">
        <v>0</v>
      </c>
      <c r="AD13" s="18">
        <v>0</v>
      </c>
      <c r="AE13" s="19">
        <v>0</v>
      </c>
      <c r="AF13" s="20">
        <v>0</v>
      </c>
      <c r="AG13" s="18">
        <v>0</v>
      </c>
      <c r="AH13" s="19">
        <v>0</v>
      </c>
      <c r="AI13" s="20">
        <v>0</v>
      </c>
      <c r="AJ13" s="109">
        <f ca="1"/>
        <v>0</v>
      </c>
      <c r="AK13" s="102">
        <f ca="1"/>
        <v>-0.25</v>
      </c>
      <c r="AL13" s="103">
        <f ca="1"/>
        <v>0.25</v>
      </c>
      <c r="AM13" s="18">
        <v>0</v>
      </c>
      <c r="AN13" s="19">
        <v>0</v>
      </c>
      <c r="AO13" s="20">
        <v>0</v>
      </c>
      <c r="AP13" s="18">
        <v>0</v>
      </c>
      <c r="AQ13" s="19">
        <v>0</v>
      </c>
      <c r="AR13" s="20">
        <v>0</v>
      </c>
      <c r="AS13" s="18">
        <v>0</v>
      </c>
      <c r="AT13" s="19">
        <v>0</v>
      </c>
      <c r="AU13" s="20">
        <v>0</v>
      </c>
      <c r="AV13" s="18">
        <v>0</v>
      </c>
      <c r="AW13" s="19">
        <v>0</v>
      </c>
      <c r="AX13" s="20">
        <v>0</v>
      </c>
      <c r="AY13" s="18">
        <v>0</v>
      </c>
      <c r="AZ13" s="19">
        <v>0</v>
      </c>
      <c r="BA13" s="20">
        <v>0</v>
      </c>
      <c r="BB13" s="18">
        <v>0</v>
      </c>
      <c r="BC13" s="19">
        <v>0</v>
      </c>
      <c r="BD13" s="20">
        <v>0</v>
      </c>
      <c r="BE13" s="18">
        <v>0</v>
      </c>
      <c r="BF13" s="19">
        <v>0</v>
      </c>
      <c r="BG13" s="20">
        <v>0</v>
      </c>
      <c r="BH13" s="18">
        <v>0</v>
      </c>
      <c r="BI13" s="19">
        <v>0</v>
      </c>
      <c r="BJ13" s="20">
        <v>0</v>
      </c>
      <c r="BK13" s="18">
        <v>0</v>
      </c>
      <c r="BL13" s="19">
        <v>0</v>
      </c>
      <c r="BM13" s="20">
        <v>0</v>
      </c>
      <c r="BN13" s="18">
        <v>0</v>
      </c>
      <c r="BO13" s="19">
        <v>0</v>
      </c>
      <c r="BP13" s="20">
        <v>0</v>
      </c>
      <c r="BQ13" s="18">
        <v>0</v>
      </c>
      <c r="BR13" s="19">
        <v>0</v>
      </c>
      <c r="BS13" s="20">
        <v>0</v>
      </c>
      <c r="BT13" s="18">
        <v>0</v>
      </c>
      <c r="BU13" s="19">
        <v>0</v>
      </c>
      <c r="BV13" s="20">
        <v>0</v>
      </c>
      <c r="BW13" s="18">
        <v>0</v>
      </c>
      <c r="BX13" s="19">
        <v>0</v>
      </c>
      <c r="BY13" s="20">
        <v>0</v>
      </c>
      <c r="BZ13" s="18">
        <v>0</v>
      </c>
      <c r="CA13" s="19">
        <v>0</v>
      </c>
      <c r="CB13" s="104">
        <v>0</v>
      </c>
    </row>
    <row r="14" spans="1:80" x14ac:dyDescent="0.25">
      <c r="A14" s="23">
        <f t="shared" si="1"/>
        <v>5</v>
      </c>
      <c r="B14" s="23">
        <f t="shared" si="2"/>
        <v>1</v>
      </c>
      <c r="C14" s="23" t="str">
        <f t="shared" si="0"/>
        <v>T5_1</v>
      </c>
      <c r="E14" s="3" t="str">
        <f>IF(VLOOKUP($C14,'2D-Chapra'!$C$2:$T$55,MID(E$1,2,2)+2,0)="","",VLOOKUP($C14,'2D-Chapra'!$C$2:$T$55,MID(E$1,2,2)+2,0))</f>
        <v/>
      </c>
      <c r="F14" s="4" t="str">
        <f>IF(VLOOKUP($C14,'2D-Chapra'!$C$2:$T$55,MID(F$1,2,2)+2,0)="","",VLOOKUP($C14,'2D-Chapra'!$C$2:$T$55,MID(F$1,2,2)+2,0))</f>
        <v/>
      </c>
      <c r="G14" s="4" t="str">
        <f>IF(VLOOKUP($C14,'2D-Chapra'!$C$2:$T$55,MID(G$1,2,2)+2,0)="","",VLOOKUP($C14,'2D-Chapra'!$C$2:$T$55,MID(G$1,2,2)+2,0))</f>
        <v/>
      </c>
      <c r="H14" s="4" t="str">
        <f>IF(VLOOKUP($C14,'2D-Chapra'!$C$2:$T$55,MID(H$1,2,2)+2,0)="","",VLOOKUP($C14,'2D-Chapra'!$C$2:$T$55,MID(H$1,2,2)+2,0))</f>
        <v/>
      </c>
      <c r="I14" s="4" t="str">
        <f>IF(VLOOKUP($C14,'2D-Chapra'!$C$2:$T$55,MID(I$1,2,2)+2,0)="","",VLOOKUP($C14,'2D-Chapra'!$C$2:$T$55,MID(I$1,2,2)+2,0))</f>
        <v/>
      </c>
      <c r="J14" s="4" t="str">
        <f>IF(VLOOKUP($C14,'2D-Chapra'!$C$2:$T$55,MID(J$1,2,2)+2,0)="","",VLOOKUP($C14,'2D-Chapra'!$C$2:$T$55,MID(J$1,2,2)+2,0))</f>
        <v/>
      </c>
      <c r="K14" s="4">
        <f>IF(VLOOKUP($C14,'2D-Chapra'!$C$2:$T$55,MID(K$1,2,2)+2,0)="","",VLOOKUP($C14,'2D-Chapra'!$C$2:$T$55,MID(K$1,2,2)+2,0))</f>
        <v>1</v>
      </c>
      <c r="L14" s="4" t="str">
        <f>IF(VLOOKUP($C14,'2D-Chapra'!$C$2:$T$55,MID(L$1,2,2)+2,0)="","",VLOOKUP($C14,'2D-Chapra'!$C$2:$T$55,MID(L$1,2,2)+2,0))</f>
        <v/>
      </c>
      <c r="M14" s="4" t="str">
        <f>IF(VLOOKUP($C14,'2D-Chapra'!$C$2:$T$55,MID(M$1,2,2)+2,0)="","",VLOOKUP($C14,'2D-Chapra'!$C$2:$T$55,MID(M$1,2,2)+2,0))</f>
        <v/>
      </c>
      <c r="N14" s="4" t="str">
        <f>IF(VLOOKUP($C14,'2D-Chapra'!$C$2:$T$55,MID(N$1,2,2)+2,0)="","",VLOOKUP($C14,'2D-Chapra'!$C$2:$T$55,MID(N$1,2,2)+2,0))</f>
        <v/>
      </c>
      <c r="O14" s="4" t="str">
        <f>IF(VLOOKUP($C14,'2D-Chapra'!$C$2:$T$55,MID(O$1,2,2)+2,0)="","",VLOOKUP($C14,'2D-Chapra'!$C$2:$T$55,MID(O$1,2,2)+2,0))</f>
        <v/>
      </c>
      <c r="P14" s="4" t="str">
        <f>IF(VLOOKUP($C14,'2D-Chapra'!$C$2:$T$55,MID(P$1,2,2)+2,0)="","",VLOOKUP($C14,'2D-Chapra'!$C$2:$T$55,MID(P$1,2,2)+2,0))</f>
        <v/>
      </c>
      <c r="Q14" s="4" t="str">
        <f>IF(VLOOKUP($C14,'2D-Chapra'!$C$2:$T$55,MID(Q$1,2,2)+2,0)="","",VLOOKUP($C14,'2D-Chapra'!$C$2:$T$55,MID(Q$1,2,2)+2,0))</f>
        <v/>
      </c>
      <c r="R14" s="4" t="str">
        <f>IF(VLOOKUP($C14,'2D-Chapra'!$C$2:$T$55,MID(R$1,2,2)+2,0)="","",VLOOKUP($C14,'2D-Chapra'!$C$2:$T$55,MID(R$1,2,2)+2,0))</f>
        <v/>
      </c>
      <c r="S14" s="4" t="str">
        <f>IF(VLOOKUP($C14,'2D-Chapra'!$C$2:$T$55,MID(S$1,2,2)+2,0)="","",VLOOKUP($C14,'2D-Chapra'!$C$2:$T$55,MID(S$1,2,2)+2,0))</f>
        <v/>
      </c>
      <c r="T14" s="5" t="str">
        <f>IF(VLOOKUP($C14,'2D-Chapra'!$C$2:$T$55,MID(T$1,2,2)+2,0)="","",VLOOKUP($C14,'2D-Chapra'!$C$2:$T$55,MID(T$1,2,2)+2,0))</f>
        <v/>
      </c>
      <c r="W14" s="85">
        <v>1</v>
      </c>
      <c r="X14" s="86">
        <v>1</v>
      </c>
      <c r="Y14" s="87">
        <v>-3</v>
      </c>
      <c r="Z14" s="88" t="s">
        <v>21</v>
      </c>
      <c r="AA14" s="105">
        <v>0</v>
      </c>
      <c r="AB14" s="14">
        <v>0</v>
      </c>
      <c r="AC14" s="15">
        <v>0</v>
      </c>
      <c r="AD14" s="13">
        <v>0</v>
      </c>
      <c r="AE14" s="14">
        <v>0</v>
      </c>
      <c r="AF14" s="15">
        <v>0</v>
      </c>
      <c r="AG14" s="13">
        <v>0</v>
      </c>
      <c r="AH14" s="14">
        <v>0</v>
      </c>
      <c r="AI14" s="15">
        <v>0</v>
      </c>
      <c r="AJ14" s="13">
        <v>0</v>
      </c>
      <c r="AK14" s="14">
        <v>0</v>
      </c>
      <c r="AL14" s="15">
        <v>0</v>
      </c>
      <c r="AM14" s="106">
        <f t="array" aca="1" ref="AM14:AO16" ca="1">rigidez($W14:$Y16)</f>
        <v>0.25</v>
      </c>
      <c r="AN14" s="90">
        <f ca="1"/>
        <v>0</v>
      </c>
      <c r="AO14" s="91">
        <f ca="1"/>
        <v>-0.25</v>
      </c>
      <c r="AP14" s="13">
        <v>0</v>
      </c>
      <c r="AQ14" s="14">
        <v>0</v>
      </c>
      <c r="AR14" s="15">
        <v>0</v>
      </c>
      <c r="AS14" s="13">
        <v>0</v>
      </c>
      <c r="AT14" s="14">
        <v>0</v>
      </c>
      <c r="AU14" s="15">
        <v>0</v>
      </c>
      <c r="AV14" s="13">
        <v>0</v>
      </c>
      <c r="AW14" s="14">
        <v>0</v>
      </c>
      <c r="AX14" s="15">
        <v>0</v>
      </c>
      <c r="AY14" s="13">
        <v>0</v>
      </c>
      <c r="AZ14" s="14">
        <v>0</v>
      </c>
      <c r="BA14" s="15">
        <v>0</v>
      </c>
      <c r="BB14" s="13">
        <v>0</v>
      </c>
      <c r="BC14" s="14">
        <v>0</v>
      </c>
      <c r="BD14" s="15">
        <v>0</v>
      </c>
      <c r="BE14" s="13">
        <v>0</v>
      </c>
      <c r="BF14" s="14">
        <v>0</v>
      </c>
      <c r="BG14" s="15">
        <v>0</v>
      </c>
      <c r="BH14" s="13">
        <v>0</v>
      </c>
      <c r="BI14" s="14">
        <v>0</v>
      </c>
      <c r="BJ14" s="15">
        <v>0</v>
      </c>
      <c r="BK14" s="13">
        <v>0</v>
      </c>
      <c r="BL14" s="14">
        <v>0</v>
      </c>
      <c r="BM14" s="15">
        <v>0</v>
      </c>
      <c r="BN14" s="13">
        <v>0</v>
      </c>
      <c r="BO14" s="14">
        <v>0</v>
      </c>
      <c r="BP14" s="15">
        <v>0</v>
      </c>
      <c r="BQ14" s="13">
        <v>0</v>
      </c>
      <c r="BR14" s="14">
        <v>0</v>
      </c>
      <c r="BS14" s="15">
        <v>0</v>
      </c>
      <c r="BT14" s="13">
        <v>0</v>
      </c>
      <c r="BU14" s="14">
        <v>0</v>
      </c>
      <c r="BV14" s="15">
        <v>0</v>
      </c>
      <c r="BW14" s="13">
        <v>0</v>
      </c>
      <c r="BX14" s="14">
        <v>0</v>
      </c>
      <c r="BY14" s="15">
        <v>0</v>
      </c>
      <c r="BZ14" s="13">
        <v>0</v>
      </c>
      <c r="CA14" s="14">
        <v>0</v>
      </c>
      <c r="CB14" s="92">
        <v>0</v>
      </c>
    </row>
    <row r="15" spans="1:80" x14ac:dyDescent="0.25">
      <c r="A15" s="23">
        <f t="shared" si="1"/>
        <v>5</v>
      </c>
      <c r="B15" s="23">
        <f t="shared" si="2"/>
        <v>2</v>
      </c>
      <c r="C15" s="23" t="str">
        <f t="shared" si="0"/>
        <v>T5_2</v>
      </c>
      <c r="E15" s="3" t="str">
        <f>IF(VLOOKUP($C15,'2D-Chapra'!$C$2:$T$55,MID(E$1,2,2)+2,0)="","",VLOOKUP($C15,'2D-Chapra'!$C$2:$T$55,MID(E$1,2,2)+2,0))</f>
        <v/>
      </c>
      <c r="F15" s="4" t="str">
        <f>IF(VLOOKUP($C15,'2D-Chapra'!$C$2:$T$55,MID(F$1,2,2)+2,0)="","",VLOOKUP($C15,'2D-Chapra'!$C$2:$T$55,MID(F$1,2,2)+2,0))</f>
        <v/>
      </c>
      <c r="G15" s="4" t="str">
        <f>IF(VLOOKUP($C15,'2D-Chapra'!$C$2:$T$55,MID(G$1,2,2)+2,0)="","",VLOOKUP($C15,'2D-Chapra'!$C$2:$T$55,MID(G$1,2,2)+2,0))</f>
        <v/>
      </c>
      <c r="H15" s="4" t="str">
        <f>IF(VLOOKUP($C15,'2D-Chapra'!$C$2:$T$55,MID(H$1,2,2)+2,0)="","",VLOOKUP($C15,'2D-Chapra'!$C$2:$T$55,MID(H$1,2,2)+2,0))</f>
        <v/>
      </c>
      <c r="I15" s="4" t="str">
        <f>IF(VLOOKUP($C15,'2D-Chapra'!$C$2:$T$55,MID(I$1,2,2)+2,0)="","",VLOOKUP($C15,'2D-Chapra'!$C$2:$T$55,MID(I$1,2,2)+2,0))</f>
        <v/>
      </c>
      <c r="J15" s="4" t="str">
        <f>IF(VLOOKUP($C15,'2D-Chapra'!$C$2:$T$55,MID(J$1,2,2)+2,0)="","",VLOOKUP($C15,'2D-Chapra'!$C$2:$T$55,MID(J$1,2,2)+2,0))</f>
        <v/>
      </c>
      <c r="K15" s="4" t="str">
        <f>IF(VLOOKUP($C15,'2D-Chapra'!$C$2:$T$55,MID(K$1,2,2)+2,0)="","",VLOOKUP($C15,'2D-Chapra'!$C$2:$T$55,MID(K$1,2,2)+2,0))</f>
        <v/>
      </c>
      <c r="L15" s="4" t="str">
        <f>IF(VLOOKUP($C15,'2D-Chapra'!$C$2:$T$55,MID(L$1,2,2)+2,0)="","",VLOOKUP($C15,'2D-Chapra'!$C$2:$T$55,MID(L$1,2,2)+2,0))</f>
        <v/>
      </c>
      <c r="M15" s="4" t="str">
        <f>IF(VLOOKUP($C15,'2D-Chapra'!$C$2:$T$55,MID(M$1,2,2)+2,0)="","",VLOOKUP($C15,'2D-Chapra'!$C$2:$T$55,MID(M$1,2,2)+2,0))</f>
        <v/>
      </c>
      <c r="N15" s="4">
        <f>IF(VLOOKUP($C15,'2D-Chapra'!$C$2:$T$55,MID(N$1,2,2)+2,0)="","",VLOOKUP($C15,'2D-Chapra'!$C$2:$T$55,MID(N$1,2,2)+2,0))</f>
        <v>1</v>
      </c>
      <c r="O15" s="4" t="str">
        <f>IF(VLOOKUP($C15,'2D-Chapra'!$C$2:$T$55,MID(O$1,2,2)+2,0)="","",VLOOKUP($C15,'2D-Chapra'!$C$2:$T$55,MID(O$1,2,2)+2,0))</f>
        <v/>
      </c>
      <c r="P15" s="4" t="str">
        <f>IF(VLOOKUP($C15,'2D-Chapra'!$C$2:$T$55,MID(P$1,2,2)+2,0)="","",VLOOKUP($C15,'2D-Chapra'!$C$2:$T$55,MID(P$1,2,2)+2,0))</f>
        <v/>
      </c>
      <c r="Q15" s="4" t="str">
        <f>IF(VLOOKUP($C15,'2D-Chapra'!$C$2:$T$55,MID(Q$1,2,2)+2,0)="","",VLOOKUP($C15,'2D-Chapra'!$C$2:$T$55,MID(Q$1,2,2)+2,0))</f>
        <v/>
      </c>
      <c r="R15" s="4" t="str">
        <f>IF(VLOOKUP($C15,'2D-Chapra'!$C$2:$T$55,MID(R$1,2,2)+2,0)="","",VLOOKUP($C15,'2D-Chapra'!$C$2:$T$55,MID(R$1,2,2)+2,0))</f>
        <v/>
      </c>
      <c r="S15" s="4" t="str">
        <f>IF(VLOOKUP($C15,'2D-Chapra'!$C$2:$T$55,MID(S$1,2,2)+2,0)="","",VLOOKUP($C15,'2D-Chapra'!$C$2:$T$55,MID(S$1,2,2)+2,0))</f>
        <v/>
      </c>
      <c r="T15" s="5" t="str">
        <f>IF(VLOOKUP($C15,'2D-Chapra'!$C$2:$T$55,MID(T$1,2,2)+2,0)="","",VLOOKUP($C15,'2D-Chapra'!$C$2:$T$55,MID(T$1,2,2)+2,0))</f>
        <v/>
      </c>
      <c r="W15" s="93">
        <v>1</v>
      </c>
      <c r="X15" s="49">
        <v>3</v>
      </c>
      <c r="Y15" s="94">
        <v>-1</v>
      </c>
      <c r="Z15" s="95" t="s">
        <v>22</v>
      </c>
      <c r="AA15" s="3">
        <v>0</v>
      </c>
      <c r="AB15" s="4">
        <v>0</v>
      </c>
      <c r="AC15" s="17">
        <v>0</v>
      </c>
      <c r="AD15" s="16">
        <v>0</v>
      </c>
      <c r="AE15" s="4">
        <v>0</v>
      </c>
      <c r="AF15" s="17">
        <v>0</v>
      </c>
      <c r="AG15" s="16">
        <v>0</v>
      </c>
      <c r="AH15" s="4">
        <v>0</v>
      </c>
      <c r="AI15" s="17">
        <v>0</v>
      </c>
      <c r="AJ15" s="16">
        <v>0</v>
      </c>
      <c r="AK15" s="4">
        <v>0</v>
      </c>
      <c r="AL15" s="17">
        <v>0</v>
      </c>
      <c r="AM15" s="107">
        <f ca="1"/>
        <v>0</v>
      </c>
      <c r="AN15" s="11">
        <f ca="1"/>
        <v>0.25</v>
      </c>
      <c r="AO15" s="96">
        <f ca="1"/>
        <v>-0.25</v>
      </c>
      <c r="AP15" s="16">
        <v>0</v>
      </c>
      <c r="AQ15" s="4">
        <v>0</v>
      </c>
      <c r="AR15" s="17">
        <v>0</v>
      </c>
      <c r="AS15" s="16">
        <v>0</v>
      </c>
      <c r="AT15" s="4">
        <v>0</v>
      </c>
      <c r="AU15" s="17">
        <v>0</v>
      </c>
      <c r="AV15" s="16">
        <v>0</v>
      </c>
      <c r="AW15" s="4">
        <v>0</v>
      </c>
      <c r="AX15" s="17">
        <v>0</v>
      </c>
      <c r="AY15" s="16">
        <v>0</v>
      </c>
      <c r="AZ15" s="4">
        <v>0</v>
      </c>
      <c r="BA15" s="17">
        <v>0</v>
      </c>
      <c r="BB15" s="16">
        <v>0</v>
      </c>
      <c r="BC15" s="4">
        <v>0</v>
      </c>
      <c r="BD15" s="17">
        <v>0</v>
      </c>
      <c r="BE15" s="16">
        <v>0</v>
      </c>
      <c r="BF15" s="4">
        <v>0</v>
      </c>
      <c r="BG15" s="17">
        <v>0</v>
      </c>
      <c r="BH15" s="16">
        <v>0</v>
      </c>
      <c r="BI15" s="4">
        <v>0</v>
      </c>
      <c r="BJ15" s="17">
        <v>0</v>
      </c>
      <c r="BK15" s="16">
        <v>0</v>
      </c>
      <c r="BL15" s="4">
        <v>0</v>
      </c>
      <c r="BM15" s="17">
        <v>0</v>
      </c>
      <c r="BN15" s="16">
        <v>0</v>
      </c>
      <c r="BO15" s="4">
        <v>0</v>
      </c>
      <c r="BP15" s="17">
        <v>0</v>
      </c>
      <c r="BQ15" s="16">
        <v>0</v>
      </c>
      <c r="BR15" s="4">
        <v>0</v>
      </c>
      <c r="BS15" s="17">
        <v>0</v>
      </c>
      <c r="BT15" s="16">
        <v>0</v>
      </c>
      <c r="BU15" s="4">
        <v>0</v>
      </c>
      <c r="BV15" s="17">
        <v>0</v>
      </c>
      <c r="BW15" s="16">
        <v>0</v>
      </c>
      <c r="BX15" s="4">
        <v>0</v>
      </c>
      <c r="BY15" s="17">
        <v>0</v>
      </c>
      <c r="BZ15" s="16">
        <v>0</v>
      </c>
      <c r="CA15" s="4">
        <v>0</v>
      </c>
      <c r="CB15" s="5">
        <v>0</v>
      </c>
    </row>
    <row r="16" spans="1:80" x14ac:dyDescent="0.25">
      <c r="A16" s="23">
        <f t="shared" si="1"/>
        <v>5</v>
      </c>
      <c r="B16" s="23">
        <f t="shared" si="2"/>
        <v>3</v>
      </c>
      <c r="C16" s="23" t="str">
        <f t="shared" si="0"/>
        <v>T5_3</v>
      </c>
      <c r="E16" s="3" t="str">
        <f>IF(VLOOKUP($C16,'2D-Chapra'!$C$2:$T$55,MID(E$1,2,2)+2,0)="","",VLOOKUP($C16,'2D-Chapra'!$C$2:$T$55,MID(E$1,2,2)+2,0))</f>
        <v/>
      </c>
      <c r="F16" s="4">
        <f>IF(VLOOKUP($C16,'2D-Chapra'!$C$2:$T$55,MID(F$1,2,2)+2,0)="","",VLOOKUP($C16,'2D-Chapra'!$C$2:$T$55,MID(F$1,2,2)+2,0))</f>
        <v>1</v>
      </c>
      <c r="G16" s="4" t="str">
        <f>IF(VLOOKUP($C16,'2D-Chapra'!$C$2:$T$55,MID(G$1,2,2)+2,0)="","",VLOOKUP($C16,'2D-Chapra'!$C$2:$T$55,MID(G$1,2,2)+2,0))</f>
        <v/>
      </c>
      <c r="H16" s="4" t="str">
        <f>IF(VLOOKUP($C16,'2D-Chapra'!$C$2:$T$55,MID(H$1,2,2)+2,0)="","",VLOOKUP($C16,'2D-Chapra'!$C$2:$T$55,MID(H$1,2,2)+2,0))</f>
        <v/>
      </c>
      <c r="I16" s="4" t="str">
        <f>IF(VLOOKUP($C16,'2D-Chapra'!$C$2:$T$55,MID(I$1,2,2)+2,0)="","",VLOOKUP($C16,'2D-Chapra'!$C$2:$T$55,MID(I$1,2,2)+2,0))</f>
        <v/>
      </c>
      <c r="J16" s="4" t="str">
        <f>IF(VLOOKUP($C16,'2D-Chapra'!$C$2:$T$55,MID(J$1,2,2)+2,0)="","",VLOOKUP($C16,'2D-Chapra'!$C$2:$T$55,MID(J$1,2,2)+2,0))</f>
        <v/>
      </c>
      <c r="K16" s="4" t="str">
        <f>IF(VLOOKUP($C16,'2D-Chapra'!$C$2:$T$55,MID(K$1,2,2)+2,0)="","",VLOOKUP($C16,'2D-Chapra'!$C$2:$T$55,MID(K$1,2,2)+2,0))</f>
        <v/>
      </c>
      <c r="L16" s="4" t="str">
        <f>IF(VLOOKUP($C16,'2D-Chapra'!$C$2:$T$55,MID(L$1,2,2)+2,0)="","",VLOOKUP($C16,'2D-Chapra'!$C$2:$T$55,MID(L$1,2,2)+2,0))</f>
        <v/>
      </c>
      <c r="M16" s="4" t="str">
        <f>IF(VLOOKUP($C16,'2D-Chapra'!$C$2:$T$55,MID(M$1,2,2)+2,0)="","",VLOOKUP($C16,'2D-Chapra'!$C$2:$T$55,MID(M$1,2,2)+2,0))</f>
        <v/>
      </c>
      <c r="N16" s="4" t="str">
        <f>IF(VLOOKUP($C16,'2D-Chapra'!$C$2:$T$55,MID(N$1,2,2)+2,0)="","",VLOOKUP($C16,'2D-Chapra'!$C$2:$T$55,MID(N$1,2,2)+2,0))</f>
        <v/>
      </c>
      <c r="O16" s="4" t="str">
        <f>IF(VLOOKUP($C16,'2D-Chapra'!$C$2:$T$55,MID(O$1,2,2)+2,0)="","",VLOOKUP($C16,'2D-Chapra'!$C$2:$T$55,MID(O$1,2,2)+2,0))</f>
        <v/>
      </c>
      <c r="P16" s="4" t="str">
        <f>IF(VLOOKUP($C16,'2D-Chapra'!$C$2:$T$55,MID(P$1,2,2)+2,0)="","",VLOOKUP($C16,'2D-Chapra'!$C$2:$T$55,MID(P$1,2,2)+2,0))</f>
        <v/>
      </c>
      <c r="Q16" s="4" t="str">
        <f>IF(VLOOKUP($C16,'2D-Chapra'!$C$2:$T$55,MID(Q$1,2,2)+2,0)="","",VLOOKUP($C16,'2D-Chapra'!$C$2:$T$55,MID(Q$1,2,2)+2,0))</f>
        <v/>
      </c>
      <c r="R16" s="4" t="str">
        <f>IF(VLOOKUP($C16,'2D-Chapra'!$C$2:$T$55,MID(R$1,2,2)+2,0)="","",VLOOKUP($C16,'2D-Chapra'!$C$2:$T$55,MID(R$1,2,2)+2,0))</f>
        <v/>
      </c>
      <c r="S16" s="4" t="str">
        <f>IF(VLOOKUP($C16,'2D-Chapra'!$C$2:$T$55,MID(S$1,2,2)+2,0)="","",VLOOKUP($C16,'2D-Chapra'!$C$2:$T$55,MID(S$1,2,2)+2,0))</f>
        <v/>
      </c>
      <c r="T16" s="5" t="str">
        <f>IF(VLOOKUP($C16,'2D-Chapra'!$C$2:$T$55,MID(T$1,2,2)+2,0)="","",VLOOKUP($C16,'2D-Chapra'!$C$2:$T$55,MID(T$1,2,2)+2,0))</f>
        <v/>
      </c>
      <c r="W16" s="97">
        <v>1</v>
      </c>
      <c r="X16" s="98">
        <v>1</v>
      </c>
      <c r="Y16" s="99">
        <v>-1</v>
      </c>
      <c r="Z16" s="100" t="s">
        <v>23</v>
      </c>
      <c r="AA16" s="108">
        <v>0</v>
      </c>
      <c r="AB16" s="19">
        <v>0</v>
      </c>
      <c r="AC16" s="20">
        <v>0</v>
      </c>
      <c r="AD16" s="18">
        <v>0</v>
      </c>
      <c r="AE16" s="19">
        <v>0</v>
      </c>
      <c r="AF16" s="20">
        <v>0</v>
      </c>
      <c r="AG16" s="18">
        <v>0</v>
      </c>
      <c r="AH16" s="19">
        <v>0</v>
      </c>
      <c r="AI16" s="20">
        <v>0</v>
      </c>
      <c r="AJ16" s="18">
        <v>0</v>
      </c>
      <c r="AK16" s="19">
        <v>0</v>
      </c>
      <c r="AL16" s="20">
        <v>0</v>
      </c>
      <c r="AM16" s="109">
        <f ca="1"/>
        <v>-0.25</v>
      </c>
      <c r="AN16" s="102">
        <f ca="1"/>
        <v>-0.25</v>
      </c>
      <c r="AO16" s="103">
        <f ca="1"/>
        <v>0.5</v>
      </c>
      <c r="AP16" s="18">
        <v>0</v>
      </c>
      <c r="AQ16" s="19">
        <v>0</v>
      </c>
      <c r="AR16" s="20">
        <v>0</v>
      </c>
      <c r="AS16" s="18">
        <v>0</v>
      </c>
      <c r="AT16" s="19">
        <v>0</v>
      </c>
      <c r="AU16" s="20">
        <v>0</v>
      </c>
      <c r="AV16" s="18">
        <v>0</v>
      </c>
      <c r="AW16" s="19">
        <v>0</v>
      </c>
      <c r="AX16" s="20">
        <v>0</v>
      </c>
      <c r="AY16" s="18">
        <v>0</v>
      </c>
      <c r="AZ16" s="19">
        <v>0</v>
      </c>
      <c r="BA16" s="20">
        <v>0</v>
      </c>
      <c r="BB16" s="18">
        <v>0</v>
      </c>
      <c r="BC16" s="19">
        <v>0</v>
      </c>
      <c r="BD16" s="20">
        <v>0</v>
      </c>
      <c r="BE16" s="18">
        <v>0</v>
      </c>
      <c r="BF16" s="19">
        <v>0</v>
      </c>
      <c r="BG16" s="20">
        <v>0</v>
      </c>
      <c r="BH16" s="18">
        <v>0</v>
      </c>
      <c r="BI16" s="19">
        <v>0</v>
      </c>
      <c r="BJ16" s="20">
        <v>0</v>
      </c>
      <c r="BK16" s="18">
        <v>0</v>
      </c>
      <c r="BL16" s="19">
        <v>0</v>
      </c>
      <c r="BM16" s="20">
        <v>0</v>
      </c>
      <c r="BN16" s="18">
        <v>0</v>
      </c>
      <c r="BO16" s="19">
        <v>0</v>
      </c>
      <c r="BP16" s="20">
        <v>0</v>
      </c>
      <c r="BQ16" s="18">
        <v>0</v>
      </c>
      <c r="BR16" s="19">
        <v>0</v>
      </c>
      <c r="BS16" s="20">
        <v>0</v>
      </c>
      <c r="BT16" s="18">
        <v>0</v>
      </c>
      <c r="BU16" s="19">
        <v>0</v>
      </c>
      <c r="BV16" s="20">
        <v>0</v>
      </c>
      <c r="BW16" s="18">
        <v>0</v>
      </c>
      <c r="BX16" s="19">
        <v>0</v>
      </c>
      <c r="BY16" s="20">
        <v>0</v>
      </c>
      <c r="BZ16" s="18">
        <v>0</v>
      </c>
      <c r="CA16" s="19">
        <v>0</v>
      </c>
      <c r="CB16" s="104">
        <v>0</v>
      </c>
    </row>
    <row r="17" spans="1:80" x14ac:dyDescent="0.25">
      <c r="A17" s="23">
        <f t="shared" si="1"/>
        <v>6</v>
      </c>
      <c r="B17" s="23">
        <f t="shared" si="2"/>
        <v>1</v>
      </c>
      <c r="C17" s="23" t="str">
        <f t="shared" si="0"/>
        <v>T6_1</v>
      </c>
      <c r="E17" s="3" t="str">
        <f>IF(VLOOKUP($C17,'2D-Chapra'!$C$2:$T$55,MID(E$1,2,2)+2,0)="","",VLOOKUP($C17,'2D-Chapra'!$C$2:$T$55,MID(E$1,2,2)+2,0))</f>
        <v/>
      </c>
      <c r="F17" s="4" t="str">
        <f>IF(VLOOKUP($C17,'2D-Chapra'!$C$2:$T$55,MID(F$1,2,2)+2,0)="","",VLOOKUP($C17,'2D-Chapra'!$C$2:$T$55,MID(F$1,2,2)+2,0))</f>
        <v/>
      </c>
      <c r="G17" s="4" t="str">
        <f>IF(VLOOKUP($C17,'2D-Chapra'!$C$2:$T$55,MID(G$1,2,2)+2,0)="","",VLOOKUP($C17,'2D-Chapra'!$C$2:$T$55,MID(G$1,2,2)+2,0))</f>
        <v/>
      </c>
      <c r="H17" s="4" t="str">
        <f>IF(VLOOKUP($C17,'2D-Chapra'!$C$2:$T$55,MID(H$1,2,2)+2,0)="","",VLOOKUP($C17,'2D-Chapra'!$C$2:$T$55,MID(H$1,2,2)+2,0))</f>
        <v/>
      </c>
      <c r="I17" s="4" t="str">
        <f>IF(VLOOKUP($C17,'2D-Chapra'!$C$2:$T$55,MID(I$1,2,2)+2,0)="","",VLOOKUP($C17,'2D-Chapra'!$C$2:$T$55,MID(I$1,2,2)+2,0))</f>
        <v/>
      </c>
      <c r="J17" s="4" t="str">
        <f>IF(VLOOKUP($C17,'2D-Chapra'!$C$2:$T$55,MID(J$1,2,2)+2,0)="","",VLOOKUP($C17,'2D-Chapra'!$C$2:$T$55,MID(J$1,2,2)+2,0))</f>
        <v/>
      </c>
      <c r="K17" s="4">
        <f>IF(VLOOKUP($C17,'2D-Chapra'!$C$2:$T$55,MID(K$1,2,2)+2,0)="","",VLOOKUP($C17,'2D-Chapra'!$C$2:$T$55,MID(K$1,2,2)+2,0))</f>
        <v>1</v>
      </c>
      <c r="L17" s="4" t="str">
        <f>IF(VLOOKUP($C17,'2D-Chapra'!$C$2:$T$55,MID(L$1,2,2)+2,0)="","",VLOOKUP($C17,'2D-Chapra'!$C$2:$T$55,MID(L$1,2,2)+2,0))</f>
        <v/>
      </c>
      <c r="M17" s="4" t="str">
        <f>IF(VLOOKUP($C17,'2D-Chapra'!$C$2:$T$55,MID(M$1,2,2)+2,0)="","",VLOOKUP($C17,'2D-Chapra'!$C$2:$T$55,MID(M$1,2,2)+2,0))</f>
        <v/>
      </c>
      <c r="N17" s="4" t="str">
        <f>IF(VLOOKUP($C17,'2D-Chapra'!$C$2:$T$55,MID(N$1,2,2)+2,0)="","",VLOOKUP($C17,'2D-Chapra'!$C$2:$T$55,MID(N$1,2,2)+2,0))</f>
        <v/>
      </c>
      <c r="O17" s="4" t="str">
        <f>IF(VLOOKUP($C17,'2D-Chapra'!$C$2:$T$55,MID(O$1,2,2)+2,0)="","",VLOOKUP($C17,'2D-Chapra'!$C$2:$T$55,MID(O$1,2,2)+2,0))</f>
        <v/>
      </c>
      <c r="P17" s="4" t="str">
        <f>IF(VLOOKUP($C17,'2D-Chapra'!$C$2:$T$55,MID(P$1,2,2)+2,0)="","",VLOOKUP($C17,'2D-Chapra'!$C$2:$T$55,MID(P$1,2,2)+2,0))</f>
        <v/>
      </c>
      <c r="Q17" s="4" t="str">
        <f>IF(VLOOKUP($C17,'2D-Chapra'!$C$2:$T$55,MID(Q$1,2,2)+2,0)="","",VLOOKUP($C17,'2D-Chapra'!$C$2:$T$55,MID(Q$1,2,2)+2,0))</f>
        <v/>
      </c>
      <c r="R17" s="4" t="str">
        <f>IF(VLOOKUP($C17,'2D-Chapra'!$C$2:$T$55,MID(R$1,2,2)+2,0)="","",VLOOKUP($C17,'2D-Chapra'!$C$2:$T$55,MID(R$1,2,2)+2,0))</f>
        <v/>
      </c>
      <c r="S17" s="4" t="str">
        <f>IF(VLOOKUP($C17,'2D-Chapra'!$C$2:$T$55,MID(S$1,2,2)+2,0)="","",VLOOKUP($C17,'2D-Chapra'!$C$2:$T$55,MID(S$1,2,2)+2,0))</f>
        <v/>
      </c>
      <c r="T17" s="5" t="str">
        <f>IF(VLOOKUP($C17,'2D-Chapra'!$C$2:$T$55,MID(T$1,2,2)+2,0)="","",VLOOKUP($C17,'2D-Chapra'!$C$2:$T$55,MID(T$1,2,2)+2,0))</f>
        <v/>
      </c>
      <c r="W17" s="85">
        <v>1</v>
      </c>
      <c r="X17" s="86">
        <v>1</v>
      </c>
      <c r="Y17" s="87">
        <v>-3</v>
      </c>
      <c r="Z17" s="88" t="s">
        <v>24</v>
      </c>
      <c r="AA17" s="105">
        <v>0</v>
      </c>
      <c r="AB17" s="14">
        <v>0</v>
      </c>
      <c r="AC17" s="15">
        <v>0</v>
      </c>
      <c r="AD17" s="13">
        <v>0</v>
      </c>
      <c r="AE17" s="14">
        <v>0</v>
      </c>
      <c r="AF17" s="15">
        <v>0</v>
      </c>
      <c r="AG17" s="13">
        <v>0</v>
      </c>
      <c r="AH17" s="14">
        <v>0</v>
      </c>
      <c r="AI17" s="15">
        <v>0</v>
      </c>
      <c r="AJ17" s="13">
        <v>0</v>
      </c>
      <c r="AK17" s="14">
        <v>0</v>
      </c>
      <c r="AL17" s="15">
        <v>0</v>
      </c>
      <c r="AM17" s="13">
        <v>0</v>
      </c>
      <c r="AN17" s="14">
        <v>0</v>
      </c>
      <c r="AO17" s="15">
        <v>0</v>
      </c>
      <c r="AP17" s="106">
        <f t="array" aca="1" ref="AP17:AR19" ca="1">rigidez($W17:$Y19)</f>
        <v>0.25</v>
      </c>
      <c r="AQ17" s="90">
        <f ca="1"/>
        <v>-0.25</v>
      </c>
      <c r="AR17" s="91">
        <f ca="1"/>
        <v>0</v>
      </c>
      <c r="AS17" s="13">
        <v>0</v>
      </c>
      <c r="AT17" s="14">
        <v>0</v>
      </c>
      <c r="AU17" s="15">
        <v>0</v>
      </c>
      <c r="AV17" s="13">
        <v>0</v>
      </c>
      <c r="AW17" s="14">
        <v>0</v>
      </c>
      <c r="AX17" s="15">
        <v>0</v>
      </c>
      <c r="AY17" s="13">
        <v>0</v>
      </c>
      <c r="AZ17" s="14">
        <v>0</v>
      </c>
      <c r="BA17" s="15">
        <v>0</v>
      </c>
      <c r="BB17" s="13">
        <v>0</v>
      </c>
      <c r="BC17" s="14">
        <v>0</v>
      </c>
      <c r="BD17" s="15">
        <v>0</v>
      </c>
      <c r="BE17" s="13">
        <v>0</v>
      </c>
      <c r="BF17" s="14">
        <v>0</v>
      </c>
      <c r="BG17" s="15">
        <v>0</v>
      </c>
      <c r="BH17" s="13">
        <v>0</v>
      </c>
      <c r="BI17" s="14">
        <v>0</v>
      </c>
      <c r="BJ17" s="15">
        <v>0</v>
      </c>
      <c r="BK17" s="13">
        <v>0</v>
      </c>
      <c r="BL17" s="14">
        <v>0</v>
      </c>
      <c r="BM17" s="15">
        <v>0</v>
      </c>
      <c r="BN17" s="13">
        <v>0</v>
      </c>
      <c r="BO17" s="14">
        <v>0</v>
      </c>
      <c r="BP17" s="15">
        <v>0</v>
      </c>
      <c r="BQ17" s="13">
        <v>0</v>
      </c>
      <c r="BR17" s="14">
        <v>0</v>
      </c>
      <c r="BS17" s="15">
        <v>0</v>
      </c>
      <c r="BT17" s="13">
        <v>0</v>
      </c>
      <c r="BU17" s="14">
        <v>0</v>
      </c>
      <c r="BV17" s="15">
        <v>0</v>
      </c>
      <c r="BW17" s="13">
        <v>0</v>
      </c>
      <c r="BX17" s="14">
        <v>0</v>
      </c>
      <c r="BY17" s="15">
        <v>0</v>
      </c>
      <c r="BZ17" s="13">
        <v>0</v>
      </c>
      <c r="CA17" s="14">
        <v>0</v>
      </c>
      <c r="CB17" s="92">
        <v>0</v>
      </c>
    </row>
    <row r="18" spans="1:80" x14ac:dyDescent="0.25">
      <c r="A18" s="23">
        <f t="shared" si="1"/>
        <v>6</v>
      </c>
      <c r="B18" s="23">
        <f t="shared" si="2"/>
        <v>2</v>
      </c>
      <c r="C18" s="23" t="str">
        <f t="shared" si="0"/>
        <v>T6_2</v>
      </c>
      <c r="E18" s="3" t="str">
        <f>IF(VLOOKUP($C18,'2D-Chapra'!$C$2:$T$55,MID(E$1,2,2)+2,0)="","",VLOOKUP($C18,'2D-Chapra'!$C$2:$T$55,MID(E$1,2,2)+2,0))</f>
        <v/>
      </c>
      <c r="F18" s="4" t="str">
        <f>IF(VLOOKUP($C18,'2D-Chapra'!$C$2:$T$55,MID(F$1,2,2)+2,0)="","",VLOOKUP($C18,'2D-Chapra'!$C$2:$T$55,MID(F$1,2,2)+2,0))</f>
        <v/>
      </c>
      <c r="G18" s="4" t="str">
        <f>IF(VLOOKUP($C18,'2D-Chapra'!$C$2:$T$55,MID(G$1,2,2)+2,0)="","",VLOOKUP($C18,'2D-Chapra'!$C$2:$T$55,MID(G$1,2,2)+2,0))</f>
        <v/>
      </c>
      <c r="H18" s="4" t="str">
        <f>IF(VLOOKUP($C18,'2D-Chapra'!$C$2:$T$55,MID(H$1,2,2)+2,0)="","",VLOOKUP($C18,'2D-Chapra'!$C$2:$T$55,MID(H$1,2,2)+2,0))</f>
        <v/>
      </c>
      <c r="I18" s="4" t="str">
        <f>IF(VLOOKUP($C18,'2D-Chapra'!$C$2:$T$55,MID(I$1,2,2)+2,0)="","",VLOOKUP($C18,'2D-Chapra'!$C$2:$T$55,MID(I$1,2,2)+2,0))</f>
        <v/>
      </c>
      <c r="J18" s="4" t="str">
        <f>IF(VLOOKUP($C18,'2D-Chapra'!$C$2:$T$55,MID(J$1,2,2)+2,0)="","",VLOOKUP($C18,'2D-Chapra'!$C$2:$T$55,MID(J$1,2,2)+2,0))</f>
        <v/>
      </c>
      <c r="K18" s="4" t="str">
        <f>IF(VLOOKUP($C18,'2D-Chapra'!$C$2:$T$55,MID(K$1,2,2)+2,0)="","",VLOOKUP($C18,'2D-Chapra'!$C$2:$T$55,MID(K$1,2,2)+2,0))</f>
        <v/>
      </c>
      <c r="L18" s="4">
        <f>IF(VLOOKUP($C18,'2D-Chapra'!$C$2:$T$55,MID(L$1,2,2)+2,0)="","",VLOOKUP($C18,'2D-Chapra'!$C$2:$T$55,MID(L$1,2,2)+2,0))</f>
        <v>1</v>
      </c>
      <c r="M18" s="4" t="str">
        <f>IF(VLOOKUP($C18,'2D-Chapra'!$C$2:$T$55,MID(M$1,2,2)+2,0)="","",VLOOKUP($C18,'2D-Chapra'!$C$2:$T$55,MID(M$1,2,2)+2,0))</f>
        <v/>
      </c>
      <c r="N18" s="4" t="str">
        <f>IF(VLOOKUP($C18,'2D-Chapra'!$C$2:$T$55,MID(N$1,2,2)+2,0)="","",VLOOKUP($C18,'2D-Chapra'!$C$2:$T$55,MID(N$1,2,2)+2,0))</f>
        <v/>
      </c>
      <c r="O18" s="4" t="str">
        <f>IF(VLOOKUP($C18,'2D-Chapra'!$C$2:$T$55,MID(O$1,2,2)+2,0)="","",VLOOKUP($C18,'2D-Chapra'!$C$2:$T$55,MID(O$1,2,2)+2,0))</f>
        <v/>
      </c>
      <c r="P18" s="4" t="str">
        <f>IF(VLOOKUP($C18,'2D-Chapra'!$C$2:$T$55,MID(P$1,2,2)+2,0)="","",VLOOKUP($C18,'2D-Chapra'!$C$2:$T$55,MID(P$1,2,2)+2,0))</f>
        <v/>
      </c>
      <c r="Q18" s="4" t="str">
        <f>IF(VLOOKUP($C18,'2D-Chapra'!$C$2:$T$55,MID(Q$1,2,2)+2,0)="","",VLOOKUP($C18,'2D-Chapra'!$C$2:$T$55,MID(Q$1,2,2)+2,0))</f>
        <v/>
      </c>
      <c r="R18" s="4" t="str">
        <f>IF(VLOOKUP($C18,'2D-Chapra'!$C$2:$T$55,MID(R$1,2,2)+2,0)="","",VLOOKUP($C18,'2D-Chapra'!$C$2:$T$55,MID(R$1,2,2)+2,0))</f>
        <v/>
      </c>
      <c r="S18" s="4" t="str">
        <f>IF(VLOOKUP($C18,'2D-Chapra'!$C$2:$T$55,MID(S$1,2,2)+2,0)="","",VLOOKUP($C18,'2D-Chapra'!$C$2:$T$55,MID(S$1,2,2)+2,0))</f>
        <v/>
      </c>
      <c r="T18" s="5" t="str">
        <f>IF(VLOOKUP($C18,'2D-Chapra'!$C$2:$T$55,MID(T$1,2,2)+2,0)="","",VLOOKUP($C18,'2D-Chapra'!$C$2:$T$55,MID(T$1,2,2)+2,0))</f>
        <v/>
      </c>
      <c r="W18" s="93">
        <v>1</v>
      </c>
      <c r="X18" s="49">
        <v>3</v>
      </c>
      <c r="Y18" s="94">
        <v>-3</v>
      </c>
      <c r="Z18" s="95" t="s">
        <v>25</v>
      </c>
      <c r="AA18" s="3">
        <v>0</v>
      </c>
      <c r="AB18" s="4">
        <v>0</v>
      </c>
      <c r="AC18" s="17">
        <v>0</v>
      </c>
      <c r="AD18" s="16">
        <v>0</v>
      </c>
      <c r="AE18" s="4">
        <v>0</v>
      </c>
      <c r="AF18" s="17">
        <v>0</v>
      </c>
      <c r="AG18" s="16">
        <v>0</v>
      </c>
      <c r="AH18" s="4">
        <v>0</v>
      </c>
      <c r="AI18" s="17">
        <v>0</v>
      </c>
      <c r="AJ18" s="16">
        <v>0</v>
      </c>
      <c r="AK18" s="4">
        <v>0</v>
      </c>
      <c r="AL18" s="17">
        <v>0</v>
      </c>
      <c r="AM18" s="16">
        <v>0</v>
      </c>
      <c r="AN18" s="4">
        <v>0</v>
      </c>
      <c r="AO18" s="17">
        <v>0</v>
      </c>
      <c r="AP18" s="107">
        <f ca="1"/>
        <v>-0.25</v>
      </c>
      <c r="AQ18" s="11">
        <f ca="1"/>
        <v>0.5</v>
      </c>
      <c r="AR18" s="96">
        <f ca="1"/>
        <v>-0.25</v>
      </c>
      <c r="AS18" s="16">
        <v>0</v>
      </c>
      <c r="AT18" s="4">
        <v>0</v>
      </c>
      <c r="AU18" s="17">
        <v>0</v>
      </c>
      <c r="AV18" s="16">
        <v>0</v>
      </c>
      <c r="AW18" s="4">
        <v>0</v>
      </c>
      <c r="AX18" s="17">
        <v>0</v>
      </c>
      <c r="AY18" s="16">
        <v>0</v>
      </c>
      <c r="AZ18" s="4">
        <v>0</v>
      </c>
      <c r="BA18" s="17">
        <v>0</v>
      </c>
      <c r="BB18" s="16">
        <v>0</v>
      </c>
      <c r="BC18" s="4">
        <v>0</v>
      </c>
      <c r="BD18" s="17">
        <v>0</v>
      </c>
      <c r="BE18" s="16">
        <v>0</v>
      </c>
      <c r="BF18" s="4">
        <v>0</v>
      </c>
      <c r="BG18" s="17">
        <v>0</v>
      </c>
      <c r="BH18" s="16">
        <v>0</v>
      </c>
      <c r="BI18" s="4">
        <v>0</v>
      </c>
      <c r="BJ18" s="17">
        <v>0</v>
      </c>
      <c r="BK18" s="16">
        <v>0</v>
      </c>
      <c r="BL18" s="4">
        <v>0</v>
      </c>
      <c r="BM18" s="17">
        <v>0</v>
      </c>
      <c r="BN18" s="16">
        <v>0</v>
      </c>
      <c r="BO18" s="4">
        <v>0</v>
      </c>
      <c r="BP18" s="17">
        <v>0</v>
      </c>
      <c r="BQ18" s="16">
        <v>0</v>
      </c>
      <c r="BR18" s="4">
        <v>0</v>
      </c>
      <c r="BS18" s="17">
        <v>0</v>
      </c>
      <c r="BT18" s="16">
        <v>0</v>
      </c>
      <c r="BU18" s="4">
        <v>0</v>
      </c>
      <c r="BV18" s="17">
        <v>0</v>
      </c>
      <c r="BW18" s="16">
        <v>0</v>
      </c>
      <c r="BX18" s="4">
        <v>0</v>
      </c>
      <c r="BY18" s="17">
        <v>0</v>
      </c>
      <c r="BZ18" s="16">
        <v>0</v>
      </c>
      <c r="CA18" s="4">
        <v>0</v>
      </c>
      <c r="CB18" s="5">
        <v>0</v>
      </c>
    </row>
    <row r="19" spans="1:80" x14ac:dyDescent="0.25">
      <c r="A19" s="23">
        <f t="shared" si="1"/>
        <v>6</v>
      </c>
      <c r="B19" s="23">
        <f t="shared" si="2"/>
        <v>3</v>
      </c>
      <c r="C19" s="23" t="str">
        <f t="shared" si="0"/>
        <v>T6_3</v>
      </c>
      <c r="E19" s="3" t="str">
        <f>IF(VLOOKUP($C19,'2D-Chapra'!$C$2:$T$55,MID(E$1,2,2)+2,0)="","",VLOOKUP($C19,'2D-Chapra'!$C$2:$T$55,MID(E$1,2,2)+2,0))</f>
        <v/>
      </c>
      <c r="F19" s="4" t="str">
        <f>IF(VLOOKUP($C19,'2D-Chapra'!$C$2:$T$55,MID(F$1,2,2)+2,0)="","",VLOOKUP($C19,'2D-Chapra'!$C$2:$T$55,MID(F$1,2,2)+2,0))</f>
        <v/>
      </c>
      <c r="G19" s="4" t="str">
        <f>IF(VLOOKUP($C19,'2D-Chapra'!$C$2:$T$55,MID(G$1,2,2)+2,0)="","",VLOOKUP($C19,'2D-Chapra'!$C$2:$T$55,MID(G$1,2,2)+2,0))</f>
        <v/>
      </c>
      <c r="H19" s="4" t="str">
        <f>IF(VLOOKUP($C19,'2D-Chapra'!$C$2:$T$55,MID(H$1,2,2)+2,0)="","",VLOOKUP($C19,'2D-Chapra'!$C$2:$T$55,MID(H$1,2,2)+2,0))</f>
        <v/>
      </c>
      <c r="I19" s="4" t="str">
        <f>IF(VLOOKUP($C19,'2D-Chapra'!$C$2:$T$55,MID(I$1,2,2)+2,0)="","",VLOOKUP($C19,'2D-Chapra'!$C$2:$T$55,MID(I$1,2,2)+2,0))</f>
        <v/>
      </c>
      <c r="J19" s="4" t="str">
        <f>IF(VLOOKUP($C19,'2D-Chapra'!$C$2:$T$55,MID(J$1,2,2)+2,0)="","",VLOOKUP($C19,'2D-Chapra'!$C$2:$T$55,MID(J$1,2,2)+2,0))</f>
        <v/>
      </c>
      <c r="K19" s="4" t="str">
        <f>IF(VLOOKUP($C19,'2D-Chapra'!$C$2:$T$55,MID(K$1,2,2)+2,0)="","",VLOOKUP($C19,'2D-Chapra'!$C$2:$T$55,MID(K$1,2,2)+2,0))</f>
        <v/>
      </c>
      <c r="L19" s="4" t="str">
        <f>IF(VLOOKUP($C19,'2D-Chapra'!$C$2:$T$55,MID(L$1,2,2)+2,0)="","",VLOOKUP($C19,'2D-Chapra'!$C$2:$T$55,MID(L$1,2,2)+2,0))</f>
        <v/>
      </c>
      <c r="M19" s="4" t="str">
        <f>IF(VLOOKUP($C19,'2D-Chapra'!$C$2:$T$55,MID(M$1,2,2)+2,0)="","",VLOOKUP($C19,'2D-Chapra'!$C$2:$T$55,MID(M$1,2,2)+2,0))</f>
        <v/>
      </c>
      <c r="N19" s="4">
        <f>IF(VLOOKUP($C19,'2D-Chapra'!$C$2:$T$55,MID(N$1,2,2)+2,0)="","",VLOOKUP($C19,'2D-Chapra'!$C$2:$T$55,MID(N$1,2,2)+2,0))</f>
        <v>1</v>
      </c>
      <c r="O19" s="4" t="str">
        <f>IF(VLOOKUP($C19,'2D-Chapra'!$C$2:$T$55,MID(O$1,2,2)+2,0)="","",VLOOKUP($C19,'2D-Chapra'!$C$2:$T$55,MID(O$1,2,2)+2,0))</f>
        <v/>
      </c>
      <c r="P19" s="4" t="str">
        <f>IF(VLOOKUP($C19,'2D-Chapra'!$C$2:$T$55,MID(P$1,2,2)+2,0)="","",VLOOKUP($C19,'2D-Chapra'!$C$2:$T$55,MID(P$1,2,2)+2,0))</f>
        <v/>
      </c>
      <c r="Q19" s="4" t="str">
        <f>IF(VLOOKUP($C19,'2D-Chapra'!$C$2:$T$55,MID(Q$1,2,2)+2,0)="","",VLOOKUP($C19,'2D-Chapra'!$C$2:$T$55,MID(Q$1,2,2)+2,0))</f>
        <v/>
      </c>
      <c r="R19" s="4" t="str">
        <f>IF(VLOOKUP($C19,'2D-Chapra'!$C$2:$T$55,MID(R$1,2,2)+2,0)="","",VLOOKUP($C19,'2D-Chapra'!$C$2:$T$55,MID(R$1,2,2)+2,0))</f>
        <v/>
      </c>
      <c r="S19" s="4" t="str">
        <f>IF(VLOOKUP($C19,'2D-Chapra'!$C$2:$T$55,MID(S$1,2,2)+2,0)="","",VLOOKUP($C19,'2D-Chapra'!$C$2:$T$55,MID(S$1,2,2)+2,0))</f>
        <v/>
      </c>
      <c r="T19" s="5" t="str">
        <f>IF(VLOOKUP($C19,'2D-Chapra'!$C$2:$T$55,MID(T$1,2,2)+2,0)="","",VLOOKUP($C19,'2D-Chapra'!$C$2:$T$55,MID(T$1,2,2)+2,0))</f>
        <v/>
      </c>
      <c r="W19" s="97">
        <v>1</v>
      </c>
      <c r="X19" s="98">
        <v>3</v>
      </c>
      <c r="Y19" s="99">
        <v>-1</v>
      </c>
      <c r="Z19" s="100" t="s">
        <v>26</v>
      </c>
      <c r="AA19" s="108">
        <v>0</v>
      </c>
      <c r="AB19" s="19">
        <v>0</v>
      </c>
      <c r="AC19" s="20">
        <v>0</v>
      </c>
      <c r="AD19" s="18">
        <v>0</v>
      </c>
      <c r="AE19" s="19">
        <v>0</v>
      </c>
      <c r="AF19" s="20">
        <v>0</v>
      </c>
      <c r="AG19" s="18">
        <v>0</v>
      </c>
      <c r="AH19" s="19">
        <v>0</v>
      </c>
      <c r="AI19" s="20">
        <v>0</v>
      </c>
      <c r="AJ19" s="18">
        <v>0</v>
      </c>
      <c r="AK19" s="19">
        <v>0</v>
      </c>
      <c r="AL19" s="20">
        <v>0</v>
      </c>
      <c r="AM19" s="18">
        <v>0</v>
      </c>
      <c r="AN19" s="19">
        <v>0</v>
      </c>
      <c r="AO19" s="20">
        <v>0</v>
      </c>
      <c r="AP19" s="109">
        <f ca="1"/>
        <v>0</v>
      </c>
      <c r="AQ19" s="102">
        <f ca="1"/>
        <v>-0.25</v>
      </c>
      <c r="AR19" s="103">
        <f ca="1"/>
        <v>0.25</v>
      </c>
      <c r="AS19" s="18">
        <v>0</v>
      </c>
      <c r="AT19" s="19">
        <v>0</v>
      </c>
      <c r="AU19" s="20">
        <v>0</v>
      </c>
      <c r="AV19" s="18">
        <v>0</v>
      </c>
      <c r="AW19" s="19">
        <v>0</v>
      </c>
      <c r="AX19" s="20">
        <v>0</v>
      </c>
      <c r="AY19" s="18">
        <v>0</v>
      </c>
      <c r="AZ19" s="19">
        <v>0</v>
      </c>
      <c r="BA19" s="20">
        <v>0</v>
      </c>
      <c r="BB19" s="18">
        <v>0</v>
      </c>
      <c r="BC19" s="19">
        <v>0</v>
      </c>
      <c r="BD19" s="20">
        <v>0</v>
      </c>
      <c r="BE19" s="18">
        <v>0</v>
      </c>
      <c r="BF19" s="19">
        <v>0</v>
      </c>
      <c r="BG19" s="20">
        <v>0</v>
      </c>
      <c r="BH19" s="18">
        <v>0</v>
      </c>
      <c r="BI19" s="19">
        <v>0</v>
      </c>
      <c r="BJ19" s="20">
        <v>0</v>
      </c>
      <c r="BK19" s="18">
        <v>0</v>
      </c>
      <c r="BL19" s="19">
        <v>0</v>
      </c>
      <c r="BM19" s="20">
        <v>0</v>
      </c>
      <c r="BN19" s="18">
        <v>0</v>
      </c>
      <c r="BO19" s="19">
        <v>0</v>
      </c>
      <c r="BP19" s="20">
        <v>0</v>
      </c>
      <c r="BQ19" s="18">
        <v>0</v>
      </c>
      <c r="BR19" s="19">
        <v>0</v>
      </c>
      <c r="BS19" s="20">
        <v>0</v>
      </c>
      <c r="BT19" s="18">
        <v>0</v>
      </c>
      <c r="BU19" s="19">
        <v>0</v>
      </c>
      <c r="BV19" s="20">
        <v>0</v>
      </c>
      <c r="BW19" s="18">
        <v>0</v>
      </c>
      <c r="BX19" s="19">
        <v>0</v>
      </c>
      <c r="BY19" s="20">
        <v>0</v>
      </c>
      <c r="BZ19" s="18">
        <v>0</v>
      </c>
      <c r="CA19" s="19">
        <v>0</v>
      </c>
      <c r="CB19" s="104">
        <v>0</v>
      </c>
    </row>
    <row r="20" spans="1:80" x14ac:dyDescent="0.25">
      <c r="A20" s="23">
        <f t="shared" si="1"/>
        <v>7</v>
      </c>
      <c r="B20" s="23">
        <f t="shared" si="2"/>
        <v>1</v>
      </c>
      <c r="C20" s="23" t="str">
        <f t="shared" si="0"/>
        <v>T7_1</v>
      </c>
      <c r="E20" s="3" t="str">
        <f>IF(VLOOKUP($C20,'2D-Chapra'!$C$2:$T$55,MID(E$1,2,2)+2,0)="","",VLOOKUP($C20,'2D-Chapra'!$C$2:$T$55,MID(E$1,2,2)+2,0))</f>
        <v/>
      </c>
      <c r="F20" s="4" t="str">
        <f>IF(VLOOKUP($C20,'2D-Chapra'!$C$2:$T$55,MID(F$1,2,2)+2,0)="","",VLOOKUP($C20,'2D-Chapra'!$C$2:$T$55,MID(F$1,2,2)+2,0))</f>
        <v/>
      </c>
      <c r="G20" s="4" t="str">
        <f>IF(VLOOKUP($C20,'2D-Chapra'!$C$2:$T$55,MID(G$1,2,2)+2,0)="","",VLOOKUP($C20,'2D-Chapra'!$C$2:$T$55,MID(G$1,2,2)+2,0))</f>
        <v/>
      </c>
      <c r="H20" s="4" t="str">
        <f>IF(VLOOKUP($C20,'2D-Chapra'!$C$2:$T$55,MID(H$1,2,2)+2,0)="","",VLOOKUP($C20,'2D-Chapra'!$C$2:$T$55,MID(H$1,2,2)+2,0))</f>
        <v/>
      </c>
      <c r="I20" s="4" t="str">
        <f>IF(VLOOKUP($C20,'2D-Chapra'!$C$2:$T$55,MID(I$1,2,2)+2,0)="","",VLOOKUP($C20,'2D-Chapra'!$C$2:$T$55,MID(I$1,2,2)+2,0))</f>
        <v/>
      </c>
      <c r="J20" s="4" t="str">
        <f>IF(VLOOKUP($C20,'2D-Chapra'!$C$2:$T$55,MID(J$1,2,2)+2,0)="","",VLOOKUP($C20,'2D-Chapra'!$C$2:$T$55,MID(J$1,2,2)+2,0))</f>
        <v/>
      </c>
      <c r="K20" s="4" t="str">
        <f>IF(VLOOKUP($C20,'2D-Chapra'!$C$2:$T$55,MID(K$1,2,2)+2,0)="","",VLOOKUP($C20,'2D-Chapra'!$C$2:$T$55,MID(K$1,2,2)+2,0))</f>
        <v/>
      </c>
      <c r="L20" s="4" t="str">
        <f>IF(VLOOKUP($C20,'2D-Chapra'!$C$2:$T$55,MID(L$1,2,2)+2,0)="","",VLOOKUP($C20,'2D-Chapra'!$C$2:$T$55,MID(L$1,2,2)+2,0))</f>
        <v/>
      </c>
      <c r="M20" s="4">
        <f>IF(VLOOKUP($C20,'2D-Chapra'!$C$2:$T$55,MID(M$1,2,2)+2,0)="","",VLOOKUP($C20,'2D-Chapra'!$C$2:$T$55,MID(M$1,2,2)+2,0))</f>
        <v>1</v>
      </c>
      <c r="N20" s="4" t="str">
        <f>IF(VLOOKUP($C20,'2D-Chapra'!$C$2:$T$55,MID(N$1,2,2)+2,0)="","",VLOOKUP($C20,'2D-Chapra'!$C$2:$T$55,MID(N$1,2,2)+2,0))</f>
        <v/>
      </c>
      <c r="O20" s="4" t="str">
        <f>IF(VLOOKUP($C20,'2D-Chapra'!$C$2:$T$55,MID(O$1,2,2)+2,0)="","",VLOOKUP($C20,'2D-Chapra'!$C$2:$T$55,MID(O$1,2,2)+2,0))</f>
        <v/>
      </c>
      <c r="P20" s="4" t="str">
        <f>IF(VLOOKUP($C20,'2D-Chapra'!$C$2:$T$55,MID(P$1,2,2)+2,0)="","",VLOOKUP($C20,'2D-Chapra'!$C$2:$T$55,MID(P$1,2,2)+2,0))</f>
        <v/>
      </c>
      <c r="Q20" s="4" t="str">
        <f>IF(VLOOKUP($C20,'2D-Chapra'!$C$2:$T$55,MID(Q$1,2,2)+2,0)="","",VLOOKUP($C20,'2D-Chapra'!$C$2:$T$55,MID(Q$1,2,2)+2,0))</f>
        <v/>
      </c>
      <c r="R20" s="4" t="str">
        <f>IF(VLOOKUP($C20,'2D-Chapra'!$C$2:$T$55,MID(R$1,2,2)+2,0)="","",VLOOKUP($C20,'2D-Chapra'!$C$2:$T$55,MID(R$1,2,2)+2,0))</f>
        <v/>
      </c>
      <c r="S20" s="4" t="str">
        <f>IF(VLOOKUP($C20,'2D-Chapra'!$C$2:$T$55,MID(S$1,2,2)+2,0)="","",VLOOKUP($C20,'2D-Chapra'!$C$2:$T$55,MID(S$1,2,2)+2,0))</f>
        <v/>
      </c>
      <c r="T20" s="5" t="str">
        <f>IF(VLOOKUP($C20,'2D-Chapra'!$C$2:$T$55,MID(T$1,2,2)+2,0)="","",VLOOKUP($C20,'2D-Chapra'!$C$2:$T$55,MID(T$1,2,2)+2,0))</f>
        <v/>
      </c>
      <c r="W20" s="85">
        <v>1</v>
      </c>
      <c r="X20" s="86">
        <v>-3</v>
      </c>
      <c r="Y20" s="87">
        <v>-1</v>
      </c>
      <c r="Z20" s="88" t="s">
        <v>171</v>
      </c>
      <c r="AA20" s="105">
        <v>0</v>
      </c>
      <c r="AB20" s="14">
        <v>0</v>
      </c>
      <c r="AC20" s="15">
        <v>0</v>
      </c>
      <c r="AD20" s="13">
        <v>0</v>
      </c>
      <c r="AE20" s="14">
        <v>0</v>
      </c>
      <c r="AF20" s="15">
        <v>0</v>
      </c>
      <c r="AG20" s="13">
        <v>0</v>
      </c>
      <c r="AH20" s="14">
        <v>0</v>
      </c>
      <c r="AI20" s="15">
        <v>0</v>
      </c>
      <c r="AJ20" s="13">
        <v>0</v>
      </c>
      <c r="AK20" s="14">
        <v>0</v>
      </c>
      <c r="AL20" s="15">
        <v>0</v>
      </c>
      <c r="AM20" s="13">
        <v>0</v>
      </c>
      <c r="AN20" s="14">
        <v>0</v>
      </c>
      <c r="AO20" s="15">
        <v>0</v>
      </c>
      <c r="AP20" s="13">
        <v>0</v>
      </c>
      <c r="AQ20" s="14">
        <v>0</v>
      </c>
      <c r="AR20" s="15">
        <v>0</v>
      </c>
      <c r="AS20" s="106">
        <f t="array" aca="1" ref="AS20:AU22" ca="1">rigidez($W20:$Y22)</f>
        <v>0.25</v>
      </c>
      <c r="AT20" s="90">
        <f ca="1"/>
        <v>0</v>
      </c>
      <c r="AU20" s="91">
        <f ca="1"/>
        <v>-0.25</v>
      </c>
      <c r="AV20" s="13">
        <v>0</v>
      </c>
      <c r="AW20" s="14">
        <v>0</v>
      </c>
      <c r="AX20" s="15">
        <v>0</v>
      </c>
      <c r="AY20" s="13">
        <v>0</v>
      </c>
      <c r="AZ20" s="14">
        <v>0</v>
      </c>
      <c r="BA20" s="15">
        <v>0</v>
      </c>
      <c r="BB20" s="13">
        <v>0</v>
      </c>
      <c r="BC20" s="14">
        <v>0</v>
      </c>
      <c r="BD20" s="15">
        <v>0</v>
      </c>
      <c r="BE20" s="13">
        <v>0</v>
      </c>
      <c r="BF20" s="14">
        <v>0</v>
      </c>
      <c r="BG20" s="15">
        <v>0</v>
      </c>
      <c r="BH20" s="13">
        <v>0</v>
      </c>
      <c r="BI20" s="14">
        <v>0</v>
      </c>
      <c r="BJ20" s="15">
        <v>0</v>
      </c>
      <c r="BK20" s="13">
        <v>0</v>
      </c>
      <c r="BL20" s="14">
        <v>0</v>
      </c>
      <c r="BM20" s="15">
        <v>0</v>
      </c>
      <c r="BN20" s="13">
        <v>0</v>
      </c>
      <c r="BO20" s="14">
        <v>0</v>
      </c>
      <c r="BP20" s="15">
        <v>0</v>
      </c>
      <c r="BQ20" s="13">
        <v>0</v>
      </c>
      <c r="BR20" s="14">
        <v>0</v>
      </c>
      <c r="BS20" s="15">
        <v>0</v>
      </c>
      <c r="BT20" s="13">
        <v>0</v>
      </c>
      <c r="BU20" s="14">
        <v>0</v>
      </c>
      <c r="BV20" s="15">
        <v>0</v>
      </c>
      <c r="BW20" s="13">
        <v>0</v>
      </c>
      <c r="BX20" s="14">
        <v>0</v>
      </c>
      <c r="BY20" s="15">
        <v>0</v>
      </c>
      <c r="BZ20" s="13">
        <v>0</v>
      </c>
      <c r="CA20" s="14">
        <v>0</v>
      </c>
      <c r="CB20" s="92">
        <v>0</v>
      </c>
    </row>
    <row r="21" spans="1:80" x14ac:dyDescent="0.25">
      <c r="A21" s="23">
        <f t="shared" si="1"/>
        <v>7</v>
      </c>
      <c r="B21" s="23">
        <f t="shared" si="2"/>
        <v>2</v>
      </c>
      <c r="C21" s="23" t="str">
        <f t="shared" si="0"/>
        <v>T7_2</v>
      </c>
      <c r="E21" s="3" t="str">
        <f>IF(VLOOKUP($C21,'2D-Chapra'!$C$2:$T$55,MID(E$1,2,2)+2,0)="","",VLOOKUP($C21,'2D-Chapra'!$C$2:$T$55,MID(E$1,2,2)+2,0))</f>
        <v/>
      </c>
      <c r="F21" s="4" t="str">
        <f>IF(VLOOKUP($C21,'2D-Chapra'!$C$2:$T$55,MID(F$1,2,2)+2,0)="","",VLOOKUP($C21,'2D-Chapra'!$C$2:$T$55,MID(F$1,2,2)+2,0))</f>
        <v/>
      </c>
      <c r="G21" s="4">
        <f>IF(VLOOKUP($C21,'2D-Chapra'!$C$2:$T$55,MID(G$1,2,2)+2,0)="","",VLOOKUP($C21,'2D-Chapra'!$C$2:$T$55,MID(G$1,2,2)+2,0))</f>
        <v>1</v>
      </c>
      <c r="H21" s="4" t="str">
        <f>IF(VLOOKUP($C21,'2D-Chapra'!$C$2:$T$55,MID(H$1,2,2)+2,0)="","",VLOOKUP($C21,'2D-Chapra'!$C$2:$T$55,MID(H$1,2,2)+2,0))</f>
        <v/>
      </c>
      <c r="I21" s="4" t="str">
        <f>IF(VLOOKUP($C21,'2D-Chapra'!$C$2:$T$55,MID(I$1,2,2)+2,0)="","",VLOOKUP($C21,'2D-Chapra'!$C$2:$T$55,MID(I$1,2,2)+2,0))</f>
        <v/>
      </c>
      <c r="J21" s="4" t="str">
        <f>IF(VLOOKUP($C21,'2D-Chapra'!$C$2:$T$55,MID(J$1,2,2)+2,0)="","",VLOOKUP($C21,'2D-Chapra'!$C$2:$T$55,MID(J$1,2,2)+2,0))</f>
        <v/>
      </c>
      <c r="K21" s="4" t="str">
        <f>IF(VLOOKUP($C21,'2D-Chapra'!$C$2:$T$55,MID(K$1,2,2)+2,0)="","",VLOOKUP($C21,'2D-Chapra'!$C$2:$T$55,MID(K$1,2,2)+2,0))</f>
        <v/>
      </c>
      <c r="L21" s="4" t="str">
        <f>IF(VLOOKUP($C21,'2D-Chapra'!$C$2:$T$55,MID(L$1,2,2)+2,0)="","",VLOOKUP($C21,'2D-Chapra'!$C$2:$T$55,MID(L$1,2,2)+2,0))</f>
        <v/>
      </c>
      <c r="M21" s="4" t="str">
        <f>IF(VLOOKUP($C21,'2D-Chapra'!$C$2:$T$55,MID(M$1,2,2)+2,0)="","",VLOOKUP($C21,'2D-Chapra'!$C$2:$T$55,MID(M$1,2,2)+2,0))</f>
        <v/>
      </c>
      <c r="N21" s="4" t="str">
        <f>IF(VLOOKUP($C21,'2D-Chapra'!$C$2:$T$55,MID(N$1,2,2)+2,0)="","",VLOOKUP($C21,'2D-Chapra'!$C$2:$T$55,MID(N$1,2,2)+2,0))</f>
        <v/>
      </c>
      <c r="O21" s="4" t="str">
        <f>IF(VLOOKUP($C21,'2D-Chapra'!$C$2:$T$55,MID(O$1,2,2)+2,0)="","",VLOOKUP($C21,'2D-Chapra'!$C$2:$T$55,MID(O$1,2,2)+2,0))</f>
        <v/>
      </c>
      <c r="P21" s="4" t="str">
        <f>IF(VLOOKUP($C21,'2D-Chapra'!$C$2:$T$55,MID(P$1,2,2)+2,0)="","",VLOOKUP($C21,'2D-Chapra'!$C$2:$T$55,MID(P$1,2,2)+2,0))</f>
        <v/>
      </c>
      <c r="Q21" s="4" t="str">
        <f>IF(VLOOKUP($C21,'2D-Chapra'!$C$2:$T$55,MID(Q$1,2,2)+2,0)="","",VLOOKUP($C21,'2D-Chapra'!$C$2:$T$55,MID(Q$1,2,2)+2,0))</f>
        <v/>
      </c>
      <c r="R21" s="4" t="str">
        <f>IF(VLOOKUP($C21,'2D-Chapra'!$C$2:$T$55,MID(R$1,2,2)+2,0)="","",VLOOKUP($C21,'2D-Chapra'!$C$2:$T$55,MID(R$1,2,2)+2,0))</f>
        <v/>
      </c>
      <c r="S21" s="4" t="str">
        <f>IF(VLOOKUP($C21,'2D-Chapra'!$C$2:$T$55,MID(S$1,2,2)+2,0)="","",VLOOKUP($C21,'2D-Chapra'!$C$2:$T$55,MID(S$1,2,2)+2,0))</f>
        <v/>
      </c>
      <c r="T21" s="5" t="str">
        <f>IF(VLOOKUP($C21,'2D-Chapra'!$C$2:$T$55,MID(T$1,2,2)+2,0)="","",VLOOKUP($C21,'2D-Chapra'!$C$2:$T$55,MID(T$1,2,2)+2,0))</f>
        <v/>
      </c>
      <c r="W21" s="93">
        <v>1</v>
      </c>
      <c r="X21" s="49">
        <v>-1</v>
      </c>
      <c r="Y21" s="94">
        <v>1</v>
      </c>
      <c r="Z21" s="95" t="s">
        <v>172</v>
      </c>
      <c r="AA21" s="3">
        <v>0</v>
      </c>
      <c r="AB21" s="4">
        <v>0</v>
      </c>
      <c r="AC21" s="17">
        <v>0</v>
      </c>
      <c r="AD21" s="16">
        <v>0</v>
      </c>
      <c r="AE21" s="4">
        <v>0</v>
      </c>
      <c r="AF21" s="17">
        <v>0</v>
      </c>
      <c r="AG21" s="16">
        <v>0</v>
      </c>
      <c r="AH21" s="4">
        <v>0</v>
      </c>
      <c r="AI21" s="17">
        <v>0</v>
      </c>
      <c r="AJ21" s="16">
        <v>0</v>
      </c>
      <c r="AK21" s="4">
        <v>0</v>
      </c>
      <c r="AL21" s="17">
        <v>0</v>
      </c>
      <c r="AM21" s="16">
        <v>0</v>
      </c>
      <c r="AN21" s="4">
        <v>0</v>
      </c>
      <c r="AO21" s="17">
        <v>0</v>
      </c>
      <c r="AP21" s="16">
        <v>0</v>
      </c>
      <c r="AQ21" s="4">
        <v>0</v>
      </c>
      <c r="AR21" s="17">
        <v>0</v>
      </c>
      <c r="AS21" s="107">
        <f ca="1"/>
        <v>0</v>
      </c>
      <c r="AT21" s="11">
        <f ca="1"/>
        <v>0.25</v>
      </c>
      <c r="AU21" s="96">
        <f ca="1"/>
        <v>-0.25</v>
      </c>
      <c r="AV21" s="16">
        <v>0</v>
      </c>
      <c r="AW21" s="4">
        <v>0</v>
      </c>
      <c r="AX21" s="17">
        <v>0</v>
      </c>
      <c r="AY21" s="16">
        <v>0</v>
      </c>
      <c r="AZ21" s="4">
        <v>0</v>
      </c>
      <c r="BA21" s="17">
        <v>0</v>
      </c>
      <c r="BB21" s="16">
        <v>0</v>
      </c>
      <c r="BC21" s="4">
        <v>0</v>
      </c>
      <c r="BD21" s="17">
        <v>0</v>
      </c>
      <c r="BE21" s="16">
        <v>0</v>
      </c>
      <c r="BF21" s="4">
        <v>0</v>
      </c>
      <c r="BG21" s="17">
        <v>0</v>
      </c>
      <c r="BH21" s="16">
        <v>0</v>
      </c>
      <c r="BI21" s="4">
        <v>0</v>
      </c>
      <c r="BJ21" s="17">
        <v>0</v>
      </c>
      <c r="BK21" s="16">
        <v>0</v>
      </c>
      <c r="BL21" s="4">
        <v>0</v>
      </c>
      <c r="BM21" s="17">
        <v>0</v>
      </c>
      <c r="BN21" s="16">
        <v>0</v>
      </c>
      <c r="BO21" s="4">
        <v>0</v>
      </c>
      <c r="BP21" s="17">
        <v>0</v>
      </c>
      <c r="BQ21" s="16">
        <v>0</v>
      </c>
      <c r="BR21" s="4">
        <v>0</v>
      </c>
      <c r="BS21" s="17">
        <v>0</v>
      </c>
      <c r="BT21" s="16">
        <v>0</v>
      </c>
      <c r="BU21" s="4">
        <v>0</v>
      </c>
      <c r="BV21" s="17">
        <v>0</v>
      </c>
      <c r="BW21" s="16">
        <v>0</v>
      </c>
      <c r="BX21" s="4">
        <v>0</v>
      </c>
      <c r="BY21" s="17">
        <v>0</v>
      </c>
      <c r="BZ21" s="16">
        <v>0</v>
      </c>
      <c r="CA21" s="4">
        <v>0</v>
      </c>
      <c r="CB21" s="5">
        <v>0</v>
      </c>
    </row>
    <row r="22" spans="1:80" x14ac:dyDescent="0.25">
      <c r="A22" s="23">
        <f t="shared" si="1"/>
        <v>7</v>
      </c>
      <c r="B22" s="23">
        <f t="shared" si="2"/>
        <v>3</v>
      </c>
      <c r="C22" s="23" t="str">
        <f t="shared" si="0"/>
        <v>T7_3</v>
      </c>
      <c r="E22" s="3" t="str">
        <f>IF(VLOOKUP($C22,'2D-Chapra'!$C$2:$T$55,MID(E$1,2,2)+2,0)="","",VLOOKUP($C22,'2D-Chapra'!$C$2:$T$55,MID(E$1,2,2)+2,0))</f>
        <v/>
      </c>
      <c r="F22" s="4" t="str">
        <f>IF(VLOOKUP($C22,'2D-Chapra'!$C$2:$T$55,MID(F$1,2,2)+2,0)="","",VLOOKUP($C22,'2D-Chapra'!$C$2:$T$55,MID(F$1,2,2)+2,0))</f>
        <v/>
      </c>
      <c r="G22" s="4" t="str">
        <f>IF(VLOOKUP($C22,'2D-Chapra'!$C$2:$T$55,MID(G$1,2,2)+2,0)="","",VLOOKUP($C22,'2D-Chapra'!$C$2:$T$55,MID(G$1,2,2)+2,0))</f>
        <v/>
      </c>
      <c r="H22" s="4" t="str">
        <f>IF(VLOOKUP($C22,'2D-Chapra'!$C$2:$T$55,MID(H$1,2,2)+2,0)="","",VLOOKUP($C22,'2D-Chapra'!$C$2:$T$55,MID(H$1,2,2)+2,0))</f>
        <v/>
      </c>
      <c r="I22" s="4" t="str">
        <f>IF(VLOOKUP($C22,'2D-Chapra'!$C$2:$T$55,MID(I$1,2,2)+2,0)="","",VLOOKUP($C22,'2D-Chapra'!$C$2:$T$55,MID(I$1,2,2)+2,0))</f>
        <v/>
      </c>
      <c r="J22" s="4" t="str">
        <f>IF(VLOOKUP($C22,'2D-Chapra'!$C$2:$T$55,MID(J$1,2,2)+2,0)="","",VLOOKUP($C22,'2D-Chapra'!$C$2:$T$55,MID(J$1,2,2)+2,0))</f>
        <v/>
      </c>
      <c r="K22" s="4" t="str">
        <f>IF(VLOOKUP($C22,'2D-Chapra'!$C$2:$T$55,MID(K$1,2,2)+2,0)="","",VLOOKUP($C22,'2D-Chapra'!$C$2:$T$55,MID(K$1,2,2)+2,0))</f>
        <v/>
      </c>
      <c r="L22" s="4" t="str">
        <f>IF(VLOOKUP($C22,'2D-Chapra'!$C$2:$T$55,MID(L$1,2,2)+2,0)="","",VLOOKUP($C22,'2D-Chapra'!$C$2:$T$55,MID(L$1,2,2)+2,0))</f>
        <v/>
      </c>
      <c r="M22" s="4" t="str">
        <f>IF(VLOOKUP($C22,'2D-Chapra'!$C$2:$T$55,MID(M$1,2,2)+2,0)="","",VLOOKUP($C22,'2D-Chapra'!$C$2:$T$55,MID(M$1,2,2)+2,0))</f>
        <v/>
      </c>
      <c r="N22" s="4" t="str">
        <f>IF(VLOOKUP($C22,'2D-Chapra'!$C$2:$T$55,MID(N$1,2,2)+2,0)="","",VLOOKUP($C22,'2D-Chapra'!$C$2:$T$55,MID(N$1,2,2)+2,0))</f>
        <v/>
      </c>
      <c r="O22" s="4">
        <f>IF(VLOOKUP($C22,'2D-Chapra'!$C$2:$T$55,MID(O$1,2,2)+2,0)="","",VLOOKUP($C22,'2D-Chapra'!$C$2:$T$55,MID(O$1,2,2)+2,0))</f>
        <v>1</v>
      </c>
      <c r="P22" s="4" t="str">
        <f>IF(VLOOKUP($C22,'2D-Chapra'!$C$2:$T$55,MID(P$1,2,2)+2,0)="","",VLOOKUP($C22,'2D-Chapra'!$C$2:$T$55,MID(P$1,2,2)+2,0))</f>
        <v/>
      </c>
      <c r="Q22" s="4" t="str">
        <f>IF(VLOOKUP($C22,'2D-Chapra'!$C$2:$T$55,MID(Q$1,2,2)+2,0)="","",VLOOKUP($C22,'2D-Chapra'!$C$2:$T$55,MID(Q$1,2,2)+2,0))</f>
        <v/>
      </c>
      <c r="R22" s="4" t="str">
        <f>IF(VLOOKUP($C22,'2D-Chapra'!$C$2:$T$55,MID(R$1,2,2)+2,0)="","",VLOOKUP($C22,'2D-Chapra'!$C$2:$T$55,MID(R$1,2,2)+2,0))</f>
        <v/>
      </c>
      <c r="S22" s="4" t="str">
        <f>IF(VLOOKUP($C22,'2D-Chapra'!$C$2:$T$55,MID(S$1,2,2)+2,0)="","",VLOOKUP($C22,'2D-Chapra'!$C$2:$T$55,MID(S$1,2,2)+2,0))</f>
        <v/>
      </c>
      <c r="T22" s="5" t="str">
        <f>IF(VLOOKUP($C22,'2D-Chapra'!$C$2:$T$55,MID(T$1,2,2)+2,0)="","",VLOOKUP($C22,'2D-Chapra'!$C$2:$T$55,MID(T$1,2,2)+2,0))</f>
        <v/>
      </c>
      <c r="W22" s="97">
        <v>1</v>
      </c>
      <c r="X22" s="98">
        <v>-3</v>
      </c>
      <c r="Y22" s="99">
        <v>1</v>
      </c>
      <c r="Z22" s="100" t="s">
        <v>173</v>
      </c>
      <c r="AA22" s="108">
        <v>0</v>
      </c>
      <c r="AB22" s="19">
        <v>0</v>
      </c>
      <c r="AC22" s="20">
        <v>0</v>
      </c>
      <c r="AD22" s="18">
        <v>0</v>
      </c>
      <c r="AE22" s="19">
        <v>0</v>
      </c>
      <c r="AF22" s="20">
        <v>0</v>
      </c>
      <c r="AG22" s="18">
        <v>0</v>
      </c>
      <c r="AH22" s="19">
        <v>0</v>
      </c>
      <c r="AI22" s="20">
        <v>0</v>
      </c>
      <c r="AJ22" s="18">
        <v>0</v>
      </c>
      <c r="AK22" s="19">
        <v>0</v>
      </c>
      <c r="AL22" s="20">
        <v>0</v>
      </c>
      <c r="AM22" s="18">
        <v>0</v>
      </c>
      <c r="AN22" s="19">
        <v>0</v>
      </c>
      <c r="AO22" s="20">
        <v>0</v>
      </c>
      <c r="AP22" s="18">
        <v>0</v>
      </c>
      <c r="AQ22" s="19">
        <v>0</v>
      </c>
      <c r="AR22" s="20">
        <v>0</v>
      </c>
      <c r="AS22" s="109">
        <f ca="1"/>
        <v>-0.25</v>
      </c>
      <c r="AT22" s="102">
        <f ca="1"/>
        <v>-0.25</v>
      </c>
      <c r="AU22" s="103">
        <f ca="1"/>
        <v>0.5</v>
      </c>
      <c r="AV22" s="18">
        <v>0</v>
      </c>
      <c r="AW22" s="19">
        <v>0</v>
      </c>
      <c r="AX22" s="20">
        <v>0</v>
      </c>
      <c r="AY22" s="18">
        <v>0</v>
      </c>
      <c r="AZ22" s="19">
        <v>0</v>
      </c>
      <c r="BA22" s="20">
        <v>0</v>
      </c>
      <c r="BB22" s="18">
        <v>0</v>
      </c>
      <c r="BC22" s="19">
        <v>0</v>
      </c>
      <c r="BD22" s="20">
        <v>0</v>
      </c>
      <c r="BE22" s="18">
        <v>0</v>
      </c>
      <c r="BF22" s="19">
        <v>0</v>
      </c>
      <c r="BG22" s="20">
        <v>0</v>
      </c>
      <c r="BH22" s="18">
        <v>0</v>
      </c>
      <c r="BI22" s="19">
        <v>0</v>
      </c>
      <c r="BJ22" s="20">
        <v>0</v>
      </c>
      <c r="BK22" s="18">
        <v>0</v>
      </c>
      <c r="BL22" s="19">
        <v>0</v>
      </c>
      <c r="BM22" s="20">
        <v>0</v>
      </c>
      <c r="BN22" s="18">
        <v>0</v>
      </c>
      <c r="BO22" s="19">
        <v>0</v>
      </c>
      <c r="BP22" s="20">
        <v>0</v>
      </c>
      <c r="BQ22" s="18">
        <v>0</v>
      </c>
      <c r="BR22" s="19">
        <v>0</v>
      </c>
      <c r="BS22" s="20">
        <v>0</v>
      </c>
      <c r="BT22" s="18">
        <v>0</v>
      </c>
      <c r="BU22" s="19">
        <v>0</v>
      </c>
      <c r="BV22" s="20">
        <v>0</v>
      </c>
      <c r="BW22" s="18">
        <v>0</v>
      </c>
      <c r="BX22" s="19">
        <v>0</v>
      </c>
      <c r="BY22" s="20">
        <v>0</v>
      </c>
      <c r="BZ22" s="18">
        <v>0</v>
      </c>
      <c r="CA22" s="19">
        <v>0</v>
      </c>
      <c r="CB22" s="104">
        <v>0</v>
      </c>
    </row>
    <row r="23" spans="1:80" x14ac:dyDescent="0.25">
      <c r="A23" s="23">
        <f t="shared" si="1"/>
        <v>8</v>
      </c>
      <c r="B23" s="23">
        <f t="shared" si="2"/>
        <v>1</v>
      </c>
      <c r="C23" s="23" t="str">
        <f t="shared" si="0"/>
        <v>T8_1</v>
      </c>
      <c r="E23" s="3" t="str">
        <f>IF(VLOOKUP($C23,'2D-Chapra'!$C$2:$T$55,MID(E$1,2,2)+2,0)="","",VLOOKUP($C23,'2D-Chapra'!$C$2:$T$55,MID(E$1,2,2)+2,0))</f>
        <v/>
      </c>
      <c r="F23" s="4" t="str">
        <f>IF(VLOOKUP($C23,'2D-Chapra'!$C$2:$T$55,MID(F$1,2,2)+2,0)="","",VLOOKUP($C23,'2D-Chapra'!$C$2:$T$55,MID(F$1,2,2)+2,0))</f>
        <v/>
      </c>
      <c r="G23" s="4" t="str">
        <f>IF(VLOOKUP($C23,'2D-Chapra'!$C$2:$T$55,MID(G$1,2,2)+2,0)="","",VLOOKUP($C23,'2D-Chapra'!$C$2:$T$55,MID(G$1,2,2)+2,0))</f>
        <v/>
      </c>
      <c r="H23" s="4" t="str">
        <f>IF(VLOOKUP($C23,'2D-Chapra'!$C$2:$T$55,MID(H$1,2,2)+2,0)="","",VLOOKUP($C23,'2D-Chapra'!$C$2:$T$55,MID(H$1,2,2)+2,0))</f>
        <v/>
      </c>
      <c r="I23" s="4" t="str">
        <f>IF(VLOOKUP($C23,'2D-Chapra'!$C$2:$T$55,MID(I$1,2,2)+2,0)="","",VLOOKUP($C23,'2D-Chapra'!$C$2:$T$55,MID(I$1,2,2)+2,0))</f>
        <v/>
      </c>
      <c r="J23" s="4" t="str">
        <f>IF(VLOOKUP($C23,'2D-Chapra'!$C$2:$T$55,MID(J$1,2,2)+2,0)="","",VLOOKUP($C23,'2D-Chapra'!$C$2:$T$55,MID(J$1,2,2)+2,0))</f>
        <v/>
      </c>
      <c r="K23" s="4" t="str">
        <f>IF(VLOOKUP($C23,'2D-Chapra'!$C$2:$T$55,MID(K$1,2,2)+2,0)="","",VLOOKUP($C23,'2D-Chapra'!$C$2:$T$55,MID(K$1,2,2)+2,0))</f>
        <v/>
      </c>
      <c r="L23" s="4" t="str">
        <f>IF(VLOOKUP($C23,'2D-Chapra'!$C$2:$T$55,MID(L$1,2,2)+2,0)="","",VLOOKUP($C23,'2D-Chapra'!$C$2:$T$55,MID(L$1,2,2)+2,0))</f>
        <v/>
      </c>
      <c r="M23" s="4">
        <f>IF(VLOOKUP($C23,'2D-Chapra'!$C$2:$T$55,MID(M$1,2,2)+2,0)="","",VLOOKUP($C23,'2D-Chapra'!$C$2:$T$55,MID(M$1,2,2)+2,0))</f>
        <v>1</v>
      </c>
      <c r="N23" s="4" t="str">
        <f>IF(VLOOKUP($C23,'2D-Chapra'!$C$2:$T$55,MID(N$1,2,2)+2,0)="","",VLOOKUP($C23,'2D-Chapra'!$C$2:$T$55,MID(N$1,2,2)+2,0))</f>
        <v/>
      </c>
      <c r="O23" s="4" t="str">
        <f>IF(VLOOKUP($C23,'2D-Chapra'!$C$2:$T$55,MID(O$1,2,2)+2,0)="","",VLOOKUP($C23,'2D-Chapra'!$C$2:$T$55,MID(O$1,2,2)+2,0))</f>
        <v/>
      </c>
      <c r="P23" s="4" t="str">
        <f>IF(VLOOKUP($C23,'2D-Chapra'!$C$2:$T$55,MID(P$1,2,2)+2,0)="","",VLOOKUP($C23,'2D-Chapra'!$C$2:$T$55,MID(P$1,2,2)+2,0))</f>
        <v/>
      </c>
      <c r="Q23" s="4" t="str">
        <f>IF(VLOOKUP($C23,'2D-Chapra'!$C$2:$T$55,MID(Q$1,2,2)+2,0)="","",VLOOKUP($C23,'2D-Chapra'!$C$2:$T$55,MID(Q$1,2,2)+2,0))</f>
        <v/>
      </c>
      <c r="R23" s="4" t="str">
        <f>IF(VLOOKUP($C23,'2D-Chapra'!$C$2:$T$55,MID(R$1,2,2)+2,0)="","",VLOOKUP($C23,'2D-Chapra'!$C$2:$T$55,MID(R$1,2,2)+2,0))</f>
        <v/>
      </c>
      <c r="S23" s="4" t="str">
        <f>IF(VLOOKUP($C23,'2D-Chapra'!$C$2:$T$55,MID(S$1,2,2)+2,0)="","",VLOOKUP($C23,'2D-Chapra'!$C$2:$T$55,MID(S$1,2,2)+2,0))</f>
        <v/>
      </c>
      <c r="T23" s="5" t="str">
        <f>IF(VLOOKUP($C23,'2D-Chapra'!$C$2:$T$55,MID(T$1,2,2)+2,0)="","",VLOOKUP($C23,'2D-Chapra'!$C$2:$T$55,MID(T$1,2,2)+2,0))</f>
        <v/>
      </c>
      <c r="W23" s="85">
        <v>1</v>
      </c>
      <c r="X23" s="86">
        <v>-3</v>
      </c>
      <c r="Y23" s="87">
        <v>-1</v>
      </c>
      <c r="Z23" s="88" t="s">
        <v>174</v>
      </c>
      <c r="AA23" s="105">
        <v>0</v>
      </c>
      <c r="AB23" s="14">
        <v>0</v>
      </c>
      <c r="AC23" s="15">
        <v>0</v>
      </c>
      <c r="AD23" s="13">
        <v>0</v>
      </c>
      <c r="AE23" s="14">
        <v>0</v>
      </c>
      <c r="AF23" s="15">
        <v>0</v>
      </c>
      <c r="AG23" s="13">
        <v>0</v>
      </c>
      <c r="AH23" s="14">
        <v>0</v>
      </c>
      <c r="AI23" s="15">
        <v>0</v>
      </c>
      <c r="AJ23" s="13">
        <v>0</v>
      </c>
      <c r="AK23" s="14">
        <v>0</v>
      </c>
      <c r="AL23" s="15">
        <v>0</v>
      </c>
      <c r="AM23" s="13">
        <v>0</v>
      </c>
      <c r="AN23" s="14">
        <v>0</v>
      </c>
      <c r="AO23" s="15">
        <v>0</v>
      </c>
      <c r="AP23" s="13">
        <v>0</v>
      </c>
      <c r="AQ23" s="14">
        <v>0</v>
      </c>
      <c r="AR23" s="15">
        <v>0</v>
      </c>
      <c r="AS23" s="13">
        <v>0</v>
      </c>
      <c r="AT23" s="14">
        <v>0</v>
      </c>
      <c r="AU23" s="15">
        <v>0</v>
      </c>
      <c r="AV23" s="106">
        <f t="array" aca="1" ref="AV23:AX25" ca="1">rigidez($W23:$Y25)</f>
        <v>0.25</v>
      </c>
      <c r="AW23" s="90">
        <f ca="1"/>
        <v>-0.25</v>
      </c>
      <c r="AX23" s="91">
        <f ca="1"/>
        <v>0</v>
      </c>
      <c r="AY23" s="13">
        <v>0</v>
      </c>
      <c r="AZ23" s="14">
        <v>0</v>
      </c>
      <c r="BA23" s="15">
        <v>0</v>
      </c>
      <c r="BB23" s="13">
        <v>0</v>
      </c>
      <c r="BC23" s="14">
        <v>0</v>
      </c>
      <c r="BD23" s="15">
        <v>0</v>
      </c>
      <c r="BE23" s="13">
        <v>0</v>
      </c>
      <c r="BF23" s="14">
        <v>0</v>
      </c>
      <c r="BG23" s="15">
        <v>0</v>
      </c>
      <c r="BH23" s="13">
        <v>0</v>
      </c>
      <c r="BI23" s="14">
        <v>0</v>
      </c>
      <c r="BJ23" s="15">
        <v>0</v>
      </c>
      <c r="BK23" s="13">
        <v>0</v>
      </c>
      <c r="BL23" s="14">
        <v>0</v>
      </c>
      <c r="BM23" s="15">
        <v>0</v>
      </c>
      <c r="BN23" s="13">
        <v>0</v>
      </c>
      <c r="BO23" s="14">
        <v>0</v>
      </c>
      <c r="BP23" s="15">
        <v>0</v>
      </c>
      <c r="BQ23" s="13">
        <v>0</v>
      </c>
      <c r="BR23" s="14">
        <v>0</v>
      </c>
      <c r="BS23" s="15">
        <v>0</v>
      </c>
      <c r="BT23" s="13">
        <v>0</v>
      </c>
      <c r="BU23" s="14">
        <v>0</v>
      </c>
      <c r="BV23" s="15">
        <v>0</v>
      </c>
      <c r="BW23" s="13">
        <v>0</v>
      </c>
      <c r="BX23" s="14">
        <v>0</v>
      </c>
      <c r="BY23" s="15">
        <v>0</v>
      </c>
      <c r="BZ23" s="13">
        <v>0</v>
      </c>
      <c r="CA23" s="14">
        <v>0</v>
      </c>
      <c r="CB23" s="92">
        <v>0</v>
      </c>
    </row>
    <row r="24" spans="1:80" x14ac:dyDescent="0.25">
      <c r="A24" s="23">
        <f t="shared" si="1"/>
        <v>8</v>
      </c>
      <c r="B24" s="23">
        <f t="shared" si="2"/>
        <v>2</v>
      </c>
      <c r="C24" s="23" t="str">
        <f t="shared" si="0"/>
        <v>T8_2</v>
      </c>
      <c r="E24" s="3">
        <f>IF(VLOOKUP($C24,'2D-Chapra'!$C$2:$T$55,MID(E$1,2,2)+2,0)="","",VLOOKUP($C24,'2D-Chapra'!$C$2:$T$55,MID(E$1,2,2)+2,0))</f>
        <v>1</v>
      </c>
      <c r="F24" s="4" t="str">
        <f>IF(VLOOKUP($C24,'2D-Chapra'!$C$2:$T$55,MID(F$1,2,2)+2,0)="","",VLOOKUP($C24,'2D-Chapra'!$C$2:$T$55,MID(F$1,2,2)+2,0))</f>
        <v/>
      </c>
      <c r="G24" s="4" t="str">
        <f>IF(VLOOKUP($C24,'2D-Chapra'!$C$2:$T$55,MID(G$1,2,2)+2,0)="","",VLOOKUP($C24,'2D-Chapra'!$C$2:$T$55,MID(G$1,2,2)+2,0))</f>
        <v/>
      </c>
      <c r="H24" s="4" t="str">
        <f>IF(VLOOKUP($C24,'2D-Chapra'!$C$2:$T$55,MID(H$1,2,2)+2,0)="","",VLOOKUP($C24,'2D-Chapra'!$C$2:$T$55,MID(H$1,2,2)+2,0))</f>
        <v/>
      </c>
      <c r="I24" s="4" t="str">
        <f>IF(VLOOKUP($C24,'2D-Chapra'!$C$2:$T$55,MID(I$1,2,2)+2,0)="","",VLOOKUP($C24,'2D-Chapra'!$C$2:$T$55,MID(I$1,2,2)+2,0))</f>
        <v/>
      </c>
      <c r="J24" s="4" t="str">
        <f>IF(VLOOKUP($C24,'2D-Chapra'!$C$2:$T$55,MID(J$1,2,2)+2,0)="","",VLOOKUP($C24,'2D-Chapra'!$C$2:$T$55,MID(J$1,2,2)+2,0))</f>
        <v/>
      </c>
      <c r="K24" s="4" t="str">
        <f>IF(VLOOKUP($C24,'2D-Chapra'!$C$2:$T$55,MID(K$1,2,2)+2,0)="","",VLOOKUP($C24,'2D-Chapra'!$C$2:$T$55,MID(K$1,2,2)+2,0))</f>
        <v/>
      </c>
      <c r="L24" s="4" t="str">
        <f>IF(VLOOKUP($C24,'2D-Chapra'!$C$2:$T$55,MID(L$1,2,2)+2,0)="","",VLOOKUP($C24,'2D-Chapra'!$C$2:$T$55,MID(L$1,2,2)+2,0))</f>
        <v/>
      </c>
      <c r="M24" s="4" t="str">
        <f>IF(VLOOKUP($C24,'2D-Chapra'!$C$2:$T$55,MID(M$1,2,2)+2,0)="","",VLOOKUP($C24,'2D-Chapra'!$C$2:$T$55,MID(M$1,2,2)+2,0))</f>
        <v/>
      </c>
      <c r="N24" s="4" t="str">
        <f>IF(VLOOKUP($C24,'2D-Chapra'!$C$2:$T$55,MID(N$1,2,2)+2,0)="","",VLOOKUP($C24,'2D-Chapra'!$C$2:$T$55,MID(N$1,2,2)+2,0))</f>
        <v/>
      </c>
      <c r="O24" s="4" t="str">
        <f>IF(VLOOKUP($C24,'2D-Chapra'!$C$2:$T$55,MID(O$1,2,2)+2,0)="","",VLOOKUP($C24,'2D-Chapra'!$C$2:$T$55,MID(O$1,2,2)+2,0))</f>
        <v/>
      </c>
      <c r="P24" s="4" t="str">
        <f>IF(VLOOKUP($C24,'2D-Chapra'!$C$2:$T$55,MID(P$1,2,2)+2,0)="","",VLOOKUP($C24,'2D-Chapra'!$C$2:$T$55,MID(P$1,2,2)+2,0))</f>
        <v/>
      </c>
      <c r="Q24" s="4" t="str">
        <f>IF(VLOOKUP($C24,'2D-Chapra'!$C$2:$T$55,MID(Q$1,2,2)+2,0)="","",VLOOKUP($C24,'2D-Chapra'!$C$2:$T$55,MID(Q$1,2,2)+2,0))</f>
        <v/>
      </c>
      <c r="R24" s="4" t="str">
        <f>IF(VLOOKUP($C24,'2D-Chapra'!$C$2:$T$55,MID(R$1,2,2)+2,0)="","",VLOOKUP($C24,'2D-Chapra'!$C$2:$T$55,MID(R$1,2,2)+2,0))</f>
        <v/>
      </c>
      <c r="S24" s="4" t="str">
        <f>IF(VLOOKUP($C24,'2D-Chapra'!$C$2:$T$55,MID(S$1,2,2)+2,0)="","",VLOOKUP($C24,'2D-Chapra'!$C$2:$T$55,MID(S$1,2,2)+2,0))</f>
        <v/>
      </c>
      <c r="T24" s="5" t="str">
        <f>IF(VLOOKUP($C24,'2D-Chapra'!$C$2:$T$55,MID(T$1,2,2)+2,0)="","",VLOOKUP($C24,'2D-Chapra'!$C$2:$T$55,MID(T$1,2,2)+2,0))</f>
        <v/>
      </c>
      <c r="W24" s="93">
        <v>1</v>
      </c>
      <c r="X24" s="49">
        <v>-1</v>
      </c>
      <c r="Y24" s="94">
        <v>-1</v>
      </c>
      <c r="Z24" s="95" t="s">
        <v>175</v>
      </c>
      <c r="AA24" s="3">
        <v>0</v>
      </c>
      <c r="AB24" s="4">
        <v>0</v>
      </c>
      <c r="AC24" s="17">
        <v>0</v>
      </c>
      <c r="AD24" s="16">
        <v>0</v>
      </c>
      <c r="AE24" s="4">
        <v>0</v>
      </c>
      <c r="AF24" s="17">
        <v>0</v>
      </c>
      <c r="AG24" s="16">
        <v>0</v>
      </c>
      <c r="AH24" s="4">
        <v>0</v>
      </c>
      <c r="AI24" s="17">
        <v>0</v>
      </c>
      <c r="AJ24" s="16">
        <v>0</v>
      </c>
      <c r="AK24" s="4">
        <v>0</v>
      </c>
      <c r="AL24" s="17">
        <v>0</v>
      </c>
      <c r="AM24" s="16">
        <v>0</v>
      </c>
      <c r="AN24" s="4">
        <v>0</v>
      </c>
      <c r="AO24" s="17">
        <v>0</v>
      </c>
      <c r="AP24" s="16">
        <v>0</v>
      </c>
      <c r="AQ24" s="4">
        <v>0</v>
      </c>
      <c r="AR24" s="17">
        <v>0</v>
      </c>
      <c r="AS24" s="16">
        <v>0</v>
      </c>
      <c r="AT24" s="4">
        <v>0</v>
      </c>
      <c r="AU24" s="17">
        <v>0</v>
      </c>
      <c r="AV24" s="107">
        <f ca="1"/>
        <v>-0.25</v>
      </c>
      <c r="AW24" s="11">
        <f ca="1"/>
        <v>0.5</v>
      </c>
      <c r="AX24" s="96">
        <f ca="1"/>
        <v>-0.25</v>
      </c>
      <c r="AY24" s="16">
        <v>0</v>
      </c>
      <c r="AZ24" s="4">
        <v>0</v>
      </c>
      <c r="BA24" s="17">
        <v>0</v>
      </c>
      <c r="BB24" s="16">
        <v>0</v>
      </c>
      <c r="BC24" s="4">
        <v>0</v>
      </c>
      <c r="BD24" s="17">
        <v>0</v>
      </c>
      <c r="BE24" s="16">
        <v>0</v>
      </c>
      <c r="BF24" s="4">
        <v>0</v>
      </c>
      <c r="BG24" s="17">
        <v>0</v>
      </c>
      <c r="BH24" s="16">
        <v>0</v>
      </c>
      <c r="BI24" s="4">
        <v>0</v>
      </c>
      <c r="BJ24" s="17">
        <v>0</v>
      </c>
      <c r="BK24" s="16">
        <v>0</v>
      </c>
      <c r="BL24" s="4">
        <v>0</v>
      </c>
      <c r="BM24" s="17">
        <v>0</v>
      </c>
      <c r="BN24" s="16">
        <v>0</v>
      </c>
      <c r="BO24" s="4">
        <v>0</v>
      </c>
      <c r="BP24" s="17">
        <v>0</v>
      </c>
      <c r="BQ24" s="16">
        <v>0</v>
      </c>
      <c r="BR24" s="4">
        <v>0</v>
      </c>
      <c r="BS24" s="17">
        <v>0</v>
      </c>
      <c r="BT24" s="16">
        <v>0</v>
      </c>
      <c r="BU24" s="4">
        <v>0</v>
      </c>
      <c r="BV24" s="17">
        <v>0</v>
      </c>
      <c r="BW24" s="16">
        <v>0</v>
      </c>
      <c r="BX24" s="4">
        <v>0</v>
      </c>
      <c r="BY24" s="17">
        <v>0</v>
      </c>
      <c r="BZ24" s="16">
        <v>0</v>
      </c>
      <c r="CA24" s="4">
        <v>0</v>
      </c>
      <c r="CB24" s="5">
        <v>0</v>
      </c>
    </row>
    <row r="25" spans="1:80" x14ac:dyDescent="0.25">
      <c r="A25" s="23">
        <f t="shared" si="1"/>
        <v>8</v>
      </c>
      <c r="B25" s="23">
        <f t="shared" si="2"/>
        <v>3</v>
      </c>
      <c r="C25" s="23" t="str">
        <f t="shared" si="0"/>
        <v>T8_3</v>
      </c>
      <c r="E25" s="3" t="str">
        <f>IF(VLOOKUP($C25,'2D-Chapra'!$C$2:$T$55,MID(E$1,2,2)+2,0)="","",VLOOKUP($C25,'2D-Chapra'!$C$2:$T$55,MID(E$1,2,2)+2,0))</f>
        <v/>
      </c>
      <c r="F25" s="4" t="str">
        <f>IF(VLOOKUP($C25,'2D-Chapra'!$C$2:$T$55,MID(F$1,2,2)+2,0)="","",VLOOKUP($C25,'2D-Chapra'!$C$2:$T$55,MID(F$1,2,2)+2,0))</f>
        <v/>
      </c>
      <c r="G25" s="4">
        <f>IF(VLOOKUP($C25,'2D-Chapra'!$C$2:$T$55,MID(G$1,2,2)+2,0)="","",VLOOKUP($C25,'2D-Chapra'!$C$2:$T$55,MID(G$1,2,2)+2,0))</f>
        <v>1</v>
      </c>
      <c r="H25" s="4" t="str">
        <f>IF(VLOOKUP($C25,'2D-Chapra'!$C$2:$T$55,MID(H$1,2,2)+2,0)="","",VLOOKUP($C25,'2D-Chapra'!$C$2:$T$55,MID(H$1,2,2)+2,0))</f>
        <v/>
      </c>
      <c r="I25" s="4" t="str">
        <f>IF(VLOOKUP($C25,'2D-Chapra'!$C$2:$T$55,MID(I$1,2,2)+2,0)="","",VLOOKUP($C25,'2D-Chapra'!$C$2:$T$55,MID(I$1,2,2)+2,0))</f>
        <v/>
      </c>
      <c r="J25" s="4" t="str">
        <f>IF(VLOOKUP($C25,'2D-Chapra'!$C$2:$T$55,MID(J$1,2,2)+2,0)="","",VLOOKUP($C25,'2D-Chapra'!$C$2:$T$55,MID(J$1,2,2)+2,0))</f>
        <v/>
      </c>
      <c r="K25" s="4" t="str">
        <f>IF(VLOOKUP($C25,'2D-Chapra'!$C$2:$T$55,MID(K$1,2,2)+2,0)="","",VLOOKUP($C25,'2D-Chapra'!$C$2:$T$55,MID(K$1,2,2)+2,0))</f>
        <v/>
      </c>
      <c r="L25" s="4" t="str">
        <f>IF(VLOOKUP($C25,'2D-Chapra'!$C$2:$T$55,MID(L$1,2,2)+2,0)="","",VLOOKUP($C25,'2D-Chapra'!$C$2:$T$55,MID(L$1,2,2)+2,0))</f>
        <v/>
      </c>
      <c r="M25" s="4" t="str">
        <f>IF(VLOOKUP($C25,'2D-Chapra'!$C$2:$T$55,MID(M$1,2,2)+2,0)="","",VLOOKUP($C25,'2D-Chapra'!$C$2:$T$55,MID(M$1,2,2)+2,0))</f>
        <v/>
      </c>
      <c r="N25" s="4" t="str">
        <f>IF(VLOOKUP($C25,'2D-Chapra'!$C$2:$T$55,MID(N$1,2,2)+2,0)="","",VLOOKUP($C25,'2D-Chapra'!$C$2:$T$55,MID(N$1,2,2)+2,0))</f>
        <v/>
      </c>
      <c r="O25" s="4" t="str">
        <f>IF(VLOOKUP($C25,'2D-Chapra'!$C$2:$T$55,MID(O$1,2,2)+2,0)="","",VLOOKUP($C25,'2D-Chapra'!$C$2:$T$55,MID(O$1,2,2)+2,0))</f>
        <v/>
      </c>
      <c r="P25" s="4" t="str">
        <f>IF(VLOOKUP($C25,'2D-Chapra'!$C$2:$T$55,MID(P$1,2,2)+2,0)="","",VLOOKUP($C25,'2D-Chapra'!$C$2:$T$55,MID(P$1,2,2)+2,0))</f>
        <v/>
      </c>
      <c r="Q25" s="4" t="str">
        <f>IF(VLOOKUP($C25,'2D-Chapra'!$C$2:$T$55,MID(Q$1,2,2)+2,0)="","",VLOOKUP($C25,'2D-Chapra'!$C$2:$T$55,MID(Q$1,2,2)+2,0))</f>
        <v/>
      </c>
      <c r="R25" s="4" t="str">
        <f>IF(VLOOKUP($C25,'2D-Chapra'!$C$2:$T$55,MID(R$1,2,2)+2,0)="","",VLOOKUP($C25,'2D-Chapra'!$C$2:$T$55,MID(R$1,2,2)+2,0))</f>
        <v/>
      </c>
      <c r="S25" s="4" t="str">
        <f>IF(VLOOKUP($C25,'2D-Chapra'!$C$2:$T$55,MID(S$1,2,2)+2,0)="","",VLOOKUP($C25,'2D-Chapra'!$C$2:$T$55,MID(S$1,2,2)+2,0))</f>
        <v/>
      </c>
      <c r="T25" s="5" t="str">
        <f>IF(VLOOKUP($C25,'2D-Chapra'!$C$2:$T$55,MID(T$1,2,2)+2,0)="","",VLOOKUP($C25,'2D-Chapra'!$C$2:$T$55,MID(T$1,2,2)+2,0))</f>
        <v/>
      </c>
      <c r="W25" s="97">
        <v>1</v>
      </c>
      <c r="X25" s="98">
        <v>-1</v>
      </c>
      <c r="Y25" s="99">
        <v>1</v>
      </c>
      <c r="Z25" s="100" t="s">
        <v>176</v>
      </c>
      <c r="AA25" s="108">
        <v>0</v>
      </c>
      <c r="AB25" s="19">
        <v>0</v>
      </c>
      <c r="AC25" s="20">
        <v>0</v>
      </c>
      <c r="AD25" s="18">
        <v>0</v>
      </c>
      <c r="AE25" s="19">
        <v>0</v>
      </c>
      <c r="AF25" s="20">
        <v>0</v>
      </c>
      <c r="AG25" s="18">
        <v>0</v>
      </c>
      <c r="AH25" s="19">
        <v>0</v>
      </c>
      <c r="AI25" s="20">
        <v>0</v>
      </c>
      <c r="AJ25" s="18">
        <v>0</v>
      </c>
      <c r="AK25" s="19">
        <v>0</v>
      </c>
      <c r="AL25" s="20">
        <v>0</v>
      </c>
      <c r="AM25" s="18">
        <v>0</v>
      </c>
      <c r="AN25" s="19">
        <v>0</v>
      </c>
      <c r="AO25" s="20">
        <v>0</v>
      </c>
      <c r="AP25" s="18">
        <v>0</v>
      </c>
      <c r="AQ25" s="19">
        <v>0</v>
      </c>
      <c r="AR25" s="20">
        <v>0</v>
      </c>
      <c r="AS25" s="18">
        <v>0</v>
      </c>
      <c r="AT25" s="19">
        <v>0</v>
      </c>
      <c r="AU25" s="20">
        <v>0</v>
      </c>
      <c r="AV25" s="109">
        <f ca="1"/>
        <v>0</v>
      </c>
      <c r="AW25" s="102">
        <f ca="1"/>
        <v>-0.25</v>
      </c>
      <c r="AX25" s="103">
        <f ca="1"/>
        <v>0.25</v>
      </c>
      <c r="AY25" s="18">
        <v>0</v>
      </c>
      <c r="AZ25" s="19">
        <v>0</v>
      </c>
      <c r="BA25" s="20">
        <v>0</v>
      </c>
      <c r="BB25" s="18">
        <v>0</v>
      </c>
      <c r="BC25" s="19">
        <v>0</v>
      </c>
      <c r="BD25" s="20">
        <v>0</v>
      </c>
      <c r="BE25" s="18">
        <v>0</v>
      </c>
      <c r="BF25" s="19">
        <v>0</v>
      </c>
      <c r="BG25" s="20">
        <v>0</v>
      </c>
      <c r="BH25" s="18">
        <v>0</v>
      </c>
      <c r="BI25" s="19">
        <v>0</v>
      </c>
      <c r="BJ25" s="20">
        <v>0</v>
      </c>
      <c r="BK25" s="18">
        <v>0</v>
      </c>
      <c r="BL25" s="19">
        <v>0</v>
      </c>
      <c r="BM25" s="20">
        <v>0</v>
      </c>
      <c r="BN25" s="18">
        <v>0</v>
      </c>
      <c r="BO25" s="19">
        <v>0</v>
      </c>
      <c r="BP25" s="20">
        <v>0</v>
      </c>
      <c r="BQ25" s="18">
        <v>0</v>
      </c>
      <c r="BR25" s="19">
        <v>0</v>
      </c>
      <c r="BS25" s="20">
        <v>0</v>
      </c>
      <c r="BT25" s="18">
        <v>0</v>
      </c>
      <c r="BU25" s="19">
        <v>0</v>
      </c>
      <c r="BV25" s="20">
        <v>0</v>
      </c>
      <c r="BW25" s="18">
        <v>0</v>
      </c>
      <c r="BX25" s="19">
        <v>0</v>
      </c>
      <c r="BY25" s="20">
        <v>0</v>
      </c>
      <c r="BZ25" s="18">
        <v>0</v>
      </c>
      <c r="CA25" s="19">
        <v>0</v>
      </c>
      <c r="CB25" s="104">
        <v>0</v>
      </c>
    </row>
    <row r="26" spans="1:80" x14ac:dyDescent="0.25">
      <c r="A26" s="23">
        <f t="shared" si="1"/>
        <v>9</v>
      </c>
      <c r="B26" s="23">
        <f t="shared" si="2"/>
        <v>1</v>
      </c>
      <c r="C26" s="23" t="str">
        <f t="shared" si="0"/>
        <v>T9_1</v>
      </c>
      <c r="E26" s="3">
        <f>IF(VLOOKUP($C26,'2D-Chapra'!$C$2:$T$55,MID(E$1,2,2)+2,0)="","",VLOOKUP($C26,'2D-Chapra'!$C$2:$T$55,MID(E$1,2,2)+2,0))</f>
        <v>1</v>
      </c>
      <c r="F26" s="4" t="str">
        <f>IF(VLOOKUP($C26,'2D-Chapra'!$C$2:$T$55,MID(F$1,2,2)+2,0)="","",VLOOKUP($C26,'2D-Chapra'!$C$2:$T$55,MID(F$1,2,2)+2,0))</f>
        <v/>
      </c>
      <c r="G26" s="4" t="str">
        <f>IF(VLOOKUP($C26,'2D-Chapra'!$C$2:$T$55,MID(G$1,2,2)+2,0)="","",VLOOKUP($C26,'2D-Chapra'!$C$2:$T$55,MID(G$1,2,2)+2,0))</f>
        <v/>
      </c>
      <c r="H26" s="4" t="str">
        <f>IF(VLOOKUP($C26,'2D-Chapra'!$C$2:$T$55,MID(H$1,2,2)+2,0)="","",VLOOKUP($C26,'2D-Chapra'!$C$2:$T$55,MID(H$1,2,2)+2,0))</f>
        <v/>
      </c>
      <c r="I26" s="4" t="str">
        <f>IF(VLOOKUP($C26,'2D-Chapra'!$C$2:$T$55,MID(I$1,2,2)+2,0)="","",VLOOKUP($C26,'2D-Chapra'!$C$2:$T$55,MID(I$1,2,2)+2,0))</f>
        <v/>
      </c>
      <c r="J26" s="4" t="str">
        <f>IF(VLOOKUP($C26,'2D-Chapra'!$C$2:$T$55,MID(J$1,2,2)+2,0)="","",VLOOKUP($C26,'2D-Chapra'!$C$2:$T$55,MID(J$1,2,2)+2,0))</f>
        <v/>
      </c>
      <c r="K26" s="4" t="str">
        <f>IF(VLOOKUP($C26,'2D-Chapra'!$C$2:$T$55,MID(K$1,2,2)+2,0)="","",VLOOKUP($C26,'2D-Chapra'!$C$2:$T$55,MID(K$1,2,2)+2,0))</f>
        <v/>
      </c>
      <c r="L26" s="4" t="str">
        <f>IF(VLOOKUP($C26,'2D-Chapra'!$C$2:$T$55,MID(L$1,2,2)+2,0)="","",VLOOKUP($C26,'2D-Chapra'!$C$2:$T$55,MID(L$1,2,2)+2,0))</f>
        <v/>
      </c>
      <c r="M26" s="4" t="str">
        <f>IF(VLOOKUP($C26,'2D-Chapra'!$C$2:$T$55,MID(M$1,2,2)+2,0)="","",VLOOKUP($C26,'2D-Chapra'!$C$2:$T$55,MID(M$1,2,2)+2,0))</f>
        <v/>
      </c>
      <c r="N26" s="4" t="str">
        <f>IF(VLOOKUP($C26,'2D-Chapra'!$C$2:$T$55,MID(N$1,2,2)+2,0)="","",VLOOKUP($C26,'2D-Chapra'!$C$2:$T$55,MID(N$1,2,2)+2,0))</f>
        <v/>
      </c>
      <c r="O26" s="4" t="str">
        <f>IF(VLOOKUP($C26,'2D-Chapra'!$C$2:$T$55,MID(O$1,2,2)+2,0)="","",VLOOKUP($C26,'2D-Chapra'!$C$2:$T$55,MID(O$1,2,2)+2,0))</f>
        <v/>
      </c>
      <c r="P26" s="4" t="str">
        <f>IF(VLOOKUP($C26,'2D-Chapra'!$C$2:$T$55,MID(P$1,2,2)+2,0)="","",VLOOKUP($C26,'2D-Chapra'!$C$2:$T$55,MID(P$1,2,2)+2,0))</f>
        <v/>
      </c>
      <c r="Q26" s="4" t="str">
        <f>IF(VLOOKUP($C26,'2D-Chapra'!$C$2:$T$55,MID(Q$1,2,2)+2,0)="","",VLOOKUP($C26,'2D-Chapra'!$C$2:$T$55,MID(Q$1,2,2)+2,0))</f>
        <v/>
      </c>
      <c r="R26" s="4" t="str">
        <f>IF(VLOOKUP($C26,'2D-Chapra'!$C$2:$T$55,MID(R$1,2,2)+2,0)="","",VLOOKUP($C26,'2D-Chapra'!$C$2:$T$55,MID(R$1,2,2)+2,0))</f>
        <v/>
      </c>
      <c r="S26" s="4" t="str">
        <f>IF(VLOOKUP($C26,'2D-Chapra'!$C$2:$T$55,MID(S$1,2,2)+2,0)="","",VLOOKUP($C26,'2D-Chapra'!$C$2:$T$55,MID(S$1,2,2)+2,0))</f>
        <v/>
      </c>
      <c r="T26" s="5" t="str">
        <f>IF(VLOOKUP($C26,'2D-Chapra'!$C$2:$T$55,MID(T$1,2,2)+2,0)="","",VLOOKUP($C26,'2D-Chapra'!$C$2:$T$55,MID(T$1,2,2)+2,0))</f>
        <v/>
      </c>
      <c r="W26" s="85">
        <v>1</v>
      </c>
      <c r="X26" s="86">
        <v>-1</v>
      </c>
      <c r="Y26" s="87">
        <v>-1</v>
      </c>
      <c r="Z26" s="88" t="s">
        <v>177</v>
      </c>
      <c r="AA26" s="105">
        <v>0</v>
      </c>
      <c r="AB26" s="14">
        <v>0</v>
      </c>
      <c r="AC26" s="15">
        <v>0</v>
      </c>
      <c r="AD26" s="13">
        <v>0</v>
      </c>
      <c r="AE26" s="14">
        <v>0</v>
      </c>
      <c r="AF26" s="15">
        <v>0</v>
      </c>
      <c r="AG26" s="13">
        <v>0</v>
      </c>
      <c r="AH26" s="14">
        <v>0</v>
      </c>
      <c r="AI26" s="15">
        <v>0</v>
      </c>
      <c r="AJ26" s="13">
        <v>0</v>
      </c>
      <c r="AK26" s="14">
        <v>0</v>
      </c>
      <c r="AL26" s="15">
        <v>0</v>
      </c>
      <c r="AM26" s="13">
        <v>0</v>
      </c>
      <c r="AN26" s="14">
        <v>0</v>
      </c>
      <c r="AO26" s="15">
        <v>0</v>
      </c>
      <c r="AP26" s="13">
        <v>0</v>
      </c>
      <c r="AQ26" s="14">
        <v>0</v>
      </c>
      <c r="AR26" s="15">
        <v>0</v>
      </c>
      <c r="AS26" s="13">
        <v>0</v>
      </c>
      <c r="AT26" s="14">
        <v>0</v>
      </c>
      <c r="AU26" s="15">
        <v>0</v>
      </c>
      <c r="AV26" s="13">
        <v>0</v>
      </c>
      <c r="AW26" s="14">
        <v>0</v>
      </c>
      <c r="AX26" s="15">
        <v>0</v>
      </c>
      <c r="AY26" s="106">
        <f t="array" aca="1" ref="AY26:BA28" ca="1">rigidez($W26:$Y28)</f>
        <v>0.25</v>
      </c>
      <c r="AZ26" s="90">
        <f ca="1"/>
        <v>0</v>
      </c>
      <c r="BA26" s="91">
        <f ca="1"/>
        <v>-0.25</v>
      </c>
      <c r="BB26" s="13">
        <v>0</v>
      </c>
      <c r="BC26" s="14">
        <v>0</v>
      </c>
      <c r="BD26" s="15">
        <v>0</v>
      </c>
      <c r="BE26" s="13">
        <v>0</v>
      </c>
      <c r="BF26" s="14">
        <v>0</v>
      </c>
      <c r="BG26" s="15">
        <v>0</v>
      </c>
      <c r="BH26" s="13">
        <v>0</v>
      </c>
      <c r="BI26" s="14">
        <v>0</v>
      </c>
      <c r="BJ26" s="15">
        <v>0</v>
      </c>
      <c r="BK26" s="13">
        <v>0</v>
      </c>
      <c r="BL26" s="14">
        <v>0</v>
      </c>
      <c r="BM26" s="15">
        <v>0</v>
      </c>
      <c r="BN26" s="13">
        <v>0</v>
      </c>
      <c r="BO26" s="14">
        <v>0</v>
      </c>
      <c r="BP26" s="15">
        <v>0</v>
      </c>
      <c r="BQ26" s="13">
        <v>0</v>
      </c>
      <c r="BR26" s="14">
        <v>0</v>
      </c>
      <c r="BS26" s="15">
        <v>0</v>
      </c>
      <c r="BT26" s="13">
        <v>0</v>
      </c>
      <c r="BU26" s="14">
        <v>0</v>
      </c>
      <c r="BV26" s="15">
        <v>0</v>
      </c>
      <c r="BW26" s="13">
        <v>0</v>
      </c>
      <c r="BX26" s="14">
        <v>0</v>
      </c>
      <c r="BY26" s="15">
        <v>0</v>
      </c>
      <c r="BZ26" s="13">
        <v>0</v>
      </c>
      <c r="CA26" s="14">
        <v>0</v>
      </c>
      <c r="CB26" s="92">
        <v>0</v>
      </c>
    </row>
    <row r="27" spans="1:80" x14ac:dyDescent="0.25">
      <c r="A27" s="23">
        <f t="shared" si="1"/>
        <v>9</v>
      </c>
      <c r="B27" s="23">
        <f t="shared" si="2"/>
        <v>2</v>
      </c>
      <c r="C27" s="23" t="str">
        <f t="shared" si="0"/>
        <v>T9_2</v>
      </c>
      <c r="E27" s="3" t="str">
        <f>IF(VLOOKUP($C27,'2D-Chapra'!$C$2:$T$55,MID(E$1,2,2)+2,0)="","",VLOOKUP($C27,'2D-Chapra'!$C$2:$T$55,MID(E$1,2,2)+2,0))</f>
        <v/>
      </c>
      <c r="F27" s="4" t="str">
        <f>IF(VLOOKUP($C27,'2D-Chapra'!$C$2:$T$55,MID(F$1,2,2)+2,0)="","",VLOOKUP($C27,'2D-Chapra'!$C$2:$T$55,MID(F$1,2,2)+2,0))</f>
        <v/>
      </c>
      <c r="G27" s="4" t="str">
        <f>IF(VLOOKUP($C27,'2D-Chapra'!$C$2:$T$55,MID(G$1,2,2)+2,0)="","",VLOOKUP($C27,'2D-Chapra'!$C$2:$T$55,MID(G$1,2,2)+2,0))</f>
        <v/>
      </c>
      <c r="H27" s="4">
        <f>IF(VLOOKUP($C27,'2D-Chapra'!$C$2:$T$55,MID(H$1,2,2)+2,0)="","",VLOOKUP($C27,'2D-Chapra'!$C$2:$T$55,MID(H$1,2,2)+2,0))</f>
        <v>1</v>
      </c>
      <c r="I27" s="4" t="str">
        <f>IF(VLOOKUP($C27,'2D-Chapra'!$C$2:$T$55,MID(I$1,2,2)+2,0)="","",VLOOKUP($C27,'2D-Chapra'!$C$2:$T$55,MID(I$1,2,2)+2,0))</f>
        <v/>
      </c>
      <c r="J27" s="4" t="str">
        <f>IF(VLOOKUP($C27,'2D-Chapra'!$C$2:$T$55,MID(J$1,2,2)+2,0)="","",VLOOKUP($C27,'2D-Chapra'!$C$2:$T$55,MID(J$1,2,2)+2,0))</f>
        <v/>
      </c>
      <c r="K27" s="4" t="str">
        <f>IF(VLOOKUP($C27,'2D-Chapra'!$C$2:$T$55,MID(K$1,2,2)+2,0)="","",VLOOKUP($C27,'2D-Chapra'!$C$2:$T$55,MID(K$1,2,2)+2,0))</f>
        <v/>
      </c>
      <c r="L27" s="4" t="str">
        <f>IF(VLOOKUP($C27,'2D-Chapra'!$C$2:$T$55,MID(L$1,2,2)+2,0)="","",VLOOKUP($C27,'2D-Chapra'!$C$2:$T$55,MID(L$1,2,2)+2,0))</f>
        <v/>
      </c>
      <c r="M27" s="4" t="str">
        <f>IF(VLOOKUP($C27,'2D-Chapra'!$C$2:$T$55,MID(M$1,2,2)+2,0)="","",VLOOKUP($C27,'2D-Chapra'!$C$2:$T$55,MID(M$1,2,2)+2,0))</f>
        <v/>
      </c>
      <c r="N27" s="4" t="str">
        <f>IF(VLOOKUP($C27,'2D-Chapra'!$C$2:$T$55,MID(N$1,2,2)+2,0)="","",VLOOKUP($C27,'2D-Chapra'!$C$2:$T$55,MID(N$1,2,2)+2,0))</f>
        <v/>
      </c>
      <c r="O27" s="4" t="str">
        <f>IF(VLOOKUP($C27,'2D-Chapra'!$C$2:$T$55,MID(O$1,2,2)+2,0)="","",VLOOKUP($C27,'2D-Chapra'!$C$2:$T$55,MID(O$1,2,2)+2,0))</f>
        <v/>
      </c>
      <c r="P27" s="4" t="str">
        <f>IF(VLOOKUP($C27,'2D-Chapra'!$C$2:$T$55,MID(P$1,2,2)+2,0)="","",VLOOKUP($C27,'2D-Chapra'!$C$2:$T$55,MID(P$1,2,2)+2,0))</f>
        <v/>
      </c>
      <c r="Q27" s="4" t="str">
        <f>IF(VLOOKUP($C27,'2D-Chapra'!$C$2:$T$55,MID(Q$1,2,2)+2,0)="","",VLOOKUP($C27,'2D-Chapra'!$C$2:$T$55,MID(Q$1,2,2)+2,0))</f>
        <v/>
      </c>
      <c r="R27" s="4" t="str">
        <f>IF(VLOOKUP($C27,'2D-Chapra'!$C$2:$T$55,MID(R$1,2,2)+2,0)="","",VLOOKUP($C27,'2D-Chapra'!$C$2:$T$55,MID(R$1,2,2)+2,0))</f>
        <v/>
      </c>
      <c r="S27" s="4" t="str">
        <f>IF(VLOOKUP($C27,'2D-Chapra'!$C$2:$T$55,MID(S$1,2,2)+2,0)="","",VLOOKUP($C27,'2D-Chapra'!$C$2:$T$55,MID(S$1,2,2)+2,0))</f>
        <v/>
      </c>
      <c r="T27" s="5" t="str">
        <f>IF(VLOOKUP($C27,'2D-Chapra'!$C$2:$T$55,MID(T$1,2,2)+2,0)="","",VLOOKUP($C27,'2D-Chapra'!$C$2:$T$55,MID(T$1,2,2)+2,0))</f>
        <v/>
      </c>
      <c r="W27" s="93">
        <v>1</v>
      </c>
      <c r="X27" s="49">
        <v>1</v>
      </c>
      <c r="Y27" s="94">
        <v>1</v>
      </c>
      <c r="Z27" s="95" t="s">
        <v>178</v>
      </c>
      <c r="AA27" s="3">
        <v>0</v>
      </c>
      <c r="AB27" s="4">
        <v>0</v>
      </c>
      <c r="AC27" s="17">
        <v>0</v>
      </c>
      <c r="AD27" s="16">
        <v>0</v>
      </c>
      <c r="AE27" s="4">
        <v>0</v>
      </c>
      <c r="AF27" s="17">
        <v>0</v>
      </c>
      <c r="AG27" s="16">
        <v>0</v>
      </c>
      <c r="AH27" s="4">
        <v>0</v>
      </c>
      <c r="AI27" s="17">
        <v>0</v>
      </c>
      <c r="AJ27" s="16">
        <v>0</v>
      </c>
      <c r="AK27" s="4">
        <v>0</v>
      </c>
      <c r="AL27" s="17">
        <v>0</v>
      </c>
      <c r="AM27" s="16">
        <v>0</v>
      </c>
      <c r="AN27" s="4">
        <v>0</v>
      </c>
      <c r="AO27" s="17">
        <v>0</v>
      </c>
      <c r="AP27" s="16">
        <v>0</v>
      </c>
      <c r="AQ27" s="4">
        <v>0</v>
      </c>
      <c r="AR27" s="17">
        <v>0</v>
      </c>
      <c r="AS27" s="16">
        <v>0</v>
      </c>
      <c r="AT27" s="4">
        <v>0</v>
      </c>
      <c r="AU27" s="17">
        <v>0</v>
      </c>
      <c r="AV27" s="16">
        <v>0</v>
      </c>
      <c r="AW27" s="4">
        <v>0</v>
      </c>
      <c r="AX27" s="17">
        <v>0</v>
      </c>
      <c r="AY27" s="107">
        <f ca="1"/>
        <v>0</v>
      </c>
      <c r="AZ27" s="11">
        <f ca="1"/>
        <v>0.25</v>
      </c>
      <c r="BA27" s="96">
        <f ca="1"/>
        <v>-0.25</v>
      </c>
      <c r="BB27" s="16">
        <v>0</v>
      </c>
      <c r="BC27" s="4">
        <v>0</v>
      </c>
      <c r="BD27" s="17">
        <v>0</v>
      </c>
      <c r="BE27" s="16">
        <v>0</v>
      </c>
      <c r="BF27" s="4">
        <v>0</v>
      </c>
      <c r="BG27" s="17">
        <v>0</v>
      </c>
      <c r="BH27" s="16">
        <v>0</v>
      </c>
      <c r="BI27" s="4">
        <v>0</v>
      </c>
      <c r="BJ27" s="17">
        <v>0</v>
      </c>
      <c r="BK27" s="16">
        <v>0</v>
      </c>
      <c r="BL27" s="4">
        <v>0</v>
      </c>
      <c r="BM27" s="17">
        <v>0</v>
      </c>
      <c r="BN27" s="16">
        <v>0</v>
      </c>
      <c r="BO27" s="4">
        <v>0</v>
      </c>
      <c r="BP27" s="17">
        <v>0</v>
      </c>
      <c r="BQ27" s="16">
        <v>0</v>
      </c>
      <c r="BR27" s="4">
        <v>0</v>
      </c>
      <c r="BS27" s="17">
        <v>0</v>
      </c>
      <c r="BT27" s="16">
        <v>0</v>
      </c>
      <c r="BU27" s="4">
        <v>0</v>
      </c>
      <c r="BV27" s="17">
        <v>0</v>
      </c>
      <c r="BW27" s="16">
        <v>0</v>
      </c>
      <c r="BX27" s="4">
        <v>0</v>
      </c>
      <c r="BY27" s="17">
        <v>0</v>
      </c>
      <c r="BZ27" s="16">
        <v>0</v>
      </c>
      <c r="CA27" s="4">
        <v>0</v>
      </c>
      <c r="CB27" s="5">
        <v>0</v>
      </c>
    </row>
    <row r="28" spans="1:80" x14ac:dyDescent="0.25">
      <c r="A28" s="23">
        <f t="shared" si="1"/>
        <v>9</v>
      </c>
      <c r="B28" s="23">
        <f t="shared" si="2"/>
        <v>3</v>
      </c>
      <c r="C28" s="23" t="str">
        <f t="shared" si="0"/>
        <v>T9_3</v>
      </c>
      <c r="E28" s="3" t="str">
        <f>IF(VLOOKUP($C28,'2D-Chapra'!$C$2:$T$55,MID(E$1,2,2)+2,0)="","",VLOOKUP($C28,'2D-Chapra'!$C$2:$T$55,MID(E$1,2,2)+2,0))</f>
        <v/>
      </c>
      <c r="F28" s="4" t="str">
        <f>IF(VLOOKUP($C28,'2D-Chapra'!$C$2:$T$55,MID(F$1,2,2)+2,0)="","",VLOOKUP($C28,'2D-Chapra'!$C$2:$T$55,MID(F$1,2,2)+2,0))</f>
        <v/>
      </c>
      <c r="G28" s="4">
        <f>IF(VLOOKUP($C28,'2D-Chapra'!$C$2:$T$55,MID(G$1,2,2)+2,0)="","",VLOOKUP($C28,'2D-Chapra'!$C$2:$T$55,MID(G$1,2,2)+2,0))</f>
        <v>1</v>
      </c>
      <c r="H28" s="4" t="str">
        <f>IF(VLOOKUP($C28,'2D-Chapra'!$C$2:$T$55,MID(H$1,2,2)+2,0)="","",VLOOKUP($C28,'2D-Chapra'!$C$2:$T$55,MID(H$1,2,2)+2,0))</f>
        <v/>
      </c>
      <c r="I28" s="4" t="str">
        <f>IF(VLOOKUP($C28,'2D-Chapra'!$C$2:$T$55,MID(I$1,2,2)+2,0)="","",VLOOKUP($C28,'2D-Chapra'!$C$2:$T$55,MID(I$1,2,2)+2,0))</f>
        <v/>
      </c>
      <c r="J28" s="4" t="str">
        <f>IF(VLOOKUP($C28,'2D-Chapra'!$C$2:$T$55,MID(J$1,2,2)+2,0)="","",VLOOKUP($C28,'2D-Chapra'!$C$2:$T$55,MID(J$1,2,2)+2,0))</f>
        <v/>
      </c>
      <c r="K28" s="4" t="str">
        <f>IF(VLOOKUP($C28,'2D-Chapra'!$C$2:$T$55,MID(K$1,2,2)+2,0)="","",VLOOKUP($C28,'2D-Chapra'!$C$2:$T$55,MID(K$1,2,2)+2,0))</f>
        <v/>
      </c>
      <c r="L28" s="4" t="str">
        <f>IF(VLOOKUP($C28,'2D-Chapra'!$C$2:$T$55,MID(L$1,2,2)+2,0)="","",VLOOKUP($C28,'2D-Chapra'!$C$2:$T$55,MID(L$1,2,2)+2,0))</f>
        <v/>
      </c>
      <c r="M28" s="4" t="str">
        <f>IF(VLOOKUP($C28,'2D-Chapra'!$C$2:$T$55,MID(M$1,2,2)+2,0)="","",VLOOKUP($C28,'2D-Chapra'!$C$2:$T$55,MID(M$1,2,2)+2,0))</f>
        <v/>
      </c>
      <c r="N28" s="4" t="str">
        <f>IF(VLOOKUP($C28,'2D-Chapra'!$C$2:$T$55,MID(N$1,2,2)+2,0)="","",VLOOKUP($C28,'2D-Chapra'!$C$2:$T$55,MID(N$1,2,2)+2,0))</f>
        <v/>
      </c>
      <c r="O28" s="4" t="str">
        <f>IF(VLOOKUP($C28,'2D-Chapra'!$C$2:$T$55,MID(O$1,2,2)+2,0)="","",VLOOKUP($C28,'2D-Chapra'!$C$2:$T$55,MID(O$1,2,2)+2,0))</f>
        <v/>
      </c>
      <c r="P28" s="4" t="str">
        <f>IF(VLOOKUP($C28,'2D-Chapra'!$C$2:$T$55,MID(P$1,2,2)+2,0)="","",VLOOKUP($C28,'2D-Chapra'!$C$2:$T$55,MID(P$1,2,2)+2,0))</f>
        <v/>
      </c>
      <c r="Q28" s="4" t="str">
        <f>IF(VLOOKUP($C28,'2D-Chapra'!$C$2:$T$55,MID(Q$1,2,2)+2,0)="","",VLOOKUP($C28,'2D-Chapra'!$C$2:$T$55,MID(Q$1,2,2)+2,0))</f>
        <v/>
      </c>
      <c r="R28" s="4" t="str">
        <f>IF(VLOOKUP($C28,'2D-Chapra'!$C$2:$T$55,MID(R$1,2,2)+2,0)="","",VLOOKUP($C28,'2D-Chapra'!$C$2:$T$55,MID(R$1,2,2)+2,0))</f>
        <v/>
      </c>
      <c r="S28" s="4" t="str">
        <f>IF(VLOOKUP($C28,'2D-Chapra'!$C$2:$T$55,MID(S$1,2,2)+2,0)="","",VLOOKUP($C28,'2D-Chapra'!$C$2:$T$55,MID(S$1,2,2)+2,0))</f>
        <v/>
      </c>
      <c r="T28" s="5" t="str">
        <f>IF(VLOOKUP($C28,'2D-Chapra'!$C$2:$T$55,MID(T$1,2,2)+2,0)="","",VLOOKUP($C28,'2D-Chapra'!$C$2:$T$55,MID(T$1,2,2)+2,0))</f>
        <v/>
      </c>
      <c r="W28" s="97">
        <v>1</v>
      </c>
      <c r="X28" s="98">
        <v>-1</v>
      </c>
      <c r="Y28" s="99">
        <v>1</v>
      </c>
      <c r="Z28" s="100" t="s">
        <v>179</v>
      </c>
      <c r="AA28" s="108">
        <v>0</v>
      </c>
      <c r="AB28" s="19">
        <v>0</v>
      </c>
      <c r="AC28" s="20">
        <v>0</v>
      </c>
      <c r="AD28" s="18">
        <v>0</v>
      </c>
      <c r="AE28" s="19">
        <v>0</v>
      </c>
      <c r="AF28" s="20">
        <v>0</v>
      </c>
      <c r="AG28" s="18">
        <v>0</v>
      </c>
      <c r="AH28" s="19">
        <v>0</v>
      </c>
      <c r="AI28" s="20">
        <v>0</v>
      </c>
      <c r="AJ28" s="18">
        <v>0</v>
      </c>
      <c r="AK28" s="19">
        <v>0</v>
      </c>
      <c r="AL28" s="20">
        <v>0</v>
      </c>
      <c r="AM28" s="18">
        <v>0</v>
      </c>
      <c r="AN28" s="19">
        <v>0</v>
      </c>
      <c r="AO28" s="20">
        <v>0</v>
      </c>
      <c r="AP28" s="18">
        <v>0</v>
      </c>
      <c r="AQ28" s="19">
        <v>0</v>
      </c>
      <c r="AR28" s="20">
        <v>0</v>
      </c>
      <c r="AS28" s="18">
        <v>0</v>
      </c>
      <c r="AT28" s="19">
        <v>0</v>
      </c>
      <c r="AU28" s="20">
        <v>0</v>
      </c>
      <c r="AV28" s="18">
        <v>0</v>
      </c>
      <c r="AW28" s="19">
        <v>0</v>
      </c>
      <c r="AX28" s="20">
        <v>0</v>
      </c>
      <c r="AY28" s="109">
        <f ca="1"/>
        <v>-0.25</v>
      </c>
      <c r="AZ28" s="102">
        <f ca="1"/>
        <v>-0.25</v>
      </c>
      <c r="BA28" s="103">
        <f ca="1"/>
        <v>0.5</v>
      </c>
      <c r="BB28" s="18">
        <v>0</v>
      </c>
      <c r="BC28" s="19">
        <v>0</v>
      </c>
      <c r="BD28" s="20">
        <v>0</v>
      </c>
      <c r="BE28" s="18">
        <v>0</v>
      </c>
      <c r="BF28" s="19">
        <v>0</v>
      </c>
      <c r="BG28" s="20">
        <v>0</v>
      </c>
      <c r="BH28" s="18">
        <v>0</v>
      </c>
      <c r="BI28" s="19">
        <v>0</v>
      </c>
      <c r="BJ28" s="20">
        <v>0</v>
      </c>
      <c r="BK28" s="18">
        <v>0</v>
      </c>
      <c r="BL28" s="19">
        <v>0</v>
      </c>
      <c r="BM28" s="20">
        <v>0</v>
      </c>
      <c r="BN28" s="18">
        <v>0</v>
      </c>
      <c r="BO28" s="19">
        <v>0</v>
      </c>
      <c r="BP28" s="20">
        <v>0</v>
      </c>
      <c r="BQ28" s="18">
        <v>0</v>
      </c>
      <c r="BR28" s="19">
        <v>0</v>
      </c>
      <c r="BS28" s="20">
        <v>0</v>
      </c>
      <c r="BT28" s="18">
        <v>0</v>
      </c>
      <c r="BU28" s="19">
        <v>0</v>
      </c>
      <c r="BV28" s="20">
        <v>0</v>
      </c>
      <c r="BW28" s="18">
        <v>0</v>
      </c>
      <c r="BX28" s="19">
        <v>0</v>
      </c>
      <c r="BY28" s="20">
        <v>0</v>
      </c>
      <c r="BZ28" s="18">
        <v>0</v>
      </c>
      <c r="CA28" s="19">
        <v>0</v>
      </c>
      <c r="CB28" s="104">
        <v>0</v>
      </c>
    </row>
    <row r="29" spans="1:80" x14ac:dyDescent="0.25">
      <c r="A29" s="23">
        <f t="shared" si="1"/>
        <v>10</v>
      </c>
      <c r="B29" s="23">
        <f t="shared" si="2"/>
        <v>1</v>
      </c>
      <c r="C29" s="23" t="str">
        <f t="shared" si="0"/>
        <v>T10_1</v>
      </c>
      <c r="E29" s="3">
        <f>IF(VLOOKUP($C29,'2D-Chapra'!$C$2:$T$55,MID(E$1,2,2)+2,0)="","",VLOOKUP($C29,'2D-Chapra'!$C$2:$T$55,MID(E$1,2,2)+2,0))</f>
        <v>1</v>
      </c>
      <c r="F29" s="4" t="str">
        <f>IF(VLOOKUP($C29,'2D-Chapra'!$C$2:$T$55,MID(F$1,2,2)+2,0)="","",VLOOKUP($C29,'2D-Chapra'!$C$2:$T$55,MID(F$1,2,2)+2,0))</f>
        <v/>
      </c>
      <c r="G29" s="4" t="str">
        <f>IF(VLOOKUP($C29,'2D-Chapra'!$C$2:$T$55,MID(G$1,2,2)+2,0)="","",VLOOKUP($C29,'2D-Chapra'!$C$2:$T$55,MID(G$1,2,2)+2,0))</f>
        <v/>
      </c>
      <c r="H29" s="4" t="str">
        <f>IF(VLOOKUP($C29,'2D-Chapra'!$C$2:$T$55,MID(H$1,2,2)+2,0)="","",VLOOKUP($C29,'2D-Chapra'!$C$2:$T$55,MID(H$1,2,2)+2,0))</f>
        <v/>
      </c>
      <c r="I29" s="4" t="str">
        <f>IF(VLOOKUP($C29,'2D-Chapra'!$C$2:$T$55,MID(I$1,2,2)+2,0)="","",VLOOKUP($C29,'2D-Chapra'!$C$2:$T$55,MID(I$1,2,2)+2,0))</f>
        <v/>
      </c>
      <c r="J29" s="4" t="str">
        <f>IF(VLOOKUP($C29,'2D-Chapra'!$C$2:$T$55,MID(J$1,2,2)+2,0)="","",VLOOKUP($C29,'2D-Chapra'!$C$2:$T$55,MID(J$1,2,2)+2,0))</f>
        <v/>
      </c>
      <c r="K29" s="4" t="str">
        <f>IF(VLOOKUP($C29,'2D-Chapra'!$C$2:$T$55,MID(K$1,2,2)+2,0)="","",VLOOKUP($C29,'2D-Chapra'!$C$2:$T$55,MID(K$1,2,2)+2,0))</f>
        <v/>
      </c>
      <c r="L29" s="4" t="str">
        <f>IF(VLOOKUP($C29,'2D-Chapra'!$C$2:$T$55,MID(L$1,2,2)+2,0)="","",VLOOKUP($C29,'2D-Chapra'!$C$2:$T$55,MID(L$1,2,2)+2,0))</f>
        <v/>
      </c>
      <c r="M29" s="4" t="str">
        <f>IF(VLOOKUP($C29,'2D-Chapra'!$C$2:$T$55,MID(M$1,2,2)+2,0)="","",VLOOKUP($C29,'2D-Chapra'!$C$2:$T$55,MID(M$1,2,2)+2,0))</f>
        <v/>
      </c>
      <c r="N29" s="4" t="str">
        <f>IF(VLOOKUP($C29,'2D-Chapra'!$C$2:$T$55,MID(N$1,2,2)+2,0)="","",VLOOKUP($C29,'2D-Chapra'!$C$2:$T$55,MID(N$1,2,2)+2,0))</f>
        <v/>
      </c>
      <c r="O29" s="4" t="str">
        <f>IF(VLOOKUP($C29,'2D-Chapra'!$C$2:$T$55,MID(O$1,2,2)+2,0)="","",VLOOKUP($C29,'2D-Chapra'!$C$2:$T$55,MID(O$1,2,2)+2,0))</f>
        <v/>
      </c>
      <c r="P29" s="4" t="str">
        <f>IF(VLOOKUP($C29,'2D-Chapra'!$C$2:$T$55,MID(P$1,2,2)+2,0)="","",VLOOKUP($C29,'2D-Chapra'!$C$2:$T$55,MID(P$1,2,2)+2,0))</f>
        <v/>
      </c>
      <c r="Q29" s="4" t="str">
        <f>IF(VLOOKUP($C29,'2D-Chapra'!$C$2:$T$55,MID(Q$1,2,2)+2,0)="","",VLOOKUP($C29,'2D-Chapra'!$C$2:$T$55,MID(Q$1,2,2)+2,0))</f>
        <v/>
      </c>
      <c r="R29" s="4" t="str">
        <f>IF(VLOOKUP($C29,'2D-Chapra'!$C$2:$T$55,MID(R$1,2,2)+2,0)="","",VLOOKUP($C29,'2D-Chapra'!$C$2:$T$55,MID(R$1,2,2)+2,0))</f>
        <v/>
      </c>
      <c r="S29" s="4" t="str">
        <f>IF(VLOOKUP($C29,'2D-Chapra'!$C$2:$T$55,MID(S$1,2,2)+2,0)="","",VLOOKUP($C29,'2D-Chapra'!$C$2:$T$55,MID(S$1,2,2)+2,0))</f>
        <v/>
      </c>
      <c r="T29" s="5" t="str">
        <f>IF(VLOOKUP($C29,'2D-Chapra'!$C$2:$T$55,MID(T$1,2,2)+2,0)="","",VLOOKUP($C29,'2D-Chapra'!$C$2:$T$55,MID(T$1,2,2)+2,0))</f>
        <v/>
      </c>
      <c r="W29" s="85">
        <v>1</v>
      </c>
      <c r="X29" s="86">
        <v>-1</v>
      </c>
      <c r="Y29" s="87">
        <v>-1</v>
      </c>
      <c r="Z29" s="88" t="s">
        <v>180</v>
      </c>
      <c r="AA29" s="105">
        <v>0</v>
      </c>
      <c r="AB29" s="14">
        <v>0</v>
      </c>
      <c r="AC29" s="15">
        <v>0</v>
      </c>
      <c r="AD29" s="13">
        <v>0</v>
      </c>
      <c r="AE29" s="14">
        <v>0</v>
      </c>
      <c r="AF29" s="15">
        <v>0</v>
      </c>
      <c r="AG29" s="13">
        <v>0</v>
      </c>
      <c r="AH29" s="14">
        <v>0</v>
      </c>
      <c r="AI29" s="15">
        <v>0</v>
      </c>
      <c r="AJ29" s="13">
        <v>0</v>
      </c>
      <c r="AK29" s="14">
        <v>0</v>
      </c>
      <c r="AL29" s="15">
        <v>0</v>
      </c>
      <c r="AM29" s="13">
        <v>0</v>
      </c>
      <c r="AN29" s="14">
        <v>0</v>
      </c>
      <c r="AO29" s="15">
        <v>0</v>
      </c>
      <c r="AP29" s="13">
        <v>0</v>
      </c>
      <c r="AQ29" s="14">
        <v>0</v>
      </c>
      <c r="AR29" s="15">
        <v>0</v>
      </c>
      <c r="AS29" s="13">
        <v>0</v>
      </c>
      <c r="AT29" s="14">
        <v>0</v>
      </c>
      <c r="AU29" s="15">
        <v>0</v>
      </c>
      <c r="AV29" s="13">
        <v>0</v>
      </c>
      <c r="AW29" s="14">
        <v>0</v>
      </c>
      <c r="AX29" s="15">
        <v>0</v>
      </c>
      <c r="AY29" s="13">
        <v>0</v>
      </c>
      <c r="AZ29" s="14">
        <v>0</v>
      </c>
      <c r="BA29" s="15">
        <v>0</v>
      </c>
      <c r="BB29" s="106">
        <f t="array" aca="1" ref="BB29:BD31" ca="1">rigidez($W29:$Y31)</f>
        <v>0.25</v>
      </c>
      <c r="BC29" s="90">
        <f ca="1"/>
        <v>-0.25</v>
      </c>
      <c r="BD29" s="91">
        <f ca="1"/>
        <v>0</v>
      </c>
      <c r="BE29" s="13">
        <v>0</v>
      </c>
      <c r="BF29" s="14">
        <v>0</v>
      </c>
      <c r="BG29" s="15">
        <v>0</v>
      </c>
      <c r="BH29" s="13">
        <v>0</v>
      </c>
      <c r="BI29" s="14">
        <v>0</v>
      </c>
      <c r="BJ29" s="15">
        <v>0</v>
      </c>
      <c r="BK29" s="13">
        <v>0</v>
      </c>
      <c r="BL29" s="14">
        <v>0</v>
      </c>
      <c r="BM29" s="15">
        <v>0</v>
      </c>
      <c r="BN29" s="13">
        <v>0</v>
      </c>
      <c r="BO29" s="14">
        <v>0</v>
      </c>
      <c r="BP29" s="15">
        <v>0</v>
      </c>
      <c r="BQ29" s="13">
        <v>0</v>
      </c>
      <c r="BR29" s="14">
        <v>0</v>
      </c>
      <c r="BS29" s="15">
        <v>0</v>
      </c>
      <c r="BT29" s="13">
        <v>0</v>
      </c>
      <c r="BU29" s="14">
        <v>0</v>
      </c>
      <c r="BV29" s="15">
        <v>0</v>
      </c>
      <c r="BW29" s="13">
        <v>0</v>
      </c>
      <c r="BX29" s="14">
        <v>0</v>
      </c>
      <c r="BY29" s="15">
        <v>0</v>
      </c>
      <c r="BZ29" s="13">
        <v>0</v>
      </c>
      <c r="CA29" s="14">
        <v>0</v>
      </c>
      <c r="CB29" s="92">
        <v>0</v>
      </c>
    </row>
    <row r="30" spans="1:80" x14ac:dyDescent="0.25">
      <c r="A30" s="23">
        <f t="shared" si="1"/>
        <v>10</v>
      </c>
      <c r="B30" s="23">
        <f t="shared" si="2"/>
        <v>2</v>
      </c>
      <c r="C30" s="23" t="str">
        <f t="shared" si="0"/>
        <v>T10_2</v>
      </c>
      <c r="E30" s="3" t="str">
        <f>IF(VLOOKUP($C30,'2D-Chapra'!$C$2:$T$55,MID(E$1,2,2)+2,0)="","",VLOOKUP($C30,'2D-Chapra'!$C$2:$T$55,MID(E$1,2,2)+2,0))</f>
        <v/>
      </c>
      <c r="F30" s="4">
        <f>IF(VLOOKUP($C30,'2D-Chapra'!$C$2:$T$55,MID(F$1,2,2)+2,0)="","",VLOOKUP($C30,'2D-Chapra'!$C$2:$T$55,MID(F$1,2,2)+2,0))</f>
        <v>1</v>
      </c>
      <c r="G30" s="4" t="str">
        <f>IF(VLOOKUP($C30,'2D-Chapra'!$C$2:$T$55,MID(G$1,2,2)+2,0)="","",VLOOKUP($C30,'2D-Chapra'!$C$2:$T$55,MID(G$1,2,2)+2,0))</f>
        <v/>
      </c>
      <c r="H30" s="4" t="str">
        <f>IF(VLOOKUP($C30,'2D-Chapra'!$C$2:$T$55,MID(H$1,2,2)+2,0)="","",VLOOKUP($C30,'2D-Chapra'!$C$2:$T$55,MID(H$1,2,2)+2,0))</f>
        <v/>
      </c>
      <c r="I30" s="4" t="str">
        <f>IF(VLOOKUP($C30,'2D-Chapra'!$C$2:$T$55,MID(I$1,2,2)+2,0)="","",VLOOKUP($C30,'2D-Chapra'!$C$2:$T$55,MID(I$1,2,2)+2,0))</f>
        <v/>
      </c>
      <c r="J30" s="4" t="str">
        <f>IF(VLOOKUP($C30,'2D-Chapra'!$C$2:$T$55,MID(J$1,2,2)+2,0)="","",VLOOKUP($C30,'2D-Chapra'!$C$2:$T$55,MID(J$1,2,2)+2,0))</f>
        <v/>
      </c>
      <c r="K30" s="4" t="str">
        <f>IF(VLOOKUP($C30,'2D-Chapra'!$C$2:$T$55,MID(K$1,2,2)+2,0)="","",VLOOKUP($C30,'2D-Chapra'!$C$2:$T$55,MID(K$1,2,2)+2,0))</f>
        <v/>
      </c>
      <c r="L30" s="4" t="str">
        <f>IF(VLOOKUP($C30,'2D-Chapra'!$C$2:$T$55,MID(L$1,2,2)+2,0)="","",VLOOKUP($C30,'2D-Chapra'!$C$2:$T$55,MID(L$1,2,2)+2,0))</f>
        <v/>
      </c>
      <c r="M30" s="4" t="str">
        <f>IF(VLOOKUP($C30,'2D-Chapra'!$C$2:$T$55,MID(M$1,2,2)+2,0)="","",VLOOKUP($C30,'2D-Chapra'!$C$2:$T$55,MID(M$1,2,2)+2,0))</f>
        <v/>
      </c>
      <c r="N30" s="4" t="str">
        <f>IF(VLOOKUP($C30,'2D-Chapra'!$C$2:$T$55,MID(N$1,2,2)+2,0)="","",VLOOKUP($C30,'2D-Chapra'!$C$2:$T$55,MID(N$1,2,2)+2,0))</f>
        <v/>
      </c>
      <c r="O30" s="4" t="str">
        <f>IF(VLOOKUP($C30,'2D-Chapra'!$C$2:$T$55,MID(O$1,2,2)+2,0)="","",VLOOKUP($C30,'2D-Chapra'!$C$2:$T$55,MID(O$1,2,2)+2,0))</f>
        <v/>
      </c>
      <c r="P30" s="4" t="str">
        <f>IF(VLOOKUP($C30,'2D-Chapra'!$C$2:$T$55,MID(P$1,2,2)+2,0)="","",VLOOKUP($C30,'2D-Chapra'!$C$2:$T$55,MID(P$1,2,2)+2,0))</f>
        <v/>
      </c>
      <c r="Q30" s="4" t="str">
        <f>IF(VLOOKUP($C30,'2D-Chapra'!$C$2:$T$55,MID(Q$1,2,2)+2,0)="","",VLOOKUP($C30,'2D-Chapra'!$C$2:$T$55,MID(Q$1,2,2)+2,0))</f>
        <v/>
      </c>
      <c r="R30" s="4" t="str">
        <f>IF(VLOOKUP($C30,'2D-Chapra'!$C$2:$T$55,MID(R$1,2,2)+2,0)="","",VLOOKUP($C30,'2D-Chapra'!$C$2:$T$55,MID(R$1,2,2)+2,0))</f>
        <v/>
      </c>
      <c r="S30" s="4" t="str">
        <f>IF(VLOOKUP($C30,'2D-Chapra'!$C$2:$T$55,MID(S$1,2,2)+2,0)="","",VLOOKUP($C30,'2D-Chapra'!$C$2:$T$55,MID(S$1,2,2)+2,0))</f>
        <v/>
      </c>
      <c r="T30" s="5" t="str">
        <f>IF(VLOOKUP($C30,'2D-Chapra'!$C$2:$T$55,MID(T$1,2,2)+2,0)="","",VLOOKUP($C30,'2D-Chapra'!$C$2:$T$55,MID(T$1,2,2)+2,0))</f>
        <v/>
      </c>
      <c r="W30" s="93">
        <v>1</v>
      </c>
      <c r="X30" s="49">
        <v>1</v>
      </c>
      <c r="Y30" s="94">
        <v>-1</v>
      </c>
      <c r="Z30" s="95" t="s">
        <v>181</v>
      </c>
      <c r="AA30" s="3">
        <v>0</v>
      </c>
      <c r="AB30" s="4">
        <v>0</v>
      </c>
      <c r="AC30" s="17">
        <v>0</v>
      </c>
      <c r="AD30" s="16">
        <v>0</v>
      </c>
      <c r="AE30" s="4">
        <v>0</v>
      </c>
      <c r="AF30" s="17">
        <v>0</v>
      </c>
      <c r="AG30" s="16">
        <v>0</v>
      </c>
      <c r="AH30" s="4">
        <v>0</v>
      </c>
      <c r="AI30" s="17">
        <v>0</v>
      </c>
      <c r="AJ30" s="16">
        <v>0</v>
      </c>
      <c r="AK30" s="4">
        <v>0</v>
      </c>
      <c r="AL30" s="17">
        <v>0</v>
      </c>
      <c r="AM30" s="16">
        <v>0</v>
      </c>
      <c r="AN30" s="4">
        <v>0</v>
      </c>
      <c r="AO30" s="17">
        <v>0</v>
      </c>
      <c r="AP30" s="16">
        <v>0</v>
      </c>
      <c r="AQ30" s="4">
        <v>0</v>
      </c>
      <c r="AR30" s="17">
        <v>0</v>
      </c>
      <c r="AS30" s="16">
        <v>0</v>
      </c>
      <c r="AT30" s="4">
        <v>0</v>
      </c>
      <c r="AU30" s="17">
        <v>0</v>
      </c>
      <c r="AV30" s="16">
        <v>0</v>
      </c>
      <c r="AW30" s="4">
        <v>0</v>
      </c>
      <c r="AX30" s="17">
        <v>0</v>
      </c>
      <c r="AY30" s="16">
        <v>0</v>
      </c>
      <c r="AZ30" s="4">
        <v>0</v>
      </c>
      <c r="BA30" s="17">
        <v>0</v>
      </c>
      <c r="BB30" s="107">
        <f ca="1"/>
        <v>-0.25</v>
      </c>
      <c r="BC30" s="11">
        <f ca="1"/>
        <v>0.5</v>
      </c>
      <c r="BD30" s="96">
        <f ca="1"/>
        <v>-0.25</v>
      </c>
      <c r="BE30" s="16">
        <v>0</v>
      </c>
      <c r="BF30" s="4">
        <v>0</v>
      </c>
      <c r="BG30" s="17">
        <v>0</v>
      </c>
      <c r="BH30" s="16">
        <v>0</v>
      </c>
      <c r="BI30" s="4">
        <v>0</v>
      </c>
      <c r="BJ30" s="17">
        <v>0</v>
      </c>
      <c r="BK30" s="16">
        <v>0</v>
      </c>
      <c r="BL30" s="4">
        <v>0</v>
      </c>
      <c r="BM30" s="17">
        <v>0</v>
      </c>
      <c r="BN30" s="16">
        <v>0</v>
      </c>
      <c r="BO30" s="4">
        <v>0</v>
      </c>
      <c r="BP30" s="17">
        <v>0</v>
      </c>
      <c r="BQ30" s="16">
        <v>0</v>
      </c>
      <c r="BR30" s="4">
        <v>0</v>
      </c>
      <c r="BS30" s="17">
        <v>0</v>
      </c>
      <c r="BT30" s="16">
        <v>0</v>
      </c>
      <c r="BU30" s="4">
        <v>0</v>
      </c>
      <c r="BV30" s="17">
        <v>0</v>
      </c>
      <c r="BW30" s="16">
        <v>0</v>
      </c>
      <c r="BX30" s="4">
        <v>0</v>
      </c>
      <c r="BY30" s="17">
        <v>0</v>
      </c>
      <c r="BZ30" s="16">
        <v>0</v>
      </c>
      <c r="CA30" s="4">
        <v>0</v>
      </c>
      <c r="CB30" s="5">
        <v>0</v>
      </c>
    </row>
    <row r="31" spans="1:80" x14ac:dyDescent="0.25">
      <c r="A31" s="23">
        <f t="shared" si="1"/>
        <v>10</v>
      </c>
      <c r="B31" s="23">
        <f t="shared" si="2"/>
        <v>3</v>
      </c>
      <c r="C31" s="23" t="str">
        <f t="shared" si="0"/>
        <v>T10_3</v>
      </c>
      <c r="E31" s="3" t="str">
        <f>IF(VLOOKUP($C31,'2D-Chapra'!$C$2:$T$55,MID(E$1,2,2)+2,0)="","",VLOOKUP($C31,'2D-Chapra'!$C$2:$T$55,MID(E$1,2,2)+2,0))</f>
        <v/>
      </c>
      <c r="F31" s="4" t="str">
        <f>IF(VLOOKUP($C31,'2D-Chapra'!$C$2:$T$55,MID(F$1,2,2)+2,0)="","",VLOOKUP($C31,'2D-Chapra'!$C$2:$T$55,MID(F$1,2,2)+2,0))</f>
        <v/>
      </c>
      <c r="G31" s="4" t="str">
        <f>IF(VLOOKUP($C31,'2D-Chapra'!$C$2:$T$55,MID(G$1,2,2)+2,0)="","",VLOOKUP($C31,'2D-Chapra'!$C$2:$T$55,MID(G$1,2,2)+2,0))</f>
        <v/>
      </c>
      <c r="H31" s="4">
        <f>IF(VLOOKUP($C31,'2D-Chapra'!$C$2:$T$55,MID(H$1,2,2)+2,0)="","",VLOOKUP($C31,'2D-Chapra'!$C$2:$T$55,MID(H$1,2,2)+2,0))</f>
        <v>1</v>
      </c>
      <c r="I31" s="4" t="str">
        <f>IF(VLOOKUP($C31,'2D-Chapra'!$C$2:$T$55,MID(I$1,2,2)+2,0)="","",VLOOKUP($C31,'2D-Chapra'!$C$2:$T$55,MID(I$1,2,2)+2,0))</f>
        <v/>
      </c>
      <c r="J31" s="4" t="str">
        <f>IF(VLOOKUP($C31,'2D-Chapra'!$C$2:$T$55,MID(J$1,2,2)+2,0)="","",VLOOKUP($C31,'2D-Chapra'!$C$2:$T$55,MID(J$1,2,2)+2,0))</f>
        <v/>
      </c>
      <c r="K31" s="4" t="str">
        <f>IF(VLOOKUP($C31,'2D-Chapra'!$C$2:$T$55,MID(K$1,2,2)+2,0)="","",VLOOKUP($C31,'2D-Chapra'!$C$2:$T$55,MID(K$1,2,2)+2,0))</f>
        <v/>
      </c>
      <c r="L31" s="4" t="str">
        <f>IF(VLOOKUP($C31,'2D-Chapra'!$C$2:$T$55,MID(L$1,2,2)+2,0)="","",VLOOKUP($C31,'2D-Chapra'!$C$2:$T$55,MID(L$1,2,2)+2,0))</f>
        <v/>
      </c>
      <c r="M31" s="4" t="str">
        <f>IF(VLOOKUP($C31,'2D-Chapra'!$C$2:$T$55,MID(M$1,2,2)+2,0)="","",VLOOKUP($C31,'2D-Chapra'!$C$2:$T$55,MID(M$1,2,2)+2,0))</f>
        <v/>
      </c>
      <c r="N31" s="4" t="str">
        <f>IF(VLOOKUP($C31,'2D-Chapra'!$C$2:$T$55,MID(N$1,2,2)+2,0)="","",VLOOKUP($C31,'2D-Chapra'!$C$2:$T$55,MID(N$1,2,2)+2,0))</f>
        <v/>
      </c>
      <c r="O31" s="4" t="str">
        <f>IF(VLOOKUP($C31,'2D-Chapra'!$C$2:$T$55,MID(O$1,2,2)+2,0)="","",VLOOKUP($C31,'2D-Chapra'!$C$2:$T$55,MID(O$1,2,2)+2,0))</f>
        <v/>
      </c>
      <c r="P31" s="4" t="str">
        <f>IF(VLOOKUP($C31,'2D-Chapra'!$C$2:$T$55,MID(P$1,2,2)+2,0)="","",VLOOKUP($C31,'2D-Chapra'!$C$2:$T$55,MID(P$1,2,2)+2,0))</f>
        <v/>
      </c>
      <c r="Q31" s="4" t="str">
        <f>IF(VLOOKUP($C31,'2D-Chapra'!$C$2:$T$55,MID(Q$1,2,2)+2,0)="","",VLOOKUP($C31,'2D-Chapra'!$C$2:$T$55,MID(Q$1,2,2)+2,0))</f>
        <v/>
      </c>
      <c r="R31" s="4" t="str">
        <f>IF(VLOOKUP($C31,'2D-Chapra'!$C$2:$T$55,MID(R$1,2,2)+2,0)="","",VLOOKUP($C31,'2D-Chapra'!$C$2:$T$55,MID(R$1,2,2)+2,0))</f>
        <v/>
      </c>
      <c r="S31" s="4" t="str">
        <f>IF(VLOOKUP($C31,'2D-Chapra'!$C$2:$T$55,MID(S$1,2,2)+2,0)="","",VLOOKUP($C31,'2D-Chapra'!$C$2:$T$55,MID(S$1,2,2)+2,0))</f>
        <v/>
      </c>
      <c r="T31" s="5" t="str">
        <f>IF(VLOOKUP($C31,'2D-Chapra'!$C$2:$T$55,MID(T$1,2,2)+2,0)="","",VLOOKUP($C31,'2D-Chapra'!$C$2:$T$55,MID(T$1,2,2)+2,0))</f>
        <v/>
      </c>
      <c r="W31" s="97">
        <v>1</v>
      </c>
      <c r="X31" s="98">
        <v>1</v>
      </c>
      <c r="Y31" s="99">
        <v>1</v>
      </c>
      <c r="Z31" s="100" t="s">
        <v>182</v>
      </c>
      <c r="AA31" s="108">
        <v>0</v>
      </c>
      <c r="AB31" s="19">
        <v>0</v>
      </c>
      <c r="AC31" s="20">
        <v>0</v>
      </c>
      <c r="AD31" s="18">
        <v>0</v>
      </c>
      <c r="AE31" s="19">
        <v>0</v>
      </c>
      <c r="AF31" s="20">
        <v>0</v>
      </c>
      <c r="AG31" s="18">
        <v>0</v>
      </c>
      <c r="AH31" s="19">
        <v>0</v>
      </c>
      <c r="AI31" s="20">
        <v>0</v>
      </c>
      <c r="AJ31" s="18">
        <v>0</v>
      </c>
      <c r="AK31" s="19">
        <v>0</v>
      </c>
      <c r="AL31" s="20">
        <v>0</v>
      </c>
      <c r="AM31" s="18">
        <v>0</v>
      </c>
      <c r="AN31" s="19">
        <v>0</v>
      </c>
      <c r="AO31" s="20">
        <v>0</v>
      </c>
      <c r="AP31" s="18">
        <v>0</v>
      </c>
      <c r="AQ31" s="19">
        <v>0</v>
      </c>
      <c r="AR31" s="20">
        <v>0</v>
      </c>
      <c r="AS31" s="18">
        <v>0</v>
      </c>
      <c r="AT31" s="19">
        <v>0</v>
      </c>
      <c r="AU31" s="20">
        <v>0</v>
      </c>
      <c r="AV31" s="18">
        <v>0</v>
      </c>
      <c r="AW31" s="19">
        <v>0</v>
      </c>
      <c r="AX31" s="20">
        <v>0</v>
      </c>
      <c r="AY31" s="18">
        <v>0</v>
      </c>
      <c r="AZ31" s="19">
        <v>0</v>
      </c>
      <c r="BA31" s="20">
        <v>0</v>
      </c>
      <c r="BB31" s="109">
        <f ca="1"/>
        <v>0</v>
      </c>
      <c r="BC31" s="102">
        <f ca="1"/>
        <v>-0.25</v>
      </c>
      <c r="BD31" s="103">
        <f ca="1"/>
        <v>0.25</v>
      </c>
      <c r="BE31" s="18">
        <v>0</v>
      </c>
      <c r="BF31" s="19">
        <v>0</v>
      </c>
      <c r="BG31" s="20">
        <v>0</v>
      </c>
      <c r="BH31" s="18">
        <v>0</v>
      </c>
      <c r="BI31" s="19">
        <v>0</v>
      </c>
      <c r="BJ31" s="20">
        <v>0</v>
      </c>
      <c r="BK31" s="18">
        <v>0</v>
      </c>
      <c r="BL31" s="19">
        <v>0</v>
      </c>
      <c r="BM31" s="20">
        <v>0</v>
      </c>
      <c r="BN31" s="18">
        <v>0</v>
      </c>
      <c r="BO31" s="19">
        <v>0</v>
      </c>
      <c r="BP31" s="20">
        <v>0</v>
      </c>
      <c r="BQ31" s="18">
        <v>0</v>
      </c>
      <c r="BR31" s="19">
        <v>0</v>
      </c>
      <c r="BS31" s="20">
        <v>0</v>
      </c>
      <c r="BT31" s="18">
        <v>0</v>
      </c>
      <c r="BU31" s="19">
        <v>0</v>
      </c>
      <c r="BV31" s="20">
        <v>0</v>
      </c>
      <c r="BW31" s="18">
        <v>0</v>
      </c>
      <c r="BX31" s="19">
        <v>0</v>
      </c>
      <c r="BY31" s="20">
        <v>0</v>
      </c>
      <c r="BZ31" s="18">
        <v>0</v>
      </c>
      <c r="CA31" s="19">
        <v>0</v>
      </c>
      <c r="CB31" s="104">
        <v>0</v>
      </c>
    </row>
    <row r="32" spans="1:80" x14ac:dyDescent="0.25">
      <c r="A32" s="23">
        <f t="shared" si="1"/>
        <v>11</v>
      </c>
      <c r="B32" s="23">
        <f t="shared" si="2"/>
        <v>1</v>
      </c>
      <c r="C32" s="23" t="str">
        <f t="shared" si="0"/>
        <v>T11_1</v>
      </c>
      <c r="E32" s="3" t="str">
        <f>IF(VLOOKUP($C32,'2D-Chapra'!$C$2:$T$55,MID(E$1,2,2)+2,0)="","",VLOOKUP($C32,'2D-Chapra'!$C$2:$T$55,MID(E$1,2,2)+2,0))</f>
        <v/>
      </c>
      <c r="F32" s="4">
        <f>IF(VLOOKUP($C32,'2D-Chapra'!$C$2:$T$55,MID(F$1,2,2)+2,0)="","",VLOOKUP($C32,'2D-Chapra'!$C$2:$T$55,MID(F$1,2,2)+2,0))</f>
        <v>1</v>
      </c>
      <c r="G32" s="4" t="str">
        <f>IF(VLOOKUP($C32,'2D-Chapra'!$C$2:$T$55,MID(G$1,2,2)+2,0)="","",VLOOKUP($C32,'2D-Chapra'!$C$2:$T$55,MID(G$1,2,2)+2,0))</f>
        <v/>
      </c>
      <c r="H32" s="4" t="str">
        <f>IF(VLOOKUP($C32,'2D-Chapra'!$C$2:$T$55,MID(H$1,2,2)+2,0)="","",VLOOKUP($C32,'2D-Chapra'!$C$2:$T$55,MID(H$1,2,2)+2,0))</f>
        <v/>
      </c>
      <c r="I32" s="4" t="str">
        <f>IF(VLOOKUP($C32,'2D-Chapra'!$C$2:$T$55,MID(I$1,2,2)+2,0)="","",VLOOKUP($C32,'2D-Chapra'!$C$2:$T$55,MID(I$1,2,2)+2,0))</f>
        <v/>
      </c>
      <c r="J32" s="4" t="str">
        <f>IF(VLOOKUP($C32,'2D-Chapra'!$C$2:$T$55,MID(J$1,2,2)+2,0)="","",VLOOKUP($C32,'2D-Chapra'!$C$2:$T$55,MID(J$1,2,2)+2,0))</f>
        <v/>
      </c>
      <c r="K32" s="4" t="str">
        <f>IF(VLOOKUP($C32,'2D-Chapra'!$C$2:$T$55,MID(K$1,2,2)+2,0)="","",VLOOKUP($C32,'2D-Chapra'!$C$2:$T$55,MID(K$1,2,2)+2,0))</f>
        <v/>
      </c>
      <c r="L32" s="4" t="str">
        <f>IF(VLOOKUP($C32,'2D-Chapra'!$C$2:$T$55,MID(L$1,2,2)+2,0)="","",VLOOKUP($C32,'2D-Chapra'!$C$2:$T$55,MID(L$1,2,2)+2,0))</f>
        <v/>
      </c>
      <c r="M32" s="4" t="str">
        <f>IF(VLOOKUP($C32,'2D-Chapra'!$C$2:$T$55,MID(M$1,2,2)+2,0)="","",VLOOKUP($C32,'2D-Chapra'!$C$2:$T$55,MID(M$1,2,2)+2,0))</f>
        <v/>
      </c>
      <c r="N32" s="4" t="str">
        <f>IF(VLOOKUP($C32,'2D-Chapra'!$C$2:$T$55,MID(N$1,2,2)+2,0)="","",VLOOKUP($C32,'2D-Chapra'!$C$2:$T$55,MID(N$1,2,2)+2,0))</f>
        <v/>
      </c>
      <c r="O32" s="4" t="str">
        <f>IF(VLOOKUP($C32,'2D-Chapra'!$C$2:$T$55,MID(O$1,2,2)+2,0)="","",VLOOKUP($C32,'2D-Chapra'!$C$2:$T$55,MID(O$1,2,2)+2,0))</f>
        <v/>
      </c>
      <c r="P32" s="4" t="str">
        <f>IF(VLOOKUP($C32,'2D-Chapra'!$C$2:$T$55,MID(P$1,2,2)+2,0)="","",VLOOKUP($C32,'2D-Chapra'!$C$2:$T$55,MID(P$1,2,2)+2,0))</f>
        <v/>
      </c>
      <c r="Q32" s="4" t="str">
        <f>IF(VLOOKUP($C32,'2D-Chapra'!$C$2:$T$55,MID(Q$1,2,2)+2,0)="","",VLOOKUP($C32,'2D-Chapra'!$C$2:$T$55,MID(Q$1,2,2)+2,0))</f>
        <v/>
      </c>
      <c r="R32" s="4" t="str">
        <f>IF(VLOOKUP($C32,'2D-Chapra'!$C$2:$T$55,MID(R$1,2,2)+2,0)="","",VLOOKUP($C32,'2D-Chapra'!$C$2:$T$55,MID(R$1,2,2)+2,0))</f>
        <v/>
      </c>
      <c r="S32" s="4" t="str">
        <f>IF(VLOOKUP($C32,'2D-Chapra'!$C$2:$T$55,MID(S$1,2,2)+2,0)="","",VLOOKUP($C32,'2D-Chapra'!$C$2:$T$55,MID(S$1,2,2)+2,0))</f>
        <v/>
      </c>
      <c r="T32" s="5" t="str">
        <f>IF(VLOOKUP($C32,'2D-Chapra'!$C$2:$T$55,MID(T$1,2,2)+2,0)="","",VLOOKUP($C32,'2D-Chapra'!$C$2:$T$55,MID(T$1,2,2)+2,0))</f>
        <v/>
      </c>
      <c r="W32" s="85">
        <v>1</v>
      </c>
      <c r="X32" s="86">
        <v>1</v>
      </c>
      <c r="Y32" s="87">
        <v>-1</v>
      </c>
      <c r="Z32" s="88" t="s">
        <v>183</v>
      </c>
      <c r="AA32" s="105">
        <v>0</v>
      </c>
      <c r="AB32" s="14">
        <v>0</v>
      </c>
      <c r="AC32" s="15">
        <v>0</v>
      </c>
      <c r="AD32" s="13">
        <v>0</v>
      </c>
      <c r="AE32" s="14">
        <v>0</v>
      </c>
      <c r="AF32" s="15">
        <v>0</v>
      </c>
      <c r="AG32" s="13">
        <v>0</v>
      </c>
      <c r="AH32" s="14">
        <v>0</v>
      </c>
      <c r="AI32" s="15">
        <v>0</v>
      </c>
      <c r="AJ32" s="13">
        <v>0</v>
      </c>
      <c r="AK32" s="14">
        <v>0</v>
      </c>
      <c r="AL32" s="15">
        <v>0</v>
      </c>
      <c r="AM32" s="13">
        <v>0</v>
      </c>
      <c r="AN32" s="14">
        <v>0</v>
      </c>
      <c r="AO32" s="15">
        <v>0</v>
      </c>
      <c r="AP32" s="13">
        <v>0</v>
      </c>
      <c r="AQ32" s="14">
        <v>0</v>
      </c>
      <c r="AR32" s="15">
        <v>0</v>
      </c>
      <c r="AS32" s="13">
        <v>0</v>
      </c>
      <c r="AT32" s="14">
        <v>0</v>
      </c>
      <c r="AU32" s="15">
        <v>0</v>
      </c>
      <c r="AV32" s="13">
        <v>0</v>
      </c>
      <c r="AW32" s="14">
        <v>0</v>
      </c>
      <c r="AX32" s="15">
        <v>0</v>
      </c>
      <c r="AY32" s="13">
        <v>0</v>
      </c>
      <c r="AZ32" s="14">
        <v>0</v>
      </c>
      <c r="BA32" s="15">
        <v>0</v>
      </c>
      <c r="BB32" s="13">
        <v>0</v>
      </c>
      <c r="BC32" s="14">
        <v>0</v>
      </c>
      <c r="BD32" s="15">
        <v>0</v>
      </c>
      <c r="BE32" s="106">
        <f t="array" aca="1" ref="BE32:BG34" ca="1">rigidez($W32:$Y34)</f>
        <v>0.25</v>
      </c>
      <c r="BF32" s="90">
        <f ca="1"/>
        <v>0</v>
      </c>
      <c r="BG32" s="91">
        <f ca="1"/>
        <v>-0.25</v>
      </c>
      <c r="BH32" s="13">
        <v>0</v>
      </c>
      <c r="BI32" s="14">
        <v>0</v>
      </c>
      <c r="BJ32" s="15">
        <v>0</v>
      </c>
      <c r="BK32" s="13">
        <v>0</v>
      </c>
      <c r="BL32" s="14">
        <v>0</v>
      </c>
      <c r="BM32" s="15">
        <v>0</v>
      </c>
      <c r="BN32" s="13">
        <v>0</v>
      </c>
      <c r="BO32" s="14">
        <v>0</v>
      </c>
      <c r="BP32" s="15">
        <v>0</v>
      </c>
      <c r="BQ32" s="13">
        <v>0</v>
      </c>
      <c r="BR32" s="14">
        <v>0</v>
      </c>
      <c r="BS32" s="15">
        <v>0</v>
      </c>
      <c r="BT32" s="13">
        <v>0</v>
      </c>
      <c r="BU32" s="14">
        <v>0</v>
      </c>
      <c r="BV32" s="15">
        <v>0</v>
      </c>
      <c r="BW32" s="13">
        <v>0</v>
      </c>
      <c r="BX32" s="14">
        <v>0</v>
      </c>
      <c r="BY32" s="15">
        <v>0</v>
      </c>
      <c r="BZ32" s="13">
        <v>0</v>
      </c>
      <c r="CA32" s="14">
        <v>0</v>
      </c>
      <c r="CB32" s="92">
        <v>0</v>
      </c>
    </row>
    <row r="33" spans="1:80" x14ac:dyDescent="0.25">
      <c r="A33" s="23">
        <f t="shared" si="1"/>
        <v>11</v>
      </c>
      <c r="B33" s="23">
        <f t="shared" si="2"/>
        <v>2</v>
      </c>
      <c r="C33" s="23" t="str">
        <f t="shared" si="0"/>
        <v>T11_2</v>
      </c>
      <c r="E33" s="3" t="str">
        <f>IF(VLOOKUP($C33,'2D-Chapra'!$C$2:$T$55,MID(E$1,2,2)+2,0)="","",VLOOKUP($C33,'2D-Chapra'!$C$2:$T$55,MID(E$1,2,2)+2,0))</f>
        <v/>
      </c>
      <c r="F33" s="4" t="str">
        <f>IF(VLOOKUP($C33,'2D-Chapra'!$C$2:$T$55,MID(F$1,2,2)+2,0)="","",VLOOKUP($C33,'2D-Chapra'!$C$2:$T$55,MID(F$1,2,2)+2,0))</f>
        <v/>
      </c>
      <c r="G33" s="4" t="str">
        <f>IF(VLOOKUP($C33,'2D-Chapra'!$C$2:$T$55,MID(G$1,2,2)+2,0)="","",VLOOKUP($C33,'2D-Chapra'!$C$2:$T$55,MID(G$1,2,2)+2,0))</f>
        <v/>
      </c>
      <c r="H33" s="4" t="str">
        <f>IF(VLOOKUP($C33,'2D-Chapra'!$C$2:$T$55,MID(H$1,2,2)+2,0)="","",VLOOKUP($C33,'2D-Chapra'!$C$2:$T$55,MID(H$1,2,2)+2,0))</f>
        <v/>
      </c>
      <c r="I33" s="4" t="str">
        <f>IF(VLOOKUP($C33,'2D-Chapra'!$C$2:$T$55,MID(I$1,2,2)+2,0)="","",VLOOKUP($C33,'2D-Chapra'!$C$2:$T$55,MID(I$1,2,2)+2,0))</f>
        <v/>
      </c>
      <c r="J33" s="4" t="str">
        <f>IF(VLOOKUP($C33,'2D-Chapra'!$C$2:$T$55,MID(J$1,2,2)+2,0)="","",VLOOKUP($C33,'2D-Chapra'!$C$2:$T$55,MID(J$1,2,2)+2,0))</f>
        <v/>
      </c>
      <c r="K33" s="4" t="str">
        <f>IF(VLOOKUP($C33,'2D-Chapra'!$C$2:$T$55,MID(K$1,2,2)+2,0)="","",VLOOKUP($C33,'2D-Chapra'!$C$2:$T$55,MID(K$1,2,2)+2,0))</f>
        <v/>
      </c>
      <c r="L33" s="4" t="str">
        <f>IF(VLOOKUP($C33,'2D-Chapra'!$C$2:$T$55,MID(L$1,2,2)+2,0)="","",VLOOKUP($C33,'2D-Chapra'!$C$2:$T$55,MID(L$1,2,2)+2,0))</f>
        <v/>
      </c>
      <c r="M33" s="4" t="str">
        <f>IF(VLOOKUP($C33,'2D-Chapra'!$C$2:$T$55,MID(M$1,2,2)+2,0)="","",VLOOKUP($C33,'2D-Chapra'!$C$2:$T$55,MID(M$1,2,2)+2,0))</f>
        <v/>
      </c>
      <c r="N33" s="4" t="str">
        <f>IF(VLOOKUP($C33,'2D-Chapra'!$C$2:$T$55,MID(N$1,2,2)+2,0)="","",VLOOKUP($C33,'2D-Chapra'!$C$2:$T$55,MID(N$1,2,2)+2,0))</f>
        <v/>
      </c>
      <c r="O33" s="4" t="str">
        <f>IF(VLOOKUP($C33,'2D-Chapra'!$C$2:$T$55,MID(O$1,2,2)+2,0)="","",VLOOKUP($C33,'2D-Chapra'!$C$2:$T$55,MID(O$1,2,2)+2,0))</f>
        <v/>
      </c>
      <c r="P33" s="4">
        <f>IF(VLOOKUP($C33,'2D-Chapra'!$C$2:$T$55,MID(P$1,2,2)+2,0)="","",VLOOKUP($C33,'2D-Chapra'!$C$2:$T$55,MID(P$1,2,2)+2,0))</f>
        <v>1</v>
      </c>
      <c r="Q33" s="4" t="str">
        <f>IF(VLOOKUP($C33,'2D-Chapra'!$C$2:$T$55,MID(Q$1,2,2)+2,0)="","",VLOOKUP($C33,'2D-Chapra'!$C$2:$T$55,MID(Q$1,2,2)+2,0))</f>
        <v/>
      </c>
      <c r="R33" s="4" t="str">
        <f>IF(VLOOKUP($C33,'2D-Chapra'!$C$2:$T$55,MID(R$1,2,2)+2,0)="","",VLOOKUP($C33,'2D-Chapra'!$C$2:$T$55,MID(R$1,2,2)+2,0))</f>
        <v/>
      </c>
      <c r="S33" s="4" t="str">
        <f>IF(VLOOKUP($C33,'2D-Chapra'!$C$2:$T$55,MID(S$1,2,2)+2,0)="","",VLOOKUP($C33,'2D-Chapra'!$C$2:$T$55,MID(S$1,2,2)+2,0))</f>
        <v/>
      </c>
      <c r="T33" s="5" t="str">
        <f>IF(VLOOKUP($C33,'2D-Chapra'!$C$2:$T$55,MID(T$1,2,2)+2,0)="","",VLOOKUP($C33,'2D-Chapra'!$C$2:$T$55,MID(T$1,2,2)+2,0))</f>
        <v/>
      </c>
      <c r="W33" s="93">
        <v>1</v>
      </c>
      <c r="X33" s="49">
        <v>3</v>
      </c>
      <c r="Y33" s="94">
        <v>1</v>
      </c>
      <c r="Z33" s="95" t="s">
        <v>184</v>
      </c>
      <c r="AA33" s="3">
        <v>0</v>
      </c>
      <c r="AB33" s="4">
        <v>0</v>
      </c>
      <c r="AC33" s="17">
        <v>0</v>
      </c>
      <c r="AD33" s="16">
        <v>0</v>
      </c>
      <c r="AE33" s="4">
        <v>0</v>
      </c>
      <c r="AF33" s="17">
        <v>0</v>
      </c>
      <c r="AG33" s="16">
        <v>0</v>
      </c>
      <c r="AH33" s="4">
        <v>0</v>
      </c>
      <c r="AI33" s="17">
        <v>0</v>
      </c>
      <c r="AJ33" s="16">
        <v>0</v>
      </c>
      <c r="AK33" s="4">
        <v>0</v>
      </c>
      <c r="AL33" s="17">
        <v>0</v>
      </c>
      <c r="AM33" s="16">
        <v>0</v>
      </c>
      <c r="AN33" s="4">
        <v>0</v>
      </c>
      <c r="AO33" s="17">
        <v>0</v>
      </c>
      <c r="AP33" s="16">
        <v>0</v>
      </c>
      <c r="AQ33" s="4">
        <v>0</v>
      </c>
      <c r="AR33" s="17">
        <v>0</v>
      </c>
      <c r="AS33" s="16">
        <v>0</v>
      </c>
      <c r="AT33" s="4">
        <v>0</v>
      </c>
      <c r="AU33" s="17">
        <v>0</v>
      </c>
      <c r="AV33" s="16">
        <v>0</v>
      </c>
      <c r="AW33" s="4">
        <v>0</v>
      </c>
      <c r="AX33" s="17">
        <v>0</v>
      </c>
      <c r="AY33" s="16">
        <v>0</v>
      </c>
      <c r="AZ33" s="4">
        <v>0</v>
      </c>
      <c r="BA33" s="17">
        <v>0</v>
      </c>
      <c r="BB33" s="16">
        <v>0</v>
      </c>
      <c r="BC33" s="4">
        <v>0</v>
      </c>
      <c r="BD33" s="17">
        <v>0</v>
      </c>
      <c r="BE33" s="107">
        <f ca="1"/>
        <v>0</v>
      </c>
      <c r="BF33" s="11">
        <f ca="1"/>
        <v>0.25</v>
      </c>
      <c r="BG33" s="96">
        <f ca="1"/>
        <v>-0.25</v>
      </c>
      <c r="BH33" s="16">
        <v>0</v>
      </c>
      <c r="BI33" s="4">
        <v>0</v>
      </c>
      <c r="BJ33" s="17">
        <v>0</v>
      </c>
      <c r="BK33" s="16">
        <v>0</v>
      </c>
      <c r="BL33" s="4">
        <v>0</v>
      </c>
      <c r="BM33" s="17">
        <v>0</v>
      </c>
      <c r="BN33" s="16">
        <v>0</v>
      </c>
      <c r="BO33" s="4">
        <v>0</v>
      </c>
      <c r="BP33" s="17">
        <v>0</v>
      </c>
      <c r="BQ33" s="16">
        <v>0</v>
      </c>
      <c r="BR33" s="4">
        <v>0</v>
      </c>
      <c r="BS33" s="17">
        <v>0</v>
      </c>
      <c r="BT33" s="16">
        <v>0</v>
      </c>
      <c r="BU33" s="4">
        <v>0</v>
      </c>
      <c r="BV33" s="17">
        <v>0</v>
      </c>
      <c r="BW33" s="16">
        <v>0</v>
      </c>
      <c r="BX33" s="4">
        <v>0</v>
      </c>
      <c r="BY33" s="17">
        <v>0</v>
      </c>
      <c r="BZ33" s="16">
        <v>0</v>
      </c>
      <c r="CA33" s="4">
        <v>0</v>
      </c>
      <c r="CB33" s="5">
        <v>0</v>
      </c>
    </row>
    <row r="34" spans="1:80" x14ac:dyDescent="0.25">
      <c r="A34" s="23">
        <f t="shared" si="1"/>
        <v>11</v>
      </c>
      <c r="B34" s="23">
        <f t="shared" si="2"/>
        <v>3</v>
      </c>
      <c r="C34" s="23" t="str">
        <f t="shared" si="0"/>
        <v>T11_3</v>
      </c>
      <c r="E34" s="3" t="str">
        <f>IF(VLOOKUP($C34,'2D-Chapra'!$C$2:$T$55,MID(E$1,2,2)+2,0)="","",VLOOKUP($C34,'2D-Chapra'!$C$2:$T$55,MID(E$1,2,2)+2,0))</f>
        <v/>
      </c>
      <c r="F34" s="4" t="str">
        <f>IF(VLOOKUP($C34,'2D-Chapra'!$C$2:$T$55,MID(F$1,2,2)+2,0)="","",VLOOKUP($C34,'2D-Chapra'!$C$2:$T$55,MID(F$1,2,2)+2,0))</f>
        <v/>
      </c>
      <c r="G34" s="4" t="str">
        <f>IF(VLOOKUP($C34,'2D-Chapra'!$C$2:$T$55,MID(G$1,2,2)+2,0)="","",VLOOKUP($C34,'2D-Chapra'!$C$2:$T$55,MID(G$1,2,2)+2,0))</f>
        <v/>
      </c>
      <c r="H34" s="4">
        <f>IF(VLOOKUP($C34,'2D-Chapra'!$C$2:$T$55,MID(H$1,2,2)+2,0)="","",VLOOKUP($C34,'2D-Chapra'!$C$2:$T$55,MID(H$1,2,2)+2,0))</f>
        <v>1</v>
      </c>
      <c r="I34" s="4" t="str">
        <f>IF(VLOOKUP($C34,'2D-Chapra'!$C$2:$T$55,MID(I$1,2,2)+2,0)="","",VLOOKUP($C34,'2D-Chapra'!$C$2:$T$55,MID(I$1,2,2)+2,0))</f>
        <v/>
      </c>
      <c r="J34" s="4" t="str">
        <f>IF(VLOOKUP($C34,'2D-Chapra'!$C$2:$T$55,MID(J$1,2,2)+2,0)="","",VLOOKUP($C34,'2D-Chapra'!$C$2:$T$55,MID(J$1,2,2)+2,0))</f>
        <v/>
      </c>
      <c r="K34" s="4" t="str">
        <f>IF(VLOOKUP($C34,'2D-Chapra'!$C$2:$T$55,MID(K$1,2,2)+2,0)="","",VLOOKUP($C34,'2D-Chapra'!$C$2:$T$55,MID(K$1,2,2)+2,0))</f>
        <v/>
      </c>
      <c r="L34" s="4" t="str">
        <f>IF(VLOOKUP($C34,'2D-Chapra'!$C$2:$T$55,MID(L$1,2,2)+2,0)="","",VLOOKUP($C34,'2D-Chapra'!$C$2:$T$55,MID(L$1,2,2)+2,0))</f>
        <v/>
      </c>
      <c r="M34" s="4" t="str">
        <f>IF(VLOOKUP($C34,'2D-Chapra'!$C$2:$T$55,MID(M$1,2,2)+2,0)="","",VLOOKUP($C34,'2D-Chapra'!$C$2:$T$55,MID(M$1,2,2)+2,0))</f>
        <v/>
      </c>
      <c r="N34" s="4" t="str">
        <f>IF(VLOOKUP($C34,'2D-Chapra'!$C$2:$T$55,MID(N$1,2,2)+2,0)="","",VLOOKUP($C34,'2D-Chapra'!$C$2:$T$55,MID(N$1,2,2)+2,0))</f>
        <v/>
      </c>
      <c r="O34" s="4" t="str">
        <f>IF(VLOOKUP($C34,'2D-Chapra'!$C$2:$T$55,MID(O$1,2,2)+2,0)="","",VLOOKUP($C34,'2D-Chapra'!$C$2:$T$55,MID(O$1,2,2)+2,0))</f>
        <v/>
      </c>
      <c r="P34" s="4" t="str">
        <f>IF(VLOOKUP($C34,'2D-Chapra'!$C$2:$T$55,MID(P$1,2,2)+2,0)="","",VLOOKUP($C34,'2D-Chapra'!$C$2:$T$55,MID(P$1,2,2)+2,0))</f>
        <v/>
      </c>
      <c r="Q34" s="4" t="str">
        <f>IF(VLOOKUP($C34,'2D-Chapra'!$C$2:$T$55,MID(Q$1,2,2)+2,0)="","",VLOOKUP($C34,'2D-Chapra'!$C$2:$T$55,MID(Q$1,2,2)+2,0))</f>
        <v/>
      </c>
      <c r="R34" s="4" t="str">
        <f>IF(VLOOKUP($C34,'2D-Chapra'!$C$2:$T$55,MID(R$1,2,2)+2,0)="","",VLOOKUP($C34,'2D-Chapra'!$C$2:$T$55,MID(R$1,2,2)+2,0))</f>
        <v/>
      </c>
      <c r="S34" s="4" t="str">
        <f>IF(VLOOKUP($C34,'2D-Chapra'!$C$2:$T$55,MID(S$1,2,2)+2,0)="","",VLOOKUP($C34,'2D-Chapra'!$C$2:$T$55,MID(S$1,2,2)+2,0))</f>
        <v/>
      </c>
      <c r="T34" s="5" t="str">
        <f>IF(VLOOKUP($C34,'2D-Chapra'!$C$2:$T$55,MID(T$1,2,2)+2,0)="","",VLOOKUP($C34,'2D-Chapra'!$C$2:$T$55,MID(T$1,2,2)+2,0))</f>
        <v/>
      </c>
      <c r="W34" s="97">
        <v>1</v>
      </c>
      <c r="X34" s="98">
        <v>1</v>
      </c>
      <c r="Y34" s="99">
        <v>1</v>
      </c>
      <c r="Z34" s="100" t="s">
        <v>185</v>
      </c>
      <c r="AA34" s="108">
        <v>0</v>
      </c>
      <c r="AB34" s="19">
        <v>0</v>
      </c>
      <c r="AC34" s="20">
        <v>0</v>
      </c>
      <c r="AD34" s="18">
        <v>0</v>
      </c>
      <c r="AE34" s="19">
        <v>0</v>
      </c>
      <c r="AF34" s="20">
        <v>0</v>
      </c>
      <c r="AG34" s="18">
        <v>0</v>
      </c>
      <c r="AH34" s="19">
        <v>0</v>
      </c>
      <c r="AI34" s="20">
        <v>0</v>
      </c>
      <c r="AJ34" s="18">
        <v>0</v>
      </c>
      <c r="AK34" s="19">
        <v>0</v>
      </c>
      <c r="AL34" s="20">
        <v>0</v>
      </c>
      <c r="AM34" s="18">
        <v>0</v>
      </c>
      <c r="AN34" s="19">
        <v>0</v>
      </c>
      <c r="AO34" s="20">
        <v>0</v>
      </c>
      <c r="AP34" s="18">
        <v>0</v>
      </c>
      <c r="AQ34" s="19">
        <v>0</v>
      </c>
      <c r="AR34" s="20">
        <v>0</v>
      </c>
      <c r="AS34" s="18">
        <v>0</v>
      </c>
      <c r="AT34" s="19">
        <v>0</v>
      </c>
      <c r="AU34" s="20">
        <v>0</v>
      </c>
      <c r="AV34" s="18">
        <v>0</v>
      </c>
      <c r="AW34" s="19">
        <v>0</v>
      </c>
      <c r="AX34" s="20">
        <v>0</v>
      </c>
      <c r="AY34" s="18">
        <v>0</v>
      </c>
      <c r="AZ34" s="19">
        <v>0</v>
      </c>
      <c r="BA34" s="20">
        <v>0</v>
      </c>
      <c r="BB34" s="18">
        <v>0</v>
      </c>
      <c r="BC34" s="19">
        <v>0</v>
      </c>
      <c r="BD34" s="20">
        <v>0</v>
      </c>
      <c r="BE34" s="109">
        <f ca="1"/>
        <v>-0.25</v>
      </c>
      <c r="BF34" s="102">
        <f ca="1"/>
        <v>-0.25</v>
      </c>
      <c r="BG34" s="103">
        <f ca="1"/>
        <v>0.5</v>
      </c>
      <c r="BH34" s="18">
        <v>0</v>
      </c>
      <c r="BI34" s="19">
        <v>0</v>
      </c>
      <c r="BJ34" s="20">
        <v>0</v>
      </c>
      <c r="BK34" s="18">
        <v>0</v>
      </c>
      <c r="BL34" s="19">
        <v>0</v>
      </c>
      <c r="BM34" s="20">
        <v>0</v>
      </c>
      <c r="BN34" s="18">
        <v>0</v>
      </c>
      <c r="BO34" s="19">
        <v>0</v>
      </c>
      <c r="BP34" s="20">
        <v>0</v>
      </c>
      <c r="BQ34" s="18">
        <v>0</v>
      </c>
      <c r="BR34" s="19">
        <v>0</v>
      </c>
      <c r="BS34" s="20">
        <v>0</v>
      </c>
      <c r="BT34" s="18">
        <v>0</v>
      </c>
      <c r="BU34" s="19">
        <v>0</v>
      </c>
      <c r="BV34" s="20">
        <v>0</v>
      </c>
      <c r="BW34" s="18">
        <v>0</v>
      </c>
      <c r="BX34" s="19">
        <v>0</v>
      </c>
      <c r="BY34" s="20">
        <v>0</v>
      </c>
      <c r="BZ34" s="18">
        <v>0</v>
      </c>
      <c r="CA34" s="19">
        <v>0</v>
      </c>
      <c r="CB34" s="104">
        <v>0</v>
      </c>
    </row>
    <row r="35" spans="1:80" x14ac:dyDescent="0.25">
      <c r="A35" s="23">
        <f t="shared" si="1"/>
        <v>12</v>
      </c>
      <c r="B35" s="23">
        <f t="shared" si="2"/>
        <v>1</v>
      </c>
      <c r="C35" s="23" t="str">
        <f t="shared" si="0"/>
        <v>T12_1</v>
      </c>
      <c r="E35" s="3" t="str">
        <f>IF(VLOOKUP($C35,'2D-Chapra'!$C$2:$T$55,MID(E$1,2,2)+2,0)="","",VLOOKUP($C35,'2D-Chapra'!$C$2:$T$55,MID(E$1,2,2)+2,0))</f>
        <v/>
      </c>
      <c r="F35" s="4">
        <f>IF(VLOOKUP($C35,'2D-Chapra'!$C$2:$T$55,MID(F$1,2,2)+2,0)="","",VLOOKUP($C35,'2D-Chapra'!$C$2:$T$55,MID(F$1,2,2)+2,0))</f>
        <v>1</v>
      </c>
      <c r="G35" s="4" t="str">
        <f>IF(VLOOKUP($C35,'2D-Chapra'!$C$2:$T$55,MID(G$1,2,2)+2,0)="","",VLOOKUP($C35,'2D-Chapra'!$C$2:$T$55,MID(G$1,2,2)+2,0))</f>
        <v/>
      </c>
      <c r="H35" s="4" t="str">
        <f>IF(VLOOKUP($C35,'2D-Chapra'!$C$2:$T$55,MID(H$1,2,2)+2,0)="","",VLOOKUP($C35,'2D-Chapra'!$C$2:$T$55,MID(H$1,2,2)+2,0))</f>
        <v/>
      </c>
      <c r="I35" s="4" t="str">
        <f>IF(VLOOKUP($C35,'2D-Chapra'!$C$2:$T$55,MID(I$1,2,2)+2,0)="","",VLOOKUP($C35,'2D-Chapra'!$C$2:$T$55,MID(I$1,2,2)+2,0))</f>
        <v/>
      </c>
      <c r="J35" s="4" t="str">
        <f>IF(VLOOKUP($C35,'2D-Chapra'!$C$2:$T$55,MID(J$1,2,2)+2,0)="","",VLOOKUP($C35,'2D-Chapra'!$C$2:$T$55,MID(J$1,2,2)+2,0))</f>
        <v/>
      </c>
      <c r="K35" s="4" t="str">
        <f>IF(VLOOKUP($C35,'2D-Chapra'!$C$2:$T$55,MID(K$1,2,2)+2,0)="","",VLOOKUP($C35,'2D-Chapra'!$C$2:$T$55,MID(K$1,2,2)+2,0))</f>
        <v/>
      </c>
      <c r="L35" s="4" t="str">
        <f>IF(VLOOKUP($C35,'2D-Chapra'!$C$2:$T$55,MID(L$1,2,2)+2,0)="","",VLOOKUP($C35,'2D-Chapra'!$C$2:$T$55,MID(L$1,2,2)+2,0))</f>
        <v/>
      </c>
      <c r="M35" s="4" t="str">
        <f>IF(VLOOKUP($C35,'2D-Chapra'!$C$2:$T$55,MID(M$1,2,2)+2,0)="","",VLOOKUP($C35,'2D-Chapra'!$C$2:$T$55,MID(M$1,2,2)+2,0))</f>
        <v/>
      </c>
      <c r="N35" s="4" t="str">
        <f>IF(VLOOKUP($C35,'2D-Chapra'!$C$2:$T$55,MID(N$1,2,2)+2,0)="","",VLOOKUP($C35,'2D-Chapra'!$C$2:$T$55,MID(N$1,2,2)+2,0))</f>
        <v/>
      </c>
      <c r="O35" s="4" t="str">
        <f>IF(VLOOKUP($C35,'2D-Chapra'!$C$2:$T$55,MID(O$1,2,2)+2,0)="","",VLOOKUP($C35,'2D-Chapra'!$C$2:$T$55,MID(O$1,2,2)+2,0))</f>
        <v/>
      </c>
      <c r="P35" s="4" t="str">
        <f>IF(VLOOKUP($C35,'2D-Chapra'!$C$2:$T$55,MID(P$1,2,2)+2,0)="","",VLOOKUP($C35,'2D-Chapra'!$C$2:$T$55,MID(P$1,2,2)+2,0))</f>
        <v/>
      </c>
      <c r="Q35" s="4" t="str">
        <f>IF(VLOOKUP($C35,'2D-Chapra'!$C$2:$T$55,MID(Q$1,2,2)+2,0)="","",VLOOKUP($C35,'2D-Chapra'!$C$2:$T$55,MID(Q$1,2,2)+2,0))</f>
        <v/>
      </c>
      <c r="R35" s="4" t="str">
        <f>IF(VLOOKUP($C35,'2D-Chapra'!$C$2:$T$55,MID(R$1,2,2)+2,0)="","",VLOOKUP($C35,'2D-Chapra'!$C$2:$T$55,MID(R$1,2,2)+2,0))</f>
        <v/>
      </c>
      <c r="S35" s="4" t="str">
        <f>IF(VLOOKUP($C35,'2D-Chapra'!$C$2:$T$55,MID(S$1,2,2)+2,0)="","",VLOOKUP($C35,'2D-Chapra'!$C$2:$T$55,MID(S$1,2,2)+2,0))</f>
        <v/>
      </c>
      <c r="T35" s="5" t="str">
        <f>IF(VLOOKUP($C35,'2D-Chapra'!$C$2:$T$55,MID(T$1,2,2)+2,0)="","",VLOOKUP($C35,'2D-Chapra'!$C$2:$T$55,MID(T$1,2,2)+2,0))</f>
        <v/>
      </c>
      <c r="W35" s="85">
        <v>1</v>
      </c>
      <c r="X35" s="86">
        <v>1</v>
      </c>
      <c r="Y35" s="87">
        <v>-1</v>
      </c>
      <c r="Z35" s="88" t="s">
        <v>186</v>
      </c>
      <c r="AA35" s="105">
        <v>0</v>
      </c>
      <c r="AB35" s="14">
        <v>0</v>
      </c>
      <c r="AC35" s="15">
        <v>0</v>
      </c>
      <c r="AD35" s="13">
        <v>0</v>
      </c>
      <c r="AE35" s="14">
        <v>0</v>
      </c>
      <c r="AF35" s="15">
        <v>0</v>
      </c>
      <c r="AG35" s="13">
        <v>0</v>
      </c>
      <c r="AH35" s="14">
        <v>0</v>
      </c>
      <c r="AI35" s="15">
        <v>0</v>
      </c>
      <c r="AJ35" s="13">
        <v>0</v>
      </c>
      <c r="AK35" s="14">
        <v>0</v>
      </c>
      <c r="AL35" s="15">
        <v>0</v>
      </c>
      <c r="AM35" s="13">
        <v>0</v>
      </c>
      <c r="AN35" s="14">
        <v>0</v>
      </c>
      <c r="AO35" s="15">
        <v>0</v>
      </c>
      <c r="AP35" s="13">
        <v>0</v>
      </c>
      <c r="AQ35" s="14">
        <v>0</v>
      </c>
      <c r="AR35" s="15">
        <v>0</v>
      </c>
      <c r="AS35" s="13">
        <v>0</v>
      </c>
      <c r="AT35" s="14">
        <v>0</v>
      </c>
      <c r="AU35" s="15">
        <v>0</v>
      </c>
      <c r="AV35" s="13">
        <v>0</v>
      </c>
      <c r="AW35" s="14">
        <v>0</v>
      </c>
      <c r="AX35" s="15">
        <v>0</v>
      </c>
      <c r="AY35" s="13">
        <v>0</v>
      </c>
      <c r="AZ35" s="14">
        <v>0</v>
      </c>
      <c r="BA35" s="15">
        <v>0</v>
      </c>
      <c r="BB35" s="13">
        <v>0</v>
      </c>
      <c r="BC35" s="14">
        <v>0</v>
      </c>
      <c r="BD35" s="15">
        <v>0</v>
      </c>
      <c r="BE35" s="13">
        <v>0</v>
      </c>
      <c r="BF35" s="14">
        <v>0</v>
      </c>
      <c r="BG35" s="15">
        <v>0</v>
      </c>
      <c r="BH35" s="106">
        <f t="array" aca="1" ref="BH35:BJ37" ca="1">rigidez($W35:$Y37)</f>
        <v>0.25</v>
      </c>
      <c r="BI35" s="90">
        <f ca="1"/>
        <v>-0.25</v>
      </c>
      <c r="BJ35" s="91">
        <f ca="1"/>
        <v>0</v>
      </c>
      <c r="BK35" s="13">
        <v>0</v>
      </c>
      <c r="BL35" s="14">
        <v>0</v>
      </c>
      <c r="BM35" s="15">
        <v>0</v>
      </c>
      <c r="BN35" s="13">
        <v>0</v>
      </c>
      <c r="BO35" s="14">
        <v>0</v>
      </c>
      <c r="BP35" s="15">
        <v>0</v>
      </c>
      <c r="BQ35" s="13">
        <v>0</v>
      </c>
      <c r="BR35" s="14">
        <v>0</v>
      </c>
      <c r="BS35" s="15">
        <v>0</v>
      </c>
      <c r="BT35" s="13">
        <v>0</v>
      </c>
      <c r="BU35" s="14">
        <v>0</v>
      </c>
      <c r="BV35" s="15">
        <v>0</v>
      </c>
      <c r="BW35" s="13">
        <v>0</v>
      </c>
      <c r="BX35" s="14">
        <v>0</v>
      </c>
      <c r="BY35" s="15">
        <v>0</v>
      </c>
      <c r="BZ35" s="13">
        <v>0</v>
      </c>
      <c r="CA35" s="14">
        <v>0</v>
      </c>
      <c r="CB35" s="92">
        <v>0</v>
      </c>
    </row>
    <row r="36" spans="1:80" x14ac:dyDescent="0.25">
      <c r="A36" s="23">
        <f t="shared" si="1"/>
        <v>12</v>
      </c>
      <c r="B36" s="23">
        <f t="shared" si="2"/>
        <v>2</v>
      </c>
      <c r="C36" s="23" t="str">
        <f t="shared" si="0"/>
        <v>T12_2</v>
      </c>
      <c r="E36" s="3" t="str">
        <f>IF(VLOOKUP($C36,'2D-Chapra'!$C$2:$T$55,MID(E$1,2,2)+2,0)="","",VLOOKUP($C36,'2D-Chapra'!$C$2:$T$55,MID(E$1,2,2)+2,0))</f>
        <v/>
      </c>
      <c r="F36" s="4" t="str">
        <f>IF(VLOOKUP($C36,'2D-Chapra'!$C$2:$T$55,MID(F$1,2,2)+2,0)="","",VLOOKUP($C36,'2D-Chapra'!$C$2:$T$55,MID(F$1,2,2)+2,0))</f>
        <v/>
      </c>
      <c r="G36" s="4" t="str">
        <f>IF(VLOOKUP($C36,'2D-Chapra'!$C$2:$T$55,MID(G$1,2,2)+2,0)="","",VLOOKUP($C36,'2D-Chapra'!$C$2:$T$55,MID(G$1,2,2)+2,0))</f>
        <v/>
      </c>
      <c r="H36" s="4" t="str">
        <f>IF(VLOOKUP($C36,'2D-Chapra'!$C$2:$T$55,MID(H$1,2,2)+2,0)="","",VLOOKUP($C36,'2D-Chapra'!$C$2:$T$55,MID(H$1,2,2)+2,0))</f>
        <v/>
      </c>
      <c r="I36" s="4" t="str">
        <f>IF(VLOOKUP($C36,'2D-Chapra'!$C$2:$T$55,MID(I$1,2,2)+2,0)="","",VLOOKUP($C36,'2D-Chapra'!$C$2:$T$55,MID(I$1,2,2)+2,0))</f>
        <v/>
      </c>
      <c r="J36" s="4" t="str">
        <f>IF(VLOOKUP($C36,'2D-Chapra'!$C$2:$T$55,MID(J$1,2,2)+2,0)="","",VLOOKUP($C36,'2D-Chapra'!$C$2:$T$55,MID(J$1,2,2)+2,0))</f>
        <v/>
      </c>
      <c r="K36" s="4" t="str">
        <f>IF(VLOOKUP($C36,'2D-Chapra'!$C$2:$T$55,MID(K$1,2,2)+2,0)="","",VLOOKUP($C36,'2D-Chapra'!$C$2:$T$55,MID(K$1,2,2)+2,0))</f>
        <v/>
      </c>
      <c r="L36" s="4" t="str">
        <f>IF(VLOOKUP($C36,'2D-Chapra'!$C$2:$T$55,MID(L$1,2,2)+2,0)="","",VLOOKUP($C36,'2D-Chapra'!$C$2:$T$55,MID(L$1,2,2)+2,0))</f>
        <v/>
      </c>
      <c r="M36" s="4" t="str">
        <f>IF(VLOOKUP($C36,'2D-Chapra'!$C$2:$T$55,MID(M$1,2,2)+2,0)="","",VLOOKUP($C36,'2D-Chapra'!$C$2:$T$55,MID(M$1,2,2)+2,0))</f>
        <v/>
      </c>
      <c r="N36" s="4">
        <f>IF(VLOOKUP($C36,'2D-Chapra'!$C$2:$T$55,MID(N$1,2,2)+2,0)="","",VLOOKUP($C36,'2D-Chapra'!$C$2:$T$55,MID(N$1,2,2)+2,0))</f>
        <v>1</v>
      </c>
      <c r="O36" s="4" t="str">
        <f>IF(VLOOKUP($C36,'2D-Chapra'!$C$2:$T$55,MID(O$1,2,2)+2,0)="","",VLOOKUP($C36,'2D-Chapra'!$C$2:$T$55,MID(O$1,2,2)+2,0))</f>
        <v/>
      </c>
      <c r="P36" s="4" t="str">
        <f>IF(VLOOKUP($C36,'2D-Chapra'!$C$2:$T$55,MID(P$1,2,2)+2,0)="","",VLOOKUP($C36,'2D-Chapra'!$C$2:$T$55,MID(P$1,2,2)+2,0))</f>
        <v/>
      </c>
      <c r="Q36" s="4" t="str">
        <f>IF(VLOOKUP($C36,'2D-Chapra'!$C$2:$T$55,MID(Q$1,2,2)+2,0)="","",VLOOKUP($C36,'2D-Chapra'!$C$2:$T$55,MID(Q$1,2,2)+2,0))</f>
        <v/>
      </c>
      <c r="R36" s="4" t="str">
        <f>IF(VLOOKUP($C36,'2D-Chapra'!$C$2:$T$55,MID(R$1,2,2)+2,0)="","",VLOOKUP($C36,'2D-Chapra'!$C$2:$T$55,MID(R$1,2,2)+2,0))</f>
        <v/>
      </c>
      <c r="S36" s="4" t="str">
        <f>IF(VLOOKUP($C36,'2D-Chapra'!$C$2:$T$55,MID(S$1,2,2)+2,0)="","",VLOOKUP($C36,'2D-Chapra'!$C$2:$T$55,MID(S$1,2,2)+2,0))</f>
        <v/>
      </c>
      <c r="T36" s="5" t="str">
        <f>IF(VLOOKUP($C36,'2D-Chapra'!$C$2:$T$55,MID(T$1,2,2)+2,0)="","",VLOOKUP($C36,'2D-Chapra'!$C$2:$T$55,MID(T$1,2,2)+2,0))</f>
        <v/>
      </c>
      <c r="W36" s="93">
        <v>1</v>
      </c>
      <c r="X36" s="49">
        <v>3</v>
      </c>
      <c r="Y36" s="94">
        <v>-1</v>
      </c>
      <c r="Z36" s="95" t="s">
        <v>187</v>
      </c>
      <c r="AA36" s="3">
        <v>0</v>
      </c>
      <c r="AB36" s="4">
        <v>0</v>
      </c>
      <c r="AC36" s="17">
        <v>0</v>
      </c>
      <c r="AD36" s="16">
        <v>0</v>
      </c>
      <c r="AE36" s="4">
        <v>0</v>
      </c>
      <c r="AF36" s="17">
        <v>0</v>
      </c>
      <c r="AG36" s="16">
        <v>0</v>
      </c>
      <c r="AH36" s="4">
        <v>0</v>
      </c>
      <c r="AI36" s="17">
        <v>0</v>
      </c>
      <c r="AJ36" s="16">
        <v>0</v>
      </c>
      <c r="AK36" s="4">
        <v>0</v>
      </c>
      <c r="AL36" s="17">
        <v>0</v>
      </c>
      <c r="AM36" s="16">
        <v>0</v>
      </c>
      <c r="AN36" s="4">
        <v>0</v>
      </c>
      <c r="AO36" s="17">
        <v>0</v>
      </c>
      <c r="AP36" s="16">
        <v>0</v>
      </c>
      <c r="AQ36" s="4">
        <v>0</v>
      </c>
      <c r="AR36" s="17">
        <v>0</v>
      </c>
      <c r="AS36" s="16">
        <v>0</v>
      </c>
      <c r="AT36" s="4">
        <v>0</v>
      </c>
      <c r="AU36" s="17">
        <v>0</v>
      </c>
      <c r="AV36" s="16">
        <v>0</v>
      </c>
      <c r="AW36" s="4">
        <v>0</v>
      </c>
      <c r="AX36" s="17">
        <v>0</v>
      </c>
      <c r="AY36" s="16">
        <v>0</v>
      </c>
      <c r="AZ36" s="4">
        <v>0</v>
      </c>
      <c r="BA36" s="17">
        <v>0</v>
      </c>
      <c r="BB36" s="16">
        <v>0</v>
      </c>
      <c r="BC36" s="4">
        <v>0</v>
      </c>
      <c r="BD36" s="17">
        <v>0</v>
      </c>
      <c r="BE36" s="16">
        <v>0</v>
      </c>
      <c r="BF36" s="4">
        <v>0</v>
      </c>
      <c r="BG36" s="17">
        <v>0</v>
      </c>
      <c r="BH36" s="107">
        <f ca="1"/>
        <v>-0.25</v>
      </c>
      <c r="BI36" s="11">
        <f ca="1"/>
        <v>0.5</v>
      </c>
      <c r="BJ36" s="96">
        <f ca="1"/>
        <v>-0.25</v>
      </c>
      <c r="BK36" s="16">
        <v>0</v>
      </c>
      <c r="BL36" s="4">
        <v>0</v>
      </c>
      <c r="BM36" s="17">
        <v>0</v>
      </c>
      <c r="BN36" s="16">
        <v>0</v>
      </c>
      <c r="BO36" s="4">
        <v>0</v>
      </c>
      <c r="BP36" s="17">
        <v>0</v>
      </c>
      <c r="BQ36" s="16">
        <v>0</v>
      </c>
      <c r="BR36" s="4">
        <v>0</v>
      </c>
      <c r="BS36" s="17">
        <v>0</v>
      </c>
      <c r="BT36" s="16">
        <v>0</v>
      </c>
      <c r="BU36" s="4">
        <v>0</v>
      </c>
      <c r="BV36" s="17">
        <v>0</v>
      </c>
      <c r="BW36" s="16">
        <v>0</v>
      </c>
      <c r="BX36" s="4">
        <v>0</v>
      </c>
      <c r="BY36" s="17">
        <v>0</v>
      </c>
      <c r="BZ36" s="16">
        <v>0</v>
      </c>
      <c r="CA36" s="4">
        <v>0</v>
      </c>
      <c r="CB36" s="5">
        <v>0</v>
      </c>
    </row>
    <row r="37" spans="1:80" x14ac:dyDescent="0.25">
      <c r="A37" s="23">
        <f t="shared" si="1"/>
        <v>12</v>
      </c>
      <c r="B37" s="23">
        <f t="shared" si="2"/>
        <v>3</v>
      </c>
      <c r="C37" s="23" t="str">
        <f t="shared" si="0"/>
        <v>T12_3</v>
      </c>
      <c r="E37" s="3" t="str">
        <f>IF(VLOOKUP($C37,'2D-Chapra'!$C$2:$T$55,MID(E$1,2,2)+2,0)="","",VLOOKUP($C37,'2D-Chapra'!$C$2:$T$55,MID(E$1,2,2)+2,0))</f>
        <v/>
      </c>
      <c r="F37" s="4" t="str">
        <f>IF(VLOOKUP($C37,'2D-Chapra'!$C$2:$T$55,MID(F$1,2,2)+2,0)="","",VLOOKUP($C37,'2D-Chapra'!$C$2:$T$55,MID(F$1,2,2)+2,0))</f>
        <v/>
      </c>
      <c r="G37" s="4" t="str">
        <f>IF(VLOOKUP($C37,'2D-Chapra'!$C$2:$T$55,MID(G$1,2,2)+2,0)="","",VLOOKUP($C37,'2D-Chapra'!$C$2:$T$55,MID(G$1,2,2)+2,0))</f>
        <v/>
      </c>
      <c r="H37" s="4" t="str">
        <f>IF(VLOOKUP($C37,'2D-Chapra'!$C$2:$T$55,MID(H$1,2,2)+2,0)="","",VLOOKUP($C37,'2D-Chapra'!$C$2:$T$55,MID(H$1,2,2)+2,0))</f>
        <v/>
      </c>
      <c r="I37" s="4" t="str">
        <f>IF(VLOOKUP($C37,'2D-Chapra'!$C$2:$T$55,MID(I$1,2,2)+2,0)="","",VLOOKUP($C37,'2D-Chapra'!$C$2:$T$55,MID(I$1,2,2)+2,0))</f>
        <v/>
      </c>
      <c r="J37" s="4" t="str">
        <f>IF(VLOOKUP($C37,'2D-Chapra'!$C$2:$T$55,MID(J$1,2,2)+2,0)="","",VLOOKUP($C37,'2D-Chapra'!$C$2:$T$55,MID(J$1,2,2)+2,0))</f>
        <v/>
      </c>
      <c r="K37" s="4" t="str">
        <f>IF(VLOOKUP($C37,'2D-Chapra'!$C$2:$T$55,MID(K$1,2,2)+2,0)="","",VLOOKUP($C37,'2D-Chapra'!$C$2:$T$55,MID(K$1,2,2)+2,0))</f>
        <v/>
      </c>
      <c r="L37" s="4" t="str">
        <f>IF(VLOOKUP($C37,'2D-Chapra'!$C$2:$T$55,MID(L$1,2,2)+2,0)="","",VLOOKUP($C37,'2D-Chapra'!$C$2:$T$55,MID(L$1,2,2)+2,0))</f>
        <v/>
      </c>
      <c r="M37" s="4" t="str">
        <f>IF(VLOOKUP($C37,'2D-Chapra'!$C$2:$T$55,MID(M$1,2,2)+2,0)="","",VLOOKUP($C37,'2D-Chapra'!$C$2:$T$55,MID(M$1,2,2)+2,0))</f>
        <v/>
      </c>
      <c r="N37" s="4" t="str">
        <f>IF(VLOOKUP($C37,'2D-Chapra'!$C$2:$T$55,MID(N$1,2,2)+2,0)="","",VLOOKUP($C37,'2D-Chapra'!$C$2:$T$55,MID(N$1,2,2)+2,0))</f>
        <v/>
      </c>
      <c r="O37" s="4" t="str">
        <f>IF(VLOOKUP($C37,'2D-Chapra'!$C$2:$T$55,MID(O$1,2,2)+2,0)="","",VLOOKUP($C37,'2D-Chapra'!$C$2:$T$55,MID(O$1,2,2)+2,0))</f>
        <v/>
      </c>
      <c r="P37" s="4">
        <f>IF(VLOOKUP($C37,'2D-Chapra'!$C$2:$T$55,MID(P$1,2,2)+2,0)="","",VLOOKUP($C37,'2D-Chapra'!$C$2:$T$55,MID(P$1,2,2)+2,0))</f>
        <v>1</v>
      </c>
      <c r="Q37" s="4" t="str">
        <f>IF(VLOOKUP($C37,'2D-Chapra'!$C$2:$T$55,MID(Q$1,2,2)+2,0)="","",VLOOKUP($C37,'2D-Chapra'!$C$2:$T$55,MID(Q$1,2,2)+2,0))</f>
        <v/>
      </c>
      <c r="R37" s="4" t="str">
        <f>IF(VLOOKUP($C37,'2D-Chapra'!$C$2:$T$55,MID(R$1,2,2)+2,0)="","",VLOOKUP($C37,'2D-Chapra'!$C$2:$T$55,MID(R$1,2,2)+2,0))</f>
        <v/>
      </c>
      <c r="S37" s="4" t="str">
        <f>IF(VLOOKUP($C37,'2D-Chapra'!$C$2:$T$55,MID(S$1,2,2)+2,0)="","",VLOOKUP($C37,'2D-Chapra'!$C$2:$T$55,MID(S$1,2,2)+2,0))</f>
        <v/>
      </c>
      <c r="T37" s="5" t="str">
        <f>IF(VLOOKUP($C37,'2D-Chapra'!$C$2:$T$55,MID(T$1,2,2)+2,0)="","",VLOOKUP($C37,'2D-Chapra'!$C$2:$T$55,MID(T$1,2,2)+2,0))</f>
        <v/>
      </c>
      <c r="W37" s="97">
        <v>1</v>
      </c>
      <c r="X37" s="98">
        <v>3</v>
      </c>
      <c r="Y37" s="99">
        <v>1</v>
      </c>
      <c r="Z37" s="100" t="s">
        <v>188</v>
      </c>
      <c r="AA37" s="108">
        <v>0</v>
      </c>
      <c r="AB37" s="19">
        <v>0</v>
      </c>
      <c r="AC37" s="20">
        <v>0</v>
      </c>
      <c r="AD37" s="18">
        <v>0</v>
      </c>
      <c r="AE37" s="19">
        <v>0</v>
      </c>
      <c r="AF37" s="20">
        <v>0</v>
      </c>
      <c r="AG37" s="18">
        <v>0</v>
      </c>
      <c r="AH37" s="19">
        <v>0</v>
      </c>
      <c r="AI37" s="20">
        <v>0</v>
      </c>
      <c r="AJ37" s="18">
        <v>0</v>
      </c>
      <c r="AK37" s="19">
        <v>0</v>
      </c>
      <c r="AL37" s="20">
        <v>0</v>
      </c>
      <c r="AM37" s="18">
        <v>0</v>
      </c>
      <c r="AN37" s="19">
        <v>0</v>
      </c>
      <c r="AO37" s="20">
        <v>0</v>
      </c>
      <c r="AP37" s="18">
        <v>0</v>
      </c>
      <c r="AQ37" s="19">
        <v>0</v>
      </c>
      <c r="AR37" s="20">
        <v>0</v>
      </c>
      <c r="AS37" s="18">
        <v>0</v>
      </c>
      <c r="AT37" s="19">
        <v>0</v>
      </c>
      <c r="AU37" s="20">
        <v>0</v>
      </c>
      <c r="AV37" s="18">
        <v>0</v>
      </c>
      <c r="AW37" s="19">
        <v>0</v>
      </c>
      <c r="AX37" s="20">
        <v>0</v>
      </c>
      <c r="AY37" s="18">
        <v>0</v>
      </c>
      <c r="AZ37" s="19">
        <v>0</v>
      </c>
      <c r="BA37" s="20">
        <v>0</v>
      </c>
      <c r="BB37" s="18">
        <v>0</v>
      </c>
      <c r="BC37" s="19">
        <v>0</v>
      </c>
      <c r="BD37" s="20">
        <v>0</v>
      </c>
      <c r="BE37" s="18">
        <v>0</v>
      </c>
      <c r="BF37" s="19">
        <v>0</v>
      </c>
      <c r="BG37" s="20">
        <v>0</v>
      </c>
      <c r="BH37" s="109">
        <f ca="1"/>
        <v>0</v>
      </c>
      <c r="BI37" s="102">
        <f ca="1"/>
        <v>-0.25</v>
      </c>
      <c r="BJ37" s="103">
        <f ca="1"/>
        <v>0.25</v>
      </c>
      <c r="BK37" s="18">
        <v>0</v>
      </c>
      <c r="BL37" s="19">
        <v>0</v>
      </c>
      <c r="BM37" s="20">
        <v>0</v>
      </c>
      <c r="BN37" s="18">
        <v>0</v>
      </c>
      <c r="BO37" s="19">
        <v>0</v>
      </c>
      <c r="BP37" s="20">
        <v>0</v>
      </c>
      <c r="BQ37" s="18">
        <v>0</v>
      </c>
      <c r="BR37" s="19">
        <v>0</v>
      </c>
      <c r="BS37" s="20">
        <v>0</v>
      </c>
      <c r="BT37" s="18">
        <v>0</v>
      </c>
      <c r="BU37" s="19">
        <v>0</v>
      </c>
      <c r="BV37" s="20">
        <v>0</v>
      </c>
      <c r="BW37" s="18">
        <v>0</v>
      </c>
      <c r="BX37" s="19">
        <v>0</v>
      </c>
      <c r="BY37" s="20">
        <v>0</v>
      </c>
      <c r="BZ37" s="18">
        <v>0</v>
      </c>
      <c r="CA37" s="19">
        <v>0</v>
      </c>
      <c r="CB37" s="104">
        <v>0</v>
      </c>
    </row>
    <row r="38" spans="1:80" x14ac:dyDescent="0.25">
      <c r="A38" s="23">
        <f t="shared" si="1"/>
        <v>13</v>
      </c>
      <c r="B38" s="23">
        <f t="shared" si="2"/>
        <v>1</v>
      </c>
      <c r="C38" s="23" t="str">
        <f t="shared" si="0"/>
        <v>T13_1</v>
      </c>
      <c r="E38" s="3" t="str">
        <f>IF(VLOOKUP($C38,'2D-Chapra'!$C$2:$T$55,MID(E$1,2,2)+2,0)="","",VLOOKUP($C38,'2D-Chapra'!$C$2:$T$55,MID(E$1,2,2)+2,0))</f>
        <v/>
      </c>
      <c r="F38" s="4" t="str">
        <f>IF(VLOOKUP($C38,'2D-Chapra'!$C$2:$T$55,MID(F$1,2,2)+2,0)="","",VLOOKUP($C38,'2D-Chapra'!$C$2:$T$55,MID(F$1,2,2)+2,0))</f>
        <v/>
      </c>
      <c r="G38" s="4" t="str">
        <f>IF(VLOOKUP($C38,'2D-Chapra'!$C$2:$T$55,MID(G$1,2,2)+2,0)="","",VLOOKUP($C38,'2D-Chapra'!$C$2:$T$55,MID(G$1,2,2)+2,0))</f>
        <v/>
      </c>
      <c r="H38" s="4" t="str">
        <f>IF(VLOOKUP($C38,'2D-Chapra'!$C$2:$T$55,MID(H$1,2,2)+2,0)="","",VLOOKUP($C38,'2D-Chapra'!$C$2:$T$55,MID(H$1,2,2)+2,0))</f>
        <v/>
      </c>
      <c r="I38" s="4" t="str">
        <f>IF(VLOOKUP($C38,'2D-Chapra'!$C$2:$T$55,MID(I$1,2,2)+2,0)="","",VLOOKUP($C38,'2D-Chapra'!$C$2:$T$55,MID(I$1,2,2)+2,0))</f>
        <v/>
      </c>
      <c r="J38" s="4" t="str">
        <f>IF(VLOOKUP($C38,'2D-Chapra'!$C$2:$T$55,MID(J$1,2,2)+2,0)="","",VLOOKUP($C38,'2D-Chapra'!$C$2:$T$55,MID(J$1,2,2)+2,0))</f>
        <v/>
      </c>
      <c r="K38" s="4" t="str">
        <f>IF(VLOOKUP($C38,'2D-Chapra'!$C$2:$T$55,MID(K$1,2,2)+2,0)="","",VLOOKUP($C38,'2D-Chapra'!$C$2:$T$55,MID(K$1,2,2)+2,0))</f>
        <v/>
      </c>
      <c r="L38" s="4" t="str">
        <f>IF(VLOOKUP($C38,'2D-Chapra'!$C$2:$T$55,MID(L$1,2,2)+2,0)="","",VLOOKUP($C38,'2D-Chapra'!$C$2:$T$55,MID(L$1,2,2)+2,0))</f>
        <v/>
      </c>
      <c r="M38" s="4" t="str">
        <f>IF(VLOOKUP($C38,'2D-Chapra'!$C$2:$T$55,MID(M$1,2,2)+2,0)="","",VLOOKUP($C38,'2D-Chapra'!$C$2:$T$55,MID(M$1,2,2)+2,0))</f>
        <v/>
      </c>
      <c r="N38" s="4" t="str">
        <f>IF(VLOOKUP($C38,'2D-Chapra'!$C$2:$T$55,MID(N$1,2,2)+2,0)="","",VLOOKUP($C38,'2D-Chapra'!$C$2:$T$55,MID(N$1,2,2)+2,0))</f>
        <v/>
      </c>
      <c r="O38" s="4">
        <f>IF(VLOOKUP($C38,'2D-Chapra'!$C$2:$T$55,MID(O$1,2,2)+2,0)="","",VLOOKUP($C38,'2D-Chapra'!$C$2:$T$55,MID(O$1,2,2)+2,0))</f>
        <v>1</v>
      </c>
      <c r="P38" s="4" t="str">
        <f>IF(VLOOKUP($C38,'2D-Chapra'!$C$2:$T$55,MID(P$1,2,2)+2,0)="","",VLOOKUP($C38,'2D-Chapra'!$C$2:$T$55,MID(P$1,2,2)+2,0))</f>
        <v/>
      </c>
      <c r="Q38" s="4" t="str">
        <f>IF(VLOOKUP($C38,'2D-Chapra'!$C$2:$T$55,MID(Q$1,2,2)+2,0)="","",VLOOKUP($C38,'2D-Chapra'!$C$2:$T$55,MID(Q$1,2,2)+2,0))</f>
        <v/>
      </c>
      <c r="R38" s="4" t="str">
        <f>IF(VLOOKUP($C38,'2D-Chapra'!$C$2:$T$55,MID(R$1,2,2)+2,0)="","",VLOOKUP($C38,'2D-Chapra'!$C$2:$T$55,MID(R$1,2,2)+2,0))</f>
        <v/>
      </c>
      <c r="S38" s="4" t="str">
        <f>IF(VLOOKUP($C38,'2D-Chapra'!$C$2:$T$55,MID(S$1,2,2)+2,0)="","",VLOOKUP($C38,'2D-Chapra'!$C$2:$T$55,MID(S$1,2,2)+2,0))</f>
        <v/>
      </c>
      <c r="T38" s="5" t="str">
        <f>IF(VLOOKUP($C38,'2D-Chapra'!$C$2:$T$55,MID(T$1,2,2)+2,0)="","",VLOOKUP($C38,'2D-Chapra'!$C$2:$T$55,MID(T$1,2,2)+2,0))</f>
        <v/>
      </c>
      <c r="W38" s="85">
        <v>1</v>
      </c>
      <c r="X38" s="86">
        <v>-3</v>
      </c>
      <c r="Y38" s="87">
        <v>1</v>
      </c>
      <c r="Z38" s="88" t="s">
        <v>189</v>
      </c>
      <c r="AA38" s="105">
        <v>0</v>
      </c>
      <c r="AB38" s="14">
        <v>0</v>
      </c>
      <c r="AC38" s="15">
        <v>0</v>
      </c>
      <c r="AD38" s="13">
        <v>0</v>
      </c>
      <c r="AE38" s="14">
        <v>0</v>
      </c>
      <c r="AF38" s="15">
        <v>0</v>
      </c>
      <c r="AG38" s="13">
        <v>0</v>
      </c>
      <c r="AH38" s="14">
        <v>0</v>
      </c>
      <c r="AI38" s="15">
        <v>0</v>
      </c>
      <c r="AJ38" s="13">
        <v>0</v>
      </c>
      <c r="AK38" s="14">
        <v>0</v>
      </c>
      <c r="AL38" s="15">
        <v>0</v>
      </c>
      <c r="AM38" s="13">
        <v>0</v>
      </c>
      <c r="AN38" s="14">
        <v>0</v>
      </c>
      <c r="AO38" s="15">
        <v>0</v>
      </c>
      <c r="AP38" s="13">
        <v>0</v>
      </c>
      <c r="AQ38" s="14">
        <v>0</v>
      </c>
      <c r="AR38" s="15">
        <v>0</v>
      </c>
      <c r="AS38" s="13">
        <v>0</v>
      </c>
      <c r="AT38" s="14">
        <v>0</v>
      </c>
      <c r="AU38" s="15">
        <v>0</v>
      </c>
      <c r="AV38" s="13">
        <v>0</v>
      </c>
      <c r="AW38" s="14">
        <v>0</v>
      </c>
      <c r="AX38" s="15">
        <v>0</v>
      </c>
      <c r="AY38" s="13">
        <v>0</v>
      </c>
      <c r="AZ38" s="14">
        <v>0</v>
      </c>
      <c r="BA38" s="15">
        <v>0</v>
      </c>
      <c r="BB38" s="13">
        <v>0</v>
      </c>
      <c r="BC38" s="14">
        <v>0</v>
      </c>
      <c r="BD38" s="15">
        <v>0</v>
      </c>
      <c r="BE38" s="13">
        <v>0</v>
      </c>
      <c r="BF38" s="14">
        <v>0</v>
      </c>
      <c r="BG38" s="15">
        <v>0</v>
      </c>
      <c r="BH38" s="13">
        <v>0</v>
      </c>
      <c r="BI38" s="14">
        <v>0</v>
      </c>
      <c r="BJ38" s="15">
        <v>0</v>
      </c>
      <c r="BK38" s="106">
        <f t="array" aca="1" ref="BK38:BM40" ca="1">rigidez($W38:$Y40)</f>
        <v>0.25</v>
      </c>
      <c r="BL38" s="90">
        <f ca="1"/>
        <v>0</v>
      </c>
      <c r="BM38" s="91">
        <f ca="1"/>
        <v>-0.25</v>
      </c>
      <c r="BN38" s="13">
        <v>0</v>
      </c>
      <c r="BO38" s="14">
        <v>0</v>
      </c>
      <c r="BP38" s="15">
        <v>0</v>
      </c>
      <c r="BQ38" s="13">
        <v>0</v>
      </c>
      <c r="BR38" s="14">
        <v>0</v>
      </c>
      <c r="BS38" s="15">
        <v>0</v>
      </c>
      <c r="BT38" s="13">
        <v>0</v>
      </c>
      <c r="BU38" s="14">
        <v>0</v>
      </c>
      <c r="BV38" s="15">
        <v>0</v>
      </c>
      <c r="BW38" s="13">
        <v>0</v>
      </c>
      <c r="BX38" s="14">
        <v>0</v>
      </c>
      <c r="BY38" s="15">
        <v>0</v>
      </c>
      <c r="BZ38" s="13">
        <v>0</v>
      </c>
      <c r="CA38" s="14">
        <v>0</v>
      </c>
      <c r="CB38" s="92">
        <v>0</v>
      </c>
    </row>
    <row r="39" spans="1:80" x14ac:dyDescent="0.25">
      <c r="A39" s="23">
        <f t="shared" si="1"/>
        <v>13</v>
      </c>
      <c r="B39" s="23">
        <f t="shared" si="2"/>
        <v>2</v>
      </c>
      <c r="C39" s="23" t="str">
        <f t="shared" si="0"/>
        <v>T13_2</v>
      </c>
      <c r="E39" s="3" t="str">
        <f>IF(VLOOKUP($C39,'2D-Chapra'!$C$2:$T$55,MID(E$1,2,2)+2,0)="","",VLOOKUP($C39,'2D-Chapra'!$C$2:$T$55,MID(E$1,2,2)+2,0))</f>
        <v/>
      </c>
      <c r="F39" s="4" t="str">
        <f>IF(VLOOKUP($C39,'2D-Chapra'!$C$2:$T$55,MID(F$1,2,2)+2,0)="","",VLOOKUP($C39,'2D-Chapra'!$C$2:$T$55,MID(F$1,2,2)+2,0))</f>
        <v/>
      </c>
      <c r="G39" s="4" t="str">
        <f>IF(VLOOKUP($C39,'2D-Chapra'!$C$2:$T$55,MID(G$1,2,2)+2,0)="","",VLOOKUP($C39,'2D-Chapra'!$C$2:$T$55,MID(G$1,2,2)+2,0))</f>
        <v/>
      </c>
      <c r="H39" s="4" t="str">
        <f>IF(VLOOKUP($C39,'2D-Chapra'!$C$2:$T$55,MID(H$1,2,2)+2,0)="","",VLOOKUP($C39,'2D-Chapra'!$C$2:$T$55,MID(H$1,2,2)+2,0))</f>
        <v/>
      </c>
      <c r="I39" s="4" t="str">
        <f>IF(VLOOKUP($C39,'2D-Chapra'!$C$2:$T$55,MID(I$1,2,2)+2,0)="","",VLOOKUP($C39,'2D-Chapra'!$C$2:$T$55,MID(I$1,2,2)+2,0))</f>
        <v/>
      </c>
      <c r="J39" s="4" t="str">
        <f>IF(VLOOKUP($C39,'2D-Chapra'!$C$2:$T$55,MID(J$1,2,2)+2,0)="","",VLOOKUP($C39,'2D-Chapra'!$C$2:$T$55,MID(J$1,2,2)+2,0))</f>
        <v/>
      </c>
      <c r="K39" s="4" t="str">
        <f>IF(VLOOKUP($C39,'2D-Chapra'!$C$2:$T$55,MID(K$1,2,2)+2,0)="","",VLOOKUP($C39,'2D-Chapra'!$C$2:$T$55,MID(K$1,2,2)+2,0))</f>
        <v/>
      </c>
      <c r="L39" s="4" t="str">
        <f>IF(VLOOKUP($C39,'2D-Chapra'!$C$2:$T$55,MID(L$1,2,2)+2,0)="","",VLOOKUP($C39,'2D-Chapra'!$C$2:$T$55,MID(L$1,2,2)+2,0))</f>
        <v/>
      </c>
      <c r="M39" s="4" t="str">
        <f>IF(VLOOKUP($C39,'2D-Chapra'!$C$2:$T$55,MID(M$1,2,2)+2,0)="","",VLOOKUP($C39,'2D-Chapra'!$C$2:$T$55,MID(M$1,2,2)+2,0))</f>
        <v/>
      </c>
      <c r="N39" s="4" t="str">
        <f>IF(VLOOKUP($C39,'2D-Chapra'!$C$2:$T$55,MID(N$1,2,2)+2,0)="","",VLOOKUP($C39,'2D-Chapra'!$C$2:$T$55,MID(N$1,2,2)+2,0))</f>
        <v/>
      </c>
      <c r="O39" s="4" t="str">
        <f>IF(VLOOKUP($C39,'2D-Chapra'!$C$2:$T$55,MID(O$1,2,2)+2,0)="","",VLOOKUP($C39,'2D-Chapra'!$C$2:$T$55,MID(O$1,2,2)+2,0))</f>
        <v/>
      </c>
      <c r="P39" s="4" t="str">
        <f>IF(VLOOKUP($C39,'2D-Chapra'!$C$2:$T$55,MID(P$1,2,2)+2,0)="","",VLOOKUP($C39,'2D-Chapra'!$C$2:$T$55,MID(P$1,2,2)+2,0))</f>
        <v/>
      </c>
      <c r="Q39" s="4" t="str">
        <f>IF(VLOOKUP($C39,'2D-Chapra'!$C$2:$T$55,MID(Q$1,2,2)+2,0)="","",VLOOKUP($C39,'2D-Chapra'!$C$2:$T$55,MID(Q$1,2,2)+2,0))</f>
        <v/>
      </c>
      <c r="R39" s="4">
        <f>IF(VLOOKUP($C39,'2D-Chapra'!$C$2:$T$55,MID(R$1,2,2)+2,0)="","",VLOOKUP($C39,'2D-Chapra'!$C$2:$T$55,MID(R$1,2,2)+2,0))</f>
        <v>1</v>
      </c>
      <c r="S39" s="4" t="str">
        <f>IF(VLOOKUP($C39,'2D-Chapra'!$C$2:$T$55,MID(S$1,2,2)+2,0)="","",VLOOKUP($C39,'2D-Chapra'!$C$2:$T$55,MID(S$1,2,2)+2,0))</f>
        <v/>
      </c>
      <c r="T39" s="5" t="str">
        <f>IF(VLOOKUP($C39,'2D-Chapra'!$C$2:$T$55,MID(T$1,2,2)+2,0)="","",VLOOKUP($C39,'2D-Chapra'!$C$2:$T$55,MID(T$1,2,2)+2,0))</f>
        <v/>
      </c>
      <c r="W39" s="93">
        <v>1</v>
      </c>
      <c r="X39" s="49">
        <v>-1</v>
      </c>
      <c r="Y39" s="94">
        <v>3</v>
      </c>
      <c r="Z39" s="95" t="s">
        <v>190</v>
      </c>
      <c r="AA39" s="3">
        <v>0</v>
      </c>
      <c r="AB39" s="4">
        <v>0</v>
      </c>
      <c r="AC39" s="17">
        <v>0</v>
      </c>
      <c r="AD39" s="16">
        <v>0</v>
      </c>
      <c r="AE39" s="4">
        <v>0</v>
      </c>
      <c r="AF39" s="17">
        <v>0</v>
      </c>
      <c r="AG39" s="16">
        <v>0</v>
      </c>
      <c r="AH39" s="4">
        <v>0</v>
      </c>
      <c r="AI39" s="17">
        <v>0</v>
      </c>
      <c r="AJ39" s="16">
        <v>0</v>
      </c>
      <c r="AK39" s="4">
        <v>0</v>
      </c>
      <c r="AL39" s="17">
        <v>0</v>
      </c>
      <c r="AM39" s="16">
        <v>0</v>
      </c>
      <c r="AN39" s="4">
        <v>0</v>
      </c>
      <c r="AO39" s="17">
        <v>0</v>
      </c>
      <c r="AP39" s="16">
        <v>0</v>
      </c>
      <c r="AQ39" s="4">
        <v>0</v>
      </c>
      <c r="AR39" s="17">
        <v>0</v>
      </c>
      <c r="AS39" s="16">
        <v>0</v>
      </c>
      <c r="AT39" s="4">
        <v>0</v>
      </c>
      <c r="AU39" s="17">
        <v>0</v>
      </c>
      <c r="AV39" s="16">
        <v>0</v>
      </c>
      <c r="AW39" s="4">
        <v>0</v>
      </c>
      <c r="AX39" s="17">
        <v>0</v>
      </c>
      <c r="AY39" s="16">
        <v>0</v>
      </c>
      <c r="AZ39" s="4">
        <v>0</v>
      </c>
      <c r="BA39" s="17">
        <v>0</v>
      </c>
      <c r="BB39" s="16">
        <v>0</v>
      </c>
      <c r="BC39" s="4">
        <v>0</v>
      </c>
      <c r="BD39" s="17">
        <v>0</v>
      </c>
      <c r="BE39" s="16">
        <v>0</v>
      </c>
      <c r="BF39" s="4">
        <v>0</v>
      </c>
      <c r="BG39" s="17">
        <v>0</v>
      </c>
      <c r="BH39" s="16">
        <v>0</v>
      </c>
      <c r="BI39" s="4">
        <v>0</v>
      </c>
      <c r="BJ39" s="17">
        <v>0</v>
      </c>
      <c r="BK39" s="107">
        <f ca="1"/>
        <v>0</v>
      </c>
      <c r="BL39" s="11">
        <f ca="1"/>
        <v>0.25</v>
      </c>
      <c r="BM39" s="96">
        <f ca="1"/>
        <v>-0.25</v>
      </c>
      <c r="BN39" s="16">
        <v>0</v>
      </c>
      <c r="BO39" s="4">
        <v>0</v>
      </c>
      <c r="BP39" s="17">
        <v>0</v>
      </c>
      <c r="BQ39" s="16">
        <v>0</v>
      </c>
      <c r="BR39" s="4">
        <v>0</v>
      </c>
      <c r="BS39" s="17">
        <v>0</v>
      </c>
      <c r="BT39" s="16">
        <v>0</v>
      </c>
      <c r="BU39" s="4">
        <v>0</v>
      </c>
      <c r="BV39" s="17">
        <v>0</v>
      </c>
      <c r="BW39" s="16">
        <v>0</v>
      </c>
      <c r="BX39" s="4">
        <v>0</v>
      </c>
      <c r="BY39" s="17">
        <v>0</v>
      </c>
      <c r="BZ39" s="16">
        <v>0</v>
      </c>
      <c r="CA39" s="4">
        <v>0</v>
      </c>
      <c r="CB39" s="5">
        <v>0</v>
      </c>
    </row>
    <row r="40" spans="1:80" x14ac:dyDescent="0.25">
      <c r="A40" s="23">
        <f t="shared" si="1"/>
        <v>13</v>
      </c>
      <c r="B40" s="23">
        <f t="shared" si="2"/>
        <v>3</v>
      </c>
      <c r="C40" s="23" t="str">
        <f t="shared" si="0"/>
        <v>T13_3</v>
      </c>
      <c r="E40" s="3" t="str">
        <f>IF(VLOOKUP($C40,'2D-Chapra'!$C$2:$T$55,MID(E$1,2,2)+2,0)="","",VLOOKUP($C40,'2D-Chapra'!$C$2:$T$55,MID(E$1,2,2)+2,0))</f>
        <v/>
      </c>
      <c r="F40" s="4" t="str">
        <f>IF(VLOOKUP($C40,'2D-Chapra'!$C$2:$T$55,MID(F$1,2,2)+2,0)="","",VLOOKUP($C40,'2D-Chapra'!$C$2:$T$55,MID(F$1,2,2)+2,0))</f>
        <v/>
      </c>
      <c r="G40" s="4" t="str">
        <f>IF(VLOOKUP($C40,'2D-Chapra'!$C$2:$T$55,MID(G$1,2,2)+2,0)="","",VLOOKUP($C40,'2D-Chapra'!$C$2:$T$55,MID(G$1,2,2)+2,0))</f>
        <v/>
      </c>
      <c r="H40" s="4" t="str">
        <f>IF(VLOOKUP($C40,'2D-Chapra'!$C$2:$T$55,MID(H$1,2,2)+2,0)="","",VLOOKUP($C40,'2D-Chapra'!$C$2:$T$55,MID(H$1,2,2)+2,0))</f>
        <v/>
      </c>
      <c r="I40" s="4" t="str">
        <f>IF(VLOOKUP($C40,'2D-Chapra'!$C$2:$T$55,MID(I$1,2,2)+2,0)="","",VLOOKUP($C40,'2D-Chapra'!$C$2:$T$55,MID(I$1,2,2)+2,0))</f>
        <v/>
      </c>
      <c r="J40" s="4" t="str">
        <f>IF(VLOOKUP($C40,'2D-Chapra'!$C$2:$T$55,MID(J$1,2,2)+2,0)="","",VLOOKUP($C40,'2D-Chapra'!$C$2:$T$55,MID(J$1,2,2)+2,0))</f>
        <v/>
      </c>
      <c r="K40" s="4" t="str">
        <f>IF(VLOOKUP($C40,'2D-Chapra'!$C$2:$T$55,MID(K$1,2,2)+2,0)="","",VLOOKUP($C40,'2D-Chapra'!$C$2:$T$55,MID(K$1,2,2)+2,0))</f>
        <v/>
      </c>
      <c r="L40" s="4" t="str">
        <f>IF(VLOOKUP($C40,'2D-Chapra'!$C$2:$T$55,MID(L$1,2,2)+2,0)="","",VLOOKUP($C40,'2D-Chapra'!$C$2:$T$55,MID(L$1,2,2)+2,0))</f>
        <v/>
      </c>
      <c r="M40" s="4" t="str">
        <f>IF(VLOOKUP($C40,'2D-Chapra'!$C$2:$T$55,MID(M$1,2,2)+2,0)="","",VLOOKUP($C40,'2D-Chapra'!$C$2:$T$55,MID(M$1,2,2)+2,0))</f>
        <v/>
      </c>
      <c r="N40" s="4" t="str">
        <f>IF(VLOOKUP($C40,'2D-Chapra'!$C$2:$T$55,MID(N$1,2,2)+2,0)="","",VLOOKUP($C40,'2D-Chapra'!$C$2:$T$55,MID(N$1,2,2)+2,0))</f>
        <v/>
      </c>
      <c r="O40" s="4" t="str">
        <f>IF(VLOOKUP($C40,'2D-Chapra'!$C$2:$T$55,MID(O$1,2,2)+2,0)="","",VLOOKUP($C40,'2D-Chapra'!$C$2:$T$55,MID(O$1,2,2)+2,0))</f>
        <v/>
      </c>
      <c r="P40" s="4" t="str">
        <f>IF(VLOOKUP($C40,'2D-Chapra'!$C$2:$T$55,MID(P$1,2,2)+2,0)="","",VLOOKUP($C40,'2D-Chapra'!$C$2:$T$55,MID(P$1,2,2)+2,0))</f>
        <v/>
      </c>
      <c r="Q40" s="4">
        <f>IF(VLOOKUP($C40,'2D-Chapra'!$C$2:$T$55,MID(Q$1,2,2)+2,0)="","",VLOOKUP($C40,'2D-Chapra'!$C$2:$T$55,MID(Q$1,2,2)+2,0))</f>
        <v>1</v>
      </c>
      <c r="R40" s="4" t="str">
        <f>IF(VLOOKUP($C40,'2D-Chapra'!$C$2:$T$55,MID(R$1,2,2)+2,0)="","",VLOOKUP($C40,'2D-Chapra'!$C$2:$T$55,MID(R$1,2,2)+2,0))</f>
        <v/>
      </c>
      <c r="S40" s="4" t="str">
        <f>IF(VLOOKUP($C40,'2D-Chapra'!$C$2:$T$55,MID(S$1,2,2)+2,0)="","",VLOOKUP($C40,'2D-Chapra'!$C$2:$T$55,MID(S$1,2,2)+2,0))</f>
        <v/>
      </c>
      <c r="T40" s="5" t="str">
        <f>IF(VLOOKUP($C40,'2D-Chapra'!$C$2:$T$55,MID(T$1,2,2)+2,0)="","",VLOOKUP($C40,'2D-Chapra'!$C$2:$T$55,MID(T$1,2,2)+2,0))</f>
        <v/>
      </c>
      <c r="W40" s="97">
        <v>1</v>
      </c>
      <c r="X40" s="98">
        <v>-3</v>
      </c>
      <c r="Y40" s="99">
        <v>3</v>
      </c>
      <c r="Z40" s="100" t="s">
        <v>191</v>
      </c>
      <c r="AA40" s="108">
        <v>0</v>
      </c>
      <c r="AB40" s="19">
        <v>0</v>
      </c>
      <c r="AC40" s="20">
        <v>0</v>
      </c>
      <c r="AD40" s="18">
        <v>0</v>
      </c>
      <c r="AE40" s="19">
        <v>0</v>
      </c>
      <c r="AF40" s="20">
        <v>0</v>
      </c>
      <c r="AG40" s="18">
        <v>0</v>
      </c>
      <c r="AH40" s="19">
        <v>0</v>
      </c>
      <c r="AI40" s="20">
        <v>0</v>
      </c>
      <c r="AJ40" s="18">
        <v>0</v>
      </c>
      <c r="AK40" s="19">
        <v>0</v>
      </c>
      <c r="AL40" s="20">
        <v>0</v>
      </c>
      <c r="AM40" s="18">
        <v>0</v>
      </c>
      <c r="AN40" s="19">
        <v>0</v>
      </c>
      <c r="AO40" s="20">
        <v>0</v>
      </c>
      <c r="AP40" s="18">
        <v>0</v>
      </c>
      <c r="AQ40" s="19">
        <v>0</v>
      </c>
      <c r="AR40" s="20">
        <v>0</v>
      </c>
      <c r="AS40" s="18">
        <v>0</v>
      </c>
      <c r="AT40" s="19">
        <v>0</v>
      </c>
      <c r="AU40" s="20">
        <v>0</v>
      </c>
      <c r="AV40" s="18">
        <v>0</v>
      </c>
      <c r="AW40" s="19">
        <v>0</v>
      </c>
      <c r="AX40" s="20">
        <v>0</v>
      </c>
      <c r="AY40" s="18">
        <v>0</v>
      </c>
      <c r="AZ40" s="19">
        <v>0</v>
      </c>
      <c r="BA40" s="20">
        <v>0</v>
      </c>
      <c r="BB40" s="18">
        <v>0</v>
      </c>
      <c r="BC40" s="19">
        <v>0</v>
      </c>
      <c r="BD40" s="20">
        <v>0</v>
      </c>
      <c r="BE40" s="18">
        <v>0</v>
      </c>
      <c r="BF40" s="19">
        <v>0</v>
      </c>
      <c r="BG40" s="20">
        <v>0</v>
      </c>
      <c r="BH40" s="18">
        <v>0</v>
      </c>
      <c r="BI40" s="19">
        <v>0</v>
      </c>
      <c r="BJ40" s="20">
        <v>0</v>
      </c>
      <c r="BK40" s="109">
        <f ca="1"/>
        <v>-0.25</v>
      </c>
      <c r="BL40" s="102">
        <f ca="1"/>
        <v>-0.25</v>
      </c>
      <c r="BM40" s="103">
        <f ca="1"/>
        <v>0.5</v>
      </c>
      <c r="BN40" s="18">
        <v>0</v>
      </c>
      <c r="BO40" s="19">
        <v>0</v>
      </c>
      <c r="BP40" s="20">
        <v>0</v>
      </c>
      <c r="BQ40" s="18">
        <v>0</v>
      </c>
      <c r="BR40" s="19">
        <v>0</v>
      </c>
      <c r="BS40" s="20">
        <v>0</v>
      </c>
      <c r="BT40" s="18">
        <v>0</v>
      </c>
      <c r="BU40" s="19">
        <v>0</v>
      </c>
      <c r="BV40" s="20">
        <v>0</v>
      </c>
      <c r="BW40" s="18">
        <v>0</v>
      </c>
      <c r="BX40" s="19">
        <v>0</v>
      </c>
      <c r="BY40" s="20">
        <v>0</v>
      </c>
      <c r="BZ40" s="18">
        <v>0</v>
      </c>
      <c r="CA40" s="19">
        <v>0</v>
      </c>
      <c r="CB40" s="104">
        <v>0</v>
      </c>
    </row>
    <row r="41" spans="1:80" x14ac:dyDescent="0.25">
      <c r="A41" s="23">
        <f t="shared" si="1"/>
        <v>14</v>
      </c>
      <c r="B41" s="23">
        <f t="shared" si="2"/>
        <v>1</v>
      </c>
      <c r="C41" s="23" t="str">
        <f t="shared" si="0"/>
        <v>T14_1</v>
      </c>
      <c r="E41" s="3" t="str">
        <f>IF(VLOOKUP($C41,'2D-Chapra'!$C$2:$T$55,MID(E$1,2,2)+2,0)="","",VLOOKUP($C41,'2D-Chapra'!$C$2:$T$55,MID(E$1,2,2)+2,0))</f>
        <v/>
      </c>
      <c r="F41" s="4" t="str">
        <f>IF(VLOOKUP($C41,'2D-Chapra'!$C$2:$T$55,MID(F$1,2,2)+2,0)="","",VLOOKUP($C41,'2D-Chapra'!$C$2:$T$55,MID(F$1,2,2)+2,0))</f>
        <v/>
      </c>
      <c r="G41" s="4" t="str">
        <f>IF(VLOOKUP($C41,'2D-Chapra'!$C$2:$T$55,MID(G$1,2,2)+2,0)="","",VLOOKUP($C41,'2D-Chapra'!$C$2:$T$55,MID(G$1,2,2)+2,0))</f>
        <v/>
      </c>
      <c r="H41" s="4" t="str">
        <f>IF(VLOOKUP($C41,'2D-Chapra'!$C$2:$T$55,MID(H$1,2,2)+2,0)="","",VLOOKUP($C41,'2D-Chapra'!$C$2:$T$55,MID(H$1,2,2)+2,0))</f>
        <v/>
      </c>
      <c r="I41" s="4" t="str">
        <f>IF(VLOOKUP($C41,'2D-Chapra'!$C$2:$T$55,MID(I$1,2,2)+2,0)="","",VLOOKUP($C41,'2D-Chapra'!$C$2:$T$55,MID(I$1,2,2)+2,0))</f>
        <v/>
      </c>
      <c r="J41" s="4" t="str">
        <f>IF(VLOOKUP($C41,'2D-Chapra'!$C$2:$T$55,MID(J$1,2,2)+2,0)="","",VLOOKUP($C41,'2D-Chapra'!$C$2:$T$55,MID(J$1,2,2)+2,0))</f>
        <v/>
      </c>
      <c r="K41" s="4" t="str">
        <f>IF(VLOOKUP($C41,'2D-Chapra'!$C$2:$T$55,MID(K$1,2,2)+2,0)="","",VLOOKUP($C41,'2D-Chapra'!$C$2:$T$55,MID(K$1,2,2)+2,0))</f>
        <v/>
      </c>
      <c r="L41" s="4" t="str">
        <f>IF(VLOOKUP($C41,'2D-Chapra'!$C$2:$T$55,MID(L$1,2,2)+2,0)="","",VLOOKUP($C41,'2D-Chapra'!$C$2:$T$55,MID(L$1,2,2)+2,0))</f>
        <v/>
      </c>
      <c r="M41" s="4" t="str">
        <f>IF(VLOOKUP($C41,'2D-Chapra'!$C$2:$T$55,MID(M$1,2,2)+2,0)="","",VLOOKUP($C41,'2D-Chapra'!$C$2:$T$55,MID(M$1,2,2)+2,0))</f>
        <v/>
      </c>
      <c r="N41" s="4" t="str">
        <f>IF(VLOOKUP($C41,'2D-Chapra'!$C$2:$T$55,MID(N$1,2,2)+2,0)="","",VLOOKUP($C41,'2D-Chapra'!$C$2:$T$55,MID(N$1,2,2)+2,0))</f>
        <v/>
      </c>
      <c r="O41" s="4">
        <f>IF(VLOOKUP($C41,'2D-Chapra'!$C$2:$T$55,MID(O$1,2,2)+2,0)="","",VLOOKUP($C41,'2D-Chapra'!$C$2:$T$55,MID(O$1,2,2)+2,0))</f>
        <v>1</v>
      </c>
      <c r="P41" s="4" t="str">
        <f>IF(VLOOKUP($C41,'2D-Chapra'!$C$2:$T$55,MID(P$1,2,2)+2,0)="","",VLOOKUP($C41,'2D-Chapra'!$C$2:$T$55,MID(P$1,2,2)+2,0))</f>
        <v/>
      </c>
      <c r="Q41" s="4" t="str">
        <f>IF(VLOOKUP($C41,'2D-Chapra'!$C$2:$T$55,MID(Q$1,2,2)+2,0)="","",VLOOKUP($C41,'2D-Chapra'!$C$2:$T$55,MID(Q$1,2,2)+2,0))</f>
        <v/>
      </c>
      <c r="R41" s="4" t="str">
        <f>IF(VLOOKUP($C41,'2D-Chapra'!$C$2:$T$55,MID(R$1,2,2)+2,0)="","",VLOOKUP($C41,'2D-Chapra'!$C$2:$T$55,MID(R$1,2,2)+2,0))</f>
        <v/>
      </c>
      <c r="S41" s="4" t="str">
        <f>IF(VLOOKUP($C41,'2D-Chapra'!$C$2:$T$55,MID(S$1,2,2)+2,0)="","",VLOOKUP($C41,'2D-Chapra'!$C$2:$T$55,MID(S$1,2,2)+2,0))</f>
        <v/>
      </c>
      <c r="T41" s="5" t="str">
        <f>IF(VLOOKUP($C41,'2D-Chapra'!$C$2:$T$55,MID(T$1,2,2)+2,0)="","",VLOOKUP($C41,'2D-Chapra'!$C$2:$T$55,MID(T$1,2,2)+2,0))</f>
        <v/>
      </c>
      <c r="W41" s="85">
        <v>1</v>
      </c>
      <c r="X41" s="86">
        <v>-3</v>
      </c>
      <c r="Y41" s="87">
        <v>1</v>
      </c>
      <c r="Z41" s="88" t="s">
        <v>192</v>
      </c>
      <c r="AA41" s="105">
        <v>0</v>
      </c>
      <c r="AB41" s="14">
        <v>0</v>
      </c>
      <c r="AC41" s="15">
        <v>0</v>
      </c>
      <c r="AD41" s="13">
        <v>0</v>
      </c>
      <c r="AE41" s="14">
        <v>0</v>
      </c>
      <c r="AF41" s="15">
        <v>0</v>
      </c>
      <c r="AG41" s="13">
        <v>0</v>
      </c>
      <c r="AH41" s="14">
        <v>0</v>
      </c>
      <c r="AI41" s="15">
        <v>0</v>
      </c>
      <c r="AJ41" s="13">
        <v>0</v>
      </c>
      <c r="AK41" s="14">
        <v>0</v>
      </c>
      <c r="AL41" s="15">
        <v>0</v>
      </c>
      <c r="AM41" s="13">
        <v>0</v>
      </c>
      <c r="AN41" s="14">
        <v>0</v>
      </c>
      <c r="AO41" s="15">
        <v>0</v>
      </c>
      <c r="AP41" s="13">
        <v>0</v>
      </c>
      <c r="AQ41" s="14">
        <v>0</v>
      </c>
      <c r="AR41" s="15">
        <v>0</v>
      </c>
      <c r="AS41" s="13">
        <v>0</v>
      </c>
      <c r="AT41" s="14">
        <v>0</v>
      </c>
      <c r="AU41" s="15">
        <v>0</v>
      </c>
      <c r="AV41" s="13">
        <v>0</v>
      </c>
      <c r="AW41" s="14">
        <v>0</v>
      </c>
      <c r="AX41" s="15">
        <v>0</v>
      </c>
      <c r="AY41" s="13">
        <v>0</v>
      </c>
      <c r="AZ41" s="14">
        <v>0</v>
      </c>
      <c r="BA41" s="15">
        <v>0</v>
      </c>
      <c r="BB41" s="13">
        <v>0</v>
      </c>
      <c r="BC41" s="14">
        <v>0</v>
      </c>
      <c r="BD41" s="15">
        <v>0</v>
      </c>
      <c r="BE41" s="13">
        <v>0</v>
      </c>
      <c r="BF41" s="14">
        <v>0</v>
      </c>
      <c r="BG41" s="15">
        <v>0</v>
      </c>
      <c r="BH41" s="13">
        <v>0</v>
      </c>
      <c r="BI41" s="14">
        <v>0</v>
      </c>
      <c r="BJ41" s="15">
        <v>0</v>
      </c>
      <c r="BK41" s="13">
        <v>0</v>
      </c>
      <c r="BL41" s="14">
        <v>0</v>
      </c>
      <c r="BM41" s="15">
        <v>0</v>
      </c>
      <c r="BN41" s="106">
        <f t="array" aca="1" ref="BN41:BP43" ca="1">rigidez($W41:$Y43)</f>
        <v>0.25</v>
      </c>
      <c r="BO41" s="90">
        <f ca="1"/>
        <v>-0.25</v>
      </c>
      <c r="BP41" s="91">
        <f ca="1"/>
        <v>0</v>
      </c>
      <c r="BQ41" s="13">
        <v>0</v>
      </c>
      <c r="BR41" s="14">
        <v>0</v>
      </c>
      <c r="BS41" s="15">
        <v>0</v>
      </c>
      <c r="BT41" s="13">
        <v>0</v>
      </c>
      <c r="BU41" s="14">
        <v>0</v>
      </c>
      <c r="BV41" s="15">
        <v>0</v>
      </c>
      <c r="BW41" s="13">
        <v>0</v>
      </c>
      <c r="BX41" s="14">
        <v>0</v>
      </c>
      <c r="BY41" s="15">
        <v>0</v>
      </c>
      <c r="BZ41" s="13">
        <v>0</v>
      </c>
      <c r="CA41" s="14">
        <v>0</v>
      </c>
      <c r="CB41" s="92">
        <v>0</v>
      </c>
    </row>
    <row r="42" spans="1:80" x14ac:dyDescent="0.25">
      <c r="A42" s="23">
        <f t="shared" si="1"/>
        <v>14</v>
      </c>
      <c r="B42" s="23">
        <f t="shared" si="2"/>
        <v>2</v>
      </c>
      <c r="C42" s="23" t="str">
        <f t="shared" si="0"/>
        <v>T14_2</v>
      </c>
      <c r="E42" s="3" t="str">
        <f>IF(VLOOKUP($C42,'2D-Chapra'!$C$2:$T$55,MID(E$1,2,2)+2,0)="","",VLOOKUP($C42,'2D-Chapra'!$C$2:$T$55,MID(E$1,2,2)+2,0))</f>
        <v/>
      </c>
      <c r="F42" s="4" t="str">
        <f>IF(VLOOKUP($C42,'2D-Chapra'!$C$2:$T$55,MID(F$1,2,2)+2,0)="","",VLOOKUP($C42,'2D-Chapra'!$C$2:$T$55,MID(F$1,2,2)+2,0))</f>
        <v/>
      </c>
      <c r="G42" s="4">
        <f>IF(VLOOKUP($C42,'2D-Chapra'!$C$2:$T$55,MID(G$1,2,2)+2,0)="","",VLOOKUP($C42,'2D-Chapra'!$C$2:$T$55,MID(G$1,2,2)+2,0))</f>
        <v>1</v>
      </c>
      <c r="H42" s="4" t="str">
        <f>IF(VLOOKUP($C42,'2D-Chapra'!$C$2:$T$55,MID(H$1,2,2)+2,0)="","",VLOOKUP($C42,'2D-Chapra'!$C$2:$T$55,MID(H$1,2,2)+2,0))</f>
        <v/>
      </c>
      <c r="I42" s="4" t="str">
        <f>IF(VLOOKUP($C42,'2D-Chapra'!$C$2:$T$55,MID(I$1,2,2)+2,0)="","",VLOOKUP($C42,'2D-Chapra'!$C$2:$T$55,MID(I$1,2,2)+2,0))</f>
        <v/>
      </c>
      <c r="J42" s="4" t="str">
        <f>IF(VLOOKUP($C42,'2D-Chapra'!$C$2:$T$55,MID(J$1,2,2)+2,0)="","",VLOOKUP($C42,'2D-Chapra'!$C$2:$T$55,MID(J$1,2,2)+2,0))</f>
        <v/>
      </c>
      <c r="K42" s="4" t="str">
        <f>IF(VLOOKUP($C42,'2D-Chapra'!$C$2:$T$55,MID(K$1,2,2)+2,0)="","",VLOOKUP($C42,'2D-Chapra'!$C$2:$T$55,MID(K$1,2,2)+2,0))</f>
        <v/>
      </c>
      <c r="L42" s="4" t="str">
        <f>IF(VLOOKUP($C42,'2D-Chapra'!$C$2:$T$55,MID(L$1,2,2)+2,0)="","",VLOOKUP($C42,'2D-Chapra'!$C$2:$T$55,MID(L$1,2,2)+2,0))</f>
        <v/>
      </c>
      <c r="M42" s="4" t="str">
        <f>IF(VLOOKUP($C42,'2D-Chapra'!$C$2:$T$55,MID(M$1,2,2)+2,0)="","",VLOOKUP($C42,'2D-Chapra'!$C$2:$T$55,MID(M$1,2,2)+2,0))</f>
        <v/>
      </c>
      <c r="N42" s="4" t="str">
        <f>IF(VLOOKUP($C42,'2D-Chapra'!$C$2:$T$55,MID(N$1,2,2)+2,0)="","",VLOOKUP($C42,'2D-Chapra'!$C$2:$T$55,MID(N$1,2,2)+2,0))</f>
        <v/>
      </c>
      <c r="O42" s="4" t="str">
        <f>IF(VLOOKUP($C42,'2D-Chapra'!$C$2:$T$55,MID(O$1,2,2)+2,0)="","",VLOOKUP($C42,'2D-Chapra'!$C$2:$T$55,MID(O$1,2,2)+2,0))</f>
        <v/>
      </c>
      <c r="P42" s="4" t="str">
        <f>IF(VLOOKUP($C42,'2D-Chapra'!$C$2:$T$55,MID(P$1,2,2)+2,0)="","",VLOOKUP($C42,'2D-Chapra'!$C$2:$T$55,MID(P$1,2,2)+2,0))</f>
        <v/>
      </c>
      <c r="Q42" s="4" t="str">
        <f>IF(VLOOKUP($C42,'2D-Chapra'!$C$2:$T$55,MID(Q$1,2,2)+2,0)="","",VLOOKUP($C42,'2D-Chapra'!$C$2:$T$55,MID(Q$1,2,2)+2,0))</f>
        <v/>
      </c>
      <c r="R42" s="4" t="str">
        <f>IF(VLOOKUP($C42,'2D-Chapra'!$C$2:$T$55,MID(R$1,2,2)+2,0)="","",VLOOKUP($C42,'2D-Chapra'!$C$2:$T$55,MID(R$1,2,2)+2,0))</f>
        <v/>
      </c>
      <c r="S42" s="4" t="str">
        <f>IF(VLOOKUP($C42,'2D-Chapra'!$C$2:$T$55,MID(S$1,2,2)+2,0)="","",VLOOKUP($C42,'2D-Chapra'!$C$2:$T$55,MID(S$1,2,2)+2,0))</f>
        <v/>
      </c>
      <c r="T42" s="5" t="str">
        <f>IF(VLOOKUP($C42,'2D-Chapra'!$C$2:$T$55,MID(T$1,2,2)+2,0)="","",VLOOKUP($C42,'2D-Chapra'!$C$2:$T$55,MID(T$1,2,2)+2,0))</f>
        <v/>
      </c>
      <c r="W42" s="93">
        <v>1</v>
      </c>
      <c r="X42" s="49">
        <v>-1</v>
      </c>
      <c r="Y42" s="94">
        <v>1</v>
      </c>
      <c r="Z42" s="95" t="s">
        <v>193</v>
      </c>
      <c r="AA42" s="3">
        <v>0</v>
      </c>
      <c r="AB42" s="4">
        <v>0</v>
      </c>
      <c r="AC42" s="17">
        <v>0</v>
      </c>
      <c r="AD42" s="16">
        <v>0</v>
      </c>
      <c r="AE42" s="4">
        <v>0</v>
      </c>
      <c r="AF42" s="17">
        <v>0</v>
      </c>
      <c r="AG42" s="16">
        <v>0</v>
      </c>
      <c r="AH42" s="4">
        <v>0</v>
      </c>
      <c r="AI42" s="17">
        <v>0</v>
      </c>
      <c r="AJ42" s="16">
        <v>0</v>
      </c>
      <c r="AK42" s="4">
        <v>0</v>
      </c>
      <c r="AL42" s="17">
        <v>0</v>
      </c>
      <c r="AM42" s="16">
        <v>0</v>
      </c>
      <c r="AN42" s="4">
        <v>0</v>
      </c>
      <c r="AO42" s="17">
        <v>0</v>
      </c>
      <c r="AP42" s="16">
        <v>0</v>
      </c>
      <c r="AQ42" s="4">
        <v>0</v>
      </c>
      <c r="AR42" s="17">
        <v>0</v>
      </c>
      <c r="AS42" s="16">
        <v>0</v>
      </c>
      <c r="AT42" s="4">
        <v>0</v>
      </c>
      <c r="AU42" s="17">
        <v>0</v>
      </c>
      <c r="AV42" s="16">
        <v>0</v>
      </c>
      <c r="AW42" s="4">
        <v>0</v>
      </c>
      <c r="AX42" s="17">
        <v>0</v>
      </c>
      <c r="AY42" s="16">
        <v>0</v>
      </c>
      <c r="AZ42" s="4">
        <v>0</v>
      </c>
      <c r="BA42" s="17">
        <v>0</v>
      </c>
      <c r="BB42" s="16">
        <v>0</v>
      </c>
      <c r="BC42" s="4">
        <v>0</v>
      </c>
      <c r="BD42" s="17">
        <v>0</v>
      </c>
      <c r="BE42" s="16">
        <v>0</v>
      </c>
      <c r="BF42" s="4">
        <v>0</v>
      </c>
      <c r="BG42" s="17">
        <v>0</v>
      </c>
      <c r="BH42" s="16">
        <v>0</v>
      </c>
      <c r="BI42" s="4">
        <v>0</v>
      </c>
      <c r="BJ42" s="17">
        <v>0</v>
      </c>
      <c r="BK42" s="16">
        <v>0</v>
      </c>
      <c r="BL42" s="4">
        <v>0</v>
      </c>
      <c r="BM42" s="17">
        <v>0</v>
      </c>
      <c r="BN42" s="107">
        <f ca="1"/>
        <v>-0.25</v>
      </c>
      <c r="BO42" s="11">
        <f ca="1"/>
        <v>0.5</v>
      </c>
      <c r="BP42" s="96">
        <f ca="1"/>
        <v>-0.25</v>
      </c>
      <c r="BQ42" s="16">
        <v>0</v>
      </c>
      <c r="BR42" s="4">
        <v>0</v>
      </c>
      <c r="BS42" s="17">
        <v>0</v>
      </c>
      <c r="BT42" s="16">
        <v>0</v>
      </c>
      <c r="BU42" s="4">
        <v>0</v>
      </c>
      <c r="BV42" s="17">
        <v>0</v>
      </c>
      <c r="BW42" s="16">
        <v>0</v>
      </c>
      <c r="BX42" s="4">
        <v>0</v>
      </c>
      <c r="BY42" s="17">
        <v>0</v>
      </c>
      <c r="BZ42" s="16">
        <v>0</v>
      </c>
      <c r="CA42" s="4">
        <v>0</v>
      </c>
      <c r="CB42" s="5">
        <v>0</v>
      </c>
    </row>
    <row r="43" spans="1:80" x14ac:dyDescent="0.25">
      <c r="A43" s="23">
        <f t="shared" si="1"/>
        <v>14</v>
      </c>
      <c r="B43" s="23">
        <f t="shared" si="2"/>
        <v>3</v>
      </c>
      <c r="C43" s="23" t="str">
        <f t="shared" si="0"/>
        <v>T14_3</v>
      </c>
      <c r="E43" s="3" t="str">
        <f>IF(VLOOKUP($C43,'2D-Chapra'!$C$2:$T$55,MID(E$1,2,2)+2,0)="","",VLOOKUP($C43,'2D-Chapra'!$C$2:$T$55,MID(E$1,2,2)+2,0))</f>
        <v/>
      </c>
      <c r="F43" s="4" t="str">
        <f>IF(VLOOKUP($C43,'2D-Chapra'!$C$2:$T$55,MID(F$1,2,2)+2,0)="","",VLOOKUP($C43,'2D-Chapra'!$C$2:$T$55,MID(F$1,2,2)+2,0))</f>
        <v/>
      </c>
      <c r="G43" s="4" t="str">
        <f>IF(VLOOKUP($C43,'2D-Chapra'!$C$2:$T$55,MID(G$1,2,2)+2,0)="","",VLOOKUP($C43,'2D-Chapra'!$C$2:$T$55,MID(G$1,2,2)+2,0))</f>
        <v/>
      </c>
      <c r="H43" s="4" t="str">
        <f>IF(VLOOKUP($C43,'2D-Chapra'!$C$2:$T$55,MID(H$1,2,2)+2,0)="","",VLOOKUP($C43,'2D-Chapra'!$C$2:$T$55,MID(H$1,2,2)+2,0))</f>
        <v/>
      </c>
      <c r="I43" s="4" t="str">
        <f>IF(VLOOKUP($C43,'2D-Chapra'!$C$2:$T$55,MID(I$1,2,2)+2,0)="","",VLOOKUP($C43,'2D-Chapra'!$C$2:$T$55,MID(I$1,2,2)+2,0))</f>
        <v/>
      </c>
      <c r="J43" s="4" t="str">
        <f>IF(VLOOKUP($C43,'2D-Chapra'!$C$2:$T$55,MID(J$1,2,2)+2,0)="","",VLOOKUP($C43,'2D-Chapra'!$C$2:$T$55,MID(J$1,2,2)+2,0))</f>
        <v/>
      </c>
      <c r="K43" s="4" t="str">
        <f>IF(VLOOKUP($C43,'2D-Chapra'!$C$2:$T$55,MID(K$1,2,2)+2,0)="","",VLOOKUP($C43,'2D-Chapra'!$C$2:$T$55,MID(K$1,2,2)+2,0))</f>
        <v/>
      </c>
      <c r="L43" s="4" t="str">
        <f>IF(VLOOKUP($C43,'2D-Chapra'!$C$2:$T$55,MID(L$1,2,2)+2,0)="","",VLOOKUP($C43,'2D-Chapra'!$C$2:$T$55,MID(L$1,2,2)+2,0))</f>
        <v/>
      </c>
      <c r="M43" s="4" t="str">
        <f>IF(VLOOKUP($C43,'2D-Chapra'!$C$2:$T$55,MID(M$1,2,2)+2,0)="","",VLOOKUP($C43,'2D-Chapra'!$C$2:$T$55,MID(M$1,2,2)+2,0))</f>
        <v/>
      </c>
      <c r="N43" s="4" t="str">
        <f>IF(VLOOKUP($C43,'2D-Chapra'!$C$2:$T$55,MID(N$1,2,2)+2,0)="","",VLOOKUP($C43,'2D-Chapra'!$C$2:$T$55,MID(N$1,2,2)+2,0))</f>
        <v/>
      </c>
      <c r="O43" s="4" t="str">
        <f>IF(VLOOKUP($C43,'2D-Chapra'!$C$2:$T$55,MID(O$1,2,2)+2,0)="","",VLOOKUP($C43,'2D-Chapra'!$C$2:$T$55,MID(O$1,2,2)+2,0))</f>
        <v/>
      </c>
      <c r="P43" s="4" t="str">
        <f>IF(VLOOKUP($C43,'2D-Chapra'!$C$2:$T$55,MID(P$1,2,2)+2,0)="","",VLOOKUP($C43,'2D-Chapra'!$C$2:$T$55,MID(P$1,2,2)+2,0))</f>
        <v/>
      </c>
      <c r="Q43" s="4" t="str">
        <f>IF(VLOOKUP($C43,'2D-Chapra'!$C$2:$T$55,MID(Q$1,2,2)+2,0)="","",VLOOKUP($C43,'2D-Chapra'!$C$2:$T$55,MID(Q$1,2,2)+2,0))</f>
        <v/>
      </c>
      <c r="R43" s="4">
        <f>IF(VLOOKUP($C43,'2D-Chapra'!$C$2:$T$55,MID(R$1,2,2)+2,0)="","",VLOOKUP($C43,'2D-Chapra'!$C$2:$T$55,MID(R$1,2,2)+2,0))</f>
        <v>1</v>
      </c>
      <c r="S43" s="4" t="str">
        <f>IF(VLOOKUP($C43,'2D-Chapra'!$C$2:$T$55,MID(S$1,2,2)+2,0)="","",VLOOKUP($C43,'2D-Chapra'!$C$2:$T$55,MID(S$1,2,2)+2,0))</f>
        <v/>
      </c>
      <c r="T43" s="5" t="str">
        <f>IF(VLOOKUP($C43,'2D-Chapra'!$C$2:$T$55,MID(T$1,2,2)+2,0)="","",VLOOKUP($C43,'2D-Chapra'!$C$2:$T$55,MID(T$1,2,2)+2,0))</f>
        <v/>
      </c>
      <c r="W43" s="97">
        <v>1</v>
      </c>
      <c r="X43" s="98">
        <v>-1</v>
      </c>
      <c r="Y43" s="99">
        <v>3</v>
      </c>
      <c r="Z43" s="100" t="s">
        <v>194</v>
      </c>
      <c r="AA43" s="108">
        <v>0</v>
      </c>
      <c r="AB43" s="19">
        <v>0</v>
      </c>
      <c r="AC43" s="20">
        <v>0</v>
      </c>
      <c r="AD43" s="18">
        <v>0</v>
      </c>
      <c r="AE43" s="19">
        <v>0</v>
      </c>
      <c r="AF43" s="20">
        <v>0</v>
      </c>
      <c r="AG43" s="18">
        <v>0</v>
      </c>
      <c r="AH43" s="19">
        <v>0</v>
      </c>
      <c r="AI43" s="20">
        <v>0</v>
      </c>
      <c r="AJ43" s="18">
        <v>0</v>
      </c>
      <c r="AK43" s="19">
        <v>0</v>
      </c>
      <c r="AL43" s="20">
        <v>0</v>
      </c>
      <c r="AM43" s="18">
        <v>0</v>
      </c>
      <c r="AN43" s="19">
        <v>0</v>
      </c>
      <c r="AO43" s="20">
        <v>0</v>
      </c>
      <c r="AP43" s="18">
        <v>0</v>
      </c>
      <c r="AQ43" s="19">
        <v>0</v>
      </c>
      <c r="AR43" s="20">
        <v>0</v>
      </c>
      <c r="AS43" s="18">
        <v>0</v>
      </c>
      <c r="AT43" s="19">
        <v>0</v>
      </c>
      <c r="AU43" s="20">
        <v>0</v>
      </c>
      <c r="AV43" s="18">
        <v>0</v>
      </c>
      <c r="AW43" s="19">
        <v>0</v>
      </c>
      <c r="AX43" s="20">
        <v>0</v>
      </c>
      <c r="AY43" s="18">
        <v>0</v>
      </c>
      <c r="AZ43" s="19">
        <v>0</v>
      </c>
      <c r="BA43" s="20">
        <v>0</v>
      </c>
      <c r="BB43" s="18">
        <v>0</v>
      </c>
      <c r="BC43" s="19">
        <v>0</v>
      </c>
      <c r="BD43" s="20">
        <v>0</v>
      </c>
      <c r="BE43" s="18">
        <v>0</v>
      </c>
      <c r="BF43" s="19">
        <v>0</v>
      </c>
      <c r="BG43" s="20">
        <v>0</v>
      </c>
      <c r="BH43" s="18">
        <v>0</v>
      </c>
      <c r="BI43" s="19">
        <v>0</v>
      </c>
      <c r="BJ43" s="20">
        <v>0</v>
      </c>
      <c r="BK43" s="18">
        <v>0</v>
      </c>
      <c r="BL43" s="19">
        <v>0</v>
      </c>
      <c r="BM43" s="20">
        <v>0</v>
      </c>
      <c r="BN43" s="109">
        <f ca="1"/>
        <v>0</v>
      </c>
      <c r="BO43" s="102">
        <f ca="1"/>
        <v>-0.25</v>
      </c>
      <c r="BP43" s="103">
        <f ca="1"/>
        <v>0.25</v>
      </c>
      <c r="BQ43" s="18">
        <v>0</v>
      </c>
      <c r="BR43" s="19">
        <v>0</v>
      </c>
      <c r="BS43" s="20">
        <v>0</v>
      </c>
      <c r="BT43" s="18">
        <v>0</v>
      </c>
      <c r="BU43" s="19">
        <v>0</v>
      </c>
      <c r="BV43" s="20">
        <v>0</v>
      </c>
      <c r="BW43" s="18">
        <v>0</v>
      </c>
      <c r="BX43" s="19">
        <v>0</v>
      </c>
      <c r="BY43" s="20">
        <v>0</v>
      </c>
      <c r="BZ43" s="18">
        <v>0</v>
      </c>
      <c r="CA43" s="19">
        <v>0</v>
      </c>
      <c r="CB43" s="104">
        <v>0</v>
      </c>
    </row>
    <row r="44" spans="1:80" x14ac:dyDescent="0.25">
      <c r="A44" s="23">
        <f t="shared" si="1"/>
        <v>15</v>
      </c>
      <c r="B44" s="23">
        <f t="shared" si="2"/>
        <v>1</v>
      </c>
      <c r="C44" s="23" t="str">
        <f t="shared" si="0"/>
        <v>T15_1</v>
      </c>
      <c r="E44" s="3" t="str">
        <f>IF(VLOOKUP($C44,'2D-Chapra'!$C$2:$T$55,MID(E$1,2,2)+2,0)="","",VLOOKUP($C44,'2D-Chapra'!$C$2:$T$55,MID(E$1,2,2)+2,0))</f>
        <v/>
      </c>
      <c r="F44" s="4" t="str">
        <f>IF(VLOOKUP($C44,'2D-Chapra'!$C$2:$T$55,MID(F$1,2,2)+2,0)="","",VLOOKUP($C44,'2D-Chapra'!$C$2:$T$55,MID(F$1,2,2)+2,0))</f>
        <v/>
      </c>
      <c r="G44" s="4">
        <f>IF(VLOOKUP($C44,'2D-Chapra'!$C$2:$T$55,MID(G$1,2,2)+2,0)="","",VLOOKUP($C44,'2D-Chapra'!$C$2:$T$55,MID(G$1,2,2)+2,0))</f>
        <v>1</v>
      </c>
      <c r="H44" s="4" t="str">
        <f>IF(VLOOKUP($C44,'2D-Chapra'!$C$2:$T$55,MID(H$1,2,2)+2,0)="","",VLOOKUP($C44,'2D-Chapra'!$C$2:$T$55,MID(H$1,2,2)+2,0))</f>
        <v/>
      </c>
      <c r="I44" s="4" t="str">
        <f>IF(VLOOKUP($C44,'2D-Chapra'!$C$2:$T$55,MID(I$1,2,2)+2,0)="","",VLOOKUP($C44,'2D-Chapra'!$C$2:$T$55,MID(I$1,2,2)+2,0))</f>
        <v/>
      </c>
      <c r="J44" s="4" t="str">
        <f>IF(VLOOKUP($C44,'2D-Chapra'!$C$2:$T$55,MID(J$1,2,2)+2,0)="","",VLOOKUP($C44,'2D-Chapra'!$C$2:$T$55,MID(J$1,2,2)+2,0))</f>
        <v/>
      </c>
      <c r="K44" s="4" t="str">
        <f>IF(VLOOKUP($C44,'2D-Chapra'!$C$2:$T$55,MID(K$1,2,2)+2,0)="","",VLOOKUP($C44,'2D-Chapra'!$C$2:$T$55,MID(K$1,2,2)+2,0))</f>
        <v/>
      </c>
      <c r="L44" s="4" t="str">
        <f>IF(VLOOKUP($C44,'2D-Chapra'!$C$2:$T$55,MID(L$1,2,2)+2,0)="","",VLOOKUP($C44,'2D-Chapra'!$C$2:$T$55,MID(L$1,2,2)+2,0))</f>
        <v/>
      </c>
      <c r="M44" s="4" t="str">
        <f>IF(VLOOKUP($C44,'2D-Chapra'!$C$2:$T$55,MID(M$1,2,2)+2,0)="","",VLOOKUP($C44,'2D-Chapra'!$C$2:$T$55,MID(M$1,2,2)+2,0))</f>
        <v/>
      </c>
      <c r="N44" s="4" t="str">
        <f>IF(VLOOKUP($C44,'2D-Chapra'!$C$2:$T$55,MID(N$1,2,2)+2,0)="","",VLOOKUP($C44,'2D-Chapra'!$C$2:$T$55,MID(N$1,2,2)+2,0))</f>
        <v/>
      </c>
      <c r="O44" s="4" t="str">
        <f>IF(VLOOKUP($C44,'2D-Chapra'!$C$2:$T$55,MID(O$1,2,2)+2,0)="","",VLOOKUP($C44,'2D-Chapra'!$C$2:$T$55,MID(O$1,2,2)+2,0))</f>
        <v/>
      </c>
      <c r="P44" s="4" t="str">
        <f>IF(VLOOKUP($C44,'2D-Chapra'!$C$2:$T$55,MID(P$1,2,2)+2,0)="","",VLOOKUP($C44,'2D-Chapra'!$C$2:$T$55,MID(P$1,2,2)+2,0))</f>
        <v/>
      </c>
      <c r="Q44" s="4" t="str">
        <f>IF(VLOOKUP($C44,'2D-Chapra'!$C$2:$T$55,MID(Q$1,2,2)+2,0)="","",VLOOKUP($C44,'2D-Chapra'!$C$2:$T$55,MID(Q$1,2,2)+2,0))</f>
        <v/>
      </c>
      <c r="R44" s="4" t="str">
        <f>IF(VLOOKUP($C44,'2D-Chapra'!$C$2:$T$55,MID(R$1,2,2)+2,0)="","",VLOOKUP($C44,'2D-Chapra'!$C$2:$T$55,MID(R$1,2,2)+2,0))</f>
        <v/>
      </c>
      <c r="S44" s="4" t="str">
        <f>IF(VLOOKUP($C44,'2D-Chapra'!$C$2:$T$55,MID(S$1,2,2)+2,0)="","",VLOOKUP($C44,'2D-Chapra'!$C$2:$T$55,MID(S$1,2,2)+2,0))</f>
        <v/>
      </c>
      <c r="T44" s="5" t="str">
        <f>IF(VLOOKUP($C44,'2D-Chapra'!$C$2:$T$55,MID(T$1,2,2)+2,0)="","",VLOOKUP($C44,'2D-Chapra'!$C$2:$T$55,MID(T$1,2,2)+2,0))</f>
        <v/>
      </c>
      <c r="W44" s="85">
        <v>1</v>
      </c>
      <c r="X44" s="86">
        <v>-1</v>
      </c>
      <c r="Y44" s="87">
        <v>1</v>
      </c>
      <c r="Z44" s="88" t="s">
        <v>195</v>
      </c>
      <c r="AA44" s="105">
        <v>0</v>
      </c>
      <c r="AB44" s="14">
        <v>0</v>
      </c>
      <c r="AC44" s="15">
        <v>0</v>
      </c>
      <c r="AD44" s="13">
        <v>0</v>
      </c>
      <c r="AE44" s="14">
        <v>0</v>
      </c>
      <c r="AF44" s="15">
        <v>0</v>
      </c>
      <c r="AG44" s="13">
        <v>0</v>
      </c>
      <c r="AH44" s="14">
        <v>0</v>
      </c>
      <c r="AI44" s="15">
        <v>0</v>
      </c>
      <c r="AJ44" s="13">
        <v>0</v>
      </c>
      <c r="AK44" s="14">
        <v>0</v>
      </c>
      <c r="AL44" s="15">
        <v>0</v>
      </c>
      <c r="AM44" s="13">
        <v>0</v>
      </c>
      <c r="AN44" s="14">
        <v>0</v>
      </c>
      <c r="AO44" s="15">
        <v>0</v>
      </c>
      <c r="AP44" s="13">
        <v>0</v>
      </c>
      <c r="AQ44" s="14">
        <v>0</v>
      </c>
      <c r="AR44" s="15">
        <v>0</v>
      </c>
      <c r="AS44" s="13">
        <v>0</v>
      </c>
      <c r="AT44" s="14">
        <v>0</v>
      </c>
      <c r="AU44" s="15">
        <v>0</v>
      </c>
      <c r="AV44" s="13">
        <v>0</v>
      </c>
      <c r="AW44" s="14">
        <v>0</v>
      </c>
      <c r="AX44" s="15">
        <v>0</v>
      </c>
      <c r="AY44" s="13">
        <v>0</v>
      </c>
      <c r="AZ44" s="14">
        <v>0</v>
      </c>
      <c r="BA44" s="15">
        <v>0</v>
      </c>
      <c r="BB44" s="13">
        <v>0</v>
      </c>
      <c r="BC44" s="14">
        <v>0</v>
      </c>
      <c r="BD44" s="15">
        <v>0</v>
      </c>
      <c r="BE44" s="13">
        <v>0</v>
      </c>
      <c r="BF44" s="14">
        <v>0</v>
      </c>
      <c r="BG44" s="15">
        <v>0</v>
      </c>
      <c r="BH44" s="13">
        <v>0</v>
      </c>
      <c r="BI44" s="14">
        <v>0</v>
      </c>
      <c r="BJ44" s="15">
        <v>0</v>
      </c>
      <c r="BK44" s="13">
        <v>0</v>
      </c>
      <c r="BL44" s="14">
        <v>0</v>
      </c>
      <c r="BM44" s="15">
        <v>0</v>
      </c>
      <c r="BN44" s="13">
        <v>0</v>
      </c>
      <c r="BO44" s="14">
        <v>0</v>
      </c>
      <c r="BP44" s="15">
        <v>0</v>
      </c>
      <c r="BQ44" s="106">
        <f t="array" aca="1" ref="BQ44:BS46" ca="1">rigidez($W44:$Y46)</f>
        <v>0.25</v>
      </c>
      <c r="BR44" s="90">
        <f ca="1"/>
        <v>0</v>
      </c>
      <c r="BS44" s="91">
        <f ca="1"/>
        <v>-0.25</v>
      </c>
      <c r="BT44" s="13">
        <v>0</v>
      </c>
      <c r="BU44" s="14">
        <v>0</v>
      </c>
      <c r="BV44" s="15">
        <v>0</v>
      </c>
      <c r="BW44" s="13">
        <v>0</v>
      </c>
      <c r="BX44" s="14">
        <v>0</v>
      </c>
      <c r="BY44" s="15">
        <v>0</v>
      </c>
      <c r="BZ44" s="13">
        <v>0</v>
      </c>
      <c r="CA44" s="14">
        <v>0</v>
      </c>
      <c r="CB44" s="92">
        <v>0</v>
      </c>
    </row>
    <row r="45" spans="1:80" x14ac:dyDescent="0.25">
      <c r="A45" s="23">
        <f t="shared" si="1"/>
        <v>15</v>
      </c>
      <c r="B45" s="23">
        <f t="shared" si="2"/>
        <v>2</v>
      </c>
      <c r="C45" s="23" t="str">
        <f t="shared" si="0"/>
        <v>T15_2</v>
      </c>
      <c r="E45" s="3" t="str">
        <f>IF(VLOOKUP($C45,'2D-Chapra'!$C$2:$T$55,MID(E$1,2,2)+2,0)="","",VLOOKUP($C45,'2D-Chapra'!$C$2:$T$55,MID(E$1,2,2)+2,0))</f>
        <v/>
      </c>
      <c r="F45" s="4" t="str">
        <f>IF(VLOOKUP($C45,'2D-Chapra'!$C$2:$T$55,MID(F$1,2,2)+2,0)="","",VLOOKUP($C45,'2D-Chapra'!$C$2:$T$55,MID(F$1,2,2)+2,0))</f>
        <v/>
      </c>
      <c r="G45" s="4" t="str">
        <f>IF(VLOOKUP($C45,'2D-Chapra'!$C$2:$T$55,MID(G$1,2,2)+2,0)="","",VLOOKUP($C45,'2D-Chapra'!$C$2:$T$55,MID(G$1,2,2)+2,0))</f>
        <v/>
      </c>
      <c r="H45" s="4" t="str">
        <f>IF(VLOOKUP($C45,'2D-Chapra'!$C$2:$T$55,MID(H$1,2,2)+2,0)="","",VLOOKUP($C45,'2D-Chapra'!$C$2:$T$55,MID(H$1,2,2)+2,0))</f>
        <v/>
      </c>
      <c r="I45" s="4" t="str">
        <f>IF(VLOOKUP($C45,'2D-Chapra'!$C$2:$T$55,MID(I$1,2,2)+2,0)="","",VLOOKUP($C45,'2D-Chapra'!$C$2:$T$55,MID(I$1,2,2)+2,0))</f>
        <v/>
      </c>
      <c r="J45" s="4" t="str">
        <f>IF(VLOOKUP($C45,'2D-Chapra'!$C$2:$T$55,MID(J$1,2,2)+2,0)="","",VLOOKUP($C45,'2D-Chapra'!$C$2:$T$55,MID(J$1,2,2)+2,0))</f>
        <v/>
      </c>
      <c r="K45" s="4" t="str">
        <f>IF(VLOOKUP($C45,'2D-Chapra'!$C$2:$T$55,MID(K$1,2,2)+2,0)="","",VLOOKUP($C45,'2D-Chapra'!$C$2:$T$55,MID(K$1,2,2)+2,0))</f>
        <v/>
      </c>
      <c r="L45" s="4" t="str">
        <f>IF(VLOOKUP($C45,'2D-Chapra'!$C$2:$T$55,MID(L$1,2,2)+2,0)="","",VLOOKUP($C45,'2D-Chapra'!$C$2:$T$55,MID(L$1,2,2)+2,0))</f>
        <v/>
      </c>
      <c r="M45" s="4" t="str">
        <f>IF(VLOOKUP($C45,'2D-Chapra'!$C$2:$T$55,MID(M$1,2,2)+2,0)="","",VLOOKUP($C45,'2D-Chapra'!$C$2:$T$55,MID(M$1,2,2)+2,0))</f>
        <v/>
      </c>
      <c r="N45" s="4" t="str">
        <f>IF(VLOOKUP($C45,'2D-Chapra'!$C$2:$T$55,MID(N$1,2,2)+2,0)="","",VLOOKUP($C45,'2D-Chapra'!$C$2:$T$55,MID(N$1,2,2)+2,0))</f>
        <v/>
      </c>
      <c r="O45" s="4" t="str">
        <f>IF(VLOOKUP($C45,'2D-Chapra'!$C$2:$T$55,MID(O$1,2,2)+2,0)="","",VLOOKUP($C45,'2D-Chapra'!$C$2:$T$55,MID(O$1,2,2)+2,0))</f>
        <v/>
      </c>
      <c r="P45" s="4" t="str">
        <f>IF(VLOOKUP($C45,'2D-Chapra'!$C$2:$T$55,MID(P$1,2,2)+2,0)="","",VLOOKUP($C45,'2D-Chapra'!$C$2:$T$55,MID(P$1,2,2)+2,0))</f>
        <v/>
      </c>
      <c r="Q45" s="4" t="str">
        <f>IF(VLOOKUP($C45,'2D-Chapra'!$C$2:$T$55,MID(Q$1,2,2)+2,0)="","",VLOOKUP($C45,'2D-Chapra'!$C$2:$T$55,MID(Q$1,2,2)+2,0))</f>
        <v/>
      </c>
      <c r="R45" s="4" t="str">
        <f>IF(VLOOKUP($C45,'2D-Chapra'!$C$2:$T$55,MID(R$1,2,2)+2,0)="","",VLOOKUP($C45,'2D-Chapra'!$C$2:$T$55,MID(R$1,2,2)+2,0))</f>
        <v/>
      </c>
      <c r="S45" s="4">
        <f>IF(VLOOKUP($C45,'2D-Chapra'!$C$2:$T$55,MID(S$1,2,2)+2,0)="","",VLOOKUP($C45,'2D-Chapra'!$C$2:$T$55,MID(S$1,2,2)+2,0))</f>
        <v>1</v>
      </c>
      <c r="T45" s="5" t="str">
        <f>IF(VLOOKUP($C45,'2D-Chapra'!$C$2:$T$55,MID(T$1,2,2)+2,0)="","",VLOOKUP($C45,'2D-Chapra'!$C$2:$T$55,MID(T$1,2,2)+2,0))</f>
        <v/>
      </c>
      <c r="W45" s="93">
        <v>1</v>
      </c>
      <c r="X45" s="49">
        <v>1</v>
      </c>
      <c r="Y45" s="94">
        <v>3</v>
      </c>
      <c r="Z45" s="95" t="s">
        <v>196</v>
      </c>
      <c r="AA45" s="3">
        <v>0</v>
      </c>
      <c r="AB45" s="4">
        <v>0</v>
      </c>
      <c r="AC45" s="17">
        <v>0</v>
      </c>
      <c r="AD45" s="16">
        <v>0</v>
      </c>
      <c r="AE45" s="4">
        <v>0</v>
      </c>
      <c r="AF45" s="17">
        <v>0</v>
      </c>
      <c r="AG45" s="16">
        <v>0</v>
      </c>
      <c r="AH45" s="4">
        <v>0</v>
      </c>
      <c r="AI45" s="17">
        <v>0</v>
      </c>
      <c r="AJ45" s="16">
        <v>0</v>
      </c>
      <c r="AK45" s="4">
        <v>0</v>
      </c>
      <c r="AL45" s="17">
        <v>0</v>
      </c>
      <c r="AM45" s="16">
        <v>0</v>
      </c>
      <c r="AN45" s="4">
        <v>0</v>
      </c>
      <c r="AO45" s="17">
        <v>0</v>
      </c>
      <c r="AP45" s="16">
        <v>0</v>
      </c>
      <c r="AQ45" s="4">
        <v>0</v>
      </c>
      <c r="AR45" s="17">
        <v>0</v>
      </c>
      <c r="AS45" s="16">
        <v>0</v>
      </c>
      <c r="AT45" s="4">
        <v>0</v>
      </c>
      <c r="AU45" s="17">
        <v>0</v>
      </c>
      <c r="AV45" s="16">
        <v>0</v>
      </c>
      <c r="AW45" s="4">
        <v>0</v>
      </c>
      <c r="AX45" s="17">
        <v>0</v>
      </c>
      <c r="AY45" s="16">
        <v>0</v>
      </c>
      <c r="AZ45" s="4">
        <v>0</v>
      </c>
      <c r="BA45" s="17">
        <v>0</v>
      </c>
      <c r="BB45" s="16">
        <v>0</v>
      </c>
      <c r="BC45" s="4">
        <v>0</v>
      </c>
      <c r="BD45" s="17">
        <v>0</v>
      </c>
      <c r="BE45" s="16">
        <v>0</v>
      </c>
      <c r="BF45" s="4">
        <v>0</v>
      </c>
      <c r="BG45" s="17">
        <v>0</v>
      </c>
      <c r="BH45" s="16">
        <v>0</v>
      </c>
      <c r="BI45" s="4">
        <v>0</v>
      </c>
      <c r="BJ45" s="17">
        <v>0</v>
      </c>
      <c r="BK45" s="16">
        <v>0</v>
      </c>
      <c r="BL45" s="4">
        <v>0</v>
      </c>
      <c r="BM45" s="17">
        <v>0</v>
      </c>
      <c r="BN45" s="16">
        <v>0</v>
      </c>
      <c r="BO45" s="4">
        <v>0</v>
      </c>
      <c r="BP45" s="17">
        <v>0</v>
      </c>
      <c r="BQ45" s="107">
        <f ca="1"/>
        <v>0</v>
      </c>
      <c r="BR45" s="11">
        <f ca="1"/>
        <v>0.25</v>
      </c>
      <c r="BS45" s="96">
        <f ca="1"/>
        <v>-0.25</v>
      </c>
      <c r="BT45" s="16">
        <v>0</v>
      </c>
      <c r="BU45" s="4">
        <v>0</v>
      </c>
      <c r="BV45" s="17">
        <v>0</v>
      </c>
      <c r="BW45" s="16">
        <v>0</v>
      </c>
      <c r="BX45" s="4">
        <v>0</v>
      </c>
      <c r="BY45" s="17">
        <v>0</v>
      </c>
      <c r="BZ45" s="16">
        <v>0</v>
      </c>
      <c r="CA45" s="4">
        <v>0</v>
      </c>
      <c r="CB45" s="5">
        <v>0</v>
      </c>
    </row>
    <row r="46" spans="1:80" x14ac:dyDescent="0.25">
      <c r="A46" s="23">
        <f t="shared" si="1"/>
        <v>15</v>
      </c>
      <c r="B46" s="23">
        <f t="shared" si="2"/>
        <v>3</v>
      </c>
      <c r="C46" s="23" t="str">
        <f t="shared" si="0"/>
        <v>T15_3</v>
      </c>
      <c r="E46" s="3" t="str">
        <f>IF(VLOOKUP($C46,'2D-Chapra'!$C$2:$T$55,MID(E$1,2,2)+2,0)="","",VLOOKUP($C46,'2D-Chapra'!$C$2:$T$55,MID(E$1,2,2)+2,0))</f>
        <v/>
      </c>
      <c r="F46" s="4" t="str">
        <f>IF(VLOOKUP($C46,'2D-Chapra'!$C$2:$T$55,MID(F$1,2,2)+2,0)="","",VLOOKUP($C46,'2D-Chapra'!$C$2:$T$55,MID(F$1,2,2)+2,0))</f>
        <v/>
      </c>
      <c r="G46" s="4" t="str">
        <f>IF(VLOOKUP($C46,'2D-Chapra'!$C$2:$T$55,MID(G$1,2,2)+2,0)="","",VLOOKUP($C46,'2D-Chapra'!$C$2:$T$55,MID(G$1,2,2)+2,0))</f>
        <v/>
      </c>
      <c r="H46" s="4" t="str">
        <f>IF(VLOOKUP($C46,'2D-Chapra'!$C$2:$T$55,MID(H$1,2,2)+2,0)="","",VLOOKUP($C46,'2D-Chapra'!$C$2:$T$55,MID(H$1,2,2)+2,0))</f>
        <v/>
      </c>
      <c r="I46" s="4" t="str">
        <f>IF(VLOOKUP($C46,'2D-Chapra'!$C$2:$T$55,MID(I$1,2,2)+2,0)="","",VLOOKUP($C46,'2D-Chapra'!$C$2:$T$55,MID(I$1,2,2)+2,0))</f>
        <v/>
      </c>
      <c r="J46" s="4" t="str">
        <f>IF(VLOOKUP($C46,'2D-Chapra'!$C$2:$T$55,MID(J$1,2,2)+2,0)="","",VLOOKUP($C46,'2D-Chapra'!$C$2:$T$55,MID(J$1,2,2)+2,0))</f>
        <v/>
      </c>
      <c r="K46" s="4" t="str">
        <f>IF(VLOOKUP($C46,'2D-Chapra'!$C$2:$T$55,MID(K$1,2,2)+2,0)="","",VLOOKUP($C46,'2D-Chapra'!$C$2:$T$55,MID(K$1,2,2)+2,0))</f>
        <v/>
      </c>
      <c r="L46" s="4" t="str">
        <f>IF(VLOOKUP($C46,'2D-Chapra'!$C$2:$T$55,MID(L$1,2,2)+2,0)="","",VLOOKUP($C46,'2D-Chapra'!$C$2:$T$55,MID(L$1,2,2)+2,0))</f>
        <v/>
      </c>
      <c r="M46" s="4" t="str">
        <f>IF(VLOOKUP($C46,'2D-Chapra'!$C$2:$T$55,MID(M$1,2,2)+2,0)="","",VLOOKUP($C46,'2D-Chapra'!$C$2:$T$55,MID(M$1,2,2)+2,0))</f>
        <v/>
      </c>
      <c r="N46" s="4" t="str">
        <f>IF(VLOOKUP($C46,'2D-Chapra'!$C$2:$T$55,MID(N$1,2,2)+2,0)="","",VLOOKUP($C46,'2D-Chapra'!$C$2:$T$55,MID(N$1,2,2)+2,0))</f>
        <v/>
      </c>
      <c r="O46" s="4" t="str">
        <f>IF(VLOOKUP($C46,'2D-Chapra'!$C$2:$T$55,MID(O$1,2,2)+2,0)="","",VLOOKUP($C46,'2D-Chapra'!$C$2:$T$55,MID(O$1,2,2)+2,0))</f>
        <v/>
      </c>
      <c r="P46" s="4" t="str">
        <f>IF(VLOOKUP($C46,'2D-Chapra'!$C$2:$T$55,MID(P$1,2,2)+2,0)="","",VLOOKUP($C46,'2D-Chapra'!$C$2:$T$55,MID(P$1,2,2)+2,0))</f>
        <v/>
      </c>
      <c r="Q46" s="4" t="str">
        <f>IF(VLOOKUP($C46,'2D-Chapra'!$C$2:$T$55,MID(Q$1,2,2)+2,0)="","",VLOOKUP($C46,'2D-Chapra'!$C$2:$T$55,MID(Q$1,2,2)+2,0))</f>
        <v/>
      </c>
      <c r="R46" s="4">
        <f>IF(VLOOKUP($C46,'2D-Chapra'!$C$2:$T$55,MID(R$1,2,2)+2,0)="","",VLOOKUP($C46,'2D-Chapra'!$C$2:$T$55,MID(R$1,2,2)+2,0))</f>
        <v>1</v>
      </c>
      <c r="S46" s="4" t="str">
        <f>IF(VLOOKUP($C46,'2D-Chapra'!$C$2:$T$55,MID(S$1,2,2)+2,0)="","",VLOOKUP($C46,'2D-Chapra'!$C$2:$T$55,MID(S$1,2,2)+2,0))</f>
        <v/>
      </c>
      <c r="T46" s="5" t="str">
        <f>IF(VLOOKUP($C46,'2D-Chapra'!$C$2:$T$55,MID(T$1,2,2)+2,0)="","",VLOOKUP($C46,'2D-Chapra'!$C$2:$T$55,MID(T$1,2,2)+2,0))</f>
        <v/>
      </c>
      <c r="W46" s="97">
        <v>1</v>
      </c>
      <c r="X46" s="98">
        <v>-1</v>
      </c>
      <c r="Y46" s="99">
        <v>3</v>
      </c>
      <c r="Z46" s="100" t="s">
        <v>197</v>
      </c>
      <c r="AA46" s="108">
        <v>0</v>
      </c>
      <c r="AB46" s="19">
        <v>0</v>
      </c>
      <c r="AC46" s="20">
        <v>0</v>
      </c>
      <c r="AD46" s="18">
        <v>0</v>
      </c>
      <c r="AE46" s="19">
        <v>0</v>
      </c>
      <c r="AF46" s="20">
        <v>0</v>
      </c>
      <c r="AG46" s="18">
        <v>0</v>
      </c>
      <c r="AH46" s="19">
        <v>0</v>
      </c>
      <c r="AI46" s="20">
        <v>0</v>
      </c>
      <c r="AJ46" s="18">
        <v>0</v>
      </c>
      <c r="AK46" s="19">
        <v>0</v>
      </c>
      <c r="AL46" s="20">
        <v>0</v>
      </c>
      <c r="AM46" s="18">
        <v>0</v>
      </c>
      <c r="AN46" s="19">
        <v>0</v>
      </c>
      <c r="AO46" s="20">
        <v>0</v>
      </c>
      <c r="AP46" s="18">
        <v>0</v>
      </c>
      <c r="AQ46" s="19">
        <v>0</v>
      </c>
      <c r="AR46" s="20">
        <v>0</v>
      </c>
      <c r="AS46" s="18">
        <v>0</v>
      </c>
      <c r="AT46" s="19">
        <v>0</v>
      </c>
      <c r="AU46" s="20">
        <v>0</v>
      </c>
      <c r="AV46" s="18">
        <v>0</v>
      </c>
      <c r="AW46" s="19">
        <v>0</v>
      </c>
      <c r="AX46" s="20">
        <v>0</v>
      </c>
      <c r="AY46" s="18">
        <v>0</v>
      </c>
      <c r="AZ46" s="19">
        <v>0</v>
      </c>
      <c r="BA46" s="20">
        <v>0</v>
      </c>
      <c r="BB46" s="18">
        <v>0</v>
      </c>
      <c r="BC46" s="19">
        <v>0</v>
      </c>
      <c r="BD46" s="20">
        <v>0</v>
      </c>
      <c r="BE46" s="18">
        <v>0</v>
      </c>
      <c r="BF46" s="19">
        <v>0</v>
      </c>
      <c r="BG46" s="20">
        <v>0</v>
      </c>
      <c r="BH46" s="18">
        <v>0</v>
      </c>
      <c r="BI46" s="19">
        <v>0</v>
      </c>
      <c r="BJ46" s="20">
        <v>0</v>
      </c>
      <c r="BK46" s="18">
        <v>0</v>
      </c>
      <c r="BL46" s="19">
        <v>0</v>
      </c>
      <c r="BM46" s="20">
        <v>0</v>
      </c>
      <c r="BN46" s="18">
        <v>0</v>
      </c>
      <c r="BO46" s="19">
        <v>0</v>
      </c>
      <c r="BP46" s="20">
        <v>0</v>
      </c>
      <c r="BQ46" s="109">
        <f ca="1"/>
        <v>-0.25</v>
      </c>
      <c r="BR46" s="102">
        <f ca="1"/>
        <v>-0.25</v>
      </c>
      <c r="BS46" s="103">
        <f ca="1"/>
        <v>0.5</v>
      </c>
      <c r="BT46" s="18">
        <v>0</v>
      </c>
      <c r="BU46" s="19">
        <v>0</v>
      </c>
      <c r="BV46" s="20">
        <v>0</v>
      </c>
      <c r="BW46" s="18">
        <v>0</v>
      </c>
      <c r="BX46" s="19">
        <v>0</v>
      </c>
      <c r="BY46" s="20">
        <v>0</v>
      </c>
      <c r="BZ46" s="18">
        <v>0</v>
      </c>
      <c r="CA46" s="19">
        <v>0</v>
      </c>
      <c r="CB46" s="104">
        <v>0</v>
      </c>
    </row>
    <row r="47" spans="1:80" x14ac:dyDescent="0.25">
      <c r="A47" s="23">
        <f t="shared" si="1"/>
        <v>16</v>
      </c>
      <c r="B47" s="23">
        <f t="shared" si="2"/>
        <v>1</v>
      </c>
      <c r="C47" s="23" t="str">
        <f t="shared" si="0"/>
        <v>T16_1</v>
      </c>
      <c r="E47" s="3" t="str">
        <f>IF(VLOOKUP($C47,'2D-Chapra'!$C$2:$T$55,MID(E$1,2,2)+2,0)="","",VLOOKUP($C47,'2D-Chapra'!$C$2:$T$55,MID(E$1,2,2)+2,0))</f>
        <v/>
      </c>
      <c r="F47" s="4" t="str">
        <f>IF(VLOOKUP($C47,'2D-Chapra'!$C$2:$T$55,MID(F$1,2,2)+2,0)="","",VLOOKUP($C47,'2D-Chapra'!$C$2:$T$55,MID(F$1,2,2)+2,0))</f>
        <v/>
      </c>
      <c r="G47" s="4">
        <f>IF(VLOOKUP($C47,'2D-Chapra'!$C$2:$T$55,MID(G$1,2,2)+2,0)="","",VLOOKUP($C47,'2D-Chapra'!$C$2:$T$55,MID(G$1,2,2)+2,0))</f>
        <v>1</v>
      </c>
      <c r="H47" s="4" t="str">
        <f>IF(VLOOKUP($C47,'2D-Chapra'!$C$2:$T$55,MID(H$1,2,2)+2,0)="","",VLOOKUP($C47,'2D-Chapra'!$C$2:$T$55,MID(H$1,2,2)+2,0))</f>
        <v/>
      </c>
      <c r="I47" s="4" t="str">
        <f>IF(VLOOKUP($C47,'2D-Chapra'!$C$2:$T$55,MID(I$1,2,2)+2,0)="","",VLOOKUP($C47,'2D-Chapra'!$C$2:$T$55,MID(I$1,2,2)+2,0))</f>
        <v/>
      </c>
      <c r="J47" s="4" t="str">
        <f>IF(VLOOKUP($C47,'2D-Chapra'!$C$2:$T$55,MID(J$1,2,2)+2,0)="","",VLOOKUP($C47,'2D-Chapra'!$C$2:$T$55,MID(J$1,2,2)+2,0))</f>
        <v/>
      </c>
      <c r="K47" s="4" t="str">
        <f>IF(VLOOKUP($C47,'2D-Chapra'!$C$2:$T$55,MID(K$1,2,2)+2,0)="","",VLOOKUP($C47,'2D-Chapra'!$C$2:$T$55,MID(K$1,2,2)+2,0))</f>
        <v/>
      </c>
      <c r="L47" s="4" t="str">
        <f>IF(VLOOKUP($C47,'2D-Chapra'!$C$2:$T$55,MID(L$1,2,2)+2,0)="","",VLOOKUP($C47,'2D-Chapra'!$C$2:$T$55,MID(L$1,2,2)+2,0))</f>
        <v/>
      </c>
      <c r="M47" s="4" t="str">
        <f>IF(VLOOKUP($C47,'2D-Chapra'!$C$2:$T$55,MID(M$1,2,2)+2,0)="","",VLOOKUP($C47,'2D-Chapra'!$C$2:$T$55,MID(M$1,2,2)+2,0))</f>
        <v/>
      </c>
      <c r="N47" s="4" t="str">
        <f>IF(VLOOKUP($C47,'2D-Chapra'!$C$2:$T$55,MID(N$1,2,2)+2,0)="","",VLOOKUP($C47,'2D-Chapra'!$C$2:$T$55,MID(N$1,2,2)+2,0))</f>
        <v/>
      </c>
      <c r="O47" s="4" t="str">
        <f>IF(VLOOKUP($C47,'2D-Chapra'!$C$2:$T$55,MID(O$1,2,2)+2,0)="","",VLOOKUP($C47,'2D-Chapra'!$C$2:$T$55,MID(O$1,2,2)+2,0))</f>
        <v/>
      </c>
      <c r="P47" s="4" t="str">
        <f>IF(VLOOKUP($C47,'2D-Chapra'!$C$2:$T$55,MID(P$1,2,2)+2,0)="","",VLOOKUP($C47,'2D-Chapra'!$C$2:$T$55,MID(P$1,2,2)+2,0))</f>
        <v/>
      </c>
      <c r="Q47" s="4" t="str">
        <f>IF(VLOOKUP($C47,'2D-Chapra'!$C$2:$T$55,MID(Q$1,2,2)+2,0)="","",VLOOKUP($C47,'2D-Chapra'!$C$2:$T$55,MID(Q$1,2,2)+2,0))</f>
        <v/>
      </c>
      <c r="R47" s="4" t="str">
        <f>IF(VLOOKUP($C47,'2D-Chapra'!$C$2:$T$55,MID(R$1,2,2)+2,0)="","",VLOOKUP($C47,'2D-Chapra'!$C$2:$T$55,MID(R$1,2,2)+2,0))</f>
        <v/>
      </c>
      <c r="S47" s="4" t="str">
        <f>IF(VLOOKUP($C47,'2D-Chapra'!$C$2:$T$55,MID(S$1,2,2)+2,0)="","",VLOOKUP($C47,'2D-Chapra'!$C$2:$T$55,MID(S$1,2,2)+2,0))</f>
        <v/>
      </c>
      <c r="T47" s="5" t="str">
        <f>IF(VLOOKUP($C47,'2D-Chapra'!$C$2:$T$55,MID(T$1,2,2)+2,0)="","",VLOOKUP($C47,'2D-Chapra'!$C$2:$T$55,MID(T$1,2,2)+2,0))</f>
        <v/>
      </c>
      <c r="W47" s="85">
        <v>1</v>
      </c>
      <c r="X47" s="86">
        <v>-1</v>
      </c>
      <c r="Y47" s="87">
        <v>1</v>
      </c>
      <c r="Z47" s="88" t="s">
        <v>198</v>
      </c>
      <c r="AA47" s="105">
        <v>0</v>
      </c>
      <c r="AB47" s="14">
        <v>0</v>
      </c>
      <c r="AC47" s="15">
        <v>0</v>
      </c>
      <c r="AD47" s="13">
        <v>0</v>
      </c>
      <c r="AE47" s="14">
        <v>0</v>
      </c>
      <c r="AF47" s="15">
        <v>0</v>
      </c>
      <c r="AG47" s="13">
        <v>0</v>
      </c>
      <c r="AH47" s="14">
        <v>0</v>
      </c>
      <c r="AI47" s="15">
        <v>0</v>
      </c>
      <c r="AJ47" s="13">
        <v>0</v>
      </c>
      <c r="AK47" s="14">
        <v>0</v>
      </c>
      <c r="AL47" s="15">
        <v>0</v>
      </c>
      <c r="AM47" s="13">
        <v>0</v>
      </c>
      <c r="AN47" s="14">
        <v>0</v>
      </c>
      <c r="AO47" s="15">
        <v>0</v>
      </c>
      <c r="AP47" s="13">
        <v>0</v>
      </c>
      <c r="AQ47" s="14">
        <v>0</v>
      </c>
      <c r="AR47" s="15">
        <v>0</v>
      </c>
      <c r="AS47" s="13">
        <v>0</v>
      </c>
      <c r="AT47" s="14">
        <v>0</v>
      </c>
      <c r="AU47" s="15">
        <v>0</v>
      </c>
      <c r="AV47" s="13">
        <v>0</v>
      </c>
      <c r="AW47" s="14">
        <v>0</v>
      </c>
      <c r="AX47" s="15">
        <v>0</v>
      </c>
      <c r="AY47" s="13">
        <v>0</v>
      </c>
      <c r="AZ47" s="14">
        <v>0</v>
      </c>
      <c r="BA47" s="15">
        <v>0</v>
      </c>
      <c r="BB47" s="13">
        <v>0</v>
      </c>
      <c r="BC47" s="14">
        <v>0</v>
      </c>
      <c r="BD47" s="15">
        <v>0</v>
      </c>
      <c r="BE47" s="13">
        <v>0</v>
      </c>
      <c r="BF47" s="14">
        <v>0</v>
      </c>
      <c r="BG47" s="15">
        <v>0</v>
      </c>
      <c r="BH47" s="13">
        <v>0</v>
      </c>
      <c r="BI47" s="14">
        <v>0</v>
      </c>
      <c r="BJ47" s="15">
        <v>0</v>
      </c>
      <c r="BK47" s="13">
        <v>0</v>
      </c>
      <c r="BL47" s="14">
        <v>0</v>
      </c>
      <c r="BM47" s="15">
        <v>0</v>
      </c>
      <c r="BN47" s="13">
        <v>0</v>
      </c>
      <c r="BO47" s="14">
        <v>0</v>
      </c>
      <c r="BP47" s="15">
        <v>0</v>
      </c>
      <c r="BQ47" s="13">
        <v>0</v>
      </c>
      <c r="BR47" s="14">
        <v>0</v>
      </c>
      <c r="BS47" s="15">
        <v>0</v>
      </c>
      <c r="BT47" s="106">
        <f t="array" aca="1" ref="BT47:BV49" ca="1">rigidez($W47:$Y49)</f>
        <v>0.25</v>
      </c>
      <c r="BU47" s="90">
        <f ca="1"/>
        <v>-0.25</v>
      </c>
      <c r="BV47" s="91">
        <f ca="1"/>
        <v>0</v>
      </c>
      <c r="BW47" s="13">
        <v>0</v>
      </c>
      <c r="BX47" s="14">
        <v>0</v>
      </c>
      <c r="BY47" s="15">
        <v>0</v>
      </c>
      <c r="BZ47" s="13">
        <v>0</v>
      </c>
      <c r="CA47" s="14">
        <v>0</v>
      </c>
      <c r="CB47" s="92">
        <v>0</v>
      </c>
    </row>
    <row r="48" spans="1:80" x14ac:dyDescent="0.25">
      <c r="A48" s="23">
        <f t="shared" si="1"/>
        <v>16</v>
      </c>
      <c r="B48" s="23">
        <f t="shared" si="2"/>
        <v>2</v>
      </c>
      <c r="C48" s="23" t="str">
        <f t="shared" si="0"/>
        <v>T16_2</v>
      </c>
      <c r="E48" s="3" t="str">
        <f>IF(VLOOKUP($C48,'2D-Chapra'!$C$2:$T$55,MID(E$1,2,2)+2,0)="","",VLOOKUP($C48,'2D-Chapra'!$C$2:$T$55,MID(E$1,2,2)+2,0))</f>
        <v/>
      </c>
      <c r="F48" s="4" t="str">
        <f>IF(VLOOKUP($C48,'2D-Chapra'!$C$2:$T$55,MID(F$1,2,2)+2,0)="","",VLOOKUP($C48,'2D-Chapra'!$C$2:$T$55,MID(F$1,2,2)+2,0))</f>
        <v/>
      </c>
      <c r="G48" s="4" t="str">
        <f>IF(VLOOKUP($C48,'2D-Chapra'!$C$2:$T$55,MID(G$1,2,2)+2,0)="","",VLOOKUP($C48,'2D-Chapra'!$C$2:$T$55,MID(G$1,2,2)+2,0))</f>
        <v/>
      </c>
      <c r="H48" s="4">
        <f>IF(VLOOKUP($C48,'2D-Chapra'!$C$2:$T$55,MID(H$1,2,2)+2,0)="","",VLOOKUP($C48,'2D-Chapra'!$C$2:$T$55,MID(H$1,2,2)+2,0))</f>
        <v>1</v>
      </c>
      <c r="I48" s="4" t="str">
        <f>IF(VLOOKUP($C48,'2D-Chapra'!$C$2:$T$55,MID(I$1,2,2)+2,0)="","",VLOOKUP($C48,'2D-Chapra'!$C$2:$T$55,MID(I$1,2,2)+2,0))</f>
        <v/>
      </c>
      <c r="J48" s="4" t="str">
        <f>IF(VLOOKUP($C48,'2D-Chapra'!$C$2:$T$55,MID(J$1,2,2)+2,0)="","",VLOOKUP($C48,'2D-Chapra'!$C$2:$T$55,MID(J$1,2,2)+2,0))</f>
        <v/>
      </c>
      <c r="K48" s="4" t="str">
        <f>IF(VLOOKUP($C48,'2D-Chapra'!$C$2:$T$55,MID(K$1,2,2)+2,0)="","",VLOOKUP($C48,'2D-Chapra'!$C$2:$T$55,MID(K$1,2,2)+2,0))</f>
        <v/>
      </c>
      <c r="L48" s="4" t="str">
        <f>IF(VLOOKUP($C48,'2D-Chapra'!$C$2:$T$55,MID(L$1,2,2)+2,0)="","",VLOOKUP($C48,'2D-Chapra'!$C$2:$T$55,MID(L$1,2,2)+2,0))</f>
        <v/>
      </c>
      <c r="M48" s="4" t="str">
        <f>IF(VLOOKUP($C48,'2D-Chapra'!$C$2:$T$55,MID(M$1,2,2)+2,0)="","",VLOOKUP($C48,'2D-Chapra'!$C$2:$T$55,MID(M$1,2,2)+2,0))</f>
        <v/>
      </c>
      <c r="N48" s="4" t="str">
        <f>IF(VLOOKUP($C48,'2D-Chapra'!$C$2:$T$55,MID(N$1,2,2)+2,0)="","",VLOOKUP($C48,'2D-Chapra'!$C$2:$T$55,MID(N$1,2,2)+2,0))</f>
        <v/>
      </c>
      <c r="O48" s="4" t="str">
        <f>IF(VLOOKUP($C48,'2D-Chapra'!$C$2:$T$55,MID(O$1,2,2)+2,0)="","",VLOOKUP($C48,'2D-Chapra'!$C$2:$T$55,MID(O$1,2,2)+2,0))</f>
        <v/>
      </c>
      <c r="P48" s="4" t="str">
        <f>IF(VLOOKUP($C48,'2D-Chapra'!$C$2:$T$55,MID(P$1,2,2)+2,0)="","",VLOOKUP($C48,'2D-Chapra'!$C$2:$T$55,MID(P$1,2,2)+2,0))</f>
        <v/>
      </c>
      <c r="Q48" s="4" t="str">
        <f>IF(VLOOKUP($C48,'2D-Chapra'!$C$2:$T$55,MID(Q$1,2,2)+2,0)="","",VLOOKUP($C48,'2D-Chapra'!$C$2:$T$55,MID(Q$1,2,2)+2,0))</f>
        <v/>
      </c>
      <c r="R48" s="4" t="str">
        <f>IF(VLOOKUP($C48,'2D-Chapra'!$C$2:$T$55,MID(R$1,2,2)+2,0)="","",VLOOKUP($C48,'2D-Chapra'!$C$2:$T$55,MID(R$1,2,2)+2,0))</f>
        <v/>
      </c>
      <c r="S48" s="4" t="str">
        <f>IF(VLOOKUP($C48,'2D-Chapra'!$C$2:$T$55,MID(S$1,2,2)+2,0)="","",VLOOKUP($C48,'2D-Chapra'!$C$2:$T$55,MID(S$1,2,2)+2,0))</f>
        <v/>
      </c>
      <c r="T48" s="5" t="str">
        <f>IF(VLOOKUP($C48,'2D-Chapra'!$C$2:$T$55,MID(T$1,2,2)+2,0)="","",VLOOKUP($C48,'2D-Chapra'!$C$2:$T$55,MID(T$1,2,2)+2,0))</f>
        <v/>
      </c>
      <c r="W48" s="93">
        <v>1</v>
      </c>
      <c r="X48" s="49">
        <v>1</v>
      </c>
      <c r="Y48" s="94">
        <v>1</v>
      </c>
      <c r="Z48" s="95" t="s">
        <v>199</v>
      </c>
      <c r="AA48" s="3">
        <v>0</v>
      </c>
      <c r="AB48" s="4">
        <v>0</v>
      </c>
      <c r="AC48" s="17">
        <v>0</v>
      </c>
      <c r="AD48" s="16">
        <v>0</v>
      </c>
      <c r="AE48" s="4">
        <v>0</v>
      </c>
      <c r="AF48" s="17">
        <v>0</v>
      </c>
      <c r="AG48" s="16">
        <v>0</v>
      </c>
      <c r="AH48" s="4">
        <v>0</v>
      </c>
      <c r="AI48" s="17">
        <v>0</v>
      </c>
      <c r="AJ48" s="16">
        <v>0</v>
      </c>
      <c r="AK48" s="4">
        <v>0</v>
      </c>
      <c r="AL48" s="17">
        <v>0</v>
      </c>
      <c r="AM48" s="16">
        <v>0</v>
      </c>
      <c r="AN48" s="4">
        <v>0</v>
      </c>
      <c r="AO48" s="17">
        <v>0</v>
      </c>
      <c r="AP48" s="16">
        <v>0</v>
      </c>
      <c r="AQ48" s="4">
        <v>0</v>
      </c>
      <c r="AR48" s="17">
        <v>0</v>
      </c>
      <c r="AS48" s="16">
        <v>0</v>
      </c>
      <c r="AT48" s="4">
        <v>0</v>
      </c>
      <c r="AU48" s="17">
        <v>0</v>
      </c>
      <c r="AV48" s="16">
        <v>0</v>
      </c>
      <c r="AW48" s="4">
        <v>0</v>
      </c>
      <c r="AX48" s="17">
        <v>0</v>
      </c>
      <c r="AY48" s="16">
        <v>0</v>
      </c>
      <c r="AZ48" s="4">
        <v>0</v>
      </c>
      <c r="BA48" s="17">
        <v>0</v>
      </c>
      <c r="BB48" s="16">
        <v>0</v>
      </c>
      <c r="BC48" s="4">
        <v>0</v>
      </c>
      <c r="BD48" s="17">
        <v>0</v>
      </c>
      <c r="BE48" s="16">
        <v>0</v>
      </c>
      <c r="BF48" s="4">
        <v>0</v>
      </c>
      <c r="BG48" s="17">
        <v>0</v>
      </c>
      <c r="BH48" s="16">
        <v>0</v>
      </c>
      <c r="BI48" s="4">
        <v>0</v>
      </c>
      <c r="BJ48" s="17">
        <v>0</v>
      </c>
      <c r="BK48" s="16">
        <v>0</v>
      </c>
      <c r="BL48" s="4">
        <v>0</v>
      </c>
      <c r="BM48" s="17">
        <v>0</v>
      </c>
      <c r="BN48" s="16">
        <v>0</v>
      </c>
      <c r="BO48" s="4">
        <v>0</v>
      </c>
      <c r="BP48" s="17">
        <v>0</v>
      </c>
      <c r="BQ48" s="16">
        <v>0</v>
      </c>
      <c r="BR48" s="4">
        <v>0</v>
      </c>
      <c r="BS48" s="17">
        <v>0</v>
      </c>
      <c r="BT48" s="107">
        <f ca="1"/>
        <v>-0.25</v>
      </c>
      <c r="BU48" s="11">
        <f ca="1"/>
        <v>0.5</v>
      </c>
      <c r="BV48" s="96">
        <f ca="1"/>
        <v>-0.25</v>
      </c>
      <c r="BW48" s="16">
        <v>0</v>
      </c>
      <c r="BX48" s="4">
        <v>0</v>
      </c>
      <c r="BY48" s="17">
        <v>0</v>
      </c>
      <c r="BZ48" s="16">
        <v>0</v>
      </c>
      <c r="CA48" s="4">
        <v>0</v>
      </c>
      <c r="CB48" s="5">
        <v>0</v>
      </c>
    </row>
    <row r="49" spans="1:80" x14ac:dyDescent="0.25">
      <c r="A49" s="23">
        <f t="shared" si="1"/>
        <v>16</v>
      </c>
      <c r="B49" s="23">
        <f t="shared" si="2"/>
        <v>3</v>
      </c>
      <c r="C49" s="23" t="str">
        <f t="shared" si="0"/>
        <v>T16_3</v>
      </c>
      <c r="E49" s="3" t="str">
        <f>IF(VLOOKUP($C49,'2D-Chapra'!$C$2:$T$55,MID(E$1,2,2)+2,0)="","",VLOOKUP($C49,'2D-Chapra'!$C$2:$T$55,MID(E$1,2,2)+2,0))</f>
        <v/>
      </c>
      <c r="F49" s="4" t="str">
        <f>IF(VLOOKUP($C49,'2D-Chapra'!$C$2:$T$55,MID(F$1,2,2)+2,0)="","",VLOOKUP($C49,'2D-Chapra'!$C$2:$T$55,MID(F$1,2,2)+2,0))</f>
        <v/>
      </c>
      <c r="G49" s="4" t="str">
        <f>IF(VLOOKUP($C49,'2D-Chapra'!$C$2:$T$55,MID(G$1,2,2)+2,0)="","",VLOOKUP($C49,'2D-Chapra'!$C$2:$T$55,MID(G$1,2,2)+2,0))</f>
        <v/>
      </c>
      <c r="H49" s="4" t="str">
        <f>IF(VLOOKUP($C49,'2D-Chapra'!$C$2:$T$55,MID(H$1,2,2)+2,0)="","",VLOOKUP($C49,'2D-Chapra'!$C$2:$T$55,MID(H$1,2,2)+2,0))</f>
        <v/>
      </c>
      <c r="I49" s="4" t="str">
        <f>IF(VLOOKUP($C49,'2D-Chapra'!$C$2:$T$55,MID(I$1,2,2)+2,0)="","",VLOOKUP($C49,'2D-Chapra'!$C$2:$T$55,MID(I$1,2,2)+2,0))</f>
        <v/>
      </c>
      <c r="J49" s="4" t="str">
        <f>IF(VLOOKUP($C49,'2D-Chapra'!$C$2:$T$55,MID(J$1,2,2)+2,0)="","",VLOOKUP($C49,'2D-Chapra'!$C$2:$T$55,MID(J$1,2,2)+2,0))</f>
        <v/>
      </c>
      <c r="K49" s="4" t="str">
        <f>IF(VLOOKUP($C49,'2D-Chapra'!$C$2:$T$55,MID(K$1,2,2)+2,0)="","",VLOOKUP($C49,'2D-Chapra'!$C$2:$T$55,MID(K$1,2,2)+2,0))</f>
        <v/>
      </c>
      <c r="L49" s="4" t="str">
        <f>IF(VLOOKUP($C49,'2D-Chapra'!$C$2:$T$55,MID(L$1,2,2)+2,0)="","",VLOOKUP($C49,'2D-Chapra'!$C$2:$T$55,MID(L$1,2,2)+2,0))</f>
        <v/>
      </c>
      <c r="M49" s="4" t="str">
        <f>IF(VLOOKUP($C49,'2D-Chapra'!$C$2:$T$55,MID(M$1,2,2)+2,0)="","",VLOOKUP($C49,'2D-Chapra'!$C$2:$T$55,MID(M$1,2,2)+2,0))</f>
        <v/>
      </c>
      <c r="N49" s="4" t="str">
        <f>IF(VLOOKUP($C49,'2D-Chapra'!$C$2:$T$55,MID(N$1,2,2)+2,0)="","",VLOOKUP($C49,'2D-Chapra'!$C$2:$T$55,MID(N$1,2,2)+2,0))</f>
        <v/>
      </c>
      <c r="O49" s="4" t="str">
        <f>IF(VLOOKUP($C49,'2D-Chapra'!$C$2:$T$55,MID(O$1,2,2)+2,0)="","",VLOOKUP($C49,'2D-Chapra'!$C$2:$T$55,MID(O$1,2,2)+2,0))</f>
        <v/>
      </c>
      <c r="P49" s="4" t="str">
        <f>IF(VLOOKUP($C49,'2D-Chapra'!$C$2:$T$55,MID(P$1,2,2)+2,0)="","",VLOOKUP($C49,'2D-Chapra'!$C$2:$T$55,MID(P$1,2,2)+2,0))</f>
        <v/>
      </c>
      <c r="Q49" s="4" t="str">
        <f>IF(VLOOKUP($C49,'2D-Chapra'!$C$2:$T$55,MID(Q$1,2,2)+2,0)="","",VLOOKUP($C49,'2D-Chapra'!$C$2:$T$55,MID(Q$1,2,2)+2,0))</f>
        <v/>
      </c>
      <c r="R49" s="4" t="str">
        <f>IF(VLOOKUP($C49,'2D-Chapra'!$C$2:$T$55,MID(R$1,2,2)+2,0)="","",VLOOKUP($C49,'2D-Chapra'!$C$2:$T$55,MID(R$1,2,2)+2,0))</f>
        <v/>
      </c>
      <c r="S49" s="4">
        <f>IF(VLOOKUP($C49,'2D-Chapra'!$C$2:$T$55,MID(S$1,2,2)+2,0)="","",VLOOKUP($C49,'2D-Chapra'!$C$2:$T$55,MID(S$1,2,2)+2,0))</f>
        <v>1</v>
      </c>
      <c r="T49" s="5" t="str">
        <f>IF(VLOOKUP($C49,'2D-Chapra'!$C$2:$T$55,MID(T$1,2,2)+2,0)="","",VLOOKUP($C49,'2D-Chapra'!$C$2:$T$55,MID(T$1,2,2)+2,0))</f>
        <v/>
      </c>
      <c r="W49" s="97">
        <v>1</v>
      </c>
      <c r="X49" s="98">
        <v>1</v>
      </c>
      <c r="Y49" s="99">
        <v>3</v>
      </c>
      <c r="Z49" s="100" t="s">
        <v>200</v>
      </c>
      <c r="AA49" s="108">
        <v>0</v>
      </c>
      <c r="AB49" s="19">
        <v>0</v>
      </c>
      <c r="AC49" s="20">
        <v>0</v>
      </c>
      <c r="AD49" s="18">
        <v>0</v>
      </c>
      <c r="AE49" s="19">
        <v>0</v>
      </c>
      <c r="AF49" s="20">
        <v>0</v>
      </c>
      <c r="AG49" s="18">
        <v>0</v>
      </c>
      <c r="AH49" s="19">
        <v>0</v>
      </c>
      <c r="AI49" s="20">
        <v>0</v>
      </c>
      <c r="AJ49" s="18">
        <v>0</v>
      </c>
      <c r="AK49" s="19">
        <v>0</v>
      </c>
      <c r="AL49" s="20">
        <v>0</v>
      </c>
      <c r="AM49" s="18">
        <v>0</v>
      </c>
      <c r="AN49" s="19">
        <v>0</v>
      </c>
      <c r="AO49" s="20">
        <v>0</v>
      </c>
      <c r="AP49" s="18">
        <v>0</v>
      </c>
      <c r="AQ49" s="19">
        <v>0</v>
      </c>
      <c r="AR49" s="20">
        <v>0</v>
      </c>
      <c r="AS49" s="18">
        <v>0</v>
      </c>
      <c r="AT49" s="19">
        <v>0</v>
      </c>
      <c r="AU49" s="20">
        <v>0</v>
      </c>
      <c r="AV49" s="18">
        <v>0</v>
      </c>
      <c r="AW49" s="19">
        <v>0</v>
      </c>
      <c r="AX49" s="20">
        <v>0</v>
      </c>
      <c r="AY49" s="18">
        <v>0</v>
      </c>
      <c r="AZ49" s="19">
        <v>0</v>
      </c>
      <c r="BA49" s="20">
        <v>0</v>
      </c>
      <c r="BB49" s="18">
        <v>0</v>
      </c>
      <c r="BC49" s="19">
        <v>0</v>
      </c>
      <c r="BD49" s="20">
        <v>0</v>
      </c>
      <c r="BE49" s="18">
        <v>0</v>
      </c>
      <c r="BF49" s="19">
        <v>0</v>
      </c>
      <c r="BG49" s="20">
        <v>0</v>
      </c>
      <c r="BH49" s="18">
        <v>0</v>
      </c>
      <c r="BI49" s="19">
        <v>0</v>
      </c>
      <c r="BJ49" s="20">
        <v>0</v>
      </c>
      <c r="BK49" s="18">
        <v>0</v>
      </c>
      <c r="BL49" s="19">
        <v>0</v>
      </c>
      <c r="BM49" s="20">
        <v>0</v>
      </c>
      <c r="BN49" s="18">
        <v>0</v>
      </c>
      <c r="BO49" s="19">
        <v>0</v>
      </c>
      <c r="BP49" s="20">
        <v>0</v>
      </c>
      <c r="BQ49" s="18">
        <v>0</v>
      </c>
      <c r="BR49" s="19">
        <v>0</v>
      </c>
      <c r="BS49" s="20">
        <v>0</v>
      </c>
      <c r="BT49" s="109">
        <f ca="1"/>
        <v>0</v>
      </c>
      <c r="BU49" s="102">
        <f ca="1"/>
        <v>-0.25</v>
      </c>
      <c r="BV49" s="103">
        <f ca="1"/>
        <v>0.25</v>
      </c>
      <c r="BW49" s="18">
        <v>0</v>
      </c>
      <c r="BX49" s="19">
        <v>0</v>
      </c>
      <c r="BY49" s="20">
        <v>0</v>
      </c>
      <c r="BZ49" s="18">
        <v>0</v>
      </c>
      <c r="CA49" s="19">
        <v>0</v>
      </c>
      <c r="CB49" s="104">
        <v>0</v>
      </c>
    </row>
    <row r="50" spans="1:80" x14ac:dyDescent="0.25">
      <c r="A50" s="23">
        <f t="shared" si="1"/>
        <v>17</v>
      </c>
      <c r="B50" s="23">
        <f t="shared" si="2"/>
        <v>1</v>
      </c>
      <c r="C50" s="23" t="str">
        <f t="shared" si="0"/>
        <v>T17_1</v>
      </c>
      <c r="E50" s="3" t="str">
        <f>IF(VLOOKUP($C50,'2D-Chapra'!$C$2:$T$55,MID(E$1,2,2)+2,0)="","",VLOOKUP($C50,'2D-Chapra'!$C$2:$T$55,MID(E$1,2,2)+2,0))</f>
        <v/>
      </c>
      <c r="F50" s="4" t="str">
        <f>IF(VLOOKUP($C50,'2D-Chapra'!$C$2:$T$55,MID(F$1,2,2)+2,0)="","",VLOOKUP($C50,'2D-Chapra'!$C$2:$T$55,MID(F$1,2,2)+2,0))</f>
        <v/>
      </c>
      <c r="G50" s="4" t="str">
        <f>IF(VLOOKUP($C50,'2D-Chapra'!$C$2:$T$55,MID(G$1,2,2)+2,0)="","",VLOOKUP($C50,'2D-Chapra'!$C$2:$T$55,MID(G$1,2,2)+2,0))</f>
        <v/>
      </c>
      <c r="H50" s="4">
        <f>IF(VLOOKUP($C50,'2D-Chapra'!$C$2:$T$55,MID(H$1,2,2)+2,0)="","",VLOOKUP($C50,'2D-Chapra'!$C$2:$T$55,MID(H$1,2,2)+2,0))</f>
        <v>1</v>
      </c>
      <c r="I50" s="4" t="str">
        <f>IF(VLOOKUP($C50,'2D-Chapra'!$C$2:$T$55,MID(I$1,2,2)+2,0)="","",VLOOKUP($C50,'2D-Chapra'!$C$2:$T$55,MID(I$1,2,2)+2,0))</f>
        <v/>
      </c>
      <c r="J50" s="4" t="str">
        <f>IF(VLOOKUP($C50,'2D-Chapra'!$C$2:$T$55,MID(J$1,2,2)+2,0)="","",VLOOKUP($C50,'2D-Chapra'!$C$2:$T$55,MID(J$1,2,2)+2,0))</f>
        <v/>
      </c>
      <c r="K50" s="4" t="str">
        <f>IF(VLOOKUP($C50,'2D-Chapra'!$C$2:$T$55,MID(K$1,2,2)+2,0)="","",VLOOKUP($C50,'2D-Chapra'!$C$2:$T$55,MID(K$1,2,2)+2,0))</f>
        <v/>
      </c>
      <c r="L50" s="4" t="str">
        <f>IF(VLOOKUP($C50,'2D-Chapra'!$C$2:$T$55,MID(L$1,2,2)+2,0)="","",VLOOKUP($C50,'2D-Chapra'!$C$2:$T$55,MID(L$1,2,2)+2,0))</f>
        <v/>
      </c>
      <c r="M50" s="4" t="str">
        <f>IF(VLOOKUP($C50,'2D-Chapra'!$C$2:$T$55,MID(M$1,2,2)+2,0)="","",VLOOKUP($C50,'2D-Chapra'!$C$2:$T$55,MID(M$1,2,2)+2,0))</f>
        <v/>
      </c>
      <c r="N50" s="4" t="str">
        <f>IF(VLOOKUP($C50,'2D-Chapra'!$C$2:$T$55,MID(N$1,2,2)+2,0)="","",VLOOKUP($C50,'2D-Chapra'!$C$2:$T$55,MID(N$1,2,2)+2,0))</f>
        <v/>
      </c>
      <c r="O50" s="4" t="str">
        <f>IF(VLOOKUP($C50,'2D-Chapra'!$C$2:$T$55,MID(O$1,2,2)+2,0)="","",VLOOKUP($C50,'2D-Chapra'!$C$2:$T$55,MID(O$1,2,2)+2,0))</f>
        <v/>
      </c>
      <c r="P50" s="4" t="str">
        <f>IF(VLOOKUP($C50,'2D-Chapra'!$C$2:$T$55,MID(P$1,2,2)+2,0)="","",VLOOKUP($C50,'2D-Chapra'!$C$2:$T$55,MID(P$1,2,2)+2,0))</f>
        <v/>
      </c>
      <c r="Q50" s="4" t="str">
        <f>IF(VLOOKUP($C50,'2D-Chapra'!$C$2:$T$55,MID(Q$1,2,2)+2,0)="","",VLOOKUP($C50,'2D-Chapra'!$C$2:$T$55,MID(Q$1,2,2)+2,0))</f>
        <v/>
      </c>
      <c r="R50" s="4" t="str">
        <f>IF(VLOOKUP($C50,'2D-Chapra'!$C$2:$T$55,MID(R$1,2,2)+2,0)="","",VLOOKUP($C50,'2D-Chapra'!$C$2:$T$55,MID(R$1,2,2)+2,0))</f>
        <v/>
      </c>
      <c r="S50" s="4" t="str">
        <f>IF(VLOOKUP($C50,'2D-Chapra'!$C$2:$T$55,MID(S$1,2,2)+2,0)="","",VLOOKUP($C50,'2D-Chapra'!$C$2:$T$55,MID(S$1,2,2)+2,0))</f>
        <v/>
      </c>
      <c r="T50" s="5" t="str">
        <f>IF(VLOOKUP($C50,'2D-Chapra'!$C$2:$T$55,MID(T$1,2,2)+2,0)="","",VLOOKUP($C50,'2D-Chapra'!$C$2:$T$55,MID(T$1,2,2)+2,0))</f>
        <v/>
      </c>
      <c r="W50" s="85">
        <v>1</v>
      </c>
      <c r="X50" s="86">
        <v>1</v>
      </c>
      <c r="Y50" s="87">
        <v>1</v>
      </c>
      <c r="Z50" s="88" t="s">
        <v>201</v>
      </c>
      <c r="AA50" s="105">
        <v>0</v>
      </c>
      <c r="AB50" s="14">
        <v>0</v>
      </c>
      <c r="AC50" s="15">
        <v>0</v>
      </c>
      <c r="AD50" s="13">
        <v>0</v>
      </c>
      <c r="AE50" s="14">
        <v>0</v>
      </c>
      <c r="AF50" s="15">
        <v>0</v>
      </c>
      <c r="AG50" s="13">
        <v>0</v>
      </c>
      <c r="AH50" s="14">
        <v>0</v>
      </c>
      <c r="AI50" s="15">
        <v>0</v>
      </c>
      <c r="AJ50" s="13">
        <v>0</v>
      </c>
      <c r="AK50" s="14">
        <v>0</v>
      </c>
      <c r="AL50" s="15">
        <v>0</v>
      </c>
      <c r="AM50" s="13">
        <v>0</v>
      </c>
      <c r="AN50" s="14">
        <v>0</v>
      </c>
      <c r="AO50" s="15">
        <v>0</v>
      </c>
      <c r="AP50" s="13">
        <v>0</v>
      </c>
      <c r="AQ50" s="14">
        <v>0</v>
      </c>
      <c r="AR50" s="15">
        <v>0</v>
      </c>
      <c r="AS50" s="13">
        <v>0</v>
      </c>
      <c r="AT50" s="14">
        <v>0</v>
      </c>
      <c r="AU50" s="15">
        <v>0</v>
      </c>
      <c r="AV50" s="13">
        <v>0</v>
      </c>
      <c r="AW50" s="14">
        <v>0</v>
      </c>
      <c r="AX50" s="15">
        <v>0</v>
      </c>
      <c r="AY50" s="13">
        <v>0</v>
      </c>
      <c r="AZ50" s="14">
        <v>0</v>
      </c>
      <c r="BA50" s="15">
        <v>0</v>
      </c>
      <c r="BB50" s="13">
        <v>0</v>
      </c>
      <c r="BC50" s="14">
        <v>0</v>
      </c>
      <c r="BD50" s="15">
        <v>0</v>
      </c>
      <c r="BE50" s="13">
        <v>0</v>
      </c>
      <c r="BF50" s="14">
        <v>0</v>
      </c>
      <c r="BG50" s="15">
        <v>0</v>
      </c>
      <c r="BH50" s="13">
        <v>0</v>
      </c>
      <c r="BI50" s="14">
        <v>0</v>
      </c>
      <c r="BJ50" s="15">
        <v>0</v>
      </c>
      <c r="BK50" s="13">
        <v>0</v>
      </c>
      <c r="BL50" s="14">
        <v>0</v>
      </c>
      <c r="BM50" s="15">
        <v>0</v>
      </c>
      <c r="BN50" s="13">
        <v>0</v>
      </c>
      <c r="BO50" s="14">
        <v>0</v>
      </c>
      <c r="BP50" s="15">
        <v>0</v>
      </c>
      <c r="BQ50" s="13">
        <v>0</v>
      </c>
      <c r="BR50" s="14">
        <v>0</v>
      </c>
      <c r="BS50" s="15">
        <v>0</v>
      </c>
      <c r="BT50" s="13">
        <v>0</v>
      </c>
      <c r="BU50" s="14">
        <v>0</v>
      </c>
      <c r="BV50" s="15">
        <v>0</v>
      </c>
      <c r="BW50" s="106">
        <f t="array" aca="1" ref="BW50:BY52" ca="1">rigidez($W50:$Y52)</f>
        <v>0.25</v>
      </c>
      <c r="BX50" s="90">
        <f ca="1"/>
        <v>0</v>
      </c>
      <c r="BY50" s="91">
        <f ca="1"/>
        <v>-0.25</v>
      </c>
      <c r="BZ50" s="13">
        <v>0</v>
      </c>
      <c r="CA50" s="14">
        <v>0</v>
      </c>
      <c r="CB50" s="92">
        <v>0</v>
      </c>
    </row>
    <row r="51" spans="1:80" x14ac:dyDescent="0.25">
      <c r="A51" s="23">
        <f t="shared" si="1"/>
        <v>17</v>
      </c>
      <c r="B51" s="23">
        <f t="shared" si="2"/>
        <v>2</v>
      </c>
      <c r="C51" s="23" t="str">
        <f t="shared" si="0"/>
        <v>T17_2</v>
      </c>
      <c r="E51" s="3" t="str">
        <f>IF(VLOOKUP($C51,'2D-Chapra'!$C$2:$T$55,MID(E$1,2,2)+2,0)="","",VLOOKUP($C51,'2D-Chapra'!$C$2:$T$55,MID(E$1,2,2)+2,0))</f>
        <v/>
      </c>
      <c r="F51" s="4" t="str">
        <f>IF(VLOOKUP($C51,'2D-Chapra'!$C$2:$T$55,MID(F$1,2,2)+2,0)="","",VLOOKUP($C51,'2D-Chapra'!$C$2:$T$55,MID(F$1,2,2)+2,0))</f>
        <v/>
      </c>
      <c r="G51" s="4" t="str">
        <f>IF(VLOOKUP($C51,'2D-Chapra'!$C$2:$T$55,MID(G$1,2,2)+2,0)="","",VLOOKUP($C51,'2D-Chapra'!$C$2:$T$55,MID(G$1,2,2)+2,0))</f>
        <v/>
      </c>
      <c r="H51" s="4" t="str">
        <f>IF(VLOOKUP($C51,'2D-Chapra'!$C$2:$T$55,MID(H$1,2,2)+2,0)="","",VLOOKUP($C51,'2D-Chapra'!$C$2:$T$55,MID(H$1,2,2)+2,0))</f>
        <v/>
      </c>
      <c r="I51" s="4" t="str">
        <f>IF(VLOOKUP($C51,'2D-Chapra'!$C$2:$T$55,MID(I$1,2,2)+2,0)="","",VLOOKUP($C51,'2D-Chapra'!$C$2:$T$55,MID(I$1,2,2)+2,0))</f>
        <v/>
      </c>
      <c r="J51" s="4" t="str">
        <f>IF(VLOOKUP($C51,'2D-Chapra'!$C$2:$T$55,MID(J$1,2,2)+2,0)="","",VLOOKUP($C51,'2D-Chapra'!$C$2:$T$55,MID(J$1,2,2)+2,0))</f>
        <v/>
      </c>
      <c r="K51" s="4" t="str">
        <f>IF(VLOOKUP($C51,'2D-Chapra'!$C$2:$T$55,MID(K$1,2,2)+2,0)="","",VLOOKUP($C51,'2D-Chapra'!$C$2:$T$55,MID(K$1,2,2)+2,0))</f>
        <v/>
      </c>
      <c r="L51" s="4" t="str">
        <f>IF(VLOOKUP($C51,'2D-Chapra'!$C$2:$T$55,MID(L$1,2,2)+2,0)="","",VLOOKUP($C51,'2D-Chapra'!$C$2:$T$55,MID(L$1,2,2)+2,0))</f>
        <v/>
      </c>
      <c r="M51" s="4" t="str">
        <f>IF(VLOOKUP($C51,'2D-Chapra'!$C$2:$T$55,MID(M$1,2,2)+2,0)="","",VLOOKUP($C51,'2D-Chapra'!$C$2:$T$55,MID(M$1,2,2)+2,0))</f>
        <v/>
      </c>
      <c r="N51" s="4" t="str">
        <f>IF(VLOOKUP($C51,'2D-Chapra'!$C$2:$T$55,MID(N$1,2,2)+2,0)="","",VLOOKUP($C51,'2D-Chapra'!$C$2:$T$55,MID(N$1,2,2)+2,0))</f>
        <v/>
      </c>
      <c r="O51" s="4" t="str">
        <f>IF(VLOOKUP($C51,'2D-Chapra'!$C$2:$T$55,MID(O$1,2,2)+2,0)="","",VLOOKUP($C51,'2D-Chapra'!$C$2:$T$55,MID(O$1,2,2)+2,0))</f>
        <v/>
      </c>
      <c r="P51" s="4" t="str">
        <f>IF(VLOOKUP($C51,'2D-Chapra'!$C$2:$T$55,MID(P$1,2,2)+2,0)="","",VLOOKUP($C51,'2D-Chapra'!$C$2:$T$55,MID(P$1,2,2)+2,0))</f>
        <v/>
      </c>
      <c r="Q51" s="4" t="str">
        <f>IF(VLOOKUP($C51,'2D-Chapra'!$C$2:$T$55,MID(Q$1,2,2)+2,0)="","",VLOOKUP($C51,'2D-Chapra'!$C$2:$T$55,MID(Q$1,2,2)+2,0))</f>
        <v/>
      </c>
      <c r="R51" s="4" t="str">
        <f>IF(VLOOKUP($C51,'2D-Chapra'!$C$2:$T$55,MID(R$1,2,2)+2,0)="","",VLOOKUP($C51,'2D-Chapra'!$C$2:$T$55,MID(R$1,2,2)+2,0))</f>
        <v/>
      </c>
      <c r="S51" s="4" t="str">
        <f>IF(VLOOKUP($C51,'2D-Chapra'!$C$2:$T$55,MID(S$1,2,2)+2,0)="","",VLOOKUP($C51,'2D-Chapra'!$C$2:$T$55,MID(S$1,2,2)+2,0))</f>
        <v/>
      </c>
      <c r="T51" s="5">
        <f>IF(VLOOKUP($C51,'2D-Chapra'!$C$2:$T$55,MID(T$1,2,2)+2,0)="","",VLOOKUP($C51,'2D-Chapra'!$C$2:$T$55,MID(T$1,2,2)+2,0))</f>
        <v>1</v>
      </c>
      <c r="W51" s="93">
        <v>1</v>
      </c>
      <c r="X51" s="49">
        <v>3</v>
      </c>
      <c r="Y51" s="94">
        <v>3</v>
      </c>
      <c r="Z51" s="95" t="s">
        <v>202</v>
      </c>
      <c r="AA51" s="3">
        <v>0</v>
      </c>
      <c r="AB51" s="4">
        <v>0</v>
      </c>
      <c r="AC51" s="17">
        <v>0</v>
      </c>
      <c r="AD51" s="16">
        <v>0</v>
      </c>
      <c r="AE51" s="4">
        <v>0</v>
      </c>
      <c r="AF51" s="17">
        <v>0</v>
      </c>
      <c r="AG51" s="16">
        <v>0</v>
      </c>
      <c r="AH51" s="4">
        <v>0</v>
      </c>
      <c r="AI51" s="17">
        <v>0</v>
      </c>
      <c r="AJ51" s="16">
        <v>0</v>
      </c>
      <c r="AK51" s="4">
        <v>0</v>
      </c>
      <c r="AL51" s="17">
        <v>0</v>
      </c>
      <c r="AM51" s="16">
        <v>0</v>
      </c>
      <c r="AN51" s="4">
        <v>0</v>
      </c>
      <c r="AO51" s="17">
        <v>0</v>
      </c>
      <c r="AP51" s="16">
        <v>0</v>
      </c>
      <c r="AQ51" s="4">
        <v>0</v>
      </c>
      <c r="AR51" s="17">
        <v>0</v>
      </c>
      <c r="AS51" s="16">
        <v>0</v>
      </c>
      <c r="AT51" s="4">
        <v>0</v>
      </c>
      <c r="AU51" s="17">
        <v>0</v>
      </c>
      <c r="AV51" s="16">
        <v>0</v>
      </c>
      <c r="AW51" s="4">
        <v>0</v>
      </c>
      <c r="AX51" s="17">
        <v>0</v>
      </c>
      <c r="AY51" s="16">
        <v>0</v>
      </c>
      <c r="AZ51" s="4">
        <v>0</v>
      </c>
      <c r="BA51" s="17">
        <v>0</v>
      </c>
      <c r="BB51" s="16">
        <v>0</v>
      </c>
      <c r="BC51" s="4">
        <v>0</v>
      </c>
      <c r="BD51" s="17">
        <v>0</v>
      </c>
      <c r="BE51" s="16">
        <v>0</v>
      </c>
      <c r="BF51" s="4">
        <v>0</v>
      </c>
      <c r="BG51" s="17">
        <v>0</v>
      </c>
      <c r="BH51" s="16">
        <v>0</v>
      </c>
      <c r="BI51" s="4">
        <v>0</v>
      </c>
      <c r="BJ51" s="17">
        <v>0</v>
      </c>
      <c r="BK51" s="16">
        <v>0</v>
      </c>
      <c r="BL51" s="4">
        <v>0</v>
      </c>
      <c r="BM51" s="17">
        <v>0</v>
      </c>
      <c r="BN51" s="16">
        <v>0</v>
      </c>
      <c r="BO51" s="4">
        <v>0</v>
      </c>
      <c r="BP51" s="17">
        <v>0</v>
      </c>
      <c r="BQ51" s="16">
        <v>0</v>
      </c>
      <c r="BR51" s="4">
        <v>0</v>
      </c>
      <c r="BS51" s="17">
        <v>0</v>
      </c>
      <c r="BT51" s="16">
        <v>0</v>
      </c>
      <c r="BU51" s="4">
        <v>0</v>
      </c>
      <c r="BV51" s="17">
        <v>0</v>
      </c>
      <c r="BW51" s="107">
        <f ca="1"/>
        <v>0</v>
      </c>
      <c r="BX51" s="11">
        <f ca="1"/>
        <v>0.25</v>
      </c>
      <c r="BY51" s="96">
        <f ca="1"/>
        <v>-0.25</v>
      </c>
      <c r="BZ51" s="16">
        <v>0</v>
      </c>
      <c r="CA51" s="4">
        <v>0</v>
      </c>
      <c r="CB51" s="5">
        <v>0</v>
      </c>
    </row>
    <row r="52" spans="1:80" x14ac:dyDescent="0.25">
      <c r="A52" s="23">
        <f t="shared" si="1"/>
        <v>17</v>
      </c>
      <c r="B52" s="23">
        <f t="shared" si="2"/>
        <v>3</v>
      </c>
      <c r="C52" s="23" t="str">
        <f t="shared" si="0"/>
        <v>T17_3</v>
      </c>
      <c r="E52" s="3" t="str">
        <f>IF(VLOOKUP($C52,'2D-Chapra'!$C$2:$T$55,MID(E$1,2,2)+2,0)="","",VLOOKUP($C52,'2D-Chapra'!$C$2:$T$55,MID(E$1,2,2)+2,0))</f>
        <v/>
      </c>
      <c r="F52" s="4" t="str">
        <f>IF(VLOOKUP($C52,'2D-Chapra'!$C$2:$T$55,MID(F$1,2,2)+2,0)="","",VLOOKUP($C52,'2D-Chapra'!$C$2:$T$55,MID(F$1,2,2)+2,0))</f>
        <v/>
      </c>
      <c r="G52" s="4" t="str">
        <f>IF(VLOOKUP($C52,'2D-Chapra'!$C$2:$T$55,MID(G$1,2,2)+2,0)="","",VLOOKUP($C52,'2D-Chapra'!$C$2:$T$55,MID(G$1,2,2)+2,0))</f>
        <v/>
      </c>
      <c r="H52" s="4" t="str">
        <f>IF(VLOOKUP($C52,'2D-Chapra'!$C$2:$T$55,MID(H$1,2,2)+2,0)="","",VLOOKUP($C52,'2D-Chapra'!$C$2:$T$55,MID(H$1,2,2)+2,0))</f>
        <v/>
      </c>
      <c r="I52" s="4" t="str">
        <f>IF(VLOOKUP($C52,'2D-Chapra'!$C$2:$T$55,MID(I$1,2,2)+2,0)="","",VLOOKUP($C52,'2D-Chapra'!$C$2:$T$55,MID(I$1,2,2)+2,0))</f>
        <v/>
      </c>
      <c r="J52" s="4" t="str">
        <f>IF(VLOOKUP($C52,'2D-Chapra'!$C$2:$T$55,MID(J$1,2,2)+2,0)="","",VLOOKUP($C52,'2D-Chapra'!$C$2:$T$55,MID(J$1,2,2)+2,0))</f>
        <v/>
      </c>
      <c r="K52" s="4" t="str">
        <f>IF(VLOOKUP($C52,'2D-Chapra'!$C$2:$T$55,MID(K$1,2,2)+2,0)="","",VLOOKUP($C52,'2D-Chapra'!$C$2:$T$55,MID(K$1,2,2)+2,0))</f>
        <v/>
      </c>
      <c r="L52" s="4" t="str">
        <f>IF(VLOOKUP($C52,'2D-Chapra'!$C$2:$T$55,MID(L$1,2,2)+2,0)="","",VLOOKUP($C52,'2D-Chapra'!$C$2:$T$55,MID(L$1,2,2)+2,0))</f>
        <v/>
      </c>
      <c r="M52" s="4" t="str">
        <f>IF(VLOOKUP($C52,'2D-Chapra'!$C$2:$T$55,MID(M$1,2,2)+2,0)="","",VLOOKUP($C52,'2D-Chapra'!$C$2:$T$55,MID(M$1,2,2)+2,0))</f>
        <v/>
      </c>
      <c r="N52" s="4" t="str">
        <f>IF(VLOOKUP($C52,'2D-Chapra'!$C$2:$T$55,MID(N$1,2,2)+2,0)="","",VLOOKUP($C52,'2D-Chapra'!$C$2:$T$55,MID(N$1,2,2)+2,0))</f>
        <v/>
      </c>
      <c r="O52" s="4" t="str">
        <f>IF(VLOOKUP($C52,'2D-Chapra'!$C$2:$T$55,MID(O$1,2,2)+2,0)="","",VLOOKUP($C52,'2D-Chapra'!$C$2:$T$55,MID(O$1,2,2)+2,0))</f>
        <v/>
      </c>
      <c r="P52" s="4" t="str">
        <f>IF(VLOOKUP($C52,'2D-Chapra'!$C$2:$T$55,MID(P$1,2,2)+2,0)="","",VLOOKUP($C52,'2D-Chapra'!$C$2:$T$55,MID(P$1,2,2)+2,0))</f>
        <v/>
      </c>
      <c r="Q52" s="4" t="str">
        <f>IF(VLOOKUP($C52,'2D-Chapra'!$C$2:$T$55,MID(Q$1,2,2)+2,0)="","",VLOOKUP($C52,'2D-Chapra'!$C$2:$T$55,MID(Q$1,2,2)+2,0))</f>
        <v/>
      </c>
      <c r="R52" s="4" t="str">
        <f>IF(VLOOKUP($C52,'2D-Chapra'!$C$2:$T$55,MID(R$1,2,2)+2,0)="","",VLOOKUP($C52,'2D-Chapra'!$C$2:$T$55,MID(R$1,2,2)+2,0))</f>
        <v/>
      </c>
      <c r="S52" s="4">
        <f>IF(VLOOKUP($C52,'2D-Chapra'!$C$2:$T$55,MID(S$1,2,2)+2,0)="","",VLOOKUP($C52,'2D-Chapra'!$C$2:$T$55,MID(S$1,2,2)+2,0))</f>
        <v>1</v>
      </c>
      <c r="T52" s="5" t="str">
        <f>IF(VLOOKUP($C52,'2D-Chapra'!$C$2:$T$55,MID(T$1,2,2)+2,0)="","",VLOOKUP($C52,'2D-Chapra'!$C$2:$T$55,MID(T$1,2,2)+2,0))</f>
        <v/>
      </c>
      <c r="W52" s="97">
        <v>1</v>
      </c>
      <c r="X52" s="98">
        <v>1</v>
      </c>
      <c r="Y52" s="99">
        <v>3</v>
      </c>
      <c r="Z52" s="100" t="s">
        <v>203</v>
      </c>
      <c r="AA52" s="108">
        <v>0</v>
      </c>
      <c r="AB52" s="19">
        <v>0</v>
      </c>
      <c r="AC52" s="20">
        <v>0</v>
      </c>
      <c r="AD52" s="18">
        <v>0</v>
      </c>
      <c r="AE52" s="19">
        <v>0</v>
      </c>
      <c r="AF52" s="20">
        <v>0</v>
      </c>
      <c r="AG52" s="18">
        <v>0</v>
      </c>
      <c r="AH52" s="19">
        <v>0</v>
      </c>
      <c r="AI52" s="20">
        <v>0</v>
      </c>
      <c r="AJ52" s="18">
        <v>0</v>
      </c>
      <c r="AK52" s="19">
        <v>0</v>
      </c>
      <c r="AL52" s="20">
        <v>0</v>
      </c>
      <c r="AM52" s="18">
        <v>0</v>
      </c>
      <c r="AN52" s="19">
        <v>0</v>
      </c>
      <c r="AO52" s="20">
        <v>0</v>
      </c>
      <c r="AP52" s="18">
        <v>0</v>
      </c>
      <c r="AQ52" s="19">
        <v>0</v>
      </c>
      <c r="AR52" s="20">
        <v>0</v>
      </c>
      <c r="AS52" s="18">
        <v>0</v>
      </c>
      <c r="AT52" s="19">
        <v>0</v>
      </c>
      <c r="AU52" s="20">
        <v>0</v>
      </c>
      <c r="AV52" s="18">
        <v>0</v>
      </c>
      <c r="AW52" s="19">
        <v>0</v>
      </c>
      <c r="AX52" s="20">
        <v>0</v>
      </c>
      <c r="AY52" s="18">
        <v>0</v>
      </c>
      <c r="AZ52" s="19">
        <v>0</v>
      </c>
      <c r="BA52" s="20">
        <v>0</v>
      </c>
      <c r="BB52" s="18">
        <v>0</v>
      </c>
      <c r="BC52" s="19">
        <v>0</v>
      </c>
      <c r="BD52" s="20">
        <v>0</v>
      </c>
      <c r="BE52" s="18">
        <v>0</v>
      </c>
      <c r="BF52" s="19">
        <v>0</v>
      </c>
      <c r="BG52" s="20">
        <v>0</v>
      </c>
      <c r="BH52" s="18">
        <v>0</v>
      </c>
      <c r="BI52" s="19">
        <v>0</v>
      </c>
      <c r="BJ52" s="20">
        <v>0</v>
      </c>
      <c r="BK52" s="18">
        <v>0</v>
      </c>
      <c r="BL52" s="19">
        <v>0</v>
      </c>
      <c r="BM52" s="20">
        <v>0</v>
      </c>
      <c r="BN52" s="18">
        <v>0</v>
      </c>
      <c r="BO52" s="19">
        <v>0</v>
      </c>
      <c r="BP52" s="20">
        <v>0</v>
      </c>
      <c r="BQ52" s="18">
        <v>0</v>
      </c>
      <c r="BR52" s="19">
        <v>0</v>
      </c>
      <c r="BS52" s="20">
        <v>0</v>
      </c>
      <c r="BT52" s="18">
        <v>0</v>
      </c>
      <c r="BU52" s="19">
        <v>0</v>
      </c>
      <c r="BV52" s="20">
        <v>0</v>
      </c>
      <c r="BW52" s="109">
        <f ca="1"/>
        <v>-0.25</v>
      </c>
      <c r="BX52" s="102">
        <f ca="1"/>
        <v>-0.25</v>
      </c>
      <c r="BY52" s="103">
        <f ca="1"/>
        <v>0.5</v>
      </c>
      <c r="BZ52" s="18">
        <v>0</v>
      </c>
      <c r="CA52" s="19">
        <v>0</v>
      </c>
      <c r="CB52" s="104">
        <v>0</v>
      </c>
    </row>
    <row r="53" spans="1:80" x14ac:dyDescent="0.25">
      <c r="A53" s="23">
        <f t="shared" si="1"/>
        <v>18</v>
      </c>
      <c r="B53" s="23">
        <f t="shared" si="2"/>
        <v>1</v>
      </c>
      <c r="C53" s="23" t="str">
        <f t="shared" si="0"/>
        <v>T18_1</v>
      </c>
      <c r="E53" s="3" t="str">
        <f>IF(VLOOKUP($C53,'2D-Chapra'!$C$2:$T$55,MID(E$1,2,2)+2,0)="","",VLOOKUP($C53,'2D-Chapra'!$C$2:$T$55,MID(E$1,2,2)+2,0))</f>
        <v/>
      </c>
      <c r="F53" s="4" t="str">
        <f>IF(VLOOKUP($C53,'2D-Chapra'!$C$2:$T$55,MID(F$1,2,2)+2,0)="","",VLOOKUP($C53,'2D-Chapra'!$C$2:$T$55,MID(F$1,2,2)+2,0))</f>
        <v/>
      </c>
      <c r="G53" s="4" t="str">
        <f>IF(VLOOKUP($C53,'2D-Chapra'!$C$2:$T$55,MID(G$1,2,2)+2,0)="","",VLOOKUP($C53,'2D-Chapra'!$C$2:$T$55,MID(G$1,2,2)+2,0))</f>
        <v/>
      </c>
      <c r="H53" s="4">
        <f>IF(VLOOKUP($C53,'2D-Chapra'!$C$2:$T$55,MID(H$1,2,2)+2,0)="","",VLOOKUP($C53,'2D-Chapra'!$C$2:$T$55,MID(H$1,2,2)+2,0))</f>
        <v>1</v>
      </c>
      <c r="I53" s="4" t="str">
        <f>IF(VLOOKUP($C53,'2D-Chapra'!$C$2:$T$55,MID(I$1,2,2)+2,0)="","",VLOOKUP($C53,'2D-Chapra'!$C$2:$T$55,MID(I$1,2,2)+2,0))</f>
        <v/>
      </c>
      <c r="J53" s="4" t="str">
        <f>IF(VLOOKUP($C53,'2D-Chapra'!$C$2:$T$55,MID(J$1,2,2)+2,0)="","",VLOOKUP($C53,'2D-Chapra'!$C$2:$T$55,MID(J$1,2,2)+2,0))</f>
        <v/>
      </c>
      <c r="K53" s="4" t="str">
        <f>IF(VLOOKUP($C53,'2D-Chapra'!$C$2:$T$55,MID(K$1,2,2)+2,0)="","",VLOOKUP($C53,'2D-Chapra'!$C$2:$T$55,MID(K$1,2,2)+2,0))</f>
        <v/>
      </c>
      <c r="L53" s="4" t="str">
        <f>IF(VLOOKUP($C53,'2D-Chapra'!$C$2:$T$55,MID(L$1,2,2)+2,0)="","",VLOOKUP($C53,'2D-Chapra'!$C$2:$T$55,MID(L$1,2,2)+2,0))</f>
        <v/>
      </c>
      <c r="M53" s="4" t="str">
        <f>IF(VLOOKUP($C53,'2D-Chapra'!$C$2:$T$55,MID(M$1,2,2)+2,0)="","",VLOOKUP($C53,'2D-Chapra'!$C$2:$T$55,MID(M$1,2,2)+2,0))</f>
        <v/>
      </c>
      <c r="N53" s="4" t="str">
        <f>IF(VLOOKUP($C53,'2D-Chapra'!$C$2:$T$55,MID(N$1,2,2)+2,0)="","",VLOOKUP($C53,'2D-Chapra'!$C$2:$T$55,MID(N$1,2,2)+2,0))</f>
        <v/>
      </c>
      <c r="O53" s="4" t="str">
        <f>IF(VLOOKUP($C53,'2D-Chapra'!$C$2:$T$55,MID(O$1,2,2)+2,0)="","",VLOOKUP($C53,'2D-Chapra'!$C$2:$T$55,MID(O$1,2,2)+2,0))</f>
        <v/>
      </c>
      <c r="P53" s="4" t="str">
        <f>IF(VLOOKUP($C53,'2D-Chapra'!$C$2:$T$55,MID(P$1,2,2)+2,0)="","",VLOOKUP($C53,'2D-Chapra'!$C$2:$T$55,MID(P$1,2,2)+2,0))</f>
        <v/>
      </c>
      <c r="Q53" s="4" t="str">
        <f>IF(VLOOKUP($C53,'2D-Chapra'!$C$2:$T$55,MID(Q$1,2,2)+2,0)="","",VLOOKUP($C53,'2D-Chapra'!$C$2:$T$55,MID(Q$1,2,2)+2,0))</f>
        <v/>
      </c>
      <c r="R53" s="4" t="str">
        <f>IF(VLOOKUP($C53,'2D-Chapra'!$C$2:$T$55,MID(R$1,2,2)+2,0)="","",VLOOKUP($C53,'2D-Chapra'!$C$2:$T$55,MID(R$1,2,2)+2,0))</f>
        <v/>
      </c>
      <c r="S53" s="4" t="str">
        <f>IF(VLOOKUP($C53,'2D-Chapra'!$C$2:$T$55,MID(S$1,2,2)+2,0)="","",VLOOKUP($C53,'2D-Chapra'!$C$2:$T$55,MID(S$1,2,2)+2,0))</f>
        <v/>
      </c>
      <c r="T53" s="5" t="str">
        <f>IF(VLOOKUP($C53,'2D-Chapra'!$C$2:$T$55,MID(T$1,2,2)+2,0)="","",VLOOKUP($C53,'2D-Chapra'!$C$2:$T$55,MID(T$1,2,2)+2,0))</f>
        <v/>
      </c>
      <c r="W53" s="85">
        <v>1</v>
      </c>
      <c r="X53" s="86">
        <v>1</v>
      </c>
      <c r="Y53" s="87">
        <v>1</v>
      </c>
      <c r="Z53" s="88" t="s">
        <v>204</v>
      </c>
      <c r="AA53" s="105">
        <v>0</v>
      </c>
      <c r="AB53" s="14">
        <v>0</v>
      </c>
      <c r="AC53" s="15">
        <v>0</v>
      </c>
      <c r="AD53" s="13">
        <v>0</v>
      </c>
      <c r="AE53" s="14">
        <v>0</v>
      </c>
      <c r="AF53" s="15">
        <v>0</v>
      </c>
      <c r="AG53" s="13">
        <v>0</v>
      </c>
      <c r="AH53" s="14">
        <v>0</v>
      </c>
      <c r="AI53" s="15">
        <v>0</v>
      </c>
      <c r="AJ53" s="13">
        <v>0</v>
      </c>
      <c r="AK53" s="14">
        <v>0</v>
      </c>
      <c r="AL53" s="15">
        <v>0</v>
      </c>
      <c r="AM53" s="13">
        <v>0</v>
      </c>
      <c r="AN53" s="14">
        <v>0</v>
      </c>
      <c r="AO53" s="15">
        <v>0</v>
      </c>
      <c r="AP53" s="13">
        <v>0</v>
      </c>
      <c r="AQ53" s="14">
        <v>0</v>
      </c>
      <c r="AR53" s="15">
        <v>0</v>
      </c>
      <c r="AS53" s="13">
        <v>0</v>
      </c>
      <c r="AT53" s="14">
        <v>0</v>
      </c>
      <c r="AU53" s="15">
        <v>0</v>
      </c>
      <c r="AV53" s="13">
        <v>0</v>
      </c>
      <c r="AW53" s="14">
        <v>0</v>
      </c>
      <c r="AX53" s="15">
        <v>0</v>
      </c>
      <c r="AY53" s="13">
        <v>0</v>
      </c>
      <c r="AZ53" s="14">
        <v>0</v>
      </c>
      <c r="BA53" s="15">
        <v>0</v>
      </c>
      <c r="BB53" s="13">
        <v>0</v>
      </c>
      <c r="BC53" s="14">
        <v>0</v>
      </c>
      <c r="BD53" s="15">
        <v>0</v>
      </c>
      <c r="BE53" s="13">
        <v>0</v>
      </c>
      <c r="BF53" s="14">
        <v>0</v>
      </c>
      <c r="BG53" s="15">
        <v>0</v>
      </c>
      <c r="BH53" s="13">
        <v>0</v>
      </c>
      <c r="BI53" s="14">
        <v>0</v>
      </c>
      <c r="BJ53" s="15">
        <v>0</v>
      </c>
      <c r="BK53" s="13">
        <v>0</v>
      </c>
      <c r="BL53" s="14">
        <v>0</v>
      </c>
      <c r="BM53" s="15">
        <v>0</v>
      </c>
      <c r="BN53" s="13">
        <v>0</v>
      </c>
      <c r="BO53" s="14">
        <v>0</v>
      </c>
      <c r="BP53" s="15">
        <v>0</v>
      </c>
      <c r="BQ53" s="13">
        <v>0</v>
      </c>
      <c r="BR53" s="14">
        <v>0</v>
      </c>
      <c r="BS53" s="15">
        <v>0</v>
      </c>
      <c r="BT53" s="13">
        <v>0</v>
      </c>
      <c r="BU53" s="14">
        <v>0</v>
      </c>
      <c r="BV53" s="15">
        <v>0</v>
      </c>
      <c r="BW53" s="13">
        <v>0</v>
      </c>
      <c r="BX53" s="14">
        <v>0</v>
      </c>
      <c r="BY53" s="15">
        <v>0</v>
      </c>
      <c r="BZ53" s="106">
        <f t="array" aca="1" ref="BZ53:CB55" ca="1">rigidez($W53:$Y55)</f>
        <v>0.25</v>
      </c>
      <c r="CA53" s="90">
        <f ca="1"/>
        <v>-0.25</v>
      </c>
      <c r="CB53" s="110">
        <f ca="1"/>
        <v>0</v>
      </c>
    </row>
    <row r="54" spans="1:80" x14ac:dyDescent="0.25">
      <c r="A54" s="23">
        <f t="shared" si="1"/>
        <v>18</v>
      </c>
      <c r="B54" s="23">
        <f t="shared" si="2"/>
        <v>2</v>
      </c>
      <c r="C54" s="23" t="str">
        <f t="shared" si="0"/>
        <v>T18_2</v>
      </c>
      <c r="E54" s="3" t="str">
        <f>IF(VLOOKUP($C54,'2D-Chapra'!$C$2:$T$55,MID(E$1,2,2)+2,0)="","",VLOOKUP($C54,'2D-Chapra'!$C$2:$T$55,MID(E$1,2,2)+2,0))</f>
        <v/>
      </c>
      <c r="F54" s="4" t="str">
        <f>IF(VLOOKUP($C54,'2D-Chapra'!$C$2:$T$55,MID(F$1,2,2)+2,0)="","",VLOOKUP($C54,'2D-Chapra'!$C$2:$T$55,MID(F$1,2,2)+2,0))</f>
        <v/>
      </c>
      <c r="G54" s="4" t="str">
        <f>IF(VLOOKUP($C54,'2D-Chapra'!$C$2:$T$55,MID(G$1,2,2)+2,0)="","",VLOOKUP($C54,'2D-Chapra'!$C$2:$T$55,MID(G$1,2,2)+2,0))</f>
        <v/>
      </c>
      <c r="H54" s="4" t="str">
        <f>IF(VLOOKUP($C54,'2D-Chapra'!$C$2:$T$55,MID(H$1,2,2)+2,0)="","",VLOOKUP($C54,'2D-Chapra'!$C$2:$T$55,MID(H$1,2,2)+2,0))</f>
        <v/>
      </c>
      <c r="I54" s="4" t="str">
        <f>IF(VLOOKUP($C54,'2D-Chapra'!$C$2:$T$55,MID(I$1,2,2)+2,0)="","",VLOOKUP($C54,'2D-Chapra'!$C$2:$T$55,MID(I$1,2,2)+2,0))</f>
        <v/>
      </c>
      <c r="J54" s="4" t="str">
        <f>IF(VLOOKUP($C54,'2D-Chapra'!$C$2:$T$55,MID(J$1,2,2)+2,0)="","",VLOOKUP($C54,'2D-Chapra'!$C$2:$T$55,MID(J$1,2,2)+2,0))</f>
        <v/>
      </c>
      <c r="K54" s="4" t="str">
        <f>IF(VLOOKUP($C54,'2D-Chapra'!$C$2:$T$55,MID(K$1,2,2)+2,0)="","",VLOOKUP($C54,'2D-Chapra'!$C$2:$T$55,MID(K$1,2,2)+2,0))</f>
        <v/>
      </c>
      <c r="L54" s="4" t="str">
        <f>IF(VLOOKUP($C54,'2D-Chapra'!$C$2:$T$55,MID(L$1,2,2)+2,0)="","",VLOOKUP($C54,'2D-Chapra'!$C$2:$T$55,MID(L$1,2,2)+2,0))</f>
        <v/>
      </c>
      <c r="M54" s="4" t="str">
        <f>IF(VLOOKUP($C54,'2D-Chapra'!$C$2:$T$55,MID(M$1,2,2)+2,0)="","",VLOOKUP($C54,'2D-Chapra'!$C$2:$T$55,MID(M$1,2,2)+2,0))</f>
        <v/>
      </c>
      <c r="N54" s="4" t="str">
        <f>IF(VLOOKUP($C54,'2D-Chapra'!$C$2:$T$55,MID(N$1,2,2)+2,0)="","",VLOOKUP($C54,'2D-Chapra'!$C$2:$T$55,MID(N$1,2,2)+2,0))</f>
        <v/>
      </c>
      <c r="O54" s="4" t="str">
        <f>IF(VLOOKUP($C54,'2D-Chapra'!$C$2:$T$55,MID(O$1,2,2)+2,0)="","",VLOOKUP($C54,'2D-Chapra'!$C$2:$T$55,MID(O$1,2,2)+2,0))</f>
        <v/>
      </c>
      <c r="P54" s="4">
        <f>IF(VLOOKUP($C54,'2D-Chapra'!$C$2:$T$55,MID(P$1,2,2)+2,0)="","",VLOOKUP($C54,'2D-Chapra'!$C$2:$T$55,MID(P$1,2,2)+2,0))</f>
        <v>1</v>
      </c>
      <c r="Q54" s="4" t="str">
        <f>IF(VLOOKUP($C54,'2D-Chapra'!$C$2:$T$55,MID(Q$1,2,2)+2,0)="","",VLOOKUP($C54,'2D-Chapra'!$C$2:$T$55,MID(Q$1,2,2)+2,0))</f>
        <v/>
      </c>
      <c r="R54" s="4" t="str">
        <f>IF(VLOOKUP($C54,'2D-Chapra'!$C$2:$T$55,MID(R$1,2,2)+2,0)="","",VLOOKUP($C54,'2D-Chapra'!$C$2:$T$55,MID(R$1,2,2)+2,0))</f>
        <v/>
      </c>
      <c r="S54" s="4" t="str">
        <f>IF(VLOOKUP($C54,'2D-Chapra'!$C$2:$T$55,MID(S$1,2,2)+2,0)="","",VLOOKUP($C54,'2D-Chapra'!$C$2:$T$55,MID(S$1,2,2)+2,0))</f>
        <v/>
      </c>
      <c r="T54" s="5" t="str">
        <f>IF(VLOOKUP($C54,'2D-Chapra'!$C$2:$T$55,MID(T$1,2,2)+2,0)="","",VLOOKUP($C54,'2D-Chapra'!$C$2:$T$55,MID(T$1,2,2)+2,0))</f>
        <v/>
      </c>
      <c r="W54" s="93">
        <v>1</v>
      </c>
      <c r="X54" s="49">
        <v>3</v>
      </c>
      <c r="Y54" s="94">
        <v>1</v>
      </c>
      <c r="Z54" s="95" t="s">
        <v>205</v>
      </c>
      <c r="AA54" s="3">
        <v>0</v>
      </c>
      <c r="AB54" s="4">
        <v>0</v>
      </c>
      <c r="AC54" s="17">
        <v>0</v>
      </c>
      <c r="AD54" s="16">
        <v>0</v>
      </c>
      <c r="AE54" s="4">
        <v>0</v>
      </c>
      <c r="AF54" s="17">
        <v>0</v>
      </c>
      <c r="AG54" s="16">
        <v>0</v>
      </c>
      <c r="AH54" s="4">
        <v>0</v>
      </c>
      <c r="AI54" s="17">
        <v>0</v>
      </c>
      <c r="AJ54" s="16">
        <v>0</v>
      </c>
      <c r="AK54" s="4">
        <v>0</v>
      </c>
      <c r="AL54" s="17">
        <v>0</v>
      </c>
      <c r="AM54" s="16">
        <v>0</v>
      </c>
      <c r="AN54" s="4">
        <v>0</v>
      </c>
      <c r="AO54" s="17">
        <v>0</v>
      </c>
      <c r="AP54" s="16">
        <v>0</v>
      </c>
      <c r="AQ54" s="4">
        <v>0</v>
      </c>
      <c r="AR54" s="17">
        <v>0</v>
      </c>
      <c r="AS54" s="16">
        <v>0</v>
      </c>
      <c r="AT54" s="4">
        <v>0</v>
      </c>
      <c r="AU54" s="17">
        <v>0</v>
      </c>
      <c r="AV54" s="16">
        <v>0</v>
      </c>
      <c r="AW54" s="4">
        <v>0</v>
      </c>
      <c r="AX54" s="17">
        <v>0</v>
      </c>
      <c r="AY54" s="16">
        <v>0</v>
      </c>
      <c r="AZ54" s="4">
        <v>0</v>
      </c>
      <c r="BA54" s="17">
        <v>0</v>
      </c>
      <c r="BB54" s="16">
        <v>0</v>
      </c>
      <c r="BC54" s="4">
        <v>0</v>
      </c>
      <c r="BD54" s="17">
        <v>0</v>
      </c>
      <c r="BE54" s="16">
        <v>0</v>
      </c>
      <c r="BF54" s="4">
        <v>0</v>
      </c>
      <c r="BG54" s="17">
        <v>0</v>
      </c>
      <c r="BH54" s="16">
        <v>0</v>
      </c>
      <c r="BI54" s="4">
        <v>0</v>
      </c>
      <c r="BJ54" s="17">
        <v>0</v>
      </c>
      <c r="BK54" s="16">
        <v>0</v>
      </c>
      <c r="BL54" s="4">
        <v>0</v>
      </c>
      <c r="BM54" s="17">
        <v>0</v>
      </c>
      <c r="BN54" s="16">
        <v>0</v>
      </c>
      <c r="BO54" s="4">
        <v>0</v>
      </c>
      <c r="BP54" s="17">
        <v>0</v>
      </c>
      <c r="BQ54" s="16">
        <v>0</v>
      </c>
      <c r="BR54" s="4">
        <v>0</v>
      </c>
      <c r="BS54" s="17">
        <v>0</v>
      </c>
      <c r="BT54" s="16">
        <v>0</v>
      </c>
      <c r="BU54" s="4">
        <v>0</v>
      </c>
      <c r="BV54" s="17">
        <v>0</v>
      </c>
      <c r="BW54" s="16">
        <v>0</v>
      </c>
      <c r="BX54" s="4">
        <v>0</v>
      </c>
      <c r="BY54" s="17">
        <v>0</v>
      </c>
      <c r="BZ54" s="107">
        <f ca="1"/>
        <v>-0.25</v>
      </c>
      <c r="CA54" s="11">
        <f ca="1"/>
        <v>0.5</v>
      </c>
      <c r="CB54" s="12">
        <f ca="1"/>
        <v>-0.25</v>
      </c>
    </row>
    <row r="55" spans="1:80" x14ac:dyDescent="0.25">
      <c r="A55" s="23">
        <f t="shared" si="1"/>
        <v>18</v>
      </c>
      <c r="B55" s="23">
        <f t="shared" si="2"/>
        <v>3</v>
      </c>
      <c r="C55" s="23" t="str">
        <f t="shared" si="0"/>
        <v>T18_3</v>
      </c>
      <c r="E55" s="3" t="str">
        <f>IF(VLOOKUP($C55,'2D-Chapra'!$C$2:$T$55,MID(E$1,2,2)+2,0)="","",VLOOKUP($C55,'2D-Chapra'!$C$2:$T$55,MID(E$1,2,2)+2,0))</f>
        <v/>
      </c>
      <c r="F55" s="4" t="str">
        <f>IF(VLOOKUP($C55,'2D-Chapra'!$C$2:$T$55,MID(F$1,2,2)+2,0)="","",VLOOKUP($C55,'2D-Chapra'!$C$2:$T$55,MID(F$1,2,2)+2,0))</f>
        <v/>
      </c>
      <c r="G55" s="4" t="str">
        <f>IF(VLOOKUP($C55,'2D-Chapra'!$C$2:$T$55,MID(G$1,2,2)+2,0)="","",VLOOKUP($C55,'2D-Chapra'!$C$2:$T$55,MID(G$1,2,2)+2,0))</f>
        <v/>
      </c>
      <c r="H55" s="4" t="str">
        <f>IF(VLOOKUP($C55,'2D-Chapra'!$C$2:$T$55,MID(H$1,2,2)+2,0)="","",VLOOKUP($C55,'2D-Chapra'!$C$2:$T$55,MID(H$1,2,2)+2,0))</f>
        <v/>
      </c>
      <c r="I55" s="4" t="str">
        <f>IF(VLOOKUP($C55,'2D-Chapra'!$C$2:$T$55,MID(I$1,2,2)+2,0)="","",VLOOKUP($C55,'2D-Chapra'!$C$2:$T$55,MID(I$1,2,2)+2,0))</f>
        <v/>
      </c>
      <c r="J55" s="4" t="str">
        <f>IF(VLOOKUP($C55,'2D-Chapra'!$C$2:$T$55,MID(J$1,2,2)+2,0)="","",VLOOKUP($C55,'2D-Chapra'!$C$2:$T$55,MID(J$1,2,2)+2,0))</f>
        <v/>
      </c>
      <c r="K55" s="4" t="str">
        <f>IF(VLOOKUP($C55,'2D-Chapra'!$C$2:$T$55,MID(K$1,2,2)+2,0)="","",VLOOKUP($C55,'2D-Chapra'!$C$2:$T$55,MID(K$1,2,2)+2,0))</f>
        <v/>
      </c>
      <c r="L55" s="4" t="str">
        <f>IF(VLOOKUP($C55,'2D-Chapra'!$C$2:$T$55,MID(L$1,2,2)+2,0)="","",VLOOKUP($C55,'2D-Chapra'!$C$2:$T$55,MID(L$1,2,2)+2,0))</f>
        <v/>
      </c>
      <c r="M55" s="4" t="str">
        <f>IF(VLOOKUP($C55,'2D-Chapra'!$C$2:$T$55,MID(M$1,2,2)+2,0)="","",VLOOKUP($C55,'2D-Chapra'!$C$2:$T$55,MID(M$1,2,2)+2,0))</f>
        <v/>
      </c>
      <c r="N55" s="4" t="str">
        <f>IF(VLOOKUP($C55,'2D-Chapra'!$C$2:$T$55,MID(N$1,2,2)+2,0)="","",VLOOKUP($C55,'2D-Chapra'!$C$2:$T$55,MID(N$1,2,2)+2,0))</f>
        <v/>
      </c>
      <c r="O55" s="4" t="str">
        <f>IF(VLOOKUP($C55,'2D-Chapra'!$C$2:$T$55,MID(O$1,2,2)+2,0)="","",VLOOKUP($C55,'2D-Chapra'!$C$2:$T$55,MID(O$1,2,2)+2,0))</f>
        <v/>
      </c>
      <c r="P55" s="4" t="str">
        <f>IF(VLOOKUP($C55,'2D-Chapra'!$C$2:$T$55,MID(P$1,2,2)+2,0)="","",VLOOKUP($C55,'2D-Chapra'!$C$2:$T$55,MID(P$1,2,2)+2,0))</f>
        <v/>
      </c>
      <c r="Q55" s="4" t="str">
        <f>IF(VLOOKUP($C55,'2D-Chapra'!$C$2:$T$55,MID(Q$1,2,2)+2,0)="","",VLOOKUP($C55,'2D-Chapra'!$C$2:$T$55,MID(Q$1,2,2)+2,0))</f>
        <v/>
      </c>
      <c r="R55" s="4" t="str">
        <f>IF(VLOOKUP($C55,'2D-Chapra'!$C$2:$T$55,MID(R$1,2,2)+2,0)="","",VLOOKUP($C55,'2D-Chapra'!$C$2:$T$55,MID(R$1,2,2)+2,0))</f>
        <v/>
      </c>
      <c r="S55" s="4" t="str">
        <f>IF(VLOOKUP($C55,'2D-Chapra'!$C$2:$T$55,MID(S$1,2,2)+2,0)="","",VLOOKUP($C55,'2D-Chapra'!$C$2:$T$55,MID(S$1,2,2)+2,0))</f>
        <v/>
      </c>
      <c r="T55" s="5">
        <f>IF(VLOOKUP($C55,'2D-Chapra'!$C$2:$T$55,MID(T$1,2,2)+2,0)="","",VLOOKUP($C55,'2D-Chapra'!$C$2:$T$55,MID(T$1,2,2)+2,0))</f>
        <v>1</v>
      </c>
      <c r="W55" s="97">
        <v>1</v>
      </c>
      <c r="X55" s="98">
        <v>3</v>
      </c>
      <c r="Y55" s="99">
        <v>3</v>
      </c>
      <c r="Z55" s="100" t="s">
        <v>206</v>
      </c>
      <c r="AA55" s="108">
        <v>0</v>
      </c>
      <c r="AB55" s="19">
        <v>0</v>
      </c>
      <c r="AC55" s="20">
        <v>0</v>
      </c>
      <c r="AD55" s="18">
        <v>0</v>
      </c>
      <c r="AE55" s="19">
        <v>0</v>
      </c>
      <c r="AF55" s="20">
        <v>0</v>
      </c>
      <c r="AG55" s="18">
        <v>0</v>
      </c>
      <c r="AH55" s="19">
        <v>0</v>
      </c>
      <c r="AI55" s="20">
        <v>0</v>
      </c>
      <c r="AJ55" s="18">
        <v>0</v>
      </c>
      <c r="AK55" s="19">
        <v>0</v>
      </c>
      <c r="AL55" s="20">
        <v>0</v>
      </c>
      <c r="AM55" s="18">
        <v>0</v>
      </c>
      <c r="AN55" s="19">
        <v>0</v>
      </c>
      <c r="AO55" s="20">
        <v>0</v>
      </c>
      <c r="AP55" s="18">
        <v>0</v>
      </c>
      <c r="AQ55" s="19">
        <v>0</v>
      </c>
      <c r="AR55" s="20">
        <v>0</v>
      </c>
      <c r="AS55" s="18">
        <v>0</v>
      </c>
      <c r="AT55" s="19">
        <v>0</v>
      </c>
      <c r="AU55" s="20">
        <v>0</v>
      </c>
      <c r="AV55" s="18">
        <v>0</v>
      </c>
      <c r="AW55" s="19">
        <v>0</v>
      </c>
      <c r="AX55" s="20">
        <v>0</v>
      </c>
      <c r="AY55" s="18">
        <v>0</v>
      </c>
      <c r="AZ55" s="19">
        <v>0</v>
      </c>
      <c r="BA55" s="20">
        <v>0</v>
      </c>
      <c r="BB55" s="18">
        <v>0</v>
      </c>
      <c r="BC55" s="19">
        <v>0</v>
      </c>
      <c r="BD55" s="20">
        <v>0</v>
      </c>
      <c r="BE55" s="18">
        <v>0</v>
      </c>
      <c r="BF55" s="19">
        <v>0</v>
      </c>
      <c r="BG55" s="20">
        <v>0</v>
      </c>
      <c r="BH55" s="18">
        <v>0</v>
      </c>
      <c r="BI55" s="19">
        <v>0</v>
      </c>
      <c r="BJ55" s="20">
        <v>0</v>
      </c>
      <c r="BK55" s="18">
        <v>0</v>
      </c>
      <c r="BL55" s="19">
        <v>0</v>
      </c>
      <c r="BM55" s="20">
        <v>0</v>
      </c>
      <c r="BN55" s="18">
        <v>0</v>
      </c>
      <c r="BO55" s="19">
        <v>0</v>
      </c>
      <c r="BP55" s="20">
        <v>0</v>
      </c>
      <c r="BQ55" s="18">
        <v>0</v>
      </c>
      <c r="BR55" s="19">
        <v>0</v>
      </c>
      <c r="BS55" s="20">
        <v>0</v>
      </c>
      <c r="BT55" s="18">
        <v>0</v>
      </c>
      <c r="BU55" s="19">
        <v>0</v>
      </c>
      <c r="BV55" s="20">
        <v>0</v>
      </c>
      <c r="BW55" s="18">
        <v>0</v>
      </c>
      <c r="BX55" s="19">
        <v>0</v>
      </c>
      <c r="BY55" s="20">
        <v>0</v>
      </c>
      <c r="BZ55" s="109">
        <f ca="1"/>
        <v>0</v>
      </c>
      <c r="CA55" s="102">
        <f ca="1"/>
        <v>-0.25</v>
      </c>
      <c r="CB55" s="111">
        <f ca="1"/>
        <v>0.25</v>
      </c>
    </row>
    <row r="56" spans="1:80" x14ac:dyDescent="0.25">
      <c r="E56">
        <f>SUM(E2:E55)</f>
        <v>6</v>
      </c>
      <c r="F56">
        <f t="shared" ref="F56:T56" si="3">SUM(F2:F55)</f>
        <v>6</v>
      </c>
      <c r="G56">
        <f t="shared" si="3"/>
        <v>6</v>
      </c>
      <c r="H56">
        <f t="shared" si="3"/>
        <v>6</v>
      </c>
      <c r="I56">
        <f t="shared" si="3"/>
        <v>2</v>
      </c>
      <c r="J56">
        <f t="shared" si="3"/>
        <v>3</v>
      </c>
      <c r="K56">
        <f t="shared" si="3"/>
        <v>3</v>
      </c>
      <c r="L56">
        <f t="shared" si="3"/>
        <v>1</v>
      </c>
      <c r="M56">
        <f t="shared" si="3"/>
        <v>3</v>
      </c>
      <c r="N56">
        <f t="shared" si="3"/>
        <v>3</v>
      </c>
      <c r="O56">
        <f t="shared" si="3"/>
        <v>3</v>
      </c>
      <c r="P56">
        <f t="shared" si="3"/>
        <v>3</v>
      </c>
      <c r="Q56">
        <f t="shared" si="3"/>
        <v>1</v>
      </c>
      <c r="R56">
        <f t="shared" si="3"/>
        <v>3</v>
      </c>
      <c r="S56">
        <f t="shared" si="3"/>
        <v>3</v>
      </c>
      <c r="T56">
        <f t="shared" si="3"/>
        <v>2</v>
      </c>
    </row>
    <row r="57" spans="1:80" ht="17.25" x14ac:dyDescent="0.25">
      <c r="C57" s="85" t="s">
        <v>163</v>
      </c>
      <c r="D57" s="86"/>
      <c r="E57" s="14" t="s">
        <v>207</v>
      </c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5"/>
    </row>
    <row r="58" spans="1:80" x14ac:dyDescent="0.25">
      <c r="C58" s="93" t="str">
        <f t="shared" ref="C58:C111" si="4">C2</f>
        <v>T1_1</v>
      </c>
      <c r="D58" s="49"/>
      <c r="E58" s="3">
        <f t="shared" ref="E58:T73" si="5">IF(E2="",0,E2)</f>
        <v>0</v>
      </c>
      <c r="F58" s="4">
        <f t="shared" si="5"/>
        <v>0</v>
      </c>
      <c r="G58" s="4">
        <f t="shared" si="5"/>
        <v>0</v>
      </c>
      <c r="H58" s="4">
        <f t="shared" si="5"/>
        <v>0</v>
      </c>
      <c r="I58" s="4">
        <f t="shared" si="5"/>
        <v>1</v>
      </c>
      <c r="J58" s="4">
        <f t="shared" si="5"/>
        <v>0</v>
      </c>
      <c r="K58" s="4">
        <f t="shared" si="5"/>
        <v>0</v>
      </c>
      <c r="L58" s="4">
        <f t="shared" si="5"/>
        <v>0</v>
      </c>
      <c r="M58" s="4">
        <f t="shared" si="5"/>
        <v>0</v>
      </c>
      <c r="N58" s="4">
        <f t="shared" si="5"/>
        <v>0</v>
      </c>
      <c r="O58" s="4">
        <f t="shared" si="5"/>
        <v>0</v>
      </c>
      <c r="P58" s="4">
        <f t="shared" si="5"/>
        <v>0</v>
      </c>
      <c r="Q58" s="4">
        <f t="shared" si="5"/>
        <v>0</v>
      </c>
      <c r="R58" s="4">
        <f t="shared" si="5"/>
        <v>0</v>
      </c>
      <c r="S58" s="4">
        <f t="shared" si="5"/>
        <v>0</v>
      </c>
      <c r="T58" s="17">
        <f t="shared" si="5"/>
        <v>0</v>
      </c>
    </row>
    <row r="59" spans="1:80" hidden="1" x14ac:dyDescent="0.25">
      <c r="C59" s="93" t="str">
        <f t="shared" si="4"/>
        <v>T1_2</v>
      </c>
      <c r="D59" s="49"/>
      <c r="E59" s="3">
        <f t="shared" si="5"/>
        <v>1</v>
      </c>
      <c r="F59" s="4">
        <f t="shared" si="5"/>
        <v>0</v>
      </c>
      <c r="G59" s="4">
        <f t="shared" si="5"/>
        <v>0</v>
      </c>
      <c r="H59" s="4">
        <f t="shared" si="5"/>
        <v>0</v>
      </c>
      <c r="I59" s="4">
        <f t="shared" si="5"/>
        <v>0</v>
      </c>
      <c r="J59" s="4">
        <f t="shared" si="5"/>
        <v>0</v>
      </c>
      <c r="K59" s="4">
        <f t="shared" si="5"/>
        <v>0</v>
      </c>
      <c r="L59" s="4">
        <f t="shared" si="5"/>
        <v>0</v>
      </c>
      <c r="M59" s="4">
        <f t="shared" si="5"/>
        <v>0</v>
      </c>
      <c r="N59" s="4">
        <f t="shared" si="5"/>
        <v>0</v>
      </c>
      <c r="O59" s="4">
        <f t="shared" si="5"/>
        <v>0</v>
      </c>
      <c r="P59" s="4">
        <f t="shared" si="5"/>
        <v>0</v>
      </c>
      <c r="Q59" s="4">
        <f t="shared" si="5"/>
        <v>0</v>
      </c>
      <c r="R59" s="4">
        <f t="shared" si="5"/>
        <v>0</v>
      </c>
      <c r="S59" s="4">
        <f t="shared" si="5"/>
        <v>0</v>
      </c>
      <c r="T59" s="17">
        <f t="shared" si="5"/>
        <v>0</v>
      </c>
    </row>
    <row r="60" spans="1:80" hidden="1" x14ac:dyDescent="0.25">
      <c r="C60" s="93" t="str">
        <f t="shared" si="4"/>
        <v>T1_3</v>
      </c>
      <c r="D60" s="49"/>
      <c r="E60" s="3">
        <f t="shared" si="5"/>
        <v>0</v>
      </c>
      <c r="F60" s="4">
        <f t="shared" si="5"/>
        <v>0</v>
      </c>
      <c r="G60" s="4">
        <f t="shared" si="5"/>
        <v>0</v>
      </c>
      <c r="H60" s="4">
        <f t="shared" si="5"/>
        <v>0</v>
      </c>
      <c r="I60" s="4">
        <f t="shared" si="5"/>
        <v>0</v>
      </c>
      <c r="J60" s="4">
        <f t="shared" si="5"/>
        <v>0</v>
      </c>
      <c r="K60" s="4">
        <f t="shared" si="5"/>
        <v>0</v>
      </c>
      <c r="L60" s="4">
        <f t="shared" si="5"/>
        <v>0</v>
      </c>
      <c r="M60" s="4">
        <f t="shared" si="5"/>
        <v>1</v>
      </c>
      <c r="N60" s="4">
        <f t="shared" si="5"/>
        <v>0</v>
      </c>
      <c r="O60" s="4">
        <f t="shared" si="5"/>
        <v>0</v>
      </c>
      <c r="P60" s="4">
        <f t="shared" si="5"/>
        <v>0</v>
      </c>
      <c r="Q60" s="4">
        <f t="shared" si="5"/>
        <v>0</v>
      </c>
      <c r="R60" s="4">
        <f t="shared" si="5"/>
        <v>0</v>
      </c>
      <c r="S60" s="4">
        <f t="shared" si="5"/>
        <v>0</v>
      </c>
      <c r="T60" s="17">
        <f t="shared" si="5"/>
        <v>0</v>
      </c>
    </row>
    <row r="61" spans="1:80" hidden="1" x14ac:dyDescent="0.25">
      <c r="C61" s="93" t="str">
        <f t="shared" si="4"/>
        <v>T2_1</v>
      </c>
      <c r="D61" s="49"/>
      <c r="E61" s="3">
        <f t="shared" si="5"/>
        <v>0</v>
      </c>
      <c r="F61" s="4">
        <f t="shared" si="5"/>
        <v>0</v>
      </c>
      <c r="G61" s="4">
        <f t="shared" si="5"/>
        <v>0</v>
      </c>
      <c r="H61" s="4">
        <f t="shared" si="5"/>
        <v>0</v>
      </c>
      <c r="I61" s="4">
        <f t="shared" si="5"/>
        <v>1</v>
      </c>
      <c r="J61" s="4">
        <f t="shared" si="5"/>
        <v>0</v>
      </c>
      <c r="K61" s="4">
        <f t="shared" si="5"/>
        <v>0</v>
      </c>
      <c r="L61" s="4">
        <f t="shared" si="5"/>
        <v>0</v>
      </c>
      <c r="M61" s="4">
        <f t="shared" si="5"/>
        <v>0</v>
      </c>
      <c r="N61" s="4">
        <f t="shared" si="5"/>
        <v>0</v>
      </c>
      <c r="O61" s="4">
        <f t="shared" si="5"/>
        <v>0</v>
      </c>
      <c r="P61" s="4">
        <f t="shared" si="5"/>
        <v>0</v>
      </c>
      <c r="Q61" s="4">
        <f t="shared" si="5"/>
        <v>0</v>
      </c>
      <c r="R61" s="4">
        <f t="shared" si="5"/>
        <v>0</v>
      </c>
      <c r="S61" s="4">
        <f t="shared" si="5"/>
        <v>0</v>
      </c>
      <c r="T61" s="17">
        <f t="shared" si="5"/>
        <v>0</v>
      </c>
    </row>
    <row r="62" spans="1:80" hidden="1" x14ac:dyDescent="0.25">
      <c r="C62" s="93" t="str">
        <f t="shared" si="4"/>
        <v>T2_2</v>
      </c>
      <c r="D62" s="49"/>
      <c r="E62" s="3">
        <f t="shared" si="5"/>
        <v>0</v>
      </c>
      <c r="F62" s="4">
        <f t="shared" si="5"/>
        <v>0</v>
      </c>
      <c r="G62" s="4">
        <f t="shared" si="5"/>
        <v>0</v>
      </c>
      <c r="H62" s="4">
        <f t="shared" si="5"/>
        <v>0</v>
      </c>
      <c r="I62" s="4">
        <f t="shared" si="5"/>
        <v>0</v>
      </c>
      <c r="J62" s="4">
        <f t="shared" si="5"/>
        <v>1</v>
      </c>
      <c r="K62" s="4">
        <f t="shared" si="5"/>
        <v>0</v>
      </c>
      <c r="L62" s="4">
        <f t="shared" si="5"/>
        <v>0</v>
      </c>
      <c r="M62" s="4">
        <f t="shared" si="5"/>
        <v>0</v>
      </c>
      <c r="N62" s="4">
        <f t="shared" si="5"/>
        <v>0</v>
      </c>
      <c r="O62" s="4">
        <f t="shared" si="5"/>
        <v>0</v>
      </c>
      <c r="P62" s="4">
        <f t="shared" si="5"/>
        <v>0</v>
      </c>
      <c r="Q62" s="4">
        <f t="shared" si="5"/>
        <v>0</v>
      </c>
      <c r="R62" s="4">
        <f t="shared" si="5"/>
        <v>0</v>
      </c>
      <c r="S62" s="4">
        <f t="shared" si="5"/>
        <v>0</v>
      </c>
      <c r="T62" s="17">
        <f t="shared" si="5"/>
        <v>0</v>
      </c>
    </row>
    <row r="63" spans="1:80" hidden="1" x14ac:dyDescent="0.25">
      <c r="C63" s="93" t="str">
        <f t="shared" si="4"/>
        <v>T2_3</v>
      </c>
      <c r="D63" s="49"/>
      <c r="E63" s="3">
        <f t="shared" si="5"/>
        <v>1</v>
      </c>
      <c r="F63" s="4">
        <f t="shared" si="5"/>
        <v>0</v>
      </c>
      <c r="G63" s="4">
        <f t="shared" si="5"/>
        <v>0</v>
      </c>
      <c r="H63" s="4">
        <f t="shared" si="5"/>
        <v>0</v>
      </c>
      <c r="I63" s="4">
        <f t="shared" si="5"/>
        <v>0</v>
      </c>
      <c r="J63" s="4">
        <f t="shared" si="5"/>
        <v>0</v>
      </c>
      <c r="K63" s="4">
        <f t="shared" si="5"/>
        <v>0</v>
      </c>
      <c r="L63" s="4">
        <f t="shared" si="5"/>
        <v>0</v>
      </c>
      <c r="M63" s="4">
        <f t="shared" si="5"/>
        <v>0</v>
      </c>
      <c r="N63" s="4">
        <f t="shared" si="5"/>
        <v>0</v>
      </c>
      <c r="O63" s="4">
        <f t="shared" si="5"/>
        <v>0</v>
      </c>
      <c r="P63" s="4">
        <f t="shared" si="5"/>
        <v>0</v>
      </c>
      <c r="Q63" s="4">
        <f t="shared" si="5"/>
        <v>0</v>
      </c>
      <c r="R63" s="4">
        <f t="shared" si="5"/>
        <v>0</v>
      </c>
      <c r="S63" s="4">
        <f t="shared" si="5"/>
        <v>0</v>
      </c>
      <c r="T63" s="17">
        <f t="shared" si="5"/>
        <v>0</v>
      </c>
    </row>
    <row r="64" spans="1:80" hidden="1" x14ac:dyDescent="0.25">
      <c r="C64" s="93" t="str">
        <f t="shared" si="4"/>
        <v>T3_1</v>
      </c>
      <c r="D64" s="49"/>
      <c r="E64" s="3">
        <f t="shared" si="5"/>
        <v>0</v>
      </c>
      <c r="F64" s="4">
        <f t="shared" si="5"/>
        <v>0</v>
      </c>
      <c r="G64" s="4">
        <f t="shared" si="5"/>
        <v>0</v>
      </c>
      <c r="H64" s="4">
        <f t="shared" si="5"/>
        <v>0</v>
      </c>
      <c r="I64" s="4">
        <f t="shared" si="5"/>
        <v>0</v>
      </c>
      <c r="J64" s="4">
        <f t="shared" si="5"/>
        <v>1</v>
      </c>
      <c r="K64" s="4">
        <f t="shared" si="5"/>
        <v>0</v>
      </c>
      <c r="L64" s="4">
        <f t="shared" si="5"/>
        <v>0</v>
      </c>
      <c r="M64" s="4">
        <f t="shared" si="5"/>
        <v>0</v>
      </c>
      <c r="N64" s="4">
        <f t="shared" si="5"/>
        <v>0</v>
      </c>
      <c r="O64" s="4">
        <f t="shared" si="5"/>
        <v>0</v>
      </c>
      <c r="P64" s="4">
        <f t="shared" si="5"/>
        <v>0</v>
      </c>
      <c r="Q64" s="4">
        <f t="shared" si="5"/>
        <v>0</v>
      </c>
      <c r="R64" s="4">
        <f t="shared" si="5"/>
        <v>0</v>
      </c>
      <c r="S64" s="4">
        <f t="shared" si="5"/>
        <v>0</v>
      </c>
      <c r="T64" s="17">
        <f t="shared" si="5"/>
        <v>0</v>
      </c>
    </row>
    <row r="65" spans="3:20" hidden="1" x14ac:dyDescent="0.25">
      <c r="C65" s="93" t="str">
        <f t="shared" si="4"/>
        <v>T3_2</v>
      </c>
      <c r="D65" s="49"/>
      <c r="E65" s="3">
        <f t="shared" si="5"/>
        <v>0</v>
      </c>
      <c r="F65" s="4">
        <f t="shared" si="5"/>
        <v>1</v>
      </c>
      <c r="G65" s="4">
        <f t="shared" si="5"/>
        <v>0</v>
      </c>
      <c r="H65" s="4">
        <f t="shared" si="5"/>
        <v>0</v>
      </c>
      <c r="I65" s="4">
        <f t="shared" si="5"/>
        <v>0</v>
      </c>
      <c r="J65" s="4">
        <f t="shared" si="5"/>
        <v>0</v>
      </c>
      <c r="K65" s="4">
        <f t="shared" si="5"/>
        <v>0</v>
      </c>
      <c r="L65" s="4">
        <f t="shared" si="5"/>
        <v>0</v>
      </c>
      <c r="M65" s="4">
        <f t="shared" si="5"/>
        <v>0</v>
      </c>
      <c r="N65" s="4">
        <f t="shared" si="5"/>
        <v>0</v>
      </c>
      <c r="O65" s="4">
        <f t="shared" si="5"/>
        <v>0</v>
      </c>
      <c r="P65" s="4">
        <f t="shared" si="5"/>
        <v>0</v>
      </c>
      <c r="Q65" s="4">
        <f t="shared" si="5"/>
        <v>0</v>
      </c>
      <c r="R65" s="4">
        <f t="shared" si="5"/>
        <v>0</v>
      </c>
      <c r="S65" s="4">
        <f t="shared" si="5"/>
        <v>0</v>
      </c>
      <c r="T65" s="17">
        <f t="shared" si="5"/>
        <v>0</v>
      </c>
    </row>
    <row r="66" spans="3:20" hidden="1" x14ac:dyDescent="0.25">
      <c r="C66" s="93" t="str">
        <f t="shared" si="4"/>
        <v>T3_3</v>
      </c>
      <c r="D66" s="49"/>
      <c r="E66" s="3">
        <f t="shared" si="5"/>
        <v>1</v>
      </c>
      <c r="F66" s="4">
        <f t="shared" si="5"/>
        <v>0</v>
      </c>
      <c r="G66" s="4">
        <f t="shared" si="5"/>
        <v>0</v>
      </c>
      <c r="H66" s="4">
        <f t="shared" si="5"/>
        <v>0</v>
      </c>
      <c r="I66" s="4">
        <f t="shared" si="5"/>
        <v>0</v>
      </c>
      <c r="J66" s="4">
        <f t="shared" si="5"/>
        <v>0</v>
      </c>
      <c r="K66" s="4">
        <f t="shared" si="5"/>
        <v>0</v>
      </c>
      <c r="L66" s="4">
        <f t="shared" si="5"/>
        <v>0</v>
      </c>
      <c r="M66" s="4">
        <f t="shared" si="5"/>
        <v>0</v>
      </c>
      <c r="N66" s="4">
        <f t="shared" si="5"/>
        <v>0</v>
      </c>
      <c r="O66" s="4">
        <f t="shared" si="5"/>
        <v>0</v>
      </c>
      <c r="P66" s="4">
        <f t="shared" si="5"/>
        <v>0</v>
      </c>
      <c r="Q66" s="4">
        <f t="shared" si="5"/>
        <v>0</v>
      </c>
      <c r="R66" s="4">
        <f t="shared" si="5"/>
        <v>0</v>
      </c>
      <c r="S66" s="4">
        <f t="shared" si="5"/>
        <v>0</v>
      </c>
      <c r="T66" s="17">
        <f t="shared" si="5"/>
        <v>0</v>
      </c>
    </row>
    <row r="67" spans="3:20" hidden="1" x14ac:dyDescent="0.25">
      <c r="C67" s="93" t="str">
        <f t="shared" si="4"/>
        <v>T4_1</v>
      </c>
      <c r="D67" s="49"/>
      <c r="E67" s="3">
        <f t="shared" si="5"/>
        <v>0</v>
      </c>
      <c r="F67" s="4">
        <f t="shared" si="5"/>
        <v>0</v>
      </c>
      <c r="G67" s="4">
        <f t="shared" si="5"/>
        <v>0</v>
      </c>
      <c r="H67" s="4">
        <f t="shared" si="5"/>
        <v>0</v>
      </c>
      <c r="I67" s="4">
        <f t="shared" si="5"/>
        <v>0</v>
      </c>
      <c r="J67" s="4">
        <f t="shared" si="5"/>
        <v>1</v>
      </c>
      <c r="K67" s="4">
        <f t="shared" si="5"/>
        <v>0</v>
      </c>
      <c r="L67" s="4">
        <f t="shared" si="5"/>
        <v>0</v>
      </c>
      <c r="M67" s="4">
        <f t="shared" si="5"/>
        <v>0</v>
      </c>
      <c r="N67" s="4">
        <f t="shared" si="5"/>
        <v>0</v>
      </c>
      <c r="O67" s="4">
        <f t="shared" si="5"/>
        <v>0</v>
      </c>
      <c r="P67" s="4">
        <f t="shared" si="5"/>
        <v>0</v>
      </c>
      <c r="Q67" s="4">
        <f t="shared" si="5"/>
        <v>0</v>
      </c>
      <c r="R67" s="4">
        <f t="shared" si="5"/>
        <v>0</v>
      </c>
      <c r="S67" s="4">
        <f t="shared" si="5"/>
        <v>0</v>
      </c>
      <c r="T67" s="17">
        <f t="shared" si="5"/>
        <v>0</v>
      </c>
    </row>
    <row r="68" spans="3:20" hidden="1" x14ac:dyDescent="0.25">
      <c r="C68" s="93" t="str">
        <f t="shared" si="4"/>
        <v>T4_2</v>
      </c>
      <c r="D68" s="49"/>
      <c r="E68" s="3">
        <f t="shared" si="5"/>
        <v>0</v>
      </c>
      <c r="F68" s="4">
        <f t="shared" si="5"/>
        <v>0</v>
      </c>
      <c r="G68" s="4">
        <f t="shared" si="5"/>
        <v>0</v>
      </c>
      <c r="H68" s="4">
        <f t="shared" si="5"/>
        <v>0</v>
      </c>
      <c r="I68" s="4">
        <f t="shared" si="5"/>
        <v>0</v>
      </c>
      <c r="J68" s="4">
        <f t="shared" si="5"/>
        <v>0</v>
      </c>
      <c r="K68" s="4">
        <f t="shared" si="5"/>
        <v>1</v>
      </c>
      <c r="L68" s="4">
        <f t="shared" si="5"/>
        <v>0</v>
      </c>
      <c r="M68" s="4">
        <f t="shared" si="5"/>
        <v>0</v>
      </c>
      <c r="N68" s="4">
        <f t="shared" si="5"/>
        <v>0</v>
      </c>
      <c r="O68" s="4">
        <f t="shared" si="5"/>
        <v>0</v>
      </c>
      <c r="P68" s="4">
        <f t="shared" si="5"/>
        <v>0</v>
      </c>
      <c r="Q68" s="4">
        <f t="shared" si="5"/>
        <v>0</v>
      </c>
      <c r="R68" s="4">
        <f t="shared" si="5"/>
        <v>0</v>
      </c>
      <c r="S68" s="4">
        <f t="shared" si="5"/>
        <v>0</v>
      </c>
      <c r="T68" s="17">
        <f t="shared" si="5"/>
        <v>0</v>
      </c>
    </row>
    <row r="69" spans="3:20" hidden="1" x14ac:dyDescent="0.25">
      <c r="C69" s="93" t="str">
        <f t="shared" si="4"/>
        <v>T4_3</v>
      </c>
      <c r="D69" s="49"/>
      <c r="E69" s="3">
        <f t="shared" si="5"/>
        <v>0</v>
      </c>
      <c r="F69" s="4">
        <f t="shared" si="5"/>
        <v>1</v>
      </c>
      <c r="G69" s="4">
        <f t="shared" si="5"/>
        <v>0</v>
      </c>
      <c r="H69" s="4">
        <f t="shared" si="5"/>
        <v>0</v>
      </c>
      <c r="I69" s="4">
        <f t="shared" si="5"/>
        <v>0</v>
      </c>
      <c r="J69" s="4">
        <f t="shared" si="5"/>
        <v>0</v>
      </c>
      <c r="K69" s="4">
        <f t="shared" si="5"/>
        <v>0</v>
      </c>
      <c r="L69" s="4">
        <f t="shared" si="5"/>
        <v>0</v>
      </c>
      <c r="M69" s="4">
        <f t="shared" si="5"/>
        <v>0</v>
      </c>
      <c r="N69" s="4">
        <f t="shared" si="5"/>
        <v>0</v>
      </c>
      <c r="O69" s="4">
        <f t="shared" si="5"/>
        <v>0</v>
      </c>
      <c r="P69" s="4">
        <f t="shared" si="5"/>
        <v>0</v>
      </c>
      <c r="Q69" s="4">
        <f t="shared" si="5"/>
        <v>0</v>
      </c>
      <c r="R69" s="4">
        <f t="shared" si="5"/>
        <v>0</v>
      </c>
      <c r="S69" s="4">
        <f t="shared" si="5"/>
        <v>0</v>
      </c>
      <c r="T69" s="17">
        <f t="shared" si="5"/>
        <v>0</v>
      </c>
    </row>
    <row r="70" spans="3:20" hidden="1" x14ac:dyDescent="0.25">
      <c r="C70" s="93" t="str">
        <f t="shared" si="4"/>
        <v>T5_1</v>
      </c>
      <c r="D70" s="49"/>
      <c r="E70" s="3">
        <f t="shared" si="5"/>
        <v>0</v>
      </c>
      <c r="F70" s="4">
        <f t="shared" si="5"/>
        <v>0</v>
      </c>
      <c r="G70" s="4">
        <f t="shared" si="5"/>
        <v>0</v>
      </c>
      <c r="H70" s="4">
        <f t="shared" si="5"/>
        <v>0</v>
      </c>
      <c r="I70" s="4">
        <f t="shared" si="5"/>
        <v>0</v>
      </c>
      <c r="J70" s="4">
        <f t="shared" si="5"/>
        <v>0</v>
      </c>
      <c r="K70" s="4">
        <f t="shared" si="5"/>
        <v>1</v>
      </c>
      <c r="L70" s="4">
        <f t="shared" si="5"/>
        <v>0</v>
      </c>
      <c r="M70" s="4">
        <f t="shared" si="5"/>
        <v>0</v>
      </c>
      <c r="N70" s="4">
        <f t="shared" si="5"/>
        <v>0</v>
      </c>
      <c r="O70" s="4">
        <f t="shared" si="5"/>
        <v>0</v>
      </c>
      <c r="P70" s="4">
        <f t="shared" si="5"/>
        <v>0</v>
      </c>
      <c r="Q70" s="4">
        <f t="shared" si="5"/>
        <v>0</v>
      </c>
      <c r="R70" s="4">
        <f t="shared" si="5"/>
        <v>0</v>
      </c>
      <c r="S70" s="4">
        <f t="shared" si="5"/>
        <v>0</v>
      </c>
      <c r="T70" s="17">
        <f t="shared" si="5"/>
        <v>0</v>
      </c>
    </row>
    <row r="71" spans="3:20" hidden="1" x14ac:dyDescent="0.25">
      <c r="C71" s="93" t="str">
        <f t="shared" si="4"/>
        <v>T5_2</v>
      </c>
      <c r="D71" s="49"/>
      <c r="E71" s="3">
        <f t="shared" si="5"/>
        <v>0</v>
      </c>
      <c r="F71" s="4">
        <f t="shared" si="5"/>
        <v>0</v>
      </c>
      <c r="G71" s="4">
        <f t="shared" si="5"/>
        <v>0</v>
      </c>
      <c r="H71" s="4">
        <f t="shared" si="5"/>
        <v>0</v>
      </c>
      <c r="I71" s="4">
        <f t="shared" si="5"/>
        <v>0</v>
      </c>
      <c r="J71" s="4">
        <f t="shared" si="5"/>
        <v>0</v>
      </c>
      <c r="K71" s="4">
        <f t="shared" si="5"/>
        <v>0</v>
      </c>
      <c r="L71" s="4">
        <f t="shared" si="5"/>
        <v>0</v>
      </c>
      <c r="M71" s="4">
        <f t="shared" si="5"/>
        <v>0</v>
      </c>
      <c r="N71" s="4">
        <f t="shared" si="5"/>
        <v>1</v>
      </c>
      <c r="O71" s="4">
        <f t="shared" si="5"/>
        <v>0</v>
      </c>
      <c r="P71" s="4">
        <f t="shared" si="5"/>
        <v>0</v>
      </c>
      <c r="Q71" s="4">
        <f t="shared" si="5"/>
        <v>0</v>
      </c>
      <c r="R71" s="4">
        <f t="shared" si="5"/>
        <v>0</v>
      </c>
      <c r="S71" s="4">
        <f t="shared" si="5"/>
        <v>0</v>
      </c>
      <c r="T71" s="17">
        <f t="shared" si="5"/>
        <v>0</v>
      </c>
    </row>
    <row r="72" spans="3:20" hidden="1" x14ac:dyDescent="0.25">
      <c r="C72" s="93" t="str">
        <f t="shared" si="4"/>
        <v>T5_3</v>
      </c>
      <c r="D72" s="49"/>
      <c r="E72" s="3">
        <f t="shared" si="5"/>
        <v>0</v>
      </c>
      <c r="F72" s="4">
        <f t="shared" si="5"/>
        <v>1</v>
      </c>
      <c r="G72" s="4">
        <f t="shared" si="5"/>
        <v>0</v>
      </c>
      <c r="H72" s="4">
        <f t="shared" si="5"/>
        <v>0</v>
      </c>
      <c r="I72" s="4">
        <f t="shared" si="5"/>
        <v>0</v>
      </c>
      <c r="J72" s="4">
        <f t="shared" si="5"/>
        <v>0</v>
      </c>
      <c r="K72" s="4">
        <f t="shared" si="5"/>
        <v>0</v>
      </c>
      <c r="L72" s="4">
        <f t="shared" si="5"/>
        <v>0</v>
      </c>
      <c r="M72" s="4">
        <f t="shared" si="5"/>
        <v>0</v>
      </c>
      <c r="N72" s="4">
        <f t="shared" si="5"/>
        <v>0</v>
      </c>
      <c r="O72" s="4">
        <f t="shared" si="5"/>
        <v>0</v>
      </c>
      <c r="P72" s="4">
        <f t="shared" si="5"/>
        <v>0</v>
      </c>
      <c r="Q72" s="4">
        <f t="shared" si="5"/>
        <v>0</v>
      </c>
      <c r="R72" s="4">
        <f t="shared" si="5"/>
        <v>0</v>
      </c>
      <c r="S72" s="4">
        <f t="shared" si="5"/>
        <v>0</v>
      </c>
      <c r="T72" s="17">
        <f t="shared" si="5"/>
        <v>0</v>
      </c>
    </row>
    <row r="73" spans="3:20" hidden="1" x14ac:dyDescent="0.25">
      <c r="C73" s="93" t="str">
        <f t="shared" si="4"/>
        <v>T6_1</v>
      </c>
      <c r="D73" s="49"/>
      <c r="E73" s="3">
        <f t="shared" si="5"/>
        <v>0</v>
      </c>
      <c r="F73" s="4">
        <f t="shared" si="5"/>
        <v>0</v>
      </c>
      <c r="G73" s="4">
        <f t="shared" si="5"/>
        <v>0</v>
      </c>
      <c r="H73" s="4">
        <f t="shared" si="5"/>
        <v>0</v>
      </c>
      <c r="I73" s="4">
        <f t="shared" si="5"/>
        <v>0</v>
      </c>
      <c r="J73" s="4">
        <f t="shared" si="5"/>
        <v>0</v>
      </c>
      <c r="K73" s="4">
        <f t="shared" si="5"/>
        <v>1</v>
      </c>
      <c r="L73" s="4">
        <f t="shared" si="5"/>
        <v>0</v>
      </c>
      <c r="M73" s="4">
        <f t="shared" si="5"/>
        <v>0</v>
      </c>
      <c r="N73" s="4">
        <f t="shared" si="5"/>
        <v>0</v>
      </c>
      <c r="O73" s="4">
        <f t="shared" si="5"/>
        <v>0</v>
      </c>
      <c r="P73" s="4">
        <f t="shared" si="5"/>
        <v>0</v>
      </c>
      <c r="Q73" s="4">
        <f t="shared" si="5"/>
        <v>0</v>
      </c>
      <c r="R73" s="4">
        <f t="shared" si="5"/>
        <v>0</v>
      </c>
      <c r="S73" s="4">
        <f t="shared" si="5"/>
        <v>0</v>
      </c>
      <c r="T73" s="17">
        <f t="shared" ref="T73" si="6">IF(T17="",0,T17)</f>
        <v>0</v>
      </c>
    </row>
    <row r="74" spans="3:20" hidden="1" x14ac:dyDescent="0.25">
      <c r="C74" s="93" t="str">
        <f t="shared" si="4"/>
        <v>T6_2</v>
      </c>
      <c r="D74" s="49"/>
      <c r="E74" s="3">
        <f t="shared" ref="E74:T89" si="7">IF(E18="",0,E18)</f>
        <v>0</v>
      </c>
      <c r="F74" s="4">
        <f t="shared" si="7"/>
        <v>0</v>
      </c>
      <c r="G74" s="4">
        <f t="shared" si="7"/>
        <v>0</v>
      </c>
      <c r="H74" s="4">
        <f t="shared" si="7"/>
        <v>0</v>
      </c>
      <c r="I74" s="4">
        <f t="shared" si="7"/>
        <v>0</v>
      </c>
      <c r="J74" s="4">
        <f t="shared" si="7"/>
        <v>0</v>
      </c>
      <c r="K74" s="4">
        <f t="shared" si="7"/>
        <v>0</v>
      </c>
      <c r="L74" s="4">
        <f t="shared" si="7"/>
        <v>1</v>
      </c>
      <c r="M74" s="4">
        <f t="shared" si="7"/>
        <v>0</v>
      </c>
      <c r="N74" s="4">
        <f t="shared" si="7"/>
        <v>0</v>
      </c>
      <c r="O74" s="4">
        <f t="shared" si="7"/>
        <v>0</v>
      </c>
      <c r="P74" s="4">
        <f t="shared" si="7"/>
        <v>0</v>
      </c>
      <c r="Q74" s="4">
        <f t="shared" si="7"/>
        <v>0</v>
      </c>
      <c r="R74" s="4">
        <f t="shared" si="7"/>
        <v>0</v>
      </c>
      <c r="S74" s="4">
        <f t="shared" si="7"/>
        <v>0</v>
      </c>
      <c r="T74" s="17">
        <f t="shared" si="7"/>
        <v>0</v>
      </c>
    </row>
    <row r="75" spans="3:20" hidden="1" x14ac:dyDescent="0.25">
      <c r="C75" s="93" t="str">
        <f t="shared" si="4"/>
        <v>T6_3</v>
      </c>
      <c r="D75" s="49"/>
      <c r="E75" s="3">
        <f t="shared" si="7"/>
        <v>0</v>
      </c>
      <c r="F75" s="4">
        <f t="shared" si="7"/>
        <v>0</v>
      </c>
      <c r="G75" s="4">
        <f t="shared" si="7"/>
        <v>0</v>
      </c>
      <c r="H75" s="4">
        <f t="shared" si="7"/>
        <v>0</v>
      </c>
      <c r="I75" s="4">
        <f t="shared" si="7"/>
        <v>0</v>
      </c>
      <c r="J75" s="4">
        <f t="shared" si="7"/>
        <v>0</v>
      </c>
      <c r="K75" s="4">
        <f t="shared" si="7"/>
        <v>0</v>
      </c>
      <c r="L75" s="4">
        <f t="shared" si="7"/>
        <v>0</v>
      </c>
      <c r="M75" s="4">
        <f t="shared" si="7"/>
        <v>0</v>
      </c>
      <c r="N75" s="4">
        <f t="shared" si="7"/>
        <v>1</v>
      </c>
      <c r="O75" s="4">
        <f t="shared" si="7"/>
        <v>0</v>
      </c>
      <c r="P75" s="4">
        <f t="shared" si="7"/>
        <v>0</v>
      </c>
      <c r="Q75" s="4">
        <f t="shared" si="7"/>
        <v>0</v>
      </c>
      <c r="R75" s="4">
        <f t="shared" si="7"/>
        <v>0</v>
      </c>
      <c r="S75" s="4">
        <f t="shared" si="7"/>
        <v>0</v>
      </c>
      <c r="T75" s="17">
        <f t="shared" si="7"/>
        <v>0</v>
      </c>
    </row>
    <row r="76" spans="3:20" hidden="1" x14ac:dyDescent="0.25">
      <c r="C76" s="93" t="str">
        <f t="shared" si="4"/>
        <v>T7_1</v>
      </c>
      <c r="D76" s="49"/>
      <c r="E76" s="3">
        <f t="shared" si="7"/>
        <v>0</v>
      </c>
      <c r="F76" s="4">
        <f t="shared" si="7"/>
        <v>0</v>
      </c>
      <c r="G76" s="4">
        <f t="shared" si="7"/>
        <v>0</v>
      </c>
      <c r="H76" s="4">
        <f t="shared" si="7"/>
        <v>0</v>
      </c>
      <c r="I76" s="4">
        <f t="shared" si="7"/>
        <v>0</v>
      </c>
      <c r="J76" s="4">
        <f t="shared" si="7"/>
        <v>0</v>
      </c>
      <c r="K76" s="4">
        <f t="shared" si="7"/>
        <v>0</v>
      </c>
      <c r="L76" s="4">
        <f t="shared" si="7"/>
        <v>0</v>
      </c>
      <c r="M76" s="4">
        <f t="shared" si="7"/>
        <v>1</v>
      </c>
      <c r="N76" s="4">
        <f t="shared" si="7"/>
        <v>0</v>
      </c>
      <c r="O76" s="4">
        <f t="shared" si="7"/>
        <v>0</v>
      </c>
      <c r="P76" s="4">
        <f t="shared" si="7"/>
        <v>0</v>
      </c>
      <c r="Q76" s="4">
        <f t="shared" si="7"/>
        <v>0</v>
      </c>
      <c r="R76" s="4">
        <f t="shared" si="7"/>
        <v>0</v>
      </c>
      <c r="S76" s="4">
        <f t="shared" si="7"/>
        <v>0</v>
      </c>
      <c r="T76" s="17">
        <f t="shared" si="7"/>
        <v>0</v>
      </c>
    </row>
    <row r="77" spans="3:20" hidden="1" x14ac:dyDescent="0.25">
      <c r="C77" s="93" t="str">
        <f t="shared" si="4"/>
        <v>T7_2</v>
      </c>
      <c r="D77" s="49"/>
      <c r="E77" s="3">
        <f t="shared" si="7"/>
        <v>0</v>
      </c>
      <c r="F77" s="4">
        <f t="shared" si="7"/>
        <v>0</v>
      </c>
      <c r="G77" s="4">
        <f t="shared" si="7"/>
        <v>1</v>
      </c>
      <c r="H77" s="4">
        <f t="shared" si="7"/>
        <v>0</v>
      </c>
      <c r="I77" s="4">
        <f t="shared" si="7"/>
        <v>0</v>
      </c>
      <c r="J77" s="4">
        <f t="shared" si="7"/>
        <v>0</v>
      </c>
      <c r="K77" s="4">
        <f t="shared" si="7"/>
        <v>0</v>
      </c>
      <c r="L77" s="4">
        <f t="shared" si="7"/>
        <v>0</v>
      </c>
      <c r="M77" s="4">
        <f t="shared" si="7"/>
        <v>0</v>
      </c>
      <c r="N77" s="4">
        <f t="shared" si="7"/>
        <v>0</v>
      </c>
      <c r="O77" s="4">
        <f t="shared" si="7"/>
        <v>0</v>
      </c>
      <c r="P77" s="4">
        <f t="shared" si="7"/>
        <v>0</v>
      </c>
      <c r="Q77" s="4">
        <f t="shared" si="7"/>
        <v>0</v>
      </c>
      <c r="R77" s="4">
        <f t="shared" si="7"/>
        <v>0</v>
      </c>
      <c r="S77" s="4">
        <f t="shared" si="7"/>
        <v>0</v>
      </c>
      <c r="T77" s="17">
        <f t="shared" si="7"/>
        <v>0</v>
      </c>
    </row>
    <row r="78" spans="3:20" hidden="1" x14ac:dyDescent="0.25">
      <c r="C78" s="93" t="str">
        <f t="shared" si="4"/>
        <v>T7_3</v>
      </c>
      <c r="D78" s="49"/>
      <c r="E78" s="3">
        <f t="shared" si="7"/>
        <v>0</v>
      </c>
      <c r="F78" s="4">
        <f t="shared" si="7"/>
        <v>0</v>
      </c>
      <c r="G78" s="4">
        <f t="shared" si="7"/>
        <v>0</v>
      </c>
      <c r="H78" s="4">
        <f t="shared" si="7"/>
        <v>0</v>
      </c>
      <c r="I78" s="4">
        <f t="shared" si="7"/>
        <v>0</v>
      </c>
      <c r="J78" s="4">
        <f t="shared" si="7"/>
        <v>0</v>
      </c>
      <c r="K78" s="4">
        <f t="shared" si="7"/>
        <v>0</v>
      </c>
      <c r="L78" s="4">
        <f t="shared" si="7"/>
        <v>0</v>
      </c>
      <c r="M78" s="4">
        <f t="shared" si="7"/>
        <v>0</v>
      </c>
      <c r="N78" s="4">
        <f t="shared" si="7"/>
        <v>0</v>
      </c>
      <c r="O78" s="4">
        <f t="shared" si="7"/>
        <v>1</v>
      </c>
      <c r="P78" s="4">
        <f t="shared" si="7"/>
        <v>0</v>
      </c>
      <c r="Q78" s="4">
        <f t="shared" si="7"/>
        <v>0</v>
      </c>
      <c r="R78" s="4">
        <f t="shared" si="7"/>
        <v>0</v>
      </c>
      <c r="S78" s="4">
        <f t="shared" si="7"/>
        <v>0</v>
      </c>
      <c r="T78" s="17">
        <f t="shared" si="7"/>
        <v>0</v>
      </c>
    </row>
    <row r="79" spans="3:20" hidden="1" x14ac:dyDescent="0.25">
      <c r="C79" s="93" t="str">
        <f t="shared" si="4"/>
        <v>T8_1</v>
      </c>
      <c r="D79" s="49"/>
      <c r="E79" s="3">
        <f t="shared" si="7"/>
        <v>0</v>
      </c>
      <c r="F79" s="4">
        <f t="shared" si="7"/>
        <v>0</v>
      </c>
      <c r="G79" s="4">
        <f t="shared" si="7"/>
        <v>0</v>
      </c>
      <c r="H79" s="4">
        <f t="shared" si="7"/>
        <v>0</v>
      </c>
      <c r="I79" s="4">
        <f t="shared" si="7"/>
        <v>0</v>
      </c>
      <c r="J79" s="4">
        <f t="shared" si="7"/>
        <v>0</v>
      </c>
      <c r="K79" s="4">
        <f t="shared" si="7"/>
        <v>0</v>
      </c>
      <c r="L79" s="4">
        <f t="shared" si="7"/>
        <v>0</v>
      </c>
      <c r="M79" s="4">
        <f t="shared" si="7"/>
        <v>1</v>
      </c>
      <c r="N79" s="4">
        <f t="shared" si="7"/>
        <v>0</v>
      </c>
      <c r="O79" s="4">
        <f t="shared" si="7"/>
        <v>0</v>
      </c>
      <c r="P79" s="4">
        <f t="shared" si="7"/>
        <v>0</v>
      </c>
      <c r="Q79" s="4">
        <f t="shared" si="7"/>
        <v>0</v>
      </c>
      <c r="R79" s="4">
        <f t="shared" si="7"/>
        <v>0</v>
      </c>
      <c r="S79" s="4">
        <f t="shared" si="7"/>
        <v>0</v>
      </c>
      <c r="T79" s="17">
        <f t="shared" si="7"/>
        <v>0</v>
      </c>
    </row>
    <row r="80" spans="3:20" hidden="1" x14ac:dyDescent="0.25">
      <c r="C80" s="93" t="str">
        <f t="shared" si="4"/>
        <v>T8_2</v>
      </c>
      <c r="D80" s="49"/>
      <c r="E80" s="3">
        <f t="shared" si="7"/>
        <v>1</v>
      </c>
      <c r="F80" s="4">
        <f t="shared" si="7"/>
        <v>0</v>
      </c>
      <c r="G80" s="4">
        <f t="shared" si="7"/>
        <v>0</v>
      </c>
      <c r="H80" s="4">
        <f t="shared" si="7"/>
        <v>0</v>
      </c>
      <c r="I80" s="4">
        <f t="shared" si="7"/>
        <v>0</v>
      </c>
      <c r="J80" s="4">
        <f t="shared" si="7"/>
        <v>0</v>
      </c>
      <c r="K80" s="4">
        <f t="shared" si="7"/>
        <v>0</v>
      </c>
      <c r="L80" s="4">
        <f t="shared" si="7"/>
        <v>0</v>
      </c>
      <c r="M80" s="4">
        <f t="shared" si="7"/>
        <v>0</v>
      </c>
      <c r="N80" s="4">
        <f t="shared" si="7"/>
        <v>0</v>
      </c>
      <c r="O80" s="4">
        <f t="shared" si="7"/>
        <v>0</v>
      </c>
      <c r="P80" s="4">
        <f t="shared" si="7"/>
        <v>0</v>
      </c>
      <c r="Q80" s="4">
        <f t="shared" si="7"/>
        <v>0</v>
      </c>
      <c r="R80" s="4">
        <f t="shared" si="7"/>
        <v>0</v>
      </c>
      <c r="S80" s="4">
        <f t="shared" si="7"/>
        <v>0</v>
      </c>
      <c r="T80" s="17">
        <f t="shared" si="7"/>
        <v>0</v>
      </c>
    </row>
    <row r="81" spans="3:20" hidden="1" x14ac:dyDescent="0.25">
      <c r="C81" s="93" t="str">
        <f t="shared" si="4"/>
        <v>T8_3</v>
      </c>
      <c r="D81" s="49"/>
      <c r="E81" s="3">
        <f t="shared" si="7"/>
        <v>0</v>
      </c>
      <c r="F81" s="4">
        <f t="shared" si="7"/>
        <v>0</v>
      </c>
      <c r="G81" s="4">
        <f t="shared" si="7"/>
        <v>1</v>
      </c>
      <c r="H81" s="4">
        <f t="shared" si="7"/>
        <v>0</v>
      </c>
      <c r="I81" s="4">
        <f t="shared" si="7"/>
        <v>0</v>
      </c>
      <c r="J81" s="4">
        <f t="shared" si="7"/>
        <v>0</v>
      </c>
      <c r="K81" s="4">
        <f t="shared" si="7"/>
        <v>0</v>
      </c>
      <c r="L81" s="4">
        <f t="shared" si="7"/>
        <v>0</v>
      </c>
      <c r="M81" s="4">
        <f t="shared" si="7"/>
        <v>0</v>
      </c>
      <c r="N81" s="4">
        <f t="shared" si="7"/>
        <v>0</v>
      </c>
      <c r="O81" s="4">
        <f t="shared" si="7"/>
        <v>0</v>
      </c>
      <c r="P81" s="4">
        <f t="shared" si="7"/>
        <v>0</v>
      </c>
      <c r="Q81" s="4">
        <f t="shared" si="7"/>
        <v>0</v>
      </c>
      <c r="R81" s="4">
        <f t="shared" si="7"/>
        <v>0</v>
      </c>
      <c r="S81" s="4">
        <f t="shared" si="7"/>
        <v>0</v>
      </c>
      <c r="T81" s="17">
        <f t="shared" si="7"/>
        <v>0</v>
      </c>
    </row>
    <row r="82" spans="3:20" hidden="1" x14ac:dyDescent="0.25">
      <c r="C82" s="93" t="str">
        <f t="shared" si="4"/>
        <v>T9_1</v>
      </c>
      <c r="D82" s="49"/>
      <c r="E82" s="3">
        <f t="shared" si="7"/>
        <v>1</v>
      </c>
      <c r="F82" s="4">
        <f t="shared" si="7"/>
        <v>0</v>
      </c>
      <c r="G82" s="4">
        <f t="shared" si="7"/>
        <v>0</v>
      </c>
      <c r="H82" s="4">
        <f t="shared" si="7"/>
        <v>0</v>
      </c>
      <c r="I82" s="4">
        <f t="shared" si="7"/>
        <v>0</v>
      </c>
      <c r="J82" s="4">
        <f t="shared" si="7"/>
        <v>0</v>
      </c>
      <c r="K82" s="4">
        <f t="shared" si="7"/>
        <v>0</v>
      </c>
      <c r="L82" s="4">
        <f t="shared" si="7"/>
        <v>0</v>
      </c>
      <c r="M82" s="4">
        <f t="shared" si="7"/>
        <v>0</v>
      </c>
      <c r="N82" s="4">
        <f t="shared" si="7"/>
        <v>0</v>
      </c>
      <c r="O82" s="4">
        <f t="shared" si="7"/>
        <v>0</v>
      </c>
      <c r="P82" s="4">
        <f t="shared" si="7"/>
        <v>0</v>
      </c>
      <c r="Q82" s="4">
        <f t="shared" si="7"/>
        <v>0</v>
      </c>
      <c r="R82" s="4">
        <f t="shared" si="7"/>
        <v>0</v>
      </c>
      <c r="S82" s="4">
        <f t="shared" si="7"/>
        <v>0</v>
      </c>
      <c r="T82" s="17">
        <f t="shared" si="7"/>
        <v>0</v>
      </c>
    </row>
    <row r="83" spans="3:20" hidden="1" x14ac:dyDescent="0.25">
      <c r="C83" s="93" t="str">
        <f t="shared" si="4"/>
        <v>T9_2</v>
      </c>
      <c r="D83" s="49"/>
      <c r="E83" s="3">
        <f t="shared" si="7"/>
        <v>0</v>
      </c>
      <c r="F83" s="4">
        <f t="shared" si="7"/>
        <v>0</v>
      </c>
      <c r="G83" s="4">
        <f t="shared" si="7"/>
        <v>0</v>
      </c>
      <c r="H83" s="4">
        <f t="shared" si="7"/>
        <v>1</v>
      </c>
      <c r="I83" s="4">
        <f t="shared" si="7"/>
        <v>0</v>
      </c>
      <c r="J83" s="4">
        <f t="shared" si="7"/>
        <v>0</v>
      </c>
      <c r="K83" s="4">
        <f t="shared" si="7"/>
        <v>0</v>
      </c>
      <c r="L83" s="4">
        <f t="shared" si="7"/>
        <v>0</v>
      </c>
      <c r="M83" s="4">
        <f t="shared" si="7"/>
        <v>0</v>
      </c>
      <c r="N83" s="4">
        <f t="shared" si="7"/>
        <v>0</v>
      </c>
      <c r="O83" s="4">
        <f t="shared" si="7"/>
        <v>0</v>
      </c>
      <c r="P83" s="4">
        <f t="shared" si="7"/>
        <v>0</v>
      </c>
      <c r="Q83" s="4">
        <f t="shared" si="7"/>
        <v>0</v>
      </c>
      <c r="R83" s="4">
        <f t="shared" si="7"/>
        <v>0</v>
      </c>
      <c r="S83" s="4">
        <f t="shared" si="7"/>
        <v>0</v>
      </c>
      <c r="T83" s="17">
        <f t="shared" si="7"/>
        <v>0</v>
      </c>
    </row>
    <row r="84" spans="3:20" hidden="1" x14ac:dyDescent="0.25">
      <c r="C84" s="93" t="str">
        <f t="shared" si="4"/>
        <v>T9_3</v>
      </c>
      <c r="D84" s="49"/>
      <c r="E84" s="3">
        <f t="shared" si="7"/>
        <v>0</v>
      </c>
      <c r="F84" s="4">
        <f t="shared" si="7"/>
        <v>0</v>
      </c>
      <c r="G84" s="4">
        <f t="shared" si="7"/>
        <v>1</v>
      </c>
      <c r="H84" s="4">
        <f t="shared" si="7"/>
        <v>0</v>
      </c>
      <c r="I84" s="4">
        <f t="shared" si="7"/>
        <v>0</v>
      </c>
      <c r="J84" s="4">
        <f t="shared" si="7"/>
        <v>0</v>
      </c>
      <c r="K84" s="4">
        <f t="shared" si="7"/>
        <v>0</v>
      </c>
      <c r="L84" s="4">
        <f t="shared" si="7"/>
        <v>0</v>
      </c>
      <c r="M84" s="4">
        <f t="shared" si="7"/>
        <v>0</v>
      </c>
      <c r="N84" s="4">
        <f t="shared" si="7"/>
        <v>0</v>
      </c>
      <c r="O84" s="4">
        <f t="shared" si="7"/>
        <v>0</v>
      </c>
      <c r="P84" s="4">
        <f t="shared" si="7"/>
        <v>0</v>
      </c>
      <c r="Q84" s="4">
        <f t="shared" si="7"/>
        <v>0</v>
      </c>
      <c r="R84" s="4">
        <f t="shared" si="7"/>
        <v>0</v>
      </c>
      <c r="S84" s="4">
        <f t="shared" si="7"/>
        <v>0</v>
      </c>
      <c r="T84" s="17">
        <f t="shared" si="7"/>
        <v>0</v>
      </c>
    </row>
    <row r="85" spans="3:20" hidden="1" x14ac:dyDescent="0.25">
      <c r="C85" s="93" t="str">
        <f t="shared" si="4"/>
        <v>T10_1</v>
      </c>
      <c r="D85" s="49"/>
      <c r="E85" s="3">
        <f t="shared" si="7"/>
        <v>1</v>
      </c>
      <c r="F85" s="4">
        <f t="shared" si="7"/>
        <v>0</v>
      </c>
      <c r="G85" s="4">
        <f t="shared" si="7"/>
        <v>0</v>
      </c>
      <c r="H85" s="4">
        <f t="shared" si="7"/>
        <v>0</v>
      </c>
      <c r="I85" s="4">
        <f t="shared" si="7"/>
        <v>0</v>
      </c>
      <c r="J85" s="4">
        <f t="shared" si="7"/>
        <v>0</v>
      </c>
      <c r="K85" s="4">
        <f t="shared" si="7"/>
        <v>0</v>
      </c>
      <c r="L85" s="4">
        <f t="shared" si="7"/>
        <v>0</v>
      </c>
      <c r="M85" s="4">
        <f t="shared" si="7"/>
        <v>0</v>
      </c>
      <c r="N85" s="4">
        <f t="shared" si="7"/>
        <v>0</v>
      </c>
      <c r="O85" s="4">
        <f t="shared" si="7"/>
        <v>0</v>
      </c>
      <c r="P85" s="4">
        <f t="shared" si="7"/>
        <v>0</v>
      </c>
      <c r="Q85" s="4">
        <f t="shared" si="7"/>
        <v>0</v>
      </c>
      <c r="R85" s="4">
        <f t="shared" si="7"/>
        <v>0</v>
      </c>
      <c r="S85" s="4">
        <f t="shared" si="7"/>
        <v>0</v>
      </c>
      <c r="T85" s="17">
        <f t="shared" si="7"/>
        <v>0</v>
      </c>
    </row>
    <row r="86" spans="3:20" hidden="1" x14ac:dyDescent="0.25">
      <c r="C86" s="93" t="str">
        <f t="shared" si="4"/>
        <v>T10_2</v>
      </c>
      <c r="D86" s="49"/>
      <c r="E86" s="3">
        <f t="shared" si="7"/>
        <v>0</v>
      </c>
      <c r="F86" s="4">
        <f t="shared" si="7"/>
        <v>1</v>
      </c>
      <c r="G86" s="4">
        <f t="shared" si="7"/>
        <v>0</v>
      </c>
      <c r="H86" s="4">
        <f t="shared" si="7"/>
        <v>0</v>
      </c>
      <c r="I86" s="4">
        <f t="shared" si="7"/>
        <v>0</v>
      </c>
      <c r="J86" s="4">
        <f t="shared" si="7"/>
        <v>0</v>
      </c>
      <c r="K86" s="4">
        <f t="shared" si="7"/>
        <v>0</v>
      </c>
      <c r="L86" s="4">
        <f t="shared" si="7"/>
        <v>0</v>
      </c>
      <c r="M86" s="4">
        <f t="shared" si="7"/>
        <v>0</v>
      </c>
      <c r="N86" s="4">
        <f t="shared" si="7"/>
        <v>0</v>
      </c>
      <c r="O86" s="4">
        <f t="shared" si="7"/>
        <v>0</v>
      </c>
      <c r="P86" s="4">
        <f t="shared" si="7"/>
        <v>0</v>
      </c>
      <c r="Q86" s="4">
        <f t="shared" si="7"/>
        <v>0</v>
      </c>
      <c r="R86" s="4">
        <f t="shared" si="7"/>
        <v>0</v>
      </c>
      <c r="S86" s="4">
        <f t="shared" si="7"/>
        <v>0</v>
      </c>
      <c r="T86" s="17">
        <f t="shared" si="7"/>
        <v>0</v>
      </c>
    </row>
    <row r="87" spans="3:20" hidden="1" x14ac:dyDescent="0.25">
      <c r="C87" s="93" t="str">
        <f t="shared" si="4"/>
        <v>T10_3</v>
      </c>
      <c r="D87" s="49"/>
      <c r="E87" s="3">
        <f t="shared" si="7"/>
        <v>0</v>
      </c>
      <c r="F87" s="4">
        <f t="shared" si="7"/>
        <v>0</v>
      </c>
      <c r="G87" s="4">
        <f t="shared" si="7"/>
        <v>0</v>
      </c>
      <c r="H87" s="4">
        <f t="shared" si="7"/>
        <v>1</v>
      </c>
      <c r="I87" s="4">
        <f t="shared" si="7"/>
        <v>0</v>
      </c>
      <c r="J87" s="4">
        <f t="shared" si="7"/>
        <v>0</v>
      </c>
      <c r="K87" s="4">
        <f t="shared" si="7"/>
        <v>0</v>
      </c>
      <c r="L87" s="4">
        <f t="shared" si="7"/>
        <v>0</v>
      </c>
      <c r="M87" s="4">
        <f t="shared" si="7"/>
        <v>0</v>
      </c>
      <c r="N87" s="4">
        <f t="shared" si="7"/>
        <v>0</v>
      </c>
      <c r="O87" s="4">
        <f t="shared" si="7"/>
        <v>0</v>
      </c>
      <c r="P87" s="4">
        <f t="shared" si="7"/>
        <v>0</v>
      </c>
      <c r="Q87" s="4">
        <f t="shared" si="7"/>
        <v>0</v>
      </c>
      <c r="R87" s="4">
        <f t="shared" si="7"/>
        <v>0</v>
      </c>
      <c r="S87" s="4">
        <f t="shared" si="7"/>
        <v>0</v>
      </c>
      <c r="T87" s="17">
        <f t="shared" si="7"/>
        <v>0</v>
      </c>
    </row>
    <row r="88" spans="3:20" hidden="1" x14ac:dyDescent="0.25">
      <c r="C88" s="93" t="str">
        <f t="shared" si="4"/>
        <v>T11_1</v>
      </c>
      <c r="D88" s="49"/>
      <c r="E88" s="3">
        <f t="shared" si="7"/>
        <v>0</v>
      </c>
      <c r="F88" s="4">
        <f t="shared" si="7"/>
        <v>1</v>
      </c>
      <c r="G88" s="4">
        <f t="shared" si="7"/>
        <v>0</v>
      </c>
      <c r="H88" s="4">
        <f t="shared" si="7"/>
        <v>0</v>
      </c>
      <c r="I88" s="4">
        <f t="shared" si="7"/>
        <v>0</v>
      </c>
      <c r="J88" s="4">
        <f t="shared" si="7"/>
        <v>0</v>
      </c>
      <c r="K88" s="4">
        <f t="shared" si="7"/>
        <v>0</v>
      </c>
      <c r="L88" s="4">
        <f t="shared" si="7"/>
        <v>0</v>
      </c>
      <c r="M88" s="4">
        <f t="shared" si="7"/>
        <v>0</v>
      </c>
      <c r="N88" s="4">
        <f t="shared" si="7"/>
        <v>0</v>
      </c>
      <c r="O88" s="4">
        <f t="shared" si="7"/>
        <v>0</v>
      </c>
      <c r="P88" s="4">
        <f t="shared" si="7"/>
        <v>0</v>
      </c>
      <c r="Q88" s="4">
        <f t="shared" si="7"/>
        <v>0</v>
      </c>
      <c r="R88" s="4">
        <f t="shared" si="7"/>
        <v>0</v>
      </c>
      <c r="S88" s="4">
        <f t="shared" si="7"/>
        <v>0</v>
      </c>
      <c r="T88" s="17">
        <f t="shared" si="7"/>
        <v>0</v>
      </c>
    </row>
    <row r="89" spans="3:20" hidden="1" x14ac:dyDescent="0.25">
      <c r="C89" s="93" t="str">
        <f t="shared" si="4"/>
        <v>T11_2</v>
      </c>
      <c r="D89" s="49"/>
      <c r="E89" s="3">
        <f t="shared" si="7"/>
        <v>0</v>
      </c>
      <c r="F89" s="4">
        <f t="shared" si="7"/>
        <v>0</v>
      </c>
      <c r="G89" s="4">
        <f t="shared" si="7"/>
        <v>0</v>
      </c>
      <c r="H89" s="4">
        <f t="shared" si="7"/>
        <v>0</v>
      </c>
      <c r="I89" s="4">
        <f t="shared" si="7"/>
        <v>0</v>
      </c>
      <c r="J89" s="4">
        <f t="shared" si="7"/>
        <v>0</v>
      </c>
      <c r="K89" s="4">
        <f t="shared" si="7"/>
        <v>0</v>
      </c>
      <c r="L89" s="4">
        <f t="shared" si="7"/>
        <v>0</v>
      </c>
      <c r="M89" s="4">
        <f t="shared" si="7"/>
        <v>0</v>
      </c>
      <c r="N89" s="4">
        <f t="shared" si="7"/>
        <v>0</v>
      </c>
      <c r="O89" s="4">
        <f t="shared" si="7"/>
        <v>0</v>
      </c>
      <c r="P89" s="4">
        <f t="shared" si="7"/>
        <v>1</v>
      </c>
      <c r="Q89" s="4">
        <f t="shared" si="7"/>
        <v>0</v>
      </c>
      <c r="R89" s="4">
        <f t="shared" si="7"/>
        <v>0</v>
      </c>
      <c r="S89" s="4">
        <f t="shared" si="7"/>
        <v>0</v>
      </c>
      <c r="T89" s="17">
        <f t="shared" ref="T89" si="8">IF(T33="",0,T33)</f>
        <v>0</v>
      </c>
    </row>
    <row r="90" spans="3:20" hidden="1" x14ac:dyDescent="0.25">
      <c r="C90" s="93" t="str">
        <f t="shared" si="4"/>
        <v>T11_3</v>
      </c>
      <c r="D90" s="49"/>
      <c r="E90" s="3">
        <f t="shared" ref="E90:T105" si="9">IF(E34="",0,E34)</f>
        <v>0</v>
      </c>
      <c r="F90" s="4">
        <f t="shared" si="9"/>
        <v>0</v>
      </c>
      <c r="G90" s="4">
        <f t="shared" si="9"/>
        <v>0</v>
      </c>
      <c r="H90" s="4">
        <f t="shared" si="9"/>
        <v>1</v>
      </c>
      <c r="I90" s="4">
        <f t="shared" si="9"/>
        <v>0</v>
      </c>
      <c r="J90" s="4">
        <f t="shared" si="9"/>
        <v>0</v>
      </c>
      <c r="K90" s="4">
        <f t="shared" si="9"/>
        <v>0</v>
      </c>
      <c r="L90" s="4">
        <f t="shared" si="9"/>
        <v>0</v>
      </c>
      <c r="M90" s="4">
        <f t="shared" si="9"/>
        <v>0</v>
      </c>
      <c r="N90" s="4">
        <f t="shared" si="9"/>
        <v>0</v>
      </c>
      <c r="O90" s="4">
        <f t="shared" si="9"/>
        <v>0</v>
      </c>
      <c r="P90" s="4">
        <f t="shared" si="9"/>
        <v>0</v>
      </c>
      <c r="Q90" s="4">
        <f t="shared" si="9"/>
        <v>0</v>
      </c>
      <c r="R90" s="4">
        <f t="shared" si="9"/>
        <v>0</v>
      </c>
      <c r="S90" s="4">
        <f t="shared" si="9"/>
        <v>0</v>
      </c>
      <c r="T90" s="17">
        <f t="shared" si="9"/>
        <v>0</v>
      </c>
    </row>
    <row r="91" spans="3:20" hidden="1" x14ac:dyDescent="0.25">
      <c r="C91" s="93" t="str">
        <f t="shared" si="4"/>
        <v>T12_1</v>
      </c>
      <c r="D91" s="49"/>
      <c r="E91" s="3">
        <f t="shared" si="9"/>
        <v>0</v>
      </c>
      <c r="F91" s="4">
        <f t="shared" si="9"/>
        <v>1</v>
      </c>
      <c r="G91" s="4">
        <f t="shared" si="9"/>
        <v>0</v>
      </c>
      <c r="H91" s="4">
        <f t="shared" si="9"/>
        <v>0</v>
      </c>
      <c r="I91" s="4">
        <f t="shared" si="9"/>
        <v>0</v>
      </c>
      <c r="J91" s="4">
        <f t="shared" si="9"/>
        <v>0</v>
      </c>
      <c r="K91" s="4">
        <f t="shared" si="9"/>
        <v>0</v>
      </c>
      <c r="L91" s="4">
        <f t="shared" si="9"/>
        <v>0</v>
      </c>
      <c r="M91" s="4">
        <f t="shared" si="9"/>
        <v>0</v>
      </c>
      <c r="N91" s="4">
        <f t="shared" si="9"/>
        <v>0</v>
      </c>
      <c r="O91" s="4">
        <f t="shared" si="9"/>
        <v>0</v>
      </c>
      <c r="P91" s="4">
        <f t="shared" si="9"/>
        <v>0</v>
      </c>
      <c r="Q91" s="4">
        <f t="shared" si="9"/>
        <v>0</v>
      </c>
      <c r="R91" s="4">
        <f t="shared" si="9"/>
        <v>0</v>
      </c>
      <c r="S91" s="4">
        <f t="shared" si="9"/>
        <v>0</v>
      </c>
      <c r="T91" s="17">
        <f t="shared" si="9"/>
        <v>0</v>
      </c>
    </row>
    <row r="92" spans="3:20" hidden="1" x14ac:dyDescent="0.25">
      <c r="C92" s="93" t="str">
        <f t="shared" si="4"/>
        <v>T12_2</v>
      </c>
      <c r="D92" s="49"/>
      <c r="E92" s="3">
        <f t="shared" si="9"/>
        <v>0</v>
      </c>
      <c r="F92" s="4">
        <f t="shared" si="9"/>
        <v>0</v>
      </c>
      <c r="G92" s="4">
        <f t="shared" si="9"/>
        <v>0</v>
      </c>
      <c r="H92" s="4">
        <f t="shared" si="9"/>
        <v>0</v>
      </c>
      <c r="I92" s="4">
        <f t="shared" si="9"/>
        <v>0</v>
      </c>
      <c r="J92" s="4">
        <f t="shared" si="9"/>
        <v>0</v>
      </c>
      <c r="K92" s="4">
        <f t="shared" si="9"/>
        <v>0</v>
      </c>
      <c r="L92" s="4">
        <f t="shared" si="9"/>
        <v>0</v>
      </c>
      <c r="M92" s="4">
        <f t="shared" si="9"/>
        <v>0</v>
      </c>
      <c r="N92" s="4">
        <f t="shared" si="9"/>
        <v>1</v>
      </c>
      <c r="O92" s="4">
        <f t="shared" si="9"/>
        <v>0</v>
      </c>
      <c r="P92" s="4">
        <f t="shared" si="9"/>
        <v>0</v>
      </c>
      <c r="Q92" s="4">
        <f t="shared" si="9"/>
        <v>0</v>
      </c>
      <c r="R92" s="4">
        <f t="shared" si="9"/>
        <v>0</v>
      </c>
      <c r="S92" s="4">
        <f t="shared" si="9"/>
        <v>0</v>
      </c>
      <c r="T92" s="17">
        <f t="shared" si="9"/>
        <v>0</v>
      </c>
    </row>
    <row r="93" spans="3:20" hidden="1" x14ac:dyDescent="0.25">
      <c r="C93" s="93" t="str">
        <f t="shared" si="4"/>
        <v>T12_3</v>
      </c>
      <c r="D93" s="49"/>
      <c r="E93" s="3">
        <f t="shared" si="9"/>
        <v>0</v>
      </c>
      <c r="F93" s="4">
        <f t="shared" si="9"/>
        <v>0</v>
      </c>
      <c r="G93" s="4">
        <f t="shared" si="9"/>
        <v>0</v>
      </c>
      <c r="H93" s="4">
        <f t="shared" si="9"/>
        <v>0</v>
      </c>
      <c r="I93" s="4">
        <f t="shared" si="9"/>
        <v>0</v>
      </c>
      <c r="J93" s="4">
        <f t="shared" si="9"/>
        <v>0</v>
      </c>
      <c r="K93" s="4">
        <f t="shared" si="9"/>
        <v>0</v>
      </c>
      <c r="L93" s="4">
        <f t="shared" si="9"/>
        <v>0</v>
      </c>
      <c r="M93" s="4">
        <f t="shared" si="9"/>
        <v>0</v>
      </c>
      <c r="N93" s="4">
        <f t="shared" si="9"/>
        <v>0</v>
      </c>
      <c r="O93" s="4">
        <f t="shared" si="9"/>
        <v>0</v>
      </c>
      <c r="P93" s="4">
        <f t="shared" si="9"/>
        <v>1</v>
      </c>
      <c r="Q93" s="4">
        <f t="shared" si="9"/>
        <v>0</v>
      </c>
      <c r="R93" s="4">
        <f t="shared" si="9"/>
        <v>0</v>
      </c>
      <c r="S93" s="4">
        <f t="shared" si="9"/>
        <v>0</v>
      </c>
      <c r="T93" s="17">
        <f t="shared" si="9"/>
        <v>0</v>
      </c>
    </row>
    <row r="94" spans="3:20" hidden="1" x14ac:dyDescent="0.25">
      <c r="C94" s="93" t="str">
        <f t="shared" si="4"/>
        <v>T13_1</v>
      </c>
      <c r="D94" s="49"/>
      <c r="E94" s="3">
        <f t="shared" si="9"/>
        <v>0</v>
      </c>
      <c r="F94" s="4">
        <f t="shared" si="9"/>
        <v>0</v>
      </c>
      <c r="G94" s="4">
        <f t="shared" si="9"/>
        <v>0</v>
      </c>
      <c r="H94" s="4">
        <f t="shared" si="9"/>
        <v>0</v>
      </c>
      <c r="I94" s="4">
        <f t="shared" si="9"/>
        <v>0</v>
      </c>
      <c r="J94" s="4">
        <f t="shared" si="9"/>
        <v>0</v>
      </c>
      <c r="K94" s="4">
        <f t="shared" si="9"/>
        <v>0</v>
      </c>
      <c r="L94" s="4">
        <f t="shared" si="9"/>
        <v>0</v>
      </c>
      <c r="M94" s="4">
        <f t="shared" si="9"/>
        <v>0</v>
      </c>
      <c r="N94" s="4">
        <f t="shared" si="9"/>
        <v>0</v>
      </c>
      <c r="O94" s="4">
        <f t="shared" si="9"/>
        <v>1</v>
      </c>
      <c r="P94" s="4">
        <f t="shared" si="9"/>
        <v>0</v>
      </c>
      <c r="Q94" s="4">
        <f t="shared" si="9"/>
        <v>0</v>
      </c>
      <c r="R94" s="4">
        <f t="shared" si="9"/>
        <v>0</v>
      </c>
      <c r="S94" s="4">
        <f t="shared" si="9"/>
        <v>0</v>
      </c>
      <c r="T94" s="17">
        <f t="shared" si="9"/>
        <v>0</v>
      </c>
    </row>
    <row r="95" spans="3:20" hidden="1" x14ac:dyDescent="0.25">
      <c r="C95" s="93" t="str">
        <f t="shared" si="4"/>
        <v>T13_2</v>
      </c>
      <c r="D95" s="49"/>
      <c r="E95" s="3">
        <f t="shared" si="9"/>
        <v>0</v>
      </c>
      <c r="F95" s="4">
        <f t="shared" si="9"/>
        <v>0</v>
      </c>
      <c r="G95" s="4">
        <f t="shared" si="9"/>
        <v>0</v>
      </c>
      <c r="H95" s="4">
        <f t="shared" si="9"/>
        <v>0</v>
      </c>
      <c r="I95" s="4">
        <f t="shared" si="9"/>
        <v>0</v>
      </c>
      <c r="J95" s="4">
        <f t="shared" si="9"/>
        <v>0</v>
      </c>
      <c r="K95" s="4">
        <f t="shared" si="9"/>
        <v>0</v>
      </c>
      <c r="L95" s="4">
        <f t="shared" si="9"/>
        <v>0</v>
      </c>
      <c r="M95" s="4">
        <f t="shared" si="9"/>
        <v>0</v>
      </c>
      <c r="N95" s="4">
        <f t="shared" si="9"/>
        <v>0</v>
      </c>
      <c r="O95" s="4">
        <f t="shared" si="9"/>
        <v>0</v>
      </c>
      <c r="P95" s="4">
        <f t="shared" si="9"/>
        <v>0</v>
      </c>
      <c r="Q95" s="4">
        <f t="shared" si="9"/>
        <v>0</v>
      </c>
      <c r="R95" s="4">
        <f t="shared" si="9"/>
        <v>1</v>
      </c>
      <c r="S95" s="4">
        <f t="shared" si="9"/>
        <v>0</v>
      </c>
      <c r="T95" s="17">
        <f t="shared" si="9"/>
        <v>0</v>
      </c>
    </row>
    <row r="96" spans="3:20" hidden="1" x14ac:dyDescent="0.25">
      <c r="C96" s="93" t="str">
        <f t="shared" si="4"/>
        <v>T13_3</v>
      </c>
      <c r="D96" s="49"/>
      <c r="E96" s="3">
        <f t="shared" si="9"/>
        <v>0</v>
      </c>
      <c r="F96" s="4">
        <f t="shared" si="9"/>
        <v>0</v>
      </c>
      <c r="G96" s="4">
        <f t="shared" si="9"/>
        <v>0</v>
      </c>
      <c r="H96" s="4">
        <f t="shared" si="9"/>
        <v>0</v>
      </c>
      <c r="I96" s="4">
        <f t="shared" si="9"/>
        <v>0</v>
      </c>
      <c r="J96" s="4">
        <f t="shared" si="9"/>
        <v>0</v>
      </c>
      <c r="K96" s="4">
        <f t="shared" si="9"/>
        <v>0</v>
      </c>
      <c r="L96" s="4">
        <f t="shared" si="9"/>
        <v>0</v>
      </c>
      <c r="M96" s="4">
        <f t="shared" si="9"/>
        <v>0</v>
      </c>
      <c r="N96" s="4">
        <f t="shared" si="9"/>
        <v>0</v>
      </c>
      <c r="O96" s="4">
        <f t="shared" si="9"/>
        <v>0</v>
      </c>
      <c r="P96" s="4">
        <f t="shared" si="9"/>
        <v>0</v>
      </c>
      <c r="Q96" s="4">
        <f t="shared" si="9"/>
        <v>1</v>
      </c>
      <c r="R96" s="4">
        <f t="shared" si="9"/>
        <v>0</v>
      </c>
      <c r="S96" s="4">
        <f t="shared" si="9"/>
        <v>0</v>
      </c>
      <c r="T96" s="17">
        <f t="shared" si="9"/>
        <v>0</v>
      </c>
    </row>
    <row r="97" spans="3:27" hidden="1" x14ac:dyDescent="0.25">
      <c r="C97" s="93" t="str">
        <f t="shared" si="4"/>
        <v>T14_1</v>
      </c>
      <c r="D97" s="49"/>
      <c r="E97" s="3">
        <f t="shared" si="9"/>
        <v>0</v>
      </c>
      <c r="F97" s="4">
        <f t="shared" si="9"/>
        <v>0</v>
      </c>
      <c r="G97" s="4">
        <f t="shared" si="9"/>
        <v>0</v>
      </c>
      <c r="H97" s="4">
        <f t="shared" si="9"/>
        <v>0</v>
      </c>
      <c r="I97" s="4">
        <f t="shared" si="9"/>
        <v>0</v>
      </c>
      <c r="J97" s="4">
        <f t="shared" si="9"/>
        <v>0</v>
      </c>
      <c r="K97" s="4">
        <f t="shared" si="9"/>
        <v>0</v>
      </c>
      <c r="L97" s="4">
        <f t="shared" si="9"/>
        <v>0</v>
      </c>
      <c r="M97" s="4">
        <f t="shared" si="9"/>
        <v>0</v>
      </c>
      <c r="N97" s="4">
        <f t="shared" si="9"/>
        <v>0</v>
      </c>
      <c r="O97" s="4">
        <f t="shared" si="9"/>
        <v>1</v>
      </c>
      <c r="P97" s="4">
        <f t="shared" si="9"/>
        <v>0</v>
      </c>
      <c r="Q97" s="4">
        <f t="shared" si="9"/>
        <v>0</v>
      </c>
      <c r="R97" s="4">
        <f t="shared" si="9"/>
        <v>0</v>
      </c>
      <c r="S97" s="4">
        <f t="shared" si="9"/>
        <v>0</v>
      </c>
      <c r="T97" s="17">
        <f t="shared" si="9"/>
        <v>0</v>
      </c>
    </row>
    <row r="98" spans="3:27" hidden="1" x14ac:dyDescent="0.25">
      <c r="C98" s="93" t="str">
        <f t="shared" si="4"/>
        <v>T14_2</v>
      </c>
      <c r="D98" s="49"/>
      <c r="E98" s="3">
        <f t="shared" si="9"/>
        <v>0</v>
      </c>
      <c r="F98" s="4">
        <f t="shared" si="9"/>
        <v>0</v>
      </c>
      <c r="G98" s="4">
        <f t="shared" si="9"/>
        <v>1</v>
      </c>
      <c r="H98" s="4">
        <f t="shared" si="9"/>
        <v>0</v>
      </c>
      <c r="I98" s="4">
        <f t="shared" si="9"/>
        <v>0</v>
      </c>
      <c r="J98" s="4">
        <f t="shared" si="9"/>
        <v>0</v>
      </c>
      <c r="K98" s="4">
        <f t="shared" si="9"/>
        <v>0</v>
      </c>
      <c r="L98" s="4">
        <f t="shared" si="9"/>
        <v>0</v>
      </c>
      <c r="M98" s="4">
        <f t="shared" si="9"/>
        <v>0</v>
      </c>
      <c r="N98" s="4">
        <f t="shared" si="9"/>
        <v>0</v>
      </c>
      <c r="O98" s="4">
        <f t="shared" si="9"/>
        <v>0</v>
      </c>
      <c r="P98" s="4">
        <f t="shared" si="9"/>
        <v>0</v>
      </c>
      <c r="Q98" s="4">
        <f t="shared" si="9"/>
        <v>0</v>
      </c>
      <c r="R98" s="4">
        <f t="shared" si="9"/>
        <v>0</v>
      </c>
      <c r="S98" s="4">
        <f t="shared" si="9"/>
        <v>0</v>
      </c>
      <c r="T98" s="17">
        <f t="shared" si="9"/>
        <v>0</v>
      </c>
    </row>
    <row r="99" spans="3:27" hidden="1" x14ac:dyDescent="0.25">
      <c r="C99" s="93" t="str">
        <f t="shared" si="4"/>
        <v>T14_3</v>
      </c>
      <c r="D99" s="49"/>
      <c r="E99" s="3">
        <f t="shared" si="9"/>
        <v>0</v>
      </c>
      <c r="F99" s="4">
        <f t="shared" si="9"/>
        <v>0</v>
      </c>
      <c r="G99" s="4">
        <f t="shared" si="9"/>
        <v>0</v>
      </c>
      <c r="H99" s="4">
        <f t="shared" si="9"/>
        <v>0</v>
      </c>
      <c r="I99" s="4">
        <f t="shared" si="9"/>
        <v>0</v>
      </c>
      <c r="J99" s="4">
        <f t="shared" si="9"/>
        <v>0</v>
      </c>
      <c r="K99" s="4">
        <f t="shared" si="9"/>
        <v>0</v>
      </c>
      <c r="L99" s="4">
        <f t="shared" si="9"/>
        <v>0</v>
      </c>
      <c r="M99" s="4">
        <f t="shared" si="9"/>
        <v>0</v>
      </c>
      <c r="N99" s="4">
        <f t="shared" si="9"/>
        <v>0</v>
      </c>
      <c r="O99" s="4">
        <f t="shared" si="9"/>
        <v>0</v>
      </c>
      <c r="P99" s="4">
        <f t="shared" si="9"/>
        <v>0</v>
      </c>
      <c r="Q99" s="4">
        <f t="shared" si="9"/>
        <v>0</v>
      </c>
      <c r="R99" s="4">
        <f t="shared" si="9"/>
        <v>1</v>
      </c>
      <c r="S99" s="4">
        <f t="shared" si="9"/>
        <v>0</v>
      </c>
      <c r="T99" s="17">
        <f t="shared" si="9"/>
        <v>0</v>
      </c>
    </row>
    <row r="100" spans="3:27" hidden="1" x14ac:dyDescent="0.25">
      <c r="C100" s="93" t="str">
        <f t="shared" si="4"/>
        <v>T15_1</v>
      </c>
      <c r="D100" s="49"/>
      <c r="E100" s="3">
        <f t="shared" si="9"/>
        <v>0</v>
      </c>
      <c r="F100" s="4">
        <f t="shared" si="9"/>
        <v>0</v>
      </c>
      <c r="G100" s="4">
        <f t="shared" si="9"/>
        <v>1</v>
      </c>
      <c r="H100" s="4">
        <f t="shared" si="9"/>
        <v>0</v>
      </c>
      <c r="I100" s="4">
        <f t="shared" si="9"/>
        <v>0</v>
      </c>
      <c r="J100" s="4">
        <f t="shared" si="9"/>
        <v>0</v>
      </c>
      <c r="K100" s="4">
        <f t="shared" si="9"/>
        <v>0</v>
      </c>
      <c r="L100" s="4">
        <f t="shared" si="9"/>
        <v>0</v>
      </c>
      <c r="M100" s="4">
        <f t="shared" si="9"/>
        <v>0</v>
      </c>
      <c r="N100" s="4">
        <f t="shared" si="9"/>
        <v>0</v>
      </c>
      <c r="O100" s="4">
        <f t="shared" si="9"/>
        <v>0</v>
      </c>
      <c r="P100" s="4">
        <f t="shared" si="9"/>
        <v>0</v>
      </c>
      <c r="Q100" s="4">
        <f t="shared" si="9"/>
        <v>0</v>
      </c>
      <c r="R100" s="4">
        <f t="shared" si="9"/>
        <v>0</v>
      </c>
      <c r="S100" s="4">
        <f t="shared" si="9"/>
        <v>0</v>
      </c>
      <c r="T100" s="17">
        <f t="shared" si="9"/>
        <v>0</v>
      </c>
    </row>
    <row r="101" spans="3:27" hidden="1" x14ac:dyDescent="0.25">
      <c r="C101" s="93" t="str">
        <f t="shared" si="4"/>
        <v>T15_2</v>
      </c>
      <c r="D101" s="49"/>
      <c r="E101" s="3">
        <f t="shared" si="9"/>
        <v>0</v>
      </c>
      <c r="F101" s="4">
        <f t="shared" si="9"/>
        <v>0</v>
      </c>
      <c r="G101" s="4">
        <f t="shared" si="9"/>
        <v>0</v>
      </c>
      <c r="H101" s="4">
        <f t="shared" si="9"/>
        <v>0</v>
      </c>
      <c r="I101" s="4">
        <f t="shared" si="9"/>
        <v>0</v>
      </c>
      <c r="J101" s="4">
        <f t="shared" si="9"/>
        <v>0</v>
      </c>
      <c r="K101" s="4">
        <f t="shared" si="9"/>
        <v>0</v>
      </c>
      <c r="L101" s="4">
        <f t="shared" si="9"/>
        <v>0</v>
      </c>
      <c r="M101" s="4">
        <f t="shared" si="9"/>
        <v>0</v>
      </c>
      <c r="N101" s="4">
        <f t="shared" si="9"/>
        <v>0</v>
      </c>
      <c r="O101" s="4">
        <f t="shared" si="9"/>
        <v>0</v>
      </c>
      <c r="P101" s="4">
        <f t="shared" si="9"/>
        <v>0</v>
      </c>
      <c r="Q101" s="4">
        <f t="shared" si="9"/>
        <v>0</v>
      </c>
      <c r="R101" s="4">
        <f t="shared" si="9"/>
        <v>0</v>
      </c>
      <c r="S101" s="4">
        <f t="shared" si="9"/>
        <v>1</v>
      </c>
      <c r="T101" s="17">
        <f t="shared" si="9"/>
        <v>0</v>
      </c>
    </row>
    <row r="102" spans="3:27" hidden="1" x14ac:dyDescent="0.25">
      <c r="C102" s="93" t="str">
        <f t="shared" si="4"/>
        <v>T15_3</v>
      </c>
      <c r="D102" s="49"/>
      <c r="E102" s="3">
        <f t="shared" si="9"/>
        <v>0</v>
      </c>
      <c r="F102" s="4">
        <f t="shared" si="9"/>
        <v>0</v>
      </c>
      <c r="G102" s="4">
        <f t="shared" si="9"/>
        <v>0</v>
      </c>
      <c r="H102" s="4">
        <f t="shared" si="9"/>
        <v>0</v>
      </c>
      <c r="I102" s="4">
        <f t="shared" si="9"/>
        <v>0</v>
      </c>
      <c r="J102" s="4">
        <f t="shared" si="9"/>
        <v>0</v>
      </c>
      <c r="K102" s="4">
        <f t="shared" si="9"/>
        <v>0</v>
      </c>
      <c r="L102" s="4">
        <f t="shared" si="9"/>
        <v>0</v>
      </c>
      <c r="M102" s="4">
        <f t="shared" si="9"/>
        <v>0</v>
      </c>
      <c r="N102" s="4">
        <f t="shared" si="9"/>
        <v>0</v>
      </c>
      <c r="O102" s="4">
        <f t="shared" si="9"/>
        <v>0</v>
      </c>
      <c r="P102" s="4">
        <f t="shared" si="9"/>
        <v>0</v>
      </c>
      <c r="Q102" s="4">
        <f t="shared" si="9"/>
        <v>0</v>
      </c>
      <c r="R102" s="4">
        <f t="shared" si="9"/>
        <v>1</v>
      </c>
      <c r="S102" s="4">
        <f t="shared" si="9"/>
        <v>0</v>
      </c>
      <c r="T102" s="17">
        <f t="shared" si="9"/>
        <v>0</v>
      </c>
    </row>
    <row r="103" spans="3:27" hidden="1" x14ac:dyDescent="0.25">
      <c r="C103" s="93" t="str">
        <f t="shared" si="4"/>
        <v>T16_1</v>
      </c>
      <c r="D103" s="49"/>
      <c r="E103" s="3">
        <f t="shared" si="9"/>
        <v>0</v>
      </c>
      <c r="F103" s="4">
        <f t="shared" si="9"/>
        <v>0</v>
      </c>
      <c r="G103" s="4">
        <f t="shared" si="9"/>
        <v>1</v>
      </c>
      <c r="H103" s="4">
        <f t="shared" si="9"/>
        <v>0</v>
      </c>
      <c r="I103" s="4">
        <f t="shared" si="9"/>
        <v>0</v>
      </c>
      <c r="J103" s="4">
        <f t="shared" si="9"/>
        <v>0</v>
      </c>
      <c r="K103" s="4">
        <f t="shared" si="9"/>
        <v>0</v>
      </c>
      <c r="L103" s="4">
        <f t="shared" si="9"/>
        <v>0</v>
      </c>
      <c r="M103" s="4">
        <f t="shared" si="9"/>
        <v>0</v>
      </c>
      <c r="N103" s="4">
        <f t="shared" si="9"/>
        <v>0</v>
      </c>
      <c r="O103" s="4">
        <f t="shared" si="9"/>
        <v>0</v>
      </c>
      <c r="P103" s="4">
        <f t="shared" si="9"/>
        <v>0</v>
      </c>
      <c r="Q103" s="4">
        <f t="shared" si="9"/>
        <v>0</v>
      </c>
      <c r="R103" s="4">
        <f t="shared" si="9"/>
        <v>0</v>
      </c>
      <c r="S103" s="4">
        <f t="shared" si="9"/>
        <v>0</v>
      </c>
      <c r="T103" s="17">
        <f t="shared" si="9"/>
        <v>0</v>
      </c>
    </row>
    <row r="104" spans="3:27" hidden="1" x14ac:dyDescent="0.25">
      <c r="C104" s="93" t="str">
        <f t="shared" si="4"/>
        <v>T16_2</v>
      </c>
      <c r="D104" s="49"/>
      <c r="E104" s="3">
        <f t="shared" si="9"/>
        <v>0</v>
      </c>
      <c r="F104" s="4">
        <f t="shared" si="9"/>
        <v>0</v>
      </c>
      <c r="G104" s="4">
        <f t="shared" si="9"/>
        <v>0</v>
      </c>
      <c r="H104" s="4">
        <f t="shared" si="9"/>
        <v>1</v>
      </c>
      <c r="I104" s="4">
        <f t="shared" si="9"/>
        <v>0</v>
      </c>
      <c r="J104" s="4">
        <f t="shared" si="9"/>
        <v>0</v>
      </c>
      <c r="K104" s="4">
        <f t="shared" si="9"/>
        <v>0</v>
      </c>
      <c r="L104" s="4">
        <f t="shared" si="9"/>
        <v>0</v>
      </c>
      <c r="M104" s="4">
        <f t="shared" si="9"/>
        <v>0</v>
      </c>
      <c r="N104" s="4">
        <f t="shared" si="9"/>
        <v>0</v>
      </c>
      <c r="O104" s="4">
        <f t="shared" si="9"/>
        <v>0</v>
      </c>
      <c r="P104" s="4">
        <f t="shared" si="9"/>
        <v>0</v>
      </c>
      <c r="Q104" s="4">
        <f t="shared" si="9"/>
        <v>0</v>
      </c>
      <c r="R104" s="4">
        <f t="shared" si="9"/>
        <v>0</v>
      </c>
      <c r="S104" s="4">
        <f t="shared" si="9"/>
        <v>0</v>
      </c>
      <c r="T104" s="17">
        <f t="shared" si="9"/>
        <v>0</v>
      </c>
    </row>
    <row r="105" spans="3:27" hidden="1" x14ac:dyDescent="0.25">
      <c r="C105" s="93" t="str">
        <f t="shared" si="4"/>
        <v>T16_3</v>
      </c>
      <c r="D105" s="49"/>
      <c r="E105" s="3">
        <f t="shared" si="9"/>
        <v>0</v>
      </c>
      <c r="F105" s="4">
        <f t="shared" si="9"/>
        <v>0</v>
      </c>
      <c r="G105" s="4">
        <f t="shared" si="9"/>
        <v>0</v>
      </c>
      <c r="H105" s="4">
        <f t="shared" si="9"/>
        <v>0</v>
      </c>
      <c r="I105" s="4">
        <f t="shared" si="9"/>
        <v>0</v>
      </c>
      <c r="J105" s="4">
        <f t="shared" si="9"/>
        <v>0</v>
      </c>
      <c r="K105" s="4">
        <f t="shared" si="9"/>
        <v>0</v>
      </c>
      <c r="L105" s="4">
        <f t="shared" si="9"/>
        <v>0</v>
      </c>
      <c r="M105" s="4">
        <f t="shared" si="9"/>
        <v>0</v>
      </c>
      <c r="N105" s="4">
        <f t="shared" si="9"/>
        <v>0</v>
      </c>
      <c r="O105" s="4">
        <f t="shared" si="9"/>
        <v>0</v>
      </c>
      <c r="P105" s="4">
        <f t="shared" si="9"/>
        <v>0</v>
      </c>
      <c r="Q105" s="4">
        <f t="shared" si="9"/>
        <v>0</v>
      </c>
      <c r="R105" s="4">
        <f t="shared" si="9"/>
        <v>0</v>
      </c>
      <c r="S105" s="4">
        <f t="shared" si="9"/>
        <v>1</v>
      </c>
      <c r="T105" s="17">
        <f t="shared" ref="T105" si="10">IF(T49="",0,T49)</f>
        <v>0</v>
      </c>
    </row>
    <row r="106" spans="3:27" hidden="1" x14ac:dyDescent="0.25">
      <c r="C106" s="93" t="str">
        <f t="shared" si="4"/>
        <v>T17_1</v>
      </c>
      <c r="D106" s="49"/>
      <c r="E106" s="3">
        <f t="shared" ref="E106:T111" si="11">IF(E50="",0,E50)</f>
        <v>0</v>
      </c>
      <c r="F106" s="4">
        <f t="shared" si="11"/>
        <v>0</v>
      </c>
      <c r="G106" s="4">
        <f t="shared" si="11"/>
        <v>0</v>
      </c>
      <c r="H106" s="4">
        <f t="shared" si="11"/>
        <v>1</v>
      </c>
      <c r="I106" s="4">
        <f t="shared" si="11"/>
        <v>0</v>
      </c>
      <c r="J106" s="4">
        <f t="shared" si="11"/>
        <v>0</v>
      </c>
      <c r="K106" s="4">
        <f t="shared" si="11"/>
        <v>0</v>
      </c>
      <c r="L106" s="4">
        <f t="shared" si="11"/>
        <v>0</v>
      </c>
      <c r="M106" s="4">
        <f t="shared" si="11"/>
        <v>0</v>
      </c>
      <c r="N106" s="4">
        <f t="shared" si="11"/>
        <v>0</v>
      </c>
      <c r="O106" s="4">
        <f t="shared" si="11"/>
        <v>0</v>
      </c>
      <c r="P106" s="4">
        <f t="shared" si="11"/>
        <v>0</v>
      </c>
      <c r="Q106" s="4">
        <f t="shared" si="11"/>
        <v>0</v>
      </c>
      <c r="R106" s="4">
        <f t="shared" si="11"/>
        <v>0</v>
      </c>
      <c r="S106" s="4">
        <f t="shared" si="11"/>
        <v>0</v>
      </c>
      <c r="T106" s="17">
        <f t="shared" si="11"/>
        <v>0</v>
      </c>
    </row>
    <row r="107" spans="3:27" hidden="1" x14ac:dyDescent="0.25">
      <c r="C107" s="93" t="str">
        <f t="shared" si="4"/>
        <v>T17_2</v>
      </c>
      <c r="D107" s="49"/>
      <c r="E107" s="3">
        <f t="shared" si="11"/>
        <v>0</v>
      </c>
      <c r="F107" s="4">
        <f t="shared" si="11"/>
        <v>0</v>
      </c>
      <c r="G107" s="4">
        <f t="shared" si="11"/>
        <v>0</v>
      </c>
      <c r="H107" s="4">
        <f t="shared" si="11"/>
        <v>0</v>
      </c>
      <c r="I107" s="4">
        <f t="shared" si="11"/>
        <v>0</v>
      </c>
      <c r="J107" s="4">
        <f t="shared" si="11"/>
        <v>0</v>
      </c>
      <c r="K107" s="4">
        <f t="shared" si="11"/>
        <v>0</v>
      </c>
      <c r="L107" s="4">
        <f t="shared" si="11"/>
        <v>0</v>
      </c>
      <c r="M107" s="4">
        <f t="shared" si="11"/>
        <v>0</v>
      </c>
      <c r="N107" s="4">
        <f t="shared" si="11"/>
        <v>0</v>
      </c>
      <c r="O107" s="4">
        <f t="shared" si="11"/>
        <v>0</v>
      </c>
      <c r="P107" s="4">
        <f t="shared" si="11"/>
        <v>0</v>
      </c>
      <c r="Q107" s="4">
        <f t="shared" si="11"/>
        <v>0</v>
      </c>
      <c r="R107" s="4">
        <f t="shared" si="11"/>
        <v>0</v>
      </c>
      <c r="S107" s="4">
        <f t="shared" si="11"/>
        <v>0</v>
      </c>
      <c r="T107" s="17">
        <f t="shared" si="11"/>
        <v>1</v>
      </c>
    </row>
    <row r="108" spans="3:27" hidden="1" x14ac:dyDescent="0.25">
      <c r="C108" s="93" t="str">
        <f t="shared" si="4"/>
        <v>T17_3</v>
      </c>
      <c r="D108" s="49"/>
      <c r="E108" s="3">
        <f t="shared" si="11"/>
        <v>0</v>
      </c>
      <c r="F108" s="4">
        <f t="shared" si="11"/>
        <v>0</v>
      </c>
      <c r="G108" s="4">
        <f t="shared" si="11"/>
        <v>0</v>
      </c>
      <c r="H108" s="4">
        <f t="shared" si="11"/>
        <v>0</v>
      </c>
      <c r="I108" s="4">
        <f t="shared" si="11"/>
        <v>0</v>
      </c>
      <c r="J108" s="4">
        <f t="shared" si="11"/>
        <v>0</v>
      </c>
      <c r="K108" s="4">
        <f t="shared" si="11"/>
        <v>0</v>
      </c>
      <c r="L108" s="4">
        <f t="shared" si="11"/>
        <v>0</v>
      </c>
      <c r="M108" s="4">
        <f t="shared" si="11"/>
        <v>0</v>
      </c>
      <c r="N108" s="4">
        <f t="shared" si="11"/>
        <v>0</v>
      </c>
      <c r="O108" s="4">
        <f t="shared" si="11"/>
        <v>0</v>
      </c>
      <c r="P108" s="4">
        <f t="shared" si="11"/>
        <v>0</v>
      </c>
      <c r="Q108" s="4">
        <f t="shared" si="11"/>
        <v>0</v>
      </c>
      <c r="R108" s="4">
        <f t="shared" si="11"/>
        <v>0</v>
      </c>
      <c r="S108" s="4">
        <f t="shared" si="11"/>
        <v>1</v>
      </c>
      <c r="T108" s="17">
        <f t="shared" si="11"/>
        <v>0</v>
      </c>
    </row>
    <row r="109" spans="3:27" hidden="1" x14ac:dyDescent="0.25">
      <c r="C109" s="93" t="str">
        <f t="shared" si="4"/>
        <v>T18_1</v>
      </c>
      <c r="D109" s="49"/>
      <c r="E109" s="3">
        <f t="shared" si="11"/>
        <v>0</v>
      </c>
      <c r="F109" s="4">
        <f t="shared" si="11"/>
        <v>0</v>
      </c>
      <c r="G109" s="4">
        <f t="shared" si="11"/>
        <v>0</v>
      </c>
      <c r="H109" s="4">
        <f t="shared" si="11"/>
        <v>1</v>
      </c>
      <c r="I109" s="4">
        <f t="shared" si="11"/>
        <v>0</v>
      </c>
      <c r="J109" s="4">
        <f t="shared" si="11"/>
        <v>0</v>
      </c>
      <c r="K109" s="4">
        <f t="shared" si="11"/>
        <v>0</v>
      </c>
      <c r="L109" s="4">
        <f t="shared" si="11"/>
        <v>0</v>
      </c>
      <c r="M109" s="4">
        <f t="shared" si="11"/>
        <v>0</v>
      </c>
      <c r="N109" s="4">
        <f t="shared" si="11"/>
        <v>0</v>
      </c>
      <c r="O109" s="4">
        <f t="shared" si="11"/>
        <v>0</v>
      </c>
      <c r="P109" s="4">
        <f t="shared" si="11"/>
        <v>0</v>
      </c>
      <c r="Q109" s="4">
        <f t="shared" si="11"/>
        <v>0</v>
      </c>
      <c r="R109" s="4">
        <f t="shared" si="11"/>
        <v>0</v>
      </c>
      <c r="S109" s="4">
        <f t="shared" si="11"/>
        <v>0</v>
      </c>
      <c r="T109" s="17">
        <f t="shared" si="11"/>
        <v>0</v>
      </c>
    </row>
    <row r="110" spans="3:27" hidden="1" x14ac:dyDescent="0.25">
      <c r="C110" s="93" t="str">
        <f t="shared" si="4"/>
        <v>T18_2</v>
      </c>
      <c r="D110" s="49"/>
      <c r="E110" s="3">
        <f t="shared" si="11"/>
        <v>0</v>
      </c>
      <c r="F110" s="4">
        <f t="shared" si="11"/>
        <v>0</v>
      </c>
      <c r="G110" s="4">
        <f t="shared" si="11"/>
        <v>0</v>
      </c>
      <c r="H110" s="4">
        <f t="shared" si="11"/>
        <v>0</v>
      </c>
      <c r="I110" s="4">
        <f t="shared" si="11"/>
        <v>0</v>
      </c>
      <c r="J110" s="4">
        <f t="shared" si="11"/>
        <v>0</v>
      </c>
      <c r="K110" s="4">
        <f t="shared" si="11"/>
        <v>0</v>
      </c>
      <c r="L110" s="4">
        <f t="shared" si="11"/>
        <v>0</v>
      </c>
      <c r="M110" s="4">
        <f t="shared" si="11"/>
        <v>0</v>
      </c>
      <c r="N110" s="4">
        <f t="shared" si="11"/>
        <v>0</v>
      </c>
      <c r="O110" s="4">
        <f t="shared" si="11"/>
        <v>0</v>
      </c>
      <c r="P110" s="4">
        <f t="shared" si="11"/>
        <v>1</v>
      </c>
      <c r="Q110" s="4">
        <f t="shared" si="11"/>
        <v>0</v>
      </c>
      <c r="R110" s="4">
        <f t="shared" si="11"/>
        <v>0</v>
      </c>
      <c r="S110" s="4">
        <f t="shared" si="11"/>
        <v>0</v>
      </c>
      <c r="T110" s="17">
        <f t="shared" si="11"/>
        <v>0</v>
      </c>
    </row>
    <row r="111" spans="3:27" x14ac:dyDescent="0.25">
      <c r="C111" s="97" t="str">
        <f t="shared" si="4"/>
        <v>T18_3</v>
      </c>
      <c r="D111" s="98"/>
      <c r="E111" s="108">
        <f t="shared" si="11"/>
        <v>0</v>
      </c>
      <c r="F111" s="19">
        <f t="shared" si="11"/>
        <v>0</v>
      </c>
      <c r="G111" s="19">
        <f t="shared" si="11"/>
        <v>0</v>
      </c>
      <c r="H111" s="19">
        <f t="shared" si="11"/>
        <v>0</v>
      </c>
      <c r="I111" s="19">
        <f t="shared" si="11"/>
        <v>0</v>
      </c>
      <c r="J111" s="19">
        <f t="shared" si="11"/>
        <v>0</v>
      </c>
      <c r="K111" s="19">
        <f t="shared" si="11"/>
        <v>0</v>
      </c>
      <c r="L111" s="19">
        <f t="shared" si="11"/>
        <v>0</v>
      </c>
      <c r="M111" s="19">
        <f t="shared" si="11"/>
        <v>0</v>
      </c>
      <c r="N111" s="19">
        <f t="shared" si="11"/>
        <v>0</v>
      </c>
      <c r="O111" s="19">
        <f t="shared" si="11"/>
        <v>0</v>
      </c>
      <c r="P111" s="19">
        <f t="shared" si="11"/>
        <v>0</v>
      </c>
      <c r="Q111" s="19">
        <f t="shared" si="11"/>
        <v>0</v>
      </c>
      <c r="R111" s="19">
        <f t="shared" si="11"/>
        <v>0</v>
      </c>
      <c r="S111" s="19">
        <f t="shared" si="11"/>
        <v>0</v>
      </c>
      <c r="T111" s="20">
        <f t="shared" si="11"/>
        <v>1</v>
      </c>
      <c r="W111" s="84" t="s">
        <v>214</v>
      </c>
    </row>
    <row r="112" spans="3:27" x14ac:dyDescent="0.25">
      <c r="W112" s="84" t="s">
        <v>215</v>
      </c>
      <c r="AA112" t="s">
        <v>216</v>
      </c>
    </row>
    <row r="113" spans="4:30" ht="15.75" thickBot="1" x14ac:dyDescent="0.3">
      <c r="E113" t="s">
        <v>0</v>
      </c>
      <c r="F113" t="s">
        <v>1</v>
      </c>
      <c r="G113" t="s">
        <v>2</v>
      </c>
      <c r="H113" t="s">
        <v>3</v>
      </c>
      <c r="I113" t="s">
        <v>4</v>
      </c>
      <c r="J113" t="s">
        <v>5</v>
      </c>
      <c r="K113" t="s">
        <v>6</v>
      </c>
      <c r="L113" t="s">
        <v>7</v>
      </c>
      <c r="M113" t="s">
        <v>8</v>
      </c>
      <c r="N113" t="s">
        <v>164</v>
      </c>
      <c r="O113" t="s">
        <v>165</v>
      </c>
      <c r="P113" t="s">
        <v>166</v>
      </c>
      <c r="Q113" t="s">
        <v>167</v>
      </c>
      <c r="R113" t="s">
        <v>168</v>
      </c>
      <c r="S113" t="s">
        <v>169</v>
      </c>
      <c r="T113" t="s">
        <v>170</v>
      </c>
      <c r="W113" t="s">
        <v>209</v>
      </c>
      <c r="Y113" t="s">
        <v>210</v>
      </c>
      <c r="AA113" s="112" t="s">
        <v>167</v>
      </c>
      <c r="AB113" s="112" t="s">
        <v>168</v>
      </c>
      <c r="AC113" s="112" t="s">
        <v>169</v>
      </c>
      <c r="AD113" s="112" t="s">
        <v>170</v>
      </c>
    </row>
    <row r="114" spans="4:30" x14ac:dyDescent="0.25">
      <c r="D114" s="23" t="s">
        <v>0</v>
      </c>
      <c r="E114" s="121">
        <f t="array" aca="1" ref="E114:T129" ca="1">MMULT(MMULT(TRANSPOSE(E58:T111),AA2:CB55),E58:T111)</f>
        <v>2</v>
      </c>
      <c r="F114" s="122">
        <f ca="1"/>
        <v>-0.5</v>
      </c>
      <c r="G114" s="122">
        <f ca="1"/>
        <v>-0.5</v>
      </c>
      <c r="H114" s="122">
        <f ca="1"/>
        <v>0</v>
      </c>
      <c r="I114" s="123">
        <f ca="1"/>
        <v>0</v>
      </c>
      <c r="J114" s="123">
        <f ca="1"/>
        <v>-0.5</v>
      </c>
      <c r="K114" s="123">
        <f ca="1"/>
        <v>0</v>
      </c>
      <c r="L114" s="123">
        <f ca="1"/>
        <v>0</v>
      </c>
      <c r="M114" s="123">
        <f ca="1"/>
        <v>-0.5</v>
      </c>
      <c r="N114" s="123">
        <f ca="1"/>
        <v>0</v>
      </c>
      <c r="O114" s="123">
        <f ca="1"/>
        <v>0</v>
      </c>
      <c r="P114" s="123">
        <f ca="1"/>
        <v>0</v>
      </c>
      <c r="Q114" s="123">
        <f ca="1"/>
        <v>0</v>
      </c>
      <c r="R114" s="123">
        <f ca="1"/>
        <v>0</v>
      </c>
      <c r="S114" s="123">
        <f ca="1"/>
        <v>0</v>
      </c>
      <c r="T114" s="124">
        <f ca="1"/>
        <v>0</v>
      </c>
      <c r="U114" s="118"/>
      <c r="V114" s="23" t="s">
        <v>0</v>
      </c>
      <c r="W114" s="128">
        <f t="array" aca="1" ref="W114:W117" ca="1">-MMULT(MMULT(MINVERSE(E114:H117),I114:T117),W118:W129)</f>
        <v>199.99999999999994</v>
      </c>
      <c r="Y114" s="116">
        <f t="array" aca="1" ref="Y114:Y129" ca="1">MMULT(E114:T129,W114:W129)</f>
        <v>-5.6843418860808015E-14</v>
      </c>
      <c r="AA114" s="112" t="s">
        <v>165</v>
      </c>
      <c r="AB114" s="117" t="s">
        <v>2</v>
      </c>
      <c r="AC114" s="117" t="s">
        <v>3</v>
      </c>
      <c r="AD114" s="112" t="s">
        <v>166</v>
      </c>
    </row>
    <row r="115" spans="4:30" x14ac:dyDescent="0.25">
      <c r="D115" s="23" t="s">
        <v>1</v>
      </c>
      <c r="E115" s="121">
        <f ca="1"/>
        <v>-0.5</v>
      </c>
      <c r="F115" s="122">
        <f ca="1"/>
        <v>2</v>
      </c>
      <c r="G115" s="122">
        <f ca="1"/>
        <v>0</v>
      </c>
      <c r="H115" s="122">
        <f ca="1"/>
        <v>-0.5</v>
      </c>
      <c r="I115" s="123">
        <f ca="1"/>
        <v>0</v>
      </c>
      <c r="J115" s="123">
        <f ca="1"/>
        <v>0</v>
      </c>
      <c r="K115" s="123">
        <f ca="1"/>
        <v>-0.5</v>
      </c>
      <c r="L115" s="123">
        <f ca="1"/>
        <v>0</v>
      </c>
      <c r="M115" s="123">
        <f ca="1"/>
        <v>0</v>
      </c>
      <c r="N115" s="123">
        <f ca="1"/>
        <v>-0.5</v>
      </c>
      <c r="O115" s="123">
        <f ca="1"/>
        <v>0</v>
      </c>
      <c r="P115" s="123">
        <f ca="1"/>
        <v>0</v>
      </c>
      <c r="Q115" s="123">
        <f ca="1"/>
        <v>0</v>
      </c>
      <c r="R115" s="123">
        <f ca="1"/>
        <v>0</v>
      </c>
      <c r="S115" s="123">
        <f ca="1"/>
        <v>0</v>
      </c>
      <c r="T115" s="124">
        <f ca="1"/>
        <v>0</v>
      </c>
      <c r="U115" s="118"/>
      <c r="V115" s="23" t="s">
        <v>1</v>
      </c>
      <c r="W115" s="129">
        <f ca="1"/>
        <v>300</v>
      </c>
      <c r="Y115" s="116">
        <f ca="1"/>
        <v>0</v>
      </c>
      <c r="AA115" s="112" t="s">
        <v>8</v>
      </c>
      <c r="AB115" s="117" t="s">
        <v>0</v>
      </c>
      <c r="AC115" s="117" t="s">
        <v>1</v>
      </c>
      <c r="AD115" s="112" t="s">
        <v>164</v>
      </c>
    </row>
    <row r="116" spans="4:30" x14ac:dyDescent="0.25">
      <c r="D116" s="23" t="s">
        <v>2</v>
      </c>
      <c r="E116" s="121">
        <f ca="1"/>
        <v>-0.5</v>
      </c>
      <c r="F116" s="122">
        <f ca="1"/>
        <v>0</v>
      </c>
      <c r="G116" s="122">
        <f ca="1"/>
        <v>2</v>
      </c>
      <c r="H116" s="122">
        <f ca="1"/>
        <v>-0.5</v>
      </c>
      <c r="I116" s="123">
        <f ca="1"/>
        <v>0</v>
      </c>
      <c r="J116" s="123">
        <f ca="1"/>
        <v>0</v>
      </c>
      <c r="K116" s="123">
        <f ca="1"/>
        <v>0</v>
      </c>
      <c r="L116" s="123">
        <f ca="1"/>
        <v>0</v>
      </c>
      <c r="M116" s="123">
        <f ca="1"/>
        <v>0</v>
      </c>
      <c r="N116" s="123">
        <f ca="1"/>
        <v>0</v>
      </c>
      <c r="O116" s="123">
        <f ca="1"/>
        <v>-0.5</v>
      </c>
      <c r="P116" s="123">
        <f ca="1"/>
        <v>0</v>
      </c>
      <c r="Q116" s="123">
        <f ca="1"/>
        <v>0</v>
      </c>
      <c r="R116" s="123">
        <f ca="1"/>
        <v>-0.5</v>
      </c>
      <c r="S116" s="123">
        <f ca="1"/>
        <v>0</v>
      </c>
      <c r="T116" s="124">
        <f ca="1"/>
        <v>0</v>
      </c>
      <c r="U116" s="118"/>
      <c r="V116" s="23" t="s">
        <v>2</v>
      </c>
      <c r="W116" s="129">
        <f ca="1"/>
        <v>299.99999999999989</v>
      </c>
      <c r="X116" s="6"/>
      <c r="Y116" s="116">
        <f ca="1"/>
        <v>-2.2737367544323206E-13</v>
      </c>
      <c r="AA116" s="112" t="s">
        <v>4</v>
      </c>
      <c r="AB116" s="112" t="s">
        <v>5</v>
      </c>
      <c r="AC116" s="112" t="s">
        <v>6</v>
      </c>
      <c r="AD116" s="112" t="s">
        <v>7</v>
      </c>
    </row>
    <row r="117" spans="4:30" ht="15.75" thickBot="1" x14ac:dyDescent="0.3">
      <c r="D117" s="23" t="s">
        <v>3</v>
      </c>
      <c r="E117" s="121">
        <f ca="1"/>
        <v>0</v>
      </c>
      <c r="F117" s="122">
        <f ca="1"/>
        <v>-0.5</v>
      </c>
      <c r="G117" s="122">
        <f ca="1"/>
        <v>-0.5</v>
      </c>
      <c r="H117" s="122">
        <f ca="1"/>
        <v>2</v>
      </c>
      <c r="I117" s="123">
        <f ca="1"/>
        <v>0</v>
      </c>
      <c r="J117" s="123">
        <f ca="1"/>
        <v>0</v>
      </c>
      <c r="K117" s="123">
        <f ca="1"/>
        <v>0</v>
      </c>
      <c r="L117" s="123">
        <f ca="1"/>
        <v>0</v>
      </c>
      <c r="M117" s="123">
        <f ca="1"/>
        <v>0</v>
      </c>
      <c r="N117" s="123">
        <f ca="1"/>
        <v>0</v>
      </c>
      <c r="O117" s="123">
        <f ca="1"/>
        <v>0</v>
      </c>
      <c r="P117" s="123">
        <f ca="1"/>
        <v>-0.5</v>
      </c>
      <c r="Q117" s="123">
        <f ca="1"/>
        <v>0</v>
      </c>
      <c r="R117" s="123">
        <f ca="1"/>
        <v>0</v>
      </c>
      <c r="S117" s="123">
        <f ca="1"/>
        <v>-0.5</v>
      </c>
      <c r="T117" s="124">
        <f ca="1"/>
        <v>0</v>
      </c>
      <c r="U117" s="118"/>
      <c r="V117" s="23" t="s">
        <v>3</v>
      </c>
      <c r="W117" s="130">
        <f ca="1"/>
        <v>399.99999999999994</v>
      </c>
      <c r="Y117" s="116">
        <f ca="1"/>
        <v>-5.6843418860808015E-14</v>
      </c>
    </row>
    <row r="118" spans="4:30" x14ac:dyDescent="0.25">
      <c r="D118" s="23" t="s">
        <v>4</v>
      </c>
      <c r="E118" s="125">
        <f ca="1"/>
        <v>0</v>
      </c>
      <c r="F118" s="123">
        <f ca="1"/>
        <v>0</v>
      </c>
      <c r="G118" s="123">
        <f ca="1"/>
        <v>0</v>
      </c>
      <c r="H118" s="123">
        <f ca="1"/>
        <v>0</v>
      </c>
      <c r="I118" s="126">
        <f ca="1"/>
        <v>0.5</v>
      </c>
      <c r="J118" s="126">
        <f ca="1"/>
        <v>-0.25</v>
      </c>
      <c r="K118" s="126">
        <f ca="1"/>
        <v>0</v>
      </c>
      <c r="L118" s="126">
        <f ca="1"/>
        <v>0</v>
      </c>
      <c r="M118" s="126">
        <f ca="1"/>
        <v>-0.25</v>
      </c>
      <c r="N118" s="126">
        <f ca="1"/>
        <v>0</v>
      </c>
      <c r="O118" s="126">
        <f ca="1"/>
        <v>0</v>
      </c>
      <c r="P118" s="126">
        <f ca="1"/>
        <v>0</v>
      </c>
      <c r="Q118" s="126">
        <f ca="1"/>
        <v>0</v>
      </c>
      <c r="R118" s="126">
        <f ca="1"/>
        <v>0</v>
      </c>
      <c r="S118" s="126">
        <f ca="1"/>
        <v>0</v>
      </c>
      <c r="T118" s="127">
        <f ca="1"/>
        <v>0</v>
      </c>
      <c r="V118" s="23" t="s">
        <v>4</v>
      </c>
      <c r="W118" s="114">
        <v>0</v>
      </c>
      <c r="Y118" s="115">
        <f ca="1"/>
        <v>-50</v>
      </c>
      <c r="AA118" s="131" t="s">
        <v>217</v>
      </c>
    </row>
    <row r="119" spans="4:30" x14ac:dyDescent="0.25">
      <c r="D119" s="23" t="s">
        <v>5</v>
      </c>
      <c r="E119" s="125">
        <f ca="1"/>
        <v>-0.5</v>
      </c>
      <c r="F119" s="123">
        <f ca="1"/>
        <v>0</v>
      </c>
      <c r="G119" s="123">
        <f ca="1"/>
        <v>0</v>
      </c>
      <c r="H119" s="123">
        <f ca="1"/>
        <v>0</v>
      </c>
      <c r="I119" s="126">
        <f ca="1"/>
        <v>-0.25</v>
      </c>
      <c r="J119" s="126">
        <f ca="1"/>
        <v>1</v>
      </c>
      <c r="K119" s="126">
        <f ca="1"/>
        <v>-0.25</v>
      </c>
      <c r="L119" s="126">
        <f ca="1"/>
        <v>0</v>
      </c>
      <c r="M119" s="126">
        <f ca="1"/>
        <v>0</v>
      </c>
      <c r="N119" s="126">
        <f ca="1"/>
        <v>0</v>
      </c>
      <c r="O119" s="126">
        <f ca="1"/>
        <v>0</v>
      </c>
      <c r="P119" s="126">
        <f ca="1"/>
        <v>0</v>
      </c>
      <c r="Q119" s="126">
        <f ca="1"/>
        <v>0</v>
      </c>
      <c r="R119" s="126">
        <f ca="1"/>
        <v>0</v>
      </c>
      <c r="S119" s="126">
        <f ca="1"/>
        <v>0</v>
      </c>
      <c r="T119" s="127">
        <f ca="1"/>
        <v>0</v>
      </c>
      <c r="V119" s="23" t="s">
        <v>5</v>
      </c>
      <c r="W119" s="114">
        <v>100</v>
      </c>
      <c r="Y119" s="115">
        <f ca="1"/>
        <v>-49.999999999999972</v>
      </c>
      <c r="AA119" s="112" t="s">
        <v>167</v>
      </c>
      <c r="AB119" s="112" t="s">
        <v>168</v>
      </c>
      <c r="AC119" s="112" t="s">
        <v>169</v>
      </c>
      <c r="AD119" s="112" t="s">
        <v>170</v>
      </c>
    </row>
    <row r="120" spans="4:30" x14ac:dyDescent="0.25">
      <c r="D120" s="23" t="s">
        <v>6</v>
      </c>
      <c r="E120" s="125">
        <f ca="1"/>
        <v>0</v>
      </c>
      <c r="F120" s="123">
        <f ca="1"/>
        <v>-0.5</v>
      </c>
      <c r="G120" s="123">
        <f ca="1"/>
        <v>0</v>
      </c>
      <c r="H120" s="123">
        <f ca="1"/>
        <v>0</v>
      </c>
      <c r="I120" s="126">
        <f ca="1"/>
        <v>0</v>
      </c>
      <c r="J120" s="126">
        <f ca="1"/>
        <v>-0.25</v>
      </c>
      <c r="K120" s="126">
        <f ca="1"/>
        <v>1</v>
      </c>
      <c r="L120" s="126">
        <f ca="1"/>
        <v>-0.25</v>
      </c>
      <c r="M120" s="126">
        <f ca="1"/>
        <v>0</v>
      </c>
      <c r="N120" s="126">
        <f ca="1"/>
        <v>0</v>
      </c>
      <c r="O120" s="126">
        <f ca="1"/>
        <v>0</v>
      </c>
      <c r="P120" s="126">
        <f ca="1"/>
        <v>0</v>
      </c>
      <c r="Q120" s="126">
        <f ca="1"/>
        <v>0</v>
      </c>
      <c r="R120" s="126">
        <f ca="1"/>
        <v>0</v>
      </c>
      <c r="S120" s="126">
        <f ca="1"/>
        <v>0</v>
      </c>
      <c r="T120" s="127">
        <f ca="1"/>
        <v>0</v>
      </c>
      <c r="V120" s="23" t="s">
        <v>6</v>
      </c>
      <c r="W120" s="114">
        <v>200</v>
      </c>
      <c r="Y120" s="115">
        <f ca="1"/>
        <v>-50</v>
      </c>
      <c r="AA120" s="112" t="s">
        <v>8</v>
      </c>
      <c r="AB120" s="117" t="s">
        <v>164</v>
      </c>
      <c r="AC120" s="117" t="s">
        <v>165</v>
      </c>
      <c r="AD120" s="112" t="s">
        <v>166</v>
      </c>
    </row>
    <row r="121" spans="4:30" x14ac:dyDescent="0.25">
      <c r="D121" s="23" t="s">
        <v>7</v>
      </c>
      <c r="E121" s="125">
        <f ca="1"/>
        <v>0</v>
      </c>
      <c r="F121" s="123">
        <f ca="1"/>
        <v>0</v>
      </c>
      <c r="G121" s="123">
        <f ca="1"/>
        <v>0</v>
      </c>
      <c r="H121" s="123">
        <f ca="1"/>
        <v>0</v>
      </c>
      <c r="I121" s="126">
        <f ca="1"/>
        <v>0</v>
      </c>
      <c r="J121" s="126">
        <f ca="1"/>
        <v>0</v>
      </c>
      <c r="K121" s="126">
        <f ca="1"/>
        <v>-0.25</v>
      </c>
      <c r="L121" s="126">
        <f ca="1"/>
        <v>0.5</v>
      </c>
      <c r="M121" s="126">
        <f ca="1"/>
        <v>0</v>
      </c>
      <c r="N121" s="126">
        <f ca="1"/>
        <v>-0.25</v>
      </c>
      <c r="O121" s="126">
        <f ca="1"/>
        <v>0</v>
      </c>
      <c r="P121" s="126">
        <f ca="1"/>
        <v>0</v>
      </c>
      <c r="Q121" s="126">
        <f ca="1"/>
        <v>0</v>
      </c>
      <c r="R121" s="126">
        <f ca="1"/>
        <v>0</v>
      </c>
      <c r="S121" s="126">
        <f ca="1"/>
        <v>0</v>
      </c>
      <c r="T121" s="127">
        <f ca="1"/>
        <v>0</v>
      </c>
      <c r="U121" s="118"/>
      <c r="V121" s="23" t="s">
        <v>7</v>
      </c>
      <c r="W121" s="114">
        <v>300</v>
      </c>
      <c r="Y121" s="115">
        <f ca="1"/>
        <v>0</v>
      </c>
      <c r="AA121" s="112" t="s">
        <v>4</v>
      </c>
      <c r="AB121" s="117" t="s">
        <v>5</v>
      </c>
      <c r="AC121" s="117" t="s">
        <v>6</v>
      </c>
      <c r="AD121" s="112" t="s">
        <v>7</v>
      </c>
    </row>
    <row r="122" spans="4:30" x14ac:dyDescent="0.25">
      <c r="D122" s="23" t="s">
        <v>8</v>
      </c>
      <c r="E122" s="125">
        <f ca="1"/>
        <v>-0.5</v>
      </c>
      <c r="F122" s="123">
        <f ca="1"/>
        <v>0</v>
      </c>
      <c r="G122" s="123">
        <f ca="1"/>
        <v>0</v>
      </c>
      <c r="H122" s="123">
        <f ca="1"/>
        <v>0</v>
      </c>
      <c r="I122" s="126">
        <f ca="1"/>
        <v>-0.25</v>
      </c>
      <c r="J122" s="126">
        <f ca="1"/>
        <v>0</v>
      </c>
      <c r="K122" s="126">
        <f ca="1"/>
        <v>0</v>
      </c>
      <c r="L122" s="126">
        <f ca="1"/>
        <v>0</v>
      </c>
      <c r="M122" s="126">
        <f ca="1"/>
        <v>1</v>
      </c>
      <c r="N122" s="126">
        <f ca="1"/>
        <v>0</v>
      </c>
      <c r="O122" s="126">
        <f ca="1"/>
        <v>-0.25</v>
      </c>
      <c r="P122" s="126">
        <f ca="1"/>
        <v>0</v>
      </c>
      <c r="Q122" s="126">
        <f ca="1"/>
        <v>0</v>
      </c>
      <c r="R122" s="126">
        <f ca="1"/>
        <v>0</v>
      </c>
      <c r="S122" s="126">
        <f ca="1"/>
        <v>0</v>
      </c>
      <c r="T122" s="127">
        <f ca="1"/>
        <v>0</v>
      </c>
      <c r="V122" s="23" t="s">
        <v>8</v>
      </c>
      <c r="W122" s="114">
        <v>100</v>
      </c>
      <c r="Y122" s="115">
        <f ca="1"/>
        <v>-49.999999999999972</v>
      </c>
      <c r="AA122" s="112" t="s">
        <v>0</v>
      </c>
      <c r="AB122" s="112" t="s">
        <v>1</v>
      </c>
      <c r="AC122" s="112" t="s">
        <v>2</v>
      </c>
      <c r="AD122" s="112" t="s">
        <v>3</v>
      </c>
    </row>
    <row r="123" spans="4:30" x14ac:dyDescent="0.25">
      <c r="D123" s="23" t="s">
        <v>164</v>
      </c>
      <c r="E123" s="125">
        <f ca="1"/>
        <v>0</v>
      </c>
      <c r="F123" s="123">
        <f ca="1"/>
        <v>-0.5</v>
      </c>
      <c r="G123" s="123">
        <f ca="1"/>
        <v>0</v>
      </c>
      <c r="H123" s="123">
        <f ca="1"/>
        <v>0</v>
      </c>
      <c r="I123" s="126">
        <f ca="1"/>
        <v>0</v>
      </c>
      <c r="J123" s="126">
        <f ca="1"/>
        <v>0</v>
      </c>
      <c r="K123" s="126">
        <f ca="1"/>
        <v>0</v>
      </c>
      <c r="L123" s="126">
        <f ca="1"/>
        <v>-0.25</v>
      </c>
      <c r="M123" s="126">
        <f ca="1"/>
        <v>0</v>
      </c>
      <c r="N123" s="126">
        <f ca="1"/>
        <v>1</v>
      </c>
      <c r="O123" s="126">
        <f ca="1"/>
        <v>0</v>
      </c>
      <c r="P123" s="126">
        <f ca="1"/>
        <v>-0.25</v>
      </c>
      <c r="Q123" s="126">
        <f ca="1"/>
        <v>0</v>
      </c>
      <c r="R123" s="126">
        <f ca="1"/>
        <v>0</v>
      </c>
      <c r="S123" s="126">
        <f ca="1"/>
        <v>0</v>
      </c>
      <c r="T123" s="127">
        <f ca="1"/>
        <v>0</v>
      </c>
      <c r="V123" s="23" t="s">
        <v>164</v>
      </c>
      <c r="W123" s="114">
        <v>400</v>
      </c>
      <c r="Y123" s="115">
        <f ca="1"/>
        <v>50</v>
      </c>
    </row>
    <row r="124" spans="4:30" x14ac:dyDescent="0.25">
      <c r="D124" s="23" t="s">
        <v>165</v>
      </c>
      <c r="E124" s="125">
        <f ca="1"/>
        <v>0</v>
      </c>
      <c r="F124" s="123">
        <f ca="1"/>
        <v>0</v>
      </c>
      <c r="G124" s="123">
        <f ca="1"/>
        <v>-0.5</v>
      </c>
      <c r="H124" s="123">
        <f ca="1"/>
        <v>0</v>
      </c>
      <c r="I124" s="126">
        <f ca="1"/>
        <v>0</v>
      </c>
      <c r="J124" s="126">
        <f ca="1"/>
        <v>0</v>
      </c>
      <c r="K124" s="126">
        <f ca="1"/>
        <v>0</v>
      </c>
      <c r="L124" s="126">
        <f ca="1"/>
        <v>0</v>
      </c>
      <c r="M124" s="126">
        <f ca="1"/>
        <v>-0.25</v>
      </c>
      <c r="N124" s="126">
        <f ca="1"/>
        <v>0</v>
      </c>
      <c r="O124" s="126">
        <f ca="1"/>
        <v>1</v>
      </c>
      <c r="P124" s="126">
        <f ca="1"/>
        <v>0</v>
      </c>
      <c r="Q124" s="126">
        <f ca="1"/>
        <v>-0.25</v>
      </c>
      <c r="R124" s="126">
        <f ca="1"/>
        <v>0</v>
      </c>
      <c r="S124" s="126">
        <f ca="1"/>
        <v>0</v>
      </c>
      <c r="T124" s="127">
        <f ca="1"/>
        <v>0</v>
      </c>
      <c r="V124" s="23" t="s">
        <v>165</v>
      </c>
      <c r="W124" s="114">
        <v>200</v>
      </c>
      <c r="Y124" s="115">
        <f ca="1"/>
        <v>-49.999999999999943</v>
      </c>
    </row>
    <row r="125" spans="4:30" x14ac:dyDescent="0.25">
      <c r="D125" s="23" t="s">
        <v>166</v>
      </c>
      <c r="E125" s="125">
        <f ca="1"/>
        <v>0</v>
      </c>
      <c r="F125" s="123">
        <f ca="1"/>
        <v>0</v>
      </c>
      <c r="G125" s="123">
        <f ca="1"/>
        <v>0</v>
      </c>
      <c r="H125" s="123">
        <f ca="1"/>
        <v>-0.5</v>
      </c>
      <c r="I125" s="126">
        <f ca="1"/>
        <v>0</v>
      </c>
      <c r="J125" s="126">
        <f ca="1"/>
        <v>0</v>
      </c>
      <c r="K125" s="126">
        <f ca="1"/>
        <v>0</v>
      </c>
      <c r="L125" s="126">
        <f ca="1"/>
        <v>0</v>
      </c>
      <c r="M125" s="126">
        <f ca="1"/>
        <v>0</v>
      </c>
      <c r="N125" s="126">
        <f ca="1"/>
        <v>-0.25</v>
      </c>
      <c r="O125" s="126">
        <f ca="1"/>
        <v>0</v>
      </c>
      <c r="P125" s="126">
        <f ca="1"/>
        <v>1</v>
      </c>
      <c r="Q125" s="126">
        <f ca="1"/>
        <v>0</v>
      </c>
      <c r="R125" s="126">
        <f ca="1"/>
        <v>0</v>
      </c>
      <c r="S125" s="126">
        <f ca="1"/>
        <v>0</v>
      </c>
      <c r="T125" s="127">
        <f ca="1"/>
        <v>-0.25</v>
      </c>
      <c r="V125" s="23" t="s">
        <v>166</v>
      </c>
      <c r="W125" s="114">
        <v>500</v>
      </c>
      <c r="Y125" s="115">
        <f ca="1"/>
        <v>50</v>
      </c>
    </row>
    <row r="126" spans="4:30" x14ac:dyDescent="0.25">
      <c r="D126" s="23" t="s">
        <v>167</v>
      </c>
      <c r="E126" s="125">
        <f ca="1"/>
        <v>0</v>
      </c>
      <c r="F126" s="123">
        <f ca="1"/>
        <v>0</v>
      </c>
      <c r="G126" s="123">
        <f ca="1"/>
        <v>0</v>
      </c>
      <c r="H126" s="123">
        <f ca="1"/>
        <v>0</v>
      </c>
      <c r="I126" s="126">
        <f ca="1"/>
        <v>0</v>
      </c>
      <c r="J126" s="126">
        <f ca="1"/>
        <v>0</v>
      </c>
      <c r="K126" s="126">
        <f ca="1"/>
        <v>0</v>
      </c>
      <c r="L126" s="126">
        <f ca="1"/>
        <v>0</v>
      </c>
      <c r="M126" s="126">
        <f ca="1"/>
        <v>0</v>
      </c>
      <c r="N126" s="126">
        <f ca="1"/>
        <v>0</v>
      </c>
      <c r="O126" s="126">
        <f ca="1"/>
        <v>-0.25</v>
      </c>
      <c r="P126" s="126">
        <f ca="1"/>
        <v>0</v>
      </c>
      <c r="Q126" s="126">
        <f ca="1"/>
        <v>0.5</v>
      </c>
      <c r="R126" s="126">
        <f ca="1"/>
        <v>-0.25</v>
      </c>
      <c r="S126" s="126">
        <f ca="1"/>
        <v>0</v>
      </c>
      <c r="T126" s="127">
        <f ca="1"/>
        <v>0</v>
      </c>
      <c r="V126" s="23" t="s">
        <v>167</v>
      </c>
      <c r="W126" s="114">
        <v>300</v>
      </c>
      <c r="Y126" s="115">
        <f ca="1"/>
        <v>0</v>
      </c>
    </row>
    <row r="127" spans="4:30" x14ac:dyDescent="0.25">
      <c r="D127" s="23" t="s">
        <v>168</v>
      </c>
      <c r="E127" s="125">
        <f ca="1"/>
        <v>0</v>
      </c>
      <c r="F127" s="123">
        <f ca="1"/>
        <v>0</v>
      </c>
      <c r="G127" s="123">
        <f ca="1"/>
        <v>-0.5</v>
      </c>
      <c r="H127" s="123">
        <f ca="1"/>
        <v>0</v>
      </c>
      <c r="I127" s="126">
        <f ca="1"/>
        <v>0</v>
      </c>
      <c r="J127" s="126">
        <f ca="1"/>
        <v>0</v>
      </c>
      <c r="K127" s="126">
        <f ca="1"/>
        <v>0</v>
      </c>
      <c r="L127" s="126">
        <f ca="1"/>
        <v>0</v>
      </c>
      <c r="M127" s="126">
        <f ca="1"/>
        <v>0</v>
      </c>
      <c r="N127" s="126">
        <f ca="1"/>
        <v>0</v>
      </c>
      <c r="O127" s="126">
        <f ca="1"/>
        <v>0</v>
      </c>
      <c r="P127" s="126">
        <f ca="1"/>
        <v>0</v>
      </c>
      <c r="Q127" s="126">
        <f ca="1"/>
        <v>-0.25</v>
      </c>
      <c r="R127" s="126">
        <f ca="1"/>
        <v>1</v>
      </c>
      <c r="S127" s="126">
        <f ca="1"/>
        <v>-0.25</v>
      </c>
      <c r="T127" s="127">
        <f ca="1"/>
        <v>0</v>
      </c>
      <c r="V127" s="23" t="s">
        <v>168</v>
      </c>
      <c r="W127" s="114">
        <v>400</v>
      </c>
      <c r="Y127" s="115">
        <f ca="1"/>
        <v>50.000000000000057</v>
      </c>
    </row>
    <row r="128" spans="4:30" x14ac:dyDescent="0.25">
      <c r="D128" s="23" t="s">
        <v>169</v>
      </c>
      <c r="E128" s="125">
        <f ca="1"/>
        <v>0</v>
      </c>
      <c r="F128" s="123">
        <f ca="1"/>
        <v>0</v>
      </c>
      <c r="G128" s="123">
        <f ca="1"/>
        <v>0</v>
      </c>
      <c r="H128" s="123">
        <f ca="1"/>
        <v>-0.5</v>
      </c>
      <c r="I128" s="126">
        <f ca="1"/>
        <v>0</v>
      </c>
      <c r="J128" s="126">
        <f ca="1"/>
        <v>0</v>
      </c>
      <c r="K128" s="126">
        <f ca="1"/>
        <v>0</v>
      </c>
      <c r="L128" s="126">
        <f ca="1"/>
        <v>0</v>
      </c>
      <c r="M128" s="126">
        <f ca="1"/>
        <v>0</v>
      </c>
      <c r="N128" s="126">
        <f ca="1"/>
        <v>0</v>
      </c>
      <c r="O128" s="126">
        <f ca="1"/>
        <v>0</v>
      </c>
      <c r="P128" s="126">
        <f ca="1"/>
        <v>0</v>
      </c>
      <c r="Q128" s="126">
        <f ca="1"/>
        <v>0</v>
      </c>
      <c r="R128" s="126">
        <f ca="1"/>
        <v>-0.25</v>
      </c>
      <c r="S128" s="126">
        <f ca="1"/>
        <v>1</v>
      </c>
      <c r="T128" s="127">
        <f ca="1"/>
        <v>-0.25</v>
      </c>
      <c r="V128" s="23" t="s">
        <v>169</v>
      </c>
      <c r="W128" s="114">
        <v>500</v>
      </c>
      <c r="Y128" s="115">
        <f ca="1"/>
        <v>50</v>
      </c>
    </row>
    <row r="129" spans="4:25" ht="15.75" thickBot="1" x14ac:dyDescent="0.3">
      <c r="D129" s="23" t="s">
        <v>170</v>
      </c>
      <c r="E129" s="125">
        <f ca="1"/>
        <v>0</v>
      </c>
      <c r="F129" s="123">
        <f ca="1"/>
        <v>0</v>
      </c>
      <c r="G129" s="123">
        <f ca="1"/>
        <v>0</v>
      </c>
      <c r="H129" s="123">
        <f ca="1"/>
        <v>0</v>
      </c>
      <c r="I129" s="126">
        <f ca="1"/>
        <v>0</v>
      </c>
      <c r="J129" s="126">
        <f ca="1"/>
        <v>0</v>
      </c>
      <c r="K129" s="126">
        <f ca="1"/>
        <v>0</v>
      </c>
      <c r="L129" s="126">
        <f ca="1"/>
        <v>0</v>
      </c>
      <c r="M129" s="126">
        <f ca="1"/>
        <v>0</v>
      </c>
      <c r="N129" s="126">
        <f ca="1"/>
        <v>0</v>
      </c>
      <c r="O129" s="126">
        <f ca="1"/>
        <v>0</v>
      </c>
      <c r="P129" s="126">
        <f ca="1"/>
        <v>-0.25</v>
      </c>
      <c r="Q129" s="126">
        <f ca="1"/>
        <v>0</v>
      </c>
      <c r="R129" s="126">
        <f ca="1"/>
        <v>0</v>
      </c>
      <c r="S129" s="126">
        <f ca="1"/>
        <v>-0.25</v>
      </c>
      <c r="T129" s="127">
        <f ca="1"/>
        <v>0.5</v>
      </c>
      <c r="V129" s="23" t="s">
        <v>170</v>
      </c>
      <c r="W129" s="132">
        <v>600</v>
      </c>
      <c r="Y129" s="115">
        <f ca="1"/>
        <v>50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12</vt:i4>
      </vt:variant>
    </vt:vector>
  </HeadingPairs>
  <TitlesOfParts>
    <vt:vector size="25" baseType="lpstr">
      <vt:lpstr>1D-Sylvester</vt:lpstr>
      <vt:lpstr>1D-Chapra v.1</vt:lpstr>
      <vt:lpstr>1D-Chapra v.2</vt:lpstr>
      <vt:lpstr>1D-Chapra v.3</vt:lpstr>
      <vt:lpstr>1D-Chapra v.4</vt:lpstr>
      <vt:lpstr>1D-Chapra v.5</vt:lpstr>
      <vt:lpstr>1D-Chapra v.6</vt:lpstr>
      <vt:lpstr>2D-1oElemento</vt:lpstr>
      <vt:lpstr>2D-2oElemento</vt:lpstr>
      <vt:lpstr>2D-StrangVBA</vt:lpstr>
      <vt:lpstr>2D-Chapra</vt:lpstr>
      <vt:lpstr>2D-Chapra v.2</vt:lpstr>
      <vt:lpstr>2D-Chapra v.2 VBA</vt:lpstr>
      <vt:lpstr>C_</vt:lpstr>
      <vt:lpstr>CtSC_</vt:lpstr>
      <vt:lpstr>CtTC_</vt:lpstr>
      <vt:lpstr>g_</vt:lpstr>
      <vt:lpstr>L_</vt:lpstr>
      <vt:lpstr>Le_</vt:lpstr>
      <vt:lpstr>M_</vt:lpstr>
      <vt:lpstr>R_</vt:lpstr>
      <vt:lpstr>S_</vt:lpstr>
      <vt:lpstr>T_</vt:lpstr>
      <vt:lpstr>V0_</vt:lpstr>
      <vt:lpstr>W_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2017-09-25T12:34:34Z</dcterms:created>
  <dcterms:modified xsi:type="dcterms:W3CDTF">2017-09-25T15:02:10Z</dcterms:modified>
</cp:coreProperties>
</file>